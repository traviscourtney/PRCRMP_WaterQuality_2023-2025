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S" sheetId="1" r:id="rId4"/>
    <sheet state="visible" name="Ent" sheetId="2" r:id="rId5"/>
    <sheet state="visible" name="BOD" sheetId="3" r:id="rId6"/>
    <sheet state="visible" name="TSS" sheetId="4" r:id="rId7"/>
    <sheet state="visible" name="Chlor.a" sheetId="5" r:id="rId8"/>
    <sheet state="visible" name="Turbidity" sheetId="6" r:id="rId9"/>
    <sheet state="visible" name="All DIC raw data" sheetId="7" r:id="rId10"/>
    <sheet state="visible" name="DIC Temperatures" sheetId="8" r:id="rId11"/>
    <sheet state="visible" name="All TA raw data" sheetId="9" r:id="rId12"/>
    <sheet state="visible" name="NOx_PO4" sheetId="10" r:id="rId13"/>
    <sheet state="visible" name="TKN" sheetId="11" r:id="rId14"/>
  </sheets>
  <definedNames>
    <definedName hidden="1" localSheetId="0" name="_xlnm._FilterDatabase">SS!$A$1:$J$47</definedName>
    <definedName hidden="1" localSheetId="3" name="_xlnm._FilterDatabase">TSS!$A$1:$Q$559</definedName>
  </definedNames>
  <calcPr/>
  <extLst>
    <ext uri="GoogleSheetsCustomDataVersion2">
      <go:sheetsCustomData xmlns:go="http://customooxmlschemas.google.com/" r:id="rId15" roundtripDataChecksum="TPDA6sk15/xmByHgBifD+b/zlZciTmD+6xVu9bWpYVA="/>
    </ext>
  </extLst>
</workbook>
</file>

<file path=xl/sharedStrings.xml><?xml version="1.0" encoding="utf-8"?>
<sst xmlns="http://schemas.openxmlformats.org/spreadsheetml/2006/main" count="7769" uniqueCount="965">
  <si>
    <t>Sample ID</t>
  </si>
  <si>
    <t>Date collected</t>
  </si>
  <si>
    <t>Time collected</t>
  </si>
  <si>
    <t>Date analysis</t>
  </si>
  <si>
    <t>Start time</t>
  </si>
  <si>
    <t>End time</t>
  </si>
  <si>
    <t>Results ml/L</t>
  </si>
  <si>
    <t>QA Flag</t>
  </si>
  <si>
    <t>Analyst</t>
  </si>
  <si>
    <t>Notes</t>
  </si>
  <si>
    <t>SS_7</t>
  </si>
  <si>
    <t>&lt; 0.1</t>
  </si>
  <si>
    <t>A</t>
  </si>
  <si>
    <t>MR</t>
  </si>
  <si>
    <t>SS_20</t>
  </si>
  <si>
    <t>SS_33</t>
  </si>
  <si>
    <t>SS_46</t>
  </si>
  <si>
    <t>SS_59</t>
  </si>
  <si>
    <t>SS_72</t>
  </si>
  <si>
    <t>SS_85</t>
  </si>
  <si>
    <t>SS_98</t>
  </si>
  <si>
    <t>SS_137</t>
  </si>
  <si>
    <t>SS_111</t>
  </si>
  <si>
    <t>SS_124</t>
  </si>
  <si>
    <t>SS_176</t>
  </si>
  <si>
    <t>SS_189</t>
  </si>
  <si>
    <t>SS_202</t>
  </si>
  <si>
    <t>SS_163</t>
  </si>
  <si>
    <t>SS_150</t>
  </si>
  <si>
    <t>SS_267</t>
  </si>
  <si>
    <t>SS_215</t>
  </si>
  <si>
    <t>SS_241</t>
  </si>
  <si>
    <t>SS_293</t>
  </si>
  <si>
    <t>SS_319</t>
  </si>
  <si>
    <t>SS_332</t>
  </si>
  <si>
    <t>SS_280</t>
  </si>
  <si>
    <t>SS_228</t>
  </si>
  <si>
    <t>SS_306</t>
  </si>
  <si>
    <t>SS_410</t>
  </si>
  <si>
    <t>SS_423</t>
  </si>
  <si>
    <t>SS_358</t>
  </si>
  <si>
    <t>SS_475</t>
  </si>
  <si>
    <t>SS_436</t>
  </si>
  <si>
    <t>SS_371</t>
  </si>
  <si>
    <t>SS_462</t>
  </si>
  <si>
    <t>SS_384</t>
  </si>
  <si>
    <t>SS_345</t>
  </si>
  <si>
    <t>SS_527</t>
  </si>
  <si>
    <t>SS_514</t>
  </si>
  <si>
    <t>SS_449</t>
  </si>
  <si>
    <t>SS_501</t>
  </si>
  <si>
    <t>SS_488</t>
  </si>
  <si>
    <t>SS_397</t>
  </si>
  <si>
    <t>SS_566</t>
  </si>
  <si>
    <t>SS_553</t>
  </si>
  <si>
    <t>SS_592</t>
  </si>
  <si>
    <t>SS_579</t>
  </si>
  <si>
    <t>SS_605</t>
  </si>
  <si>
    <t>SS_540</t>
  </si>
  <si>
    <t>Date Start</t>
  </si>
  <si>
    <t>Time start</t>
  </si>
  <si>
    <t>Temp.start (°C)</t>
  </si>
  <si>
    <t>Date End</t>
  </si>
  <si>
    <t>Time End</t>
  </si>
  <si>
    <t>Temp. end °C</t>
  </si>
  <si>
    <t>Large Positive Wells</t>
  </si>
  <si>
    <t>Small Positive Wells</t>
  </si>
  <si>
    <t>MPN</t>
  </si>
  <si>
    <t>MPN by 10 (Dilution factor)</t>
  </si>
  <si>
    <t>Serratia marcenses</t>
  </si>
  <si>
    <t>N/A</t>
  </si>
  <si>
    <t>&lt; 1</t>
  </si>
  <si>
    <t>Lot Verified</t>
  </si>
  <si>
    <t>Aerococcus viridans</t>
  </si>
  <si>
    <t>Enterococcus faecium</t>
  </si>
  <si>
    <t>Blank</t>
  </si>
  <si>
    <t>Ent_11</t>
  </si>
  <si>
    <t>CH/MR</t>
  </si>
  <si>
    <t>Ent_24</t>
  </si>
  <si>
    <t>Ent_37</t>
  </si>
  <si>
    <t>Ent_50</t>
  </si>
  <si>
    <t>Ent_63</t>
  </si>
  <si>
    <t>Ent_76</t>
  </si>
  <si>
    <t>Ent_89</t>
  </si>
  <si>
    <t>Ent_102</t>
  </si>
  <si>
    <t>Ent_141</t>
  </si>
  <si>
    <t>Ent_115</t>
  </si>
  <si>
    <t>Ent_128</t>
  </si>
  <si>
    <t>Ent_180</t>
  </si>
  <si>
    <t>Ent_193</t>
  </si>
  <si>
    <t>Ent_206</t>
  </si>
  <si>
    <t>Ent_167</t>
  </si>
  <si>
    <t>Ent_154</t>
  </si>
  <si>
    <t>Ent_271</t>
  </si>
  <si>
    <t>JJ</t>
  </si>
  <si>
    <t>Ent_219</t>
  </si>
  <si>
    <t>Ent_245</t>
  </si>
  <si>
    <t>Ent_297</t>
  </si>
  <si>
    <t>JJ/CH/MR</t>
  </si>
  <si>
    <t>Ent_323</t>
  </si>
  <si>
    <t>Ent_336</t>
  </si>
  <si>
    <t>Ent_284</t>
  </si>
  <si>
    <t>Ent_232</t>
  </si>
  <si>
    <t>Ent_310</t>
  </si>
  <si>
    <t>Ent_414</t>
  </si>
  <si>
    <t>Ent_427</t>
  </si>
  <si>
    <t>Ent_362</t>
  </si>
  <si>
    <t>Ent_479</t>
  </si>
  <si>
    <t>Ent_440</t>
  </si>
  <si>
    <t>Ent_375</t>
  </si>
  <si>
    <t>Ent_466</t>
  </si>
  <si>
    <t>Ent_388</t>
  </si>
  <si>
    <t>Ent_349</t>
  </si>
  <si>
    <t>Ent_531</t>
  </si>
  <si>
    <t>Ent_518</t>
  </si>
  <si>
    <t>Ent_453</t>
  </si>
  <si>
    <t>Ent_505</t>
  </si>
  <si>
    <t>Ent_492</t>
  </si>
  <si>
    <t>Ent_401</t>
  </si>
  <si>
    <t>Ent_570</t>
  </si>
  <si>
    <t>Ent_557</t>
  </si>
  <si>
    <t>Ent_596</t>
  </si>
  <si>
    <t>The holding time was 45 minutes</t>
  </si>
  <si>
    <t>Ent_583</t>
  </si>
  <si>
    <t>The holding time was 35 minutes</t>
  </si>
  <si>
    <t>Ent_609</t>
  </si>
  <si>
    <t>Ent_544</t>
  </si>
  <si>
    <t>Date/Initial DO</t>
  </si>
  <si>
    <t>Time Initial DO measure</t>
  </si>
  <si>
    <t>Initial DO  mg/L</t>
  </si>
  <si>
    <t>Initial Temperature</t>
  </si>
  <si>
    <t>Time Final DO</t>
  </si>
  <si>
    <t>Final DOr mg/L</t>
  </si>
  <si>
    <t>Final Temperature</t>
  </si>
  <si>
    <t>BOD in mg/L</t>
  </si>
  <si>
    <t>CALIBRATION</t>
  </si>
  <si>
    <t>DO Probe 081010MD without stirring</t>
  </si>
  <si>
    <t>BOD_3+GGAn_surface</t>
  </si>
  <si>
    <t>BOD_3n_surface</t>
  </si>
  <si>
    <t>BOD_3_surface</t>
  </si>
  <si>
    <t>BOD_4_bottom</t>
  </si>
  <si>
    <t>BOD_16_surface</t>
  </si>
  <si>
    <t>BOD_17_bottom</t>
  </si>
  <si>
    <t>BOD_29_surface</t>
  </si>
  <si>
    <t>BOD_30_bottom</t>
  </si>
  <si>
    <t>BOD_42_surface</t>
  </si>
  <si>
    <t>BOD_43_bottom</t>
  </si>
  <si>
    <t>BOD_55_surface</t>
  </si>
  <si>
    <t>BOD_56_bottom</t>
  </si>
  <si>
    <t>BOD_68+GGAn_surface</t>
  </si>
  <si>
    <t>BOD_68n_surface</t>
  </si>
  <si>
    <t>BOD_68_surface</t>
  </si>
  <si>
    <t>BOD_69_bottom</t>
  </si>
  <si>
    <t>BOD_81_surface</t>
  </si>
  <si>
    <t>BOD_82_bottom</t>
  </si>
  <si>
    <t>BOD_94_surface</t>
  </si>
  <si>
    <t>BOD_95_bottom</t>
  </si>
  <si>
    <t>BOD_133_surface</t>
  </si>
  <si>
    <t>BOD_134_bottom</t>
  </si>
  <si>
    <t>BOD_107_surface</t>
  </si>
  <si>
    <t>BOD_108_bottom</t>
  </si>
  <si>
    <t>BOD_120+GGAn_surface</t>
  </si>
  <si>
    <t>BOD_120n_surface</t>
  </si>
  <si>
    <t>BOD_120_surface</t>
  </si>
  <si>
    <t>BOD_121_bottom</t>
  </si>
  <si>
    <t>BOD_172_surface</t>
  </si>
  <si>
    <t>BOD_173_bottom</t>
  </si>
  <si>
    <t>BOD_185_surface</t>
  </si>
  <si>
    <t>BOD_186_bottom</t>
  </si>
  <si>
    <t>BOD_198_surface</t>
  </si>
  <si>
    <t>BOD_199_bottom</t>
  </si>
  <si>
    <t>BOD_159_surface</t>
  </si>
  <si>
    <t>BOD_160_bottom</t>
  </si>
  <si>
    <t>BOD_146+GGAn_surface</t>
  </si>
  <si>
    <t>BOD_146n_surface</t>
  </si>
  <si>
    <t>BOD_146_surface</t>
  </si>
  <si>
    <t>BOD_147_bottom</t>
  </si>
  <si>
    <t>BOD_263_surface</t>
  </si>
  <si>
    <t>BOD_264_bottom</t>
  </si>
  <si>
    <t>BOD_211_surface</t>
  </si>
  <si>
    <t>BOD_212_bottom</t>
  </si>
  <si>
    <t>BOD_237_surface</t>
  </si>
  <si>
    <t>BOD_238_bottom</t>
  </si>
  <si>
    <t>BOD_289_surface</t>
  </si>
  <si>
    <t>BOD_290_bottom</t>
  </si>
  <si>
    <t>BOD_315+GGAn_surface</t>
  </si>
  <si>
    <t>BOD_315n_surface</t>
  </si>
  <si>
    <t>BOD_315_surface</t>
  </si>
  <si>
    <t>BOD_316_bottom</t>
  </si>
  <si>
    <t>BOD_328_surface</t>
  </si>
  <si>
    <t>BOD_329_bottom</t>
  </si>
  <si>
    <t>BOD_276_surface</t>
  </si>
  <si>
    <t>BOD_277_bottom</t>
  </si>
  <si>
    <t>BOD_224_surface</t>
  </si>
  <si>
    <t>BOD_225_bottom</t>
  </si>
  <si>
    <t>BOD_302_surface</t>
  </si>
  <si>
    <t>8.52:00 PM</t>
  </si>
  <si>
    <t>BOD_303_bottom</t>
  </si>
  <si>
    <t>BOD_406+GGAn_surface</t>
  </si>
  <si>
    <t>BOD_406n_surface</t>
  </si>
  <si>
    <t>BOD_406_surface</t>
  </si>
  <si>
    <t>BOD_407_bottom</t>
  </si>
  <si>
    <t>BOD_419_surface</t>
  </si>
  <si>
    <t>BOD_420_bottom</t>
  </si>
  <si>
    <t>BOD_354_surface</t>
  </si>
  <si>
    <t>BOD_355_bottom</t>
  </si>
  <si>
    <t>BOD_471_surface</t>
  </si>
  <si>
    <t>BOD_472_bottom</t>
  </si>
  <si>
    <t>BOD_432_surface</t>
  </si>
  <si>
    <t>BOD_433_bottom</t>
  </si>
  <si>
    <t>BOD_367_surface</t>
  </si>
  <si>
    <t>BOD_368_bottom</t>
  </si>
  <si>
    <t>BOD_458+GGAn_surface</t>
  </si>
  <si>
    <t>BOD_458n_surface</t>
  </si>
  <si>
    <t>BOD_458_surface</t>
  </si>
  <si>
    <t>BOD_459_bottom</t>
  </si>
  <si>
    <t>BOD_380_surface</t>
  </si>
  <si>
    <t>BOD_381_bottom</t>
  </si>
  <si>
    <t>BOD_341_surface</t>
  </si>
  <si>
    <t>BOD_342_bottom</t>
  </si>
  <si>
    <t>BOD_523_surface</t>
  </si>
  <si>
    <t>BOD_524_bottom</t>
  </si>
  <si>
    <t>Initial BOD reading with the probe without stirring; the second reading is with the new BOD probe with stirring</t>
  </si>
  <si>
    <t>BOD_510_surface</t>
  </si>
  <si>
    <t>BOD_511_bottom</t>
  </si>
  <si>
    <t>BOD_445+GGAn_surface</t>
  </si>
  <si>
    <t>BOD_445n_surface</t>
  </si>
  <si>
    <t>BOD_445_surface</t>
  </si>
  <si>
    <t>BOD_446_bottom</t>
  </si>
  <si>
    <t>BOD_497_surface</t>
  </si>
  <si>
    <t>BOD_498_bottom</t>
  </si>
  <si>
    <t>BOD_484_surface</t>
  </si>
  <si>
    <t>BOD_485_bottom</t>
  </si>
  <si>
    <t>BOD_393_surface</t>
  </si>
  <si>
    <t>BOD_394_bottom</t>
  </si>
  <si>
    <t>BOD_562_surface</t>
  </si>
  <si>
    <t>BOD_563_bottom</t>
  </si>
  <si>
    <t>BOD_549+GGAn_surface</t>
  </si>
  <si>
    <t>BOD_549n_surface</t>
  </si>
  <si>
    <t>BOD_549_surface</t>
  </si>
  <si>
    <t>BOD_550_bottom</t>
  </si>
  <si>
    <t>BOD_588_surface</t>
  </si>
  <si>
    <t>BOD_589_bottom</t>
  </si>
  <si>
    <t>BOD_575_surface</t>
  </si>
  <si>
    <t>BOD_576_bottom</t>
  </si>
  <si>
    <t>BOD_601_surface</t>
  </si>
  <si>
    <t>BOD_602_bottom</t>
  </si>
  <si>
    <t>BOD_536_surface</t>
  </si>
  <si>
    <t>BOD_537_bottom</t>
  </si>
  <si>
    <t>Cellulose weight (mg)</t>
  </si>
  <si>
    <t>Date  collected</t>
  </si>
  <si>
    <t>Date analyzed</t>
  </si>
  <si>
    <t>Oven time</t>
  </si>
  <si>
    <t>RTU initial weight (mg)</t>
  </si>
  <si>
    <t>Volume sample (L)</t>
  </si>
  <si>
    <t>Filter weight 1 (mg)</t>
  </si>
  <si>
    <t>Filter weight 2 (mg)</t>
  </si>
  <si>
    <t>Filter weight 3 (mg)</t>
  </si>
  <si>
    <t>Filter ID</t>
  </si>
  <si>
    <t>Result (mg/L)</t>
  </si>
  <si>
    <t>Note</t>
  </si>
  <si>
    <t>H0015152</t>
  </si>
  <si>
    <t xml:space="preserve">Cellulose </t>
  </si>
  <si>
    <t>H0015147</t>
  </si>
  <si>
    <t>TSS_8</t>
  </si>
  <si>
    <t>H0015157</t>
  </si>
  <si>
    <t>TSS_21</t>
  </si>
  <si>
    <t>H0015163</t>
  </si>
  <si>
    <t>TSS_34</t>
  </si>
  <si>
    <t>H0015162</t>
  </si>
  <si>
    <t>TSS_47</t>
  </si>
  <si>
    <t>H0015261</t>
  </si>
  <si>
    <t>TSS_60</t>
  </si>
  <si>
    <t>H0015158</t>
  </si>
  <si>
    <t>TSS_73</t>
  </si>
  <si>
    <t>H0015137</t>
  </si>
  <si>
    <t>TSS_86</t>
  </si>
  <si>
    <t>H0015092</t>
  </si>
  <si>
    <t>TSS_99</t>
  </si>
  <si>
    <t>H0015093</t>
  </si>
  <si>
    <t>TSS_138</t>
  </si>
  <si>
    <t>H0015391</t>
  </si>
  <si>
    <t>CH</t>
  </si>
  <si>
    <t>TSS_112</t>
  </si>
  <si>
    <t>H0015508</t>
  </si>
  <si>
    <t>Algae in the filter</t>
  </si>
  <si>
    <t>TSS_125</t>
  </si>
  <si>
    <t>H0015478</t>
  </si>
  <si>
    <t>TSS_177</t>
  </si>
  <si>
    <t>H0015473</t>
  </si>
  <si>
    <t>TSS_190</t>
  </si>
  <si>
    <t>H0015435</t>
  </si>
  <si>
    <t>TSS_203</t>
  </si>
  <si>
    <t>H0015457</t>
  </si>
  <si>
    <t>TSS_164</t>
  </si>
  <si>
    <t>H0015431</t>
  </si>
  <si>
    <t>TSS_151</t>
  </si>
  <si>
    <t>H0015503</t>
  </si>
  <si>
    <t>TSS_268</t>
  </si>
  <si>
    <t>H0015436</t>
  </si>
  <si>
    <t>TSS_216</t>
  </si>
  <si>
    <t>H0015432</t>
  </si>
  <si>
    <t>TSS_242</t>
  </si>
  <si>
    <t>H0015427</t>
  </si>
  <si>
    <t>TSS_294</t>
  </si>
  <si>
    <t>H0015422</t>
  </si>
  <si>
    <t>H0015396</t>
  </si>
  <si>
    <t>H0015392</t>
  </si>
  <si>
    <t>TSS_320</t>
  </si>
  <si>
    <t>H0015417</t>
  </si>
  <si>
    <t>TSS_333</t>
  </si>
  <si>
    <t>H0015395</t>
  </si>
  <si>
    <t>TSS_281</t>
  </si>
  <si>
    <t>H0015430</t>
  </si>
  <si>
    <t>TSS_229</t>
  </si>
  <si>
    <t>H0015387</t>
  </si>
  <si>
    <t>TSS_307</t>
  </si>
  <si>
    <t>H0015434</t>
  </si>
  <si>
    <t>TSS_411</t>
  </si>
  <si>
    <t>H0015429</t>
  </si>
  <si>
    <t>TSS_424</t>
  </si>
  <si>
    <t>H0015424</t>
  </si>
  <si>
    <t>TSS_476</t>
  </si>
  <si>
    <t>H0015421</t>
  </si>
  <si>
    <t>TSS_437</t>
  </si>
  <si>
    <t>H0015426</t>
  </si>
  <si>
    <t>TSS_372</t>
  </si>
  <si>
    <t>H0015420</t>
  </si>
  <si>
    <t>TSS_463</t>
  </si>
  <si>
    <t>H0015416</t>
  </si>
  <si>
    <t>very turbid, brown color</t>
  </si>
  <si>
    <t>TSS_385</t>
  </si>
  <si>
    <t>H0015394</t>
  </si>
  <si>
    <t>TSS_346</t>
  </si>
  <si>
    <t>H0015390</t>
  </si>
  <si>
    <t>TSS_359</t>
  </si>
  <si>
    <t>H0015415</t>
  </si>
  <si>
    <t>TSS_528</t>
  </si>
  <si>
    <t>H0015433</t>
  </si>
  <si>
    <t>TSS_515</t>
  </si>
  <si>
    <t>H0015428</t>
  </si>
  <si>
    <t>TSS_450</t>
  </si>
  <si>
    <t>H0015414</t>
  </si>
  <si>
    <t>TSS_502</t>
  </si>
  <si>
    <t>H0015393</t>
  </si>
  <si>
    <t>TSS_489</t>
  </si>
  <si>
    <t>H0015413</t>
  </si>
  <si>
    <t>TSS_398</t>
  </si>
  <si>
    <t>H0015419</t>
  </si>
  <si>
    <t>H0015397</t>
  </si>
  <si>
    <t>TSS_567</t>
  </si>
  <si>
    <t>H0015423</t>
  </si>
  <si>
    <t>TSS_554</t>
  </si>
  <si>
    <t>H0015388</t>
  </si>
  <si>
    <t>TSS_580</t>
  </si>
  <si>
    <t>H0015149</t>
  </si>
  <si>
    <t>TSS_606</t>
  </si>
  <si>
    <t>H0015145</t>
  </si>
  <si>
    <t>TSS_541</t>
  </si>
  <si>
    <t>H0015150</t>
  </si>
  <si>
    <t>TSS_593</t>
  </si>
  <si>
    <t>H0015144</t>
  </si>
  <si>
    <t>Date Collected</t>
  </si>
  <si>
    <t>Time Collected</t>
  </si>
  <si>
    <t>Date Filtered</t>
  </si>
  <si>
    <t>Time Filtered</t>
  </si>
  <si>
    <t>Volume Filtered (mL)</t>
  </si>
  <si>
    <t>Date Extract</t>
  </si>
  <si>
    <t>Time Extract</t>
  </si>
  <si>
    <t>Volume Extract (mL)</t>
  </si>
  <si>
    <t>Cuvette Width (cm)</t>
  </si>
  <si>
    <t>664nm_b</t>
  </si>
  <si>
    <t>665nm_b</t>
  </si>
  <si>
    <t>750nm_b</t>
  </si>
  <si>
    <t>664nm_a</t>
  </si>
  <si>
    <t>665nm_a</t>
  </si>
  <si>
    <t>750nm_a</t>
  </si>
  <si>
    <t>Chl-a (µg/L)</t>
  </si>
  <si>
    <t>Chl_standard (22.6ug/L)</t>
  </si>
  <si>
    <t>Chl_standard (20.0ug/L)</t>
  </si>
  <si>
    <t>Chl_a_5</t>
  </si>
  <si>
    <t>Chl_a_18</t>
  </si>
  <si>
    <t>Chl_a_31</t>
  </si>
  <si>
    <t>Chl_a_44</t>
  </si>
  <si>
    <t>Chl_a_57</t>
  </si>
  <si>
    <t>Chl_a_70</t>
  </si>
  <si>
    <t>Chl_a_83</t>
  </si>
  <si>
    <t>Chl_a_96</t>
  </si>
  <si>
    <t>Chl_a_135</t>
  </si>
  <si>
    <t>Chl_a_109</t>
  </si>
  <si>
    <t>Chl_a_122</t>
  </si>
  <si>
    <t>Chl_a_174</t>
  </si>
  <si>
    <t>Chl_a_187</t>
  </si>
  <si>
    <t>Chl_a_200</t>
  </si>
  <si>
    <t>Chl_a_161</t>
  </si>
  <si>
    <t>Chl_a_148</t>
  </si>
  <si>
    <t>Chl_a_265</t>
  </si>
  <si>
    <t>Chl_a_213</t>
  </si>
  <si>
    <t>Chl_a_239</t>
  </si>
  <si>
    <t>Chl_a_291</t>
  </si>
  <si>
    <t>Chl_a_317</t>
  </si>
  <si>
    <t>Chl_a_330</t>
  </si>
  <si>
    <t>Chl_a_278</t>
  </si>
  <si>
    <t>Chl_a_226</t>
  </si>
  <si>
    <t>Chl_a_304</t>
  </si>
  <si>
    <t>Chl_a_408</t>
  </si>
  <si>
    <t>Chl_a_421</t>
  </si>
  <si>
    <t>Chl_a_356</t>
  </si>
  <si>
    <t>Chl_a_473</t>
  </si>
  <si>
    <t>Chl_a_434</t>
  </si>
  <si>
    <t>Chl_a_369</t>
  </si>
  <si>
    <t>Chl_a_460</t>
  </si>
  <si>
    <t>Chl_a_382</t>
  </si>
  <si>
    <t>Chl_a_343</t>
  </si>
  <si>
    <t>Chl_a_525</t>
  </si>
  <si>
    <t>Chl_a_512</t>
  </si>
  <si>
    <t>Chl_a_447</t>
  </si>
  <si>
    <t>Chl_a_499</t>
  </si>
  <si>
    <t>Chl_a_486</t>
  </si>
  <si>
    <t>Chl_a_395</t>
  </si>
  <si>
    <t>Chl_a_564</t>
  </si>
  <si>
    <t>Chl_a_551</t>
  </si>
  <si>
    <t>Chl_a_590</t>
  </si>
  <si>
    <t>Chl_a_577</t>
  </si>
  <si>
    <t>Chl_a_603</t>
  </si>
  <si>
    <t>Chl_a_538</t>
  </si>
  <si>
    <t xml:space="preserve">Date Collected </t>
  </si>
  <si>
    <t xml:space="preserve">Time Collected </t>
  </si>
  <si>
    <t>Date Analyzed</t>
  </si>
  <si>
    <t>Time Analyzed</t>
  </si>
  <si>
    <t>NTU</t>
  </si>
  <si>
    <t>Turb_6</t>
  </si>
  <si>
    <t>Turb_19</t>
  </si>
  <si>
    <t>Turb_32</t>
  </si>
  <si>
    <t>Turb_45</t>
  </si>
  <si>
    <t>Turb_58</t>
  </si>
  <si>
    <t>Turb_71</t>
  </si>
  <si>
    <t>Turb_84</t>
  </si>
  <si>
    <t>Turb_97</t>
  </si>
  <si>
    <t>Turb_136</t>
  </si>
  <si>
    <t>Turb_110</t>
  </si>
  <si>
    <t>Turb_123</t>
  </si>
  <si>
    <t>Turb_175</t>
  </si>
  <si>
    <t>Turb_188</t>
  </si>
  <si>
    <t>Turb_201</t>
  </si>
  <si>
    <t>Turb_162</t>
  </si>
  <si>
    <t>Turb_149</t>
  </si>
  <si>
    <t>Turb_266</t>
  </si>
  <si>
    <t>Turb_214</t>
  </si>
  <si>
    <t>Turb_240</t>
  </si>
  <si>
    <t>Turb_292</t>
  </si>
  <si>
    <t>Turb_318</t>
  </si>
  <si>
    <t>Turb_331</t>
  </si>
  <si>
    <t>Turb_279</t>
  </si>
  <si>
    <t>Turb_227</t>
  </si>
  <si>
    <t>Turb_305</t>
  </si>
  <si>
    <t>Turb_409</t>
  </si>
  <si>
    <t>Turb_422</t>
  </si>
  <si>
    <t>Turb_357</t>
  </si>
  <si>
    <t>Turb_474</t>
  </si>
  <si>
    <t>Turb_435</t>
  </si>
  <si>
    <t>Turb_370</t>
  </si>
  <si>
    <t>Turb_461</t>
  </si>
  <si>
    <t>Turb_383</t>
  </si>
  <si>
    <t>Turb_344</t>
  </si>
  <si>
    <t>Turb_526</t>
  </si>
  <si>
    <t>Turb_513</t>
  </si>
  <si>
    <t>Turb_448</t>
  </si>
  <si>
    <t>Turb_500</t>
  </si>
  <si>
    <t>Turb_487</t>
  </si>
  <si>
    <t>Turb_396</t>
  </si>
  <si>
    <t>Turb_565</t>
  </si>
  <si>
    <t>Turb_552</t>
  </si>
  <si>
    <t>Turb_591</t>
  </si>
  <si>
    <t>Turb_578</t>
  </si>
  <si>
    <t>Turb_604</t>
  </si>
  <si>
    <t>Turb_539</t>
  </si>
  <si>
    <t>Sample # In Batch</t>
  </si>
  <si>
    <t>Sample Name</t>
  </si>
  <si>
    <t>Port</t>
  </si>
  <si>
    <t>Volume (ml)</t>
  </si>
  <si>
    <t>Start Time</t>
  </si>
  <si>
    <t>Attempt #</t>
  </si>
  <si>
    <t>Cell Temp (C)</t>
  </si>
  <si>
    <t>H2O (‰)</t>
  </si>
  <si>
    <t>Initial Baseline (ppm)</t>
  </si>
  <si>
    <t>Final Baseline (ppm)</t>
  </si>
  <si>
    <t>Peak (ppm)</t>
  </si>
  <si>
    <t>Integration Time (sec)</t>
  </si>
  <si>
    <t>Area (net)</t>
  </si>
  <si>
    <t>Area (net avg)</t>
  </si>
  <si>
    <t>DIC (uM)</t>
  </si>
  <si>
    <t>Status</t>
  </si>
  <si>
    <t>QA</t>
  </si>
  <si>
    <t>Wait Btwn Repeat (s)</t>
  </si>
  <si>
    <t>Wait Btwn Sample (s)</t>
  </si>
  <si>
    <t>Flush Volume (ml)</t>
  </si>
  <si>
    <t>Pre-Acid Volume (ml)</t>
  </si>
  <si>
    <t>Acid Volume (ml)</t>
  </si>
  <si>
    <t>Injection Speed (sps)</t>
  </si>
  <si>
    <t>End Analysis - Criteria</t>
  </si>
  <si>
    <t>End Analysis - Value</t>
  </si>
  <si>
    <t>Precision</t>
  </si>
  <si>
    <t>Standard Curve</t>
  </si>
  <si>
    <t>Gas Flowrate</t>
  </si>
  <si>
    <t>0001S-1-1</t>
  </si>
  <si>
    <t>Single</t>
  </si>
  <si>
    <t>NaHCO3</t>
  </si>
  <si>
    <t>C (STD)</t>
  </si>
  <si>
    <t>Valid</t>
  </si>
  <si>
    <t>Deviation</t>
  </si>
  <si>
    <t>0.00100+0.00000</t>
  </si>
  <si>
    <t>Linear Fit</t>
  </si>
  <si>
    <t>0002S-1-1</t>
  </si>
  <si>
    <t>0003S-1-1</t>
  </si>
  <si>
    <t>0004S-1-1</t>
  </si>
  <si>
    <t>0005A-1-1</t>
  </si>
  <si>
    <t>1A</t>
  </si>
  <si>
    <t>CRM_213_1026</t>
  </si>
  <si>
    <t>Excluded</t>
  </si>
  <si>
    <t>0005A-1-2</t>
  </si>
  <si>
    <t>0005A-1-3</t>
  </si>
  <si>
    <t>0005B-1-1</t>
  </si>
  <si>
    <t>1B</t>
  </si>
  <si>
    <t>0005B-1-2</t>
  </si>
  <si>
    <t>0005B-1-3</t>
  </si>
  <si>
    <t>0005C-1-1</t>
  </si>
  <si>
    <t>1C</t>
  </si>
  <si>
    <t>0005C-1-2</t>
  </si>
  <si>
    <t>0005C-1-3</t>
  </si>
  <si>
    <t>0005C-1-4</t>
  </si>
  <si>
    <t>0006S-1-1</t>
  </si>
  <si>
    <t>D</t>
  </si>
  <si>
    <t>Halted</t>
  </si>
  <si>
    <t>R</t>
  </si>
  <si>
    <t>0006S-1-2</t>
  </si>
  <si>
    <t>0006S-1-3</t>
  </si>
  <si>
    <t>0006S-1-4</t>
  </si>
  <si>
    <t>0006S-1-5</t>
  </si>
  <si>
    <t>0007S-1-1</t>
  </si>
  <si>
    <t>E</t>
  </si>
  <si>
    <t>0007S-1-2</t>
  </si>
  <si>
    <t>0007S-1-3</t>
  </si>
  <si>
    <t>0008S-1-1</t>
  </si>
  <si>
    <t>F</t>
  </si>
  <si>
    <t>0008S-1-2</t>
  </si>
  <si>
    <t>0008S-1-3</t>
  </si>
  <si>
    <t>0009S-1-1</t>
  </si>
  <si>
    <t>G</t>
  </si>
  <si>
    <t>0009S-1-2</t>
  </si>
  <si>
    <t>0010S-1-1</t>
  </si>
  <si>
    <t>H</t>
  </si>
  <si>
    <t>0010S-1-2</t>
  </si>
  <si>
    <t>0011S-1-1</t>
  </si>
  <si>
    <t>I</t>
  </si>
  <si>
    <t>0011S-1-2</t>
  </si>
  <si>
    <t>0011S-1-3</t>
  </si>
  <si>
    <t>0012S-1-1</t>
  </si>
  <si>
    <t>J</t>
  </si>
  <si>
    <t>0012S-1-2</t>
  </si>
  <si>
    <t>0013S-1-1</t>
  </si>
  <si>
    <t>K</t>
  </si>
  <si>
    <t>0013S-1-2</t>
  </si>
  <si>
    <t>0014A-1-1</t>
  </si>
  <si>
    <t>0014A-1-2</t>
  </si>
  <si>
    <t>0014B-1-1</t>
  </si>
  <si>
    <t>0014B-1-2</t>
  </si>
  <si>
    <t>0014B-1-3</t>
  </si>
  <si>
    <t>0014B-1-4</t>
  </si>
  <si>
    <t>0014C-1-1</t>
  </si>
  <si>
    <t>0014C-1-2</t>
  </si>
  <si>
    <t>0015S-1-1</t>
  </si>
  <si>
    <t>0015S-1-2</t>
  </si>
  <si>
    <t>0016S-1-1</t>
  </si>
  <si>
    <t>0016S-1-2</t>
  </si>
  <si>
    <t>0016S-1-3</t>
  </si>
  <si>
    <t>0016S-1-4</t>
  </si>
  <si>
    <t>0017S-1-1</t>
  </si>
  <si>
    <t>0017S-1-2</t>
  </si>
  <si>
    <t>0017S-1-3</t>
  </si>
  <si>
    <t>0018S-1-1</t>
  </si>
  <si>
    <t>0018S-1-2</t>
  </si>
  <si>
    <t>0018S-1-3</t>
  </si>
  <si>
    <t>0019S-1-1</t>
  </si>
  <si>
    <t>0019S-1-2</t>
  </si>
  <si>
    <t>0019S-1-3</t>
  </si>
  <si>
    <t>0019S-1-4</t>
  </si>
  <si>
    <t>0020S-1-1</t>
  </si>
  <si>
    <t>Failed</t>
  </si>
  <si>
    <t>0020S-1-2</t>
  </si>
  <si>
    <t>0020S-1-3</t>
  </si>
  <si>
    <t>0020S-1-4</t>
  </si>
  <si>
    <t>0020S-1-5</t>
  </si>
  <si>
    <t>0020S-2-1</t>
  </si>
  <si>
    <t>0020S-2-2</t>
  </si>
  <si>
    <t>0020S-2-3</t>
  </si>
  <si>
    <t>0020S-2-4</t>
  </si>
  <si>
    <t>0020S-2-5</t>
  </si>
  <si>
    <t>0021S-1-1</t>
  </si>
  <si>
    <t>0021S-1-2</t>
  </si>
  <si>
    <t>0022S-1-1</t>
  </si>
  <si>
    <t>0022S-1-2</t>
  </si>
  <si>
    <t>0023A-1-1</t>
  </si>
  <si>
    <t>0023A-1-2</t>
  </si>
  <si>
    <t>0023B-1-1</t>
  </si>
  <si>
    <t>0023B-1-2</t>
  </si>
  <si>
    <t>0023B-1-3</t>
  </si>
  <si>
    <t>0023B-1-4</t>
  </si>
  <si>
    <t>0023B-1-5</t>
  </si>
  <si>
    <t>0023B-2-1</t>
  </si>
  <si>
    <t>0023B-2-2</t>
  </si>
  <si>
    <t>0023B-2-3</t>
  </si>
  <si>
    <t>0023B-2-4</t>
  </si>
  <si>
    <t>0023B-2-5</t>
  </si>
  <si>
    <t>0023C-1-1</t>
  </si>
  <si>
    <t>0023C-1-2</t>
  </si>
  <si>
    <t>0023C-1-3</t>
  </si>
  <si>
    <t>0023C-1-4</t>
  </si>
  <si>
    <t>0023C-1-5</t>
  </si>
  <si>
    <t>0023C-2-1</t>
  </si>
  <si>
    <t>0024A-1-1</t>
  </si>
  <si>
    <t>0024A-1-2</t>
  </si>
  <si>
    <t>0024A-1-3</t>
  </si>
  <si>
    <t>0024A-1-4</t>
  </si>
  <si>
    <t>0024A-1-5</t>
  </si>
  <si>
    <t>There were problems with the electricity. The main power took a lot of time to come back</t>
  </si>
  <si>
    <t>0024A-2-1</t>
  </si>
  <si>
    <t>0024A-2-2</t>
  </si>
  <si>
    <t>0025S-1-1</t>
  </si>
  <si>
    <t>Q</t>
  </si>
  <si>
    <t>0026S-1-1</t>
  </si>
  <si>
    <t>0027S-1-1</t>
  </si>
  <si>
    <t>0028S-1-1</t>
  </si>
  <si>
    <t>0029S-1-1</t>
  </si>
  <si>
    <t>0030S-1-1</t>
  </si>
  <si>
    <t>0031S-1-1</t>
  </si>
  <si>
    <t>0005S-1-1</t>
  </si>
  <si>
    <t>0014S-1-1</t>
  </si>
  <si>
    <t>0021A-1-1</t>
  </si>
  <si>
    <t>CRM_213_1090</t>
  </si>
  <si>
    <t>0021A-1-2</t>
  </si>
  <si>
    <t>0021A-1-3</t>
  </si>
  <si>
    <t>0021B-1-1</t>
  </si>
  <si>
    <t>0021B-1-2</t>
  </si>
  <si>
    <t>0021B-1-3</t>
  </si>
  <si>
    <t>0021B-1-4</t>
  </si>
  <si>
    <t>0021B-1-5</t>
  </si>
  <si>
    <t>0021B-2-1</t>
  </si>
  <si>
    <t>0021B-2-2</t>
  </si>
  <si>
    <t>0021B-2-3</t>
  </si>
  <si>
    <t>0021C-1-1</t>
  </si>
  <si>
    <t>0021C-1-2</t>
  </si>
  <si>
    <t>0023S-1-1</t>
  </si>
  <si>
    <t>0023S-1-2</t>
  </si>
  <si>
    <t>0023S-1-3</t>
  </si>
  <si>
    <t>0024S-1-1</t>
  </si>
  <si>
    <t>0024S-1-2</t>
  </si>
  <si>
    <t>0025S-1-2</t>
  </si>
  <si>
    <t>0025S-1-3</t>
  </si>
  <si>
    <t>0026S-1-2</t>
  </si>
  <si>
    <t>0027S-1-2</t>
  </si>
  <si>
    <t>0027S-1-3</t>
  </si>
  <si>
    <t>0027S-1-4</t>
  </si>
  <si>
    <t>0027S-1-5</t>
  </si>
  <si>
    <t>0027S-2-1</t>
  </si>
  <si>
    <t>0027S-2-2</t>
  </si>
  <si>
    <t>0028S-1-2</t>
  </si>
  <si>
    <t>0029S-1-2</t>
  </si>
  <si>
    <t>0029S-1-3</t>
  </si>
  <si>
    <t>0030S-1-2</t>
  </si>
  <si>
    <t>0030S-1-3</t>
  </si>
  <si>
    <t>0031A-1-1</t>
  </si>
  <si>
    <t>0031A-1-2</t>
  </si>
  <si>
    <t>0031B-1-1</t>
  </si>
  <si>
    <t>0031B-1-2</t>
  </si>
  <si>
    <t>0031C-1-1</t>
  </si>
  <si>
    <t>0031C-1-2</t>
  </si>
  <si>
    <t>0031C-1-3</t>
  </si>
  <si>
    <t>0032S-1-1</t>
  </si>
  <si>
    <t>0032S-1-2</t>
  </si>
  <si>
    <t>0032S-1-3</t>
  </si>
  <si>
    <t>0032S-1-4</t>
  </si>
  <si>
    <t>0033S-1-1</t>
  </si>
  <si>
    <t>0033S-1-2</t>
  </si>
  <si>
    <t>0033S-1-3</t>
  </si>
  <si>
    <t>0034S-1-1</t>
  </si>
  <si>
    <t>0034S-1-2</t>
  </si>
  <si>
    <t>0035S-1-1</t>
  </si>
  <si>
    <t>0035S-1-2</t>
  </si>
  <si>
    <t>0036S-1-1</t>
  </si>
  <si>
    <t>0036S-1-2</t>
  </si>
  <si>
    <t>0037S-1-1</t>
  </si>
  <si>
    <t>0037S-1-2</t>
  </si>
  <si>
    <t>0038S-1-1</t>
  </si>
  <si>
    <t>0038S-1-2</t>
  </si>
  <si>
    <t>0039S-1-1</t>
  </si>
  <si>
    <t>0039S-1-2</t>
  </si>
  <si>
    <t>0039S-1-3</t>
  </si>
  <si>
    <t>0039S-1-4</t>
  </si>
  <si>
    <t>0039S-1-5</t>
  </si>
  <si>
    <t>0040S-1-1</t>
  </si>
  <si>
    <t>0040S-1-2</t>
  </si>
  <si>
    <t>0011A-1-1</t>
  </si>
  <si>
    <t>CRM_213_1215</t>
  </si>
  <si>
    <t>0011A-1-2</t>
  </si>
  <si>
    <t>0011A-1-3</t>
  </si>
  <si>
    <t>0011B-1-1</t>
  </si>
  <si>
    <t>0011B-1-2</t>
  </si>
  <si>
    <t>0011C-1-1</t>
  </si>
  <si>
    <t>0011C-1-2</t>
  </si>
  <si>
    <t>0014S-1-2</t>
  </si>
  <si>
    <t>0015S-1-3</t>
  </si>
  <si>
    <t>0017S-1-4</t>
  </si>
  <si>
    <t>0017S-1-5</t>
  </si>
  <si>
    <t>0017S-2-1</t>
  </si>
  <si>
    <t>0017S-2-2</t>
  </si>
  <si>
    <t>0020A-1-1</t>
  </si>
  <si>
    <t>0020A-1-2</t>
  </si>
  <si>
    <t>0020B-1-1</t>
  </si>
  <si>
    <t>0020B-1-2</t>
  </si>
  <si>
    <t>0020B-1-3</t>
  </si>
  <si>
    <t>0020B-1-4</t>
  </si>
  <si>
    <t>0020B-1-5</t>
  </si>
  <si>
    <t>0020C-1-1</t>
  </si>
  <si>
    <t>0020C-1-2</t>
  </si>
  <si>
    <t>0020C-1-3</t>
  </si>
  <si>
    <t>0021S-1-3</t>
  </si>
  <si>
    <t>0021S-1-4</t>
  </si>
  <si>
    <t>0025S-1-4</t>
  </si>
  <si>
    <t>0025S-1-5</t>
  </si>
  <si>
    <t>0029A-1-1</t>
  </si>
  <si>
    <t>0029A-1-2</t>
  </si>
  <si>
    <t>0029A-1-3</t>
  </si>
  <si>
    <t>0029B-1-1</t>
  </si>
  <si>
    <t>0029B-1-2</t>
  </si>
  <si>
    <t>0029B-1-3</t>
  </si>
  <si>
    <t>0029B-1-4</t>
  </si>
  <si>
    <t>0029C-1-1</t>
  </si>
  <si>
    <t>0029C-1-2</t>
  </si>
  <si>
    <t>0031S-1-2</t>
  </si>
  <si>
    <t>0031S-1-3</t>
  </si>
  <si>
    <t>0031S-1-4</t>
  </si>
  <si>
    <t>0031S-1-5</t>
  </si>
  <si>
    <t>This sample that does not count, that location was not taking of the current</t>
  </si>
  <si>
    <t>CRM_213_1152</t>
  </si>
  <si>
    <t>0011B-1-3</t>
  </si>
  <si>
    <t>0011C-1-3</t>
  </si>
  <si>
    <t>0012S-1-3</t>
  </si>
  <si>
    <t>0012S-1-4</t>
  </si>
  <si>
    <t>0012S-1-5</t>
  </si>
  <si>
    <t>0012S-1-6</t>
  </si>
  <si>
    <t>0013S-1-3</t>
  </si>
  <si>
    <t>0013S-1-4</t>
  </si>
  <si>
    <t>0014S-1-3</t>
  </si>
  <si>
    <t>0014S-1-4</t>
  </si>
  <si>
    <t>0014S-1-5</t>
  </si>
  <si>
    <t>0014S-2-1</t>
  </si>
  <si>
    <t>0014S-2-2</t>
  </si>
  <si>
    <t>0014S-2-3</t>
  </si>
  <si>
    <t>0014S-2-4</t>
  </si>
  <si>
    <t>0015S-1-4</t>
  </si>
  <si>
    <t>0015S-1-5</t>
  </si>
  <si>
    <t>0015S-2-1</t>
  </si>
  <si>
    <t>0015S-2-2</t>
  </si>
  <si>
    <t>0015S-2-3</t>
  </si>
  <si>
    <t>0015S-2-4</t>
  </si>
  <si>
    <t>0015S-2-5</t>
  </si>
  <si>
    <t>0016S-1-5</t>
  </si>
  <si>
    <t>0016S-2-1</t>
  </si>
  <si>
    <t>0016S-2-2</t>
  </si>
  <si>
    <t>0019S-1-5</t>
  </si>
  <si>
    <t>0022S-1-3</t>
  </si>
  <si>
    <t>0024S-1-3</t>
  </si>
  <si>
    <t>0024S-1-4</t>
  </si>
  <si>
    <t>0024S-1-5</t>
  </si>
  <si>
    <t>353 was already run, and good result. It was repeated, I left the tubing without sample</t>
  </si>
  <si>
    <t>0025S-2-1</t>
  </si>
  <si>
    <t>0025S-2-2</t>
  </si>
  <si>
    <t>0025S-2-3</t>
  </si>
  <si>
    <t>0025S-2-4</t>
  </si>
  <si>
    <t>0025S-2-5</t>
  </si>
  <si>
    <t>0026S-1-3</t>
  </si>
  <si>
    <t>0028S-1-3</t>
  </si>
  <si>
    <t>0010A-1-1</t>
  </si>
  <si>
    <t>CRM_217_0314</t>
  </si>
  <si>
    <t>0010A-1-2</t>
  </si>
  <si>
    <t>0010A-1-3</t>
  </si>
  <si>
    <t>0010A-1-4</t>
  </si>
  <si>
    <t>0010A-1-5</t>
  </si>
  <si>
    <t>0010B-1-1</t>
  </si>
  <si>
    <t>0010B-1-2</t>
  </si>
  <si>
    <t>0010C-1-1</t>
  </si>
  <si>
    <t>0010C-1-2</t>
  </si>
  <si>
    <t>0018S-1-4</t>
  </si>
  <si>
    <t>0019A-1-1</t>
  </si>
  <si>
    <t>0019A-1-2</t>
  </si>
  <si>
    <t>0019A-1-3</t>
  </si>
  <si>
    <t>0019A-1-4</t>
  </si>
  <si>
    <t>0019B-1-1</t>
  </si>
  <si>
    <t>0019B-1-2</t>
  </si>
  <si>
    <t>0019C-1-1</t>
  </si>
  <si>
    <t>0019C-1-2</t>
  </si>
  <si>
    <t>CRM_217_0029</t>
  </si>
  <si>
    <t>0011B-1-4</t>
  </si>
  <si>
    <t>0022A-1-1</t>
  </si>
  <si>
    <t>0022A-1-2</t>
  </si>
  <si>
    <t>0022A-1-3</t>
  </si>
  <si>
    <t>0022B-1-1</t>
  </si>
  <si>
    <t>0022B-1-2</t>
  </si>
  <si>
    <t>0022C-1-1</t>
  </si>
  <si>
    <t>0022C-1-2</t>
  </si>
  <si>
    <t>BL Diff</t>
  </si>
  <si>
    <t>Date</t>
  </si>
  <si>
    <t>Sample</t>
  </si>
  <si>
    <t>Temperature (C)</t>
  </si>
  <si>
    <t>Time</t>
  </si>
  <si>
    <t>Sample Volume (ml)</t>
  </si>
  <si>
    <t>HCl Concentration (M)</t>
  </si>
  <si>
    <t>Salinity</t>
  </si>
  <si>
    <t>Slope</t>
  </si>
  <si>
    <t>R^2</t>
  </si>
  <si>
    <t>End Volume (ml)</t>
  </si>
  <si>
    <t>Total Alkalinity (uM)</t>
  </si>
  <si>
    <t>Standard Deviation</t>
  </si>
  <si>
    <t>Density_kgL</t>
  </si>
  <si>
    <t>TA_umolkg</t>
  </si>
  <si>
    <t>User</t>
  </si>
  <si>
    <t>0001S-1</t>
  </si>
  <si>
    <t>Na2CO3</t>
  </si>
  <si>
    <t>&gt;30</t>
  </si>
  <si>
    <t>0001S-2</t>
  </si>
  <si>
    <t>0002S-1</t>
  </si>
  <si>
    <t>0003S-1</t>
  </si>
  <si>
    <t>CRM_213_0718</t>
  </si>
  <si>
    <t>0004S-1</t>
  </si>
  <si>
    <t>0004S-2</t>
  </si>
  <si>
    <t>0004S-3</t>
  </si>
  <si>
    <t>0005C-1</t>
  </si>
  <si>
    <t>HCl Calibration</t>
  </si>
  <si>
    <t>0005C-2</t>
  </si>
  <si>
    <t>0005C-3</t>
  </si>
  <si>
    <t>0006S-1</t>
  </si>
  <si>
    <t>0007C-1</t>
  </si>
  <si>
    <t>Canceled</t>
  </si>
  <si>
    <t>0008C-1</t>
  </si>
  <si>
    <t>0008C-2</t>
  </si>
  <si>
    <t>0008C-3</t>
  </si>
  <si>
    <t>0008C-4</t>
  </si>
  <si>
    <t>0008C-5</t>
  </si>
  <si>
    <t>0009S-2</t>
  </si>
  <si>
    <t>0010S-1</t>
  </si>
  <si>
    <t>0011S-1</t>
  </si>
  <si>
    <t>0012S-1</t>
  </si>
  <si>
    <t>0013S-1</t>
  </si>
  <si>
    <t>0015S-1</t>
  </si>
  <si>
    <t>0016S-1</t>
  </si>
  <si>
    <t>0017S-1</t>
  </si>
  <si>
    <t>0018S-1</t>
  </si>
  <si>
    <t>0019S-1</t>
  </si>
  <si>
    <t>0020S-1</t>
  </si>
  <si>
    <t>0021S-1</t>
  </si>
  <si>
    <t>CRM_213_0776</t>
  </si>
  <si>
    <t>0022S-1</t>
  </si>
  <si>
    <t>0023S-1</t>
  </si>
  <si>
    <t>0024S-1</t>
  </si>
  <si>
    <t>0025S-1</t>
  </si>
  <si>
    <t>0026S-1</t>
  </si>
  <si>
    <t>0027S-1</t>
  </si>
  <si>
    <t>0028S-1</t>
  </si>
  <si>
    <t>0029S-1</t>
  </si>
  <si>
    <t>0030S-1</t>
  </si>
  <si>
    <t>0031S-1</t>
  </si>
  <si>
    <t>0032S-1</t>
  </si>
  <si>
    <t>CRM_213_0965</t>
  </si>
  <si>
    <t>CPHR</t>
  </si>
  <si>
    <t>0001S-3</t>
  </si>
  <si>
    <t>0001S-4</t>
  </si>
  <si>
    <t>0001S-5</t>
  </si>
  <si>
    <t>0001S-6</t>
  </si>
  <si>
    <t>0001S-7</t>
  </si>
  <si>
    <t>0001S-8</t>
  </si>
  <si>
    <t>0001S-9</t>
  </si>
  <si>
    <t>0001S-10</t>
  </si>
  <si>
    <t>0002C-1</t>
  </si>
  <si>
    <t>0002C-2</t>
  </si>
  <si>
    <t>0002C-3</t>
  </si>
  <si>
    <t>0002C-4</t>
  </si>
  <si>
    <t>0003S-2</t>
  </si>
  <si>
    <t>0005S-1</t>
  </si>
  <si>
    <t>0007S-1</t>
  </si>
  <si>
    <t>0008S-1</t>
  </si>
  <si>
    <t>0009S-1</t>
  </si>
  <si>
    <t>0014S-1</t>
  </si>
  <si>
    <t>No valid</t>
  </si>
  <si>
    <t>0033S-1</t>
  </si>
  <si>
    <t>0034S-1</t>
  </si>
  <si>
    <t>0035S-1</t>
  </si>
  <si>
    <t>0036S-1</t>
  </si>
  <si>
    <t>0037S-1</t>
  </si>
  <si>
    <t>0038S-1</t>
  </si>
  <si>
    <t>0003S-3</t>
  </si>
  <si>
    <t>0003S-4</t>
  </si>
  <si>
    <t>0006S-2</t>
  </si>
  <si>
    <t>Old CRM was used to get the precition</t>
  </si>
  <si>
    <t>0002S-2</t>
  </si>
  <si>
    <t xml:space="preserve">Samples wil be repeated. the exactitud was not </t>
  </si>
  <si>
    <t>The CRM was changed for a new bottle b</t>
  </si>
  <si>
    <t>0014C-1</t>
  </si>
  <si>
    <t>0014C-2</t>
  </si>
  <si>
    <t>0014C-3</t>
  </si>
  <si>
    <t>0028C-1</t>
  </si>
  <si>
    <t>0028C-2</t>
  </si>
  <si>
    <t>0028C-3</t>
  </si>
  <si>
    <t>0027S-2</t>
  </si>
  <si>
    <t>Peak Number</t>
  </si>
  <si>
    <t>Cup Number</t>
  </si>
  <si>
    <t>Cup Type</t>
  </si>
  <si>
    <t>Cup Group</t>
  </si>
  <si>
    <t>Date Time Stamp</t>
  </si>
  <si>
    <t>Results 1</t>
  </si>
  <si>
    <t>Absorbance</t>
  </si>
  <si>
    <t>Results 3</t>
  </si>
  <si>
    <t>Results 2</t>
  </si>
  <si>
    <t>NOx_mg/L</t>
  </si>
  <si>
    <t>PO4_mg/L</t>
  </si>
  <si>
    <t>NOx_LOD</t>
  </si>
  <si>
    <t>PO4_LOD</t>
  </si>
  <si>
    <t>Primer</t>
  </si>
  <si>
    <t>PRIM</t>
  </si>
  <si>
    <t>Drift</t>
  </si>
  <si>
    <t>DRIF</t>
  </si>
  <si>
    <t>CALB</t>
  </si>
  <si>
    <t>&lt;0.001</t>
  </si>
  <si>
    <t>&lt;0.000</t>
  </si>
  <si>
    <t>Baseline</t>
  </si>
  <si>
    <t>BASL</t>
  </si>
  <si>
    <t>High</t>
  </si>
  <si>
    <t>HIGH</t>
  </si>
  <si>
    <t>Low</t>
  </si>
  <si>
    <t>LOW</t>
  </si>
  <si>
    <t>SAMP</t>
  </si>
  <si>
    <t>Blank spiked</t>
  </si>
  <si>
    <t>SPIK</t>
  </si>
  <si>
    <t>CRM 7/15 [0.15/0.03]</t>
  </si>
  <si>
    <t>QUAL</t>
  </si>
  <si>
    <t>CRM 4/30 [0.15/0.03]</t>
  </si>
  <si>
    <t>607 spiked</t>
  </si>
  <si>
    <t>217 spiked</t>
  </si>
  <si>
    <t>542 spiked</t>
  </si>
  <si>
    <t>178 spiked</t>
  </si>
  <si>
    <t>438 spiked</t>
  </si>
  <si>
    <t>End</t>
  </si>
  <si>
    <t>END</t>
  </si>
  <si>
    <t>TKN_mg/L</t>
  </si>
  <si>
    <t>TKN_LOD</t>
  </si>
  <si>
    <t>&lt;0.025</t>
  </si>
  <si>
    <t>Blank Spike</t>
  </si>
  <si>
    <t>CRM [1.5 mg/L]</t>
  </si>
  <si>
    <t>179 spiked</t>
  </si>
  <si>
    <t>36 spiked</t>
  </si>
  <si>
    <t>10 spiked</t>
  </si>
  <si>
    <t>&lt;0.038</t>
  </si>
  <si>
    <t>CRM 9/24 [1.5 mg/L]</t>
  </si>
  <si>
    <t>387 spiked</t>
  </si>
  <si>
    <t>582 spiked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</si>
</sst>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1">
    <numFmt numFmtId="164" formatCode="m&quot;/&quot;d&quot;/&quot;yy"/>
    <numFmt numFmtId="165" formatCode="h:mm:ss am/pm"/>
    <numFmt numFmtId="166" formatCode="h&quot;:&quot;mm&quot; &quot;AM/PM"/>
    <numFmt numFmtId="167" formatCode="00000"/>
    <numFmt numFmtId="168" formatCode="m/d/yy"/>
    <numFmt numFmtId="169" formatCode="#,##0.0"/>
    <numFmt numFmtId="170" formatCode="h:mm am/pm"/>
    <numFmt numFmtId="171" formatCode="0.0"/>
    <numFmt numFmtId="172" formatCode="#,##0.0000"/>
    <numFmt numFmtId="173" formatCode="00000.0"/>
    <numFmt numFmtId="174" formatCode="00000.00"/>
    <numFmt numFmtId="175" formatCode="0.0000"/>
    <numFmt numFmtId="176" formatCode="0.000"/>
    <numFmt numFmtId="177" formatCode="#,##0.000"/>
    <numFmt numFmtId="178" formatCode="m/d/yyyy h:mm"/>
    <numFmt numFmtId="179" formatCode="m/d/yyyy\ h:mm:ss"/>
    <numFmt numFmtId="180" formatCode="m/d/yy h:mm"/>
    <numFmt numFmtId="181" formatCode="m/d/yy\ h:mm"/>
    <numFmt numFmtId="182" formatCode="0.000000"/>
    <numFmt numFmtId="183" formatCode="m/d/yyyy h:mm:ss am/pm"/>
    <numFmt numFmtId="184" formatCode="m/d/yyyy"/>
  </numFmts>
  <fonts count="23">
    <font>
      <sz val="12.0"/>
      <color theme="1"/>
      <name val="Calibri"/>
      <scheme val="minor"/>
    </font>
    <font>
      <color theme="1"/>
      <name val="Calibri"/>
    </font>
    <font>
      <b/>
      <sz val="11.0"/>
      <color theme="1"/>
      <name val="Calibri"/>
    </font>
    <font>
      <sz val="11.0"/>
      <color theme="1"/>
      <name val="Calibri"/>
    </font>
    <font>
      <sz val="11.0"/>
      <color rgb="FF000000"/>
      <name val="Calibri"/>
    </font>
    <font>
      <sz val="12.0"/>
      <color theme="1"/>
      <name val="Calibri"/>
    </font>
    <font>
      <sz val="11.0"/>
      <color theme="1"/>
      <name val="Calibri"/>
      <scheme val="minor"/>
    </font>
    <font>
      <b/>
      <sz val="12.0"/>
      <color theme="1"/>
      <name val="Calibri"/>
    </font>
    <font>
      <i/>
      <sz val="12.0"/>
      <color theme="1"/>
      <name val="Calibri"/>
    </font>
    <font/>
    <font>
      <sz val="12.0"/>
      <color rgb="FF000000"/>
      <name val="Calibri"/>
    </font>
    <font>
      <color theme="1"/>
      <name val="Calibri"/>
      <scheme val="minor"/>
    </font>
    <font>
      <b/>
      <sz val="10.0"/>
      <color theme="1"/>
      <name val="Calibri"/>
    </font>
    <font>
      <b/>
      <sz val="10.0"/>
      <color rgb="FF000000"/>
      <name val="Calibri"/>
    </font>
    <font>
      <sz val="10.0"/>
      <color theme="1"/>
      <name val="Calibri"/>
    </font>
    <font>
      <sz val="10.0"/>
      <color rgb="FF000000"/>
      <name val="Calibri"/>
    </font>
    <font>
      <sz val="10.0"/>
      <color rgb="FF1F1F1F"/>
      <name val="Calibri"/>
    </font>
    <font>
      <sz val="9.0"/>
      <color rgb="FF4285F4"/>
      <name val="Calibri"/>
    </font>
    <font>
      <b/>
      <sz val="11.0"/>
      <color rgb="FF000000"/>
      <name val="Calibri"/>
    </font>
    <font>
      <sz val="9.0"/>
      <color rgb="FF1F1F1F"/>
      <name val="Arial"/>
    </font>
    <font>
      <b/>
      <sz val="12.0"/>
      <color rgb="FF000000"/>
      <name val="Calibri"/>
    </font>
    <font>
      <color theme="1"/>
      <name val="Arial"/>
    </font>
    <font>
      <sz val="11.0"/>
      <color theme="1"/>
      <name val="Aptos Narrow"/>
    </font>
  </fonts>
  <fills count="10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theme="0"/>
        <bgColor theme="0"/>
      </patternFill>
    </fill>
    <fill>
      <patternFill patternType="solid">
        <fgColor rgb="FFD9EAD3"/>
        <bgColor rgb="FFD9EAD3"/>
      </patternFill>
    </fill>
    <fill>
      <patternFill patternType="solid">
        <fgColor rgb="FFFFFF00"/>
        <bgColor rgb="FFFFFF00"/>
      </patternFill>
    </fill>
    <fill>
      <patternFill patternType="solid">
        <fgColor rgb="FFE7EB89"/>
        <bgColor rgb="FFE7EB89"/>
      </patternFill>
    </fill>
    <fill>
      <patternFill patternType="solid">
        <fgColor rgb="FFFFE599"/>
        <bgColor rgb="FFFFE599"/>
      </patternFill>
    </fill>
  </fills>
  <borders count="11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/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/>
      <right/>
      <top/>
    </border>
    <border>
      <left style="thin">
        <color rgb="FF000000"/>
      </left>
      <right style="thin">
        <color rgb="FF000000"/>
      </right>
      <top style="thin">
        <color rgb="FF000000"/>
      </top>
      <bottom/>
    </border>
  </borders>
  <cellStyleXfs count="1">
    <xf borderId="0" fillId="0" fontId="0" numFmtId="0" applyAlignment="1" applyFont="1"/>
  </cellStyleXfs>
  <cellXfs count="46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1" fillId="0" fontId="2" numFmtId="164" xfId="0" applyAlignment="1" applyBorder="1" applyFont="1" applyNumberFormat="1">
      <alignment horizontal="center" shrinkToFit="0" vertical="center" wrapText="1"/>
    </xf>
    <xf borderId="1" fillId="0" fontId="2" numFmtId="165" xfId="0" applyAlignment="1" applyBorder="1" applyFont="1" applyNumberFormat="1">
      <alignment horizontal="center" shrinkToFit="0" vertical="center" wrapText="1"/>
    </xf>
    <xf borderId="1" fillId="0" fontId="2" numFmtId="166" xfId="0" applyAlignment="1" applyBorder="1" applyFont="1" applyNumberFormat="1">
      <alignment horizontal="center" shrinkToFit="0" vertical="center" wrapText="1"/>
    </xf>
    <xf borderId="2" fillId="0" fontId="2" numFmtId="167" xfId="0" applyAlignment="1" applyBorder="1" applyFont="1" applyNumberFormat="1">
      <alignment horizontal="center" shrinkToFit="0" vertical="center" wrapText="1"/>
    </xf>
    <xf borderId="1" fillId="0" fontId="2" numFmtId="167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0" fontId="3" numFmtId="164" xfId="0" applyAlignment="1" applyBorder="1" applyFont="1" applyNumberFormat="1">
      <alignment horizontal="center" readingOrder="0" shrinkToFit="0" vertical="center" wrapText="1"/>
    </xf>
    <xf borderId="1" fillId="0" fontId="3" numFmtId="165" xfId="0" applyAlignment="1" applyBorder="1" applyFont="1" applyNumberFormat="1">
      <alignment horizontal="center" readingOrder="0" shrinkToFit="0" vertical="center" wrapText="1"/>
    </xf>
    <xf borderId="1" fillId="2" fontId="4" numFmtId="167" xfId="0" applyAlignment="1" applyBorder="1" applyFill="1" applyFont="1" applyNumberFormat="1">
      <alignment horizontal="center" vertical="center"/>
    </xf>
    <xf borderId="1" fillId="0" fontId="3" numFmtId="167" xfId="0" applyAlignment="1" applyBorder="1" applyFont="1" applyNumberFormat="1">
      <alignment horizontal="center" shrinkToFit="0" vertical="center" wrapText="1"/>
    </xf>
    <xf borderId="1" fillId="0" fontId="3" numFmtId="167" xfId="0" applyAlignment="1" applyBorder="1" applyFont="1" applyNumberFormat="1">
      <alignment shrinkToFit="0" vertical="center" wrapText="1"/>
    </xf>
    <xf borderId="0" fillId="0" fontId="5" numFmtId="167" xfId="0" applyAlignment="1" applyFont="1" applyNumberFormat="1">
      <alignment shrinkToFit="0" wrapText="1"/>
    </xf>
    <xf borderId="1" fillId="2" fontId="4" numFmtId="0" xfId="0" applyAlignment="1" applyBorder="1" applyFont="1">
      <alignment horizontal="center" vertical="center"/>
    </xf>
    <xf borderId="0" fillId="0" fontId="6" numFmtId="0" xfId="0" applyAlignment="1" applyFont="1">
      <alignment horizontal="center" readingOrder="0"/>
    </xf>
    <xf borderId="1" fillId="0" fontId="3" numFmtId="0" xfId="0" applyAlignment="1" applyBorder="1" applyFont="1">
      <alignment horizontal="center" readingOrder="0" shrinkToFit="0" vertical="center" wrapText="1"/>
    </xf>
    <xf borderId="1" fillId="0" fontId="3" numFmtId="19" xfId="0" applyAlignment="1" applyBorder="1" applyFont="1" applyNumberFormat="1">
      <alignment horizontal="center" readingOrder="0" shrinkToFit="0" vertical="center" wrapText="1"/>
    </xf>
    <xf borderId="0" fillId="0" fontId="3" numFmtId="165" xfId="0" applyAlignment="1" applyFont="1" applyNumberFormat="1">
      <alignment horizontal="center" readingOrder="0" vertical="center"/>
    </xf>
    <xf borderId="0" fillId="0" fontId="3" numFmtId="19" xfId="0" applyAlignment="1" applyFont="1" applyNumberFormat="1">
      <alignment horizontal="center" readingOrder="0" vertical="center"/>
    </xf>
    <xf borderId="1" fillId="2" fontId="4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readingOrder="0"/>
    </xf>
    <xf borderId="1" fillId="0" fontId="3" numFmtId="165" xfId="0" applyAlignment="1" applyBorder="1" applyFont="1" applyNumberFormat="1">
      <alignment horizontal="center" readingOrder="0" vertical="center"/>
    </xf>
    <xf borderId="1" fillId="2" fontId="3" numFmtId="167" xfId="0" applyAlignment="1" applyBorder="1" applyFont="1" applyNumberFormat="1">
      <alignment shrinkToFit="0" vertical="center" wrapText="1"/>
    </xf>
    <xf borderId="3" fillId="2" fontId="5" numFmtId="0" xfId="0" applyBorder="1" applyFont="1"/>
    <xf borderId="1" fillId="2" fontId="3" numFmtId="165" xfId="0" applyAlignment="1" applyBorder="1" applyFont="1" applyNumberFormat="1">
      <alignment horizontal="center" readingOrder="0" vertical="center"/>
    </xf>
    <xf borderId="0" fillId="0" fontId="4" numFmtId="0" xfId="0" applyAlignment="1" applyFont="1">
      <alignment horizontal="center" readingOrder="0"/>
    </xf>
    <xf borderId="1" fillId="0" fontId="3" numFmtId="168" xfId="0" applyAlignment="1" applyBorder="1" applyFont="1" applyNumberFormat="1">
      <alignment horizontal="center" readingOrder="0" shrinkToFit="0" vertical="center" wrapText="1"/>
    </xf>
    <xf borderId="1" fillId="0" fontId="5" numFmtId="167" xfId="0" applyAlignment="1" applyBorder="1" applyFont="1" applyNumberFormat="1">
      <alignment shrinkToFit="0" vertical="center" wrapText="1"/>
    </xf>
    <xf borderId="1" fillId="0" fontId="4" numFmtId="165" xfId="0" applyAlignment="1" applyBorder="1" applyFont="1" applyNumberFormat="1">
      <alignment horizontal="center" readingOrder="0" shrinkToFit="0" vertical="center" wrapText="1"/>
    </xf>
    <xf borderId="1" fillId="0" fontId="3" numFmtId="165" xfId="0" applyAlignment="1" applyBorder="1" applyFont="1" applyNumberFormat="1">
      <alignment horizontal="center" readingOrder="0" shrinkToFit="0" wrapText="1"/>
    </xf>
    <xf borderId="1" fillId="3" fontId="4" numFmtId="0" xfId="0" applyAlignment="1" applyBorder="1" applyFill="1" applyFont="1">
      <alignment horizontal="center" readingOrder="0"/>
    </xf>
    <xf borderId="0" fillId="0" fontId="1" numFmtId="165" xfId="0" applyAlignment="1" applyFont="1" applyNumberFormat="1">
      <alignment horizontal="center"/>
    </xf>
    <xf borderId="0" fillId="0" fontId="5" numFmtId="164" xfId="0" applyAlignment="1" applyFont="1" applyNumberFormat="1">
      <alignment horizontal="center" shrinkToFit="0" wrapText="1"/>
    </xf>
    <xf borderId="0" fillId="0" fontId="5" numFmtId="165" xfId="0" applyAlignment="1" applyFont="1" applyNumberFormat="1">
      <alignment horizontal="center" shrinkToFit="0" wrapText="1"/>
    </xf>
    <xf borderId="0" fillId="0" fontId="5" numFmtId="166" xfId="0" applyAlignment="1" applyFont="1" applyNumberFormat="1">
      <alignment horizontal="center" shrinkToFit="0" wrapText="1"/>
    </xf>
    <xf borderId="0" fillId="0" fontId="5" numFmtId="167" xfId="0" applyAlignment="1" applyFont="1" applyNumberFormat="1">
      <alignment horizontal="center" shrinkToFit="0" wrapText="1"/>
    </xf>
    <xf borderId="0" fillId="0" fontId="5" numFmtId="167" xfId="0" applyAlignment="1" applyFont="1" applyNumberFormat="1">
      <alignment shrinkToFit="0" vertical="center" wrapText="1"/>
    </xf>
    <xf borderId="0" fillId="0" fontId="5" numFmtId="164" xfId="0" applyAlignment="1" applyFont="1" applyNumberFormat="1">
      <alignment shrinkToFit="0" wrapText="1"/>
    </xf>
    <xf borderId="2" fillId="0" fontId="7" numFmtId="0" xfId="0" applyAlignment="1" applyBorder="1" applyFont="1">
      <alignment horizontal="center" shrinkToFit="0" vertical="center" wrapText="1"/>
    </xf>
    <xf borderId="2" fillId="0" fontId="7" numFmtId="164" xfId="0" applyAlignment="1" applyBorder="1" applyFont="1" applyNumberFormat="1">
      <alignment horizontal="center" shrinkToFit="0" vertical="center" wrapText="1"/>
    </xf>
    <xf borderId="2" fillId="0" fontId="7" numFmtId="165" xfId="0" applyAlignment="1" applyBorder="1" applyFont="1" applyNumberFormat="1">
      <alignment horizontal="center" shrinkToFit="0" vertical="center" wrapText="1"/>
    </xf>
    <xf borderId="2" fillId="0" fontId="7" numFmtId="19" xfId="0" applyAlignment="1" applyBorder="1" applyFont="1" applyNumberFormat="1">
      <alignment horizontal="center" shrinkToFit="0" vertical="center" wrapText="1"/>
    </xf>
    <xf borderId="2" fillId="0" fontId="7" numFmtId="4" xfId="0" applyAlignment="1" applyBorder="1" applyFont="1" applyNumberFormat="1">
      <alignment horizontal="center" shrinkToFit="0" vertical="center" wrapText="1"/>
    </xf>
    <xf borderId="2" fillId="0" fontId="7" numFmtId="167" xfId="0" applyAlignment="1" applyBorder="1" applyFont="1" applyNumberFormat="1">
      <alignment horizontal="center" shrinkToFit="0" vertical="center" wrapText="1"/>
    </xf>
    <xf borderId="2" fillId="0" fontId="7" numFmtId="2" xfId="0" applyAlignment="1" applyBorder="1" applyFont="1" applyNumberFormat="1">
      <alignment horizontal="center" shrinkToFit="0" vertical="center" wrapText="1"/>
    </xf>
    <xf borderId="1" fillId="0" fontId="7" numFmtId="167" xfId="0" applyAlignment="1" applyBorder="1" applyFont="1" applyNumberFormat="1">
      <alignment horizontal="center" shrinkToFit="0" vertical="center" wrapText="1"/>
    </xf>
    <xf borderId="1" fillId="2" fontId="8" numFmtId="0" xfId="0" applyAlignment="1" applyBorder="1" applyFont="1">
      <alignment horizontal="center" shrinkToFit="0" vertical="center" wrapText="1"/>
    </xf>
    <xf borderId="1" fillId="2" fontId="5" numFmtId="164" xfId="0" applyAlignment="1" applyBorder="1" applyFont="1" applyNumberFormat="1">
      <alignment horizontal="center" shrinkToFit="0" vertical="center" wrapText="1"/>
    </xf>
    <xf borderId="1" fillId="2" fontId="5" numFmtId="165" xfId="0" applyAlignment="1" applyBorder="1" applyFont="1" applyNumberFormat="1">
      <alignment horizontal="center" shrinkToFit="0" vertical="center" wrapText="1"/>
    </xf>
    <xf borderId="1" fillId="2" fontId="5" numFmtId="19" xfId="0" applyAlignment="1" applyBorder="1" applyFont="1" applyNumberFormat="1">
      <alignment horizontal="center" shrinkToFit="0" vertical="center" wrapText="1"/>
    </xf>
    <xf borderId="1" fillId="2" fontId="5" numFmtId="4" xfId="0" applyAlignment="1" applyBorder="1" applyFont="1" applyNumberFormat="1">
      <alignment horizontal="center" shrinkToFit="0" vertical="center" wrapText="1"/>
    </xf>
    <xf borderId="1" fillId="2" fontId="5" numFmtId="169" xfId="0" applyAlignment="1" applyBorder="1" applyFont="1" applyNumberFormat="1">
      <alignment horizontal="center" shrinkToFit="0" vertical="center" wrapText="1"/>
    </xf>
    <xf borderId="1" fillId="2" fontId="5" numFmtId="3" xfId="0" applyAlignment="1" applyBorder="1" applyFont="1" applyNumberFormat="1">
      <alignment horizontal="center" shrinkToFit="0" vertical="center" wrapText="1"/>
    </xf>
    <xf borderId="1" fillId="2" fontId="5" numFmtId="2" xfId="0" applyAlignment="1" applyBorder="1" applyFont="1" applyNumberFormat="1">
      <alignment horizontal="center" shrinkToFit="0" vertical="center" wrapText="1"/>
    </xf>
    <xf borderId="1" fillId="2" fontId="5" numFmtId="167" xfId="0" applyAlignment="1" applyBorder="1" applyFont="1" applyNumberFormat="1">
      <alignment horizontal="center" shrinkToFit="0" vertical="center" wrapText="1"/>
    </xf>
    <xf borderId="2" fillId="2" fontId="5" numFmtId="167" xfId="0" applyAlignment="1" applyBorder="1" applyFont="1" applyNumberFormat="1">
      <alignment horizontal="center" shrinkToFit="0" vertical="center" wrapText="1"/>
    </xf>
    <xf borderId="0" fillId="2" fontId="1" numFmtId="0" xfId="0" applyFont="1"/>
    <xf borderId="4" fillId="0" fontId="9" numFmtId="0" xfId="0" applyBorder="1" applyFont="1"/>
    <xf borderId="1" fillId="2" fontId="8" numFmtId="0" xfId="0" applyAlignment="1" applyBorder="1" applyFont="1">
      <alignment horizontal="left" shrinkToFit="0" vertical="center" wrapText="1"/>
    </xf>
    <xf borderId="1" fillId="2" fontId="5" numFmtId="0" xfId="0" applyAlignment="1" applyBorder="1" applyFont="1">
      <alignment horizontal="center" shrinkToFit="0" vertical="center" wrapText="1"/>
    </xf>
    <xf borderId="5" fillId="0" fontId="9" numFmtId="0" xfId="0" applyBorder="1" applyFont="1"/>
    <xf borderId="1" fillId="2" fontId="5" numFmtId="164" xfId="0" applyAlignment="1" applyBorder="1" applyFont="1" applyNumberFormat="1">
      <alignment horizontal="center" readingOrder="0" shrinkToFit="0" vertical="center" wrapText="1"/>
    </xf>
    <xf borderId="1" fillId="2" fontId="5" numFmtId="165" xfId="0" applyAlignment="1" applyBorder="1" applyFont="1" applyNumberFormat="1">
      <alignment horizontal="center" readingOrder="0" shrinkToFit="0" vertical="center" wrapText="1"/>
    </xf>
    <xf borderId="1" fillId="2" fontId="5" numFmtId="19" xfId="0" applyAlignment="1" applyBorder="1" applyFont="1" applyNumberFormat="1">
      <alignment horizontal="center" readingOrder="0" shrinkToFit="0" vertical="center" wrapText="1"/>
    </xf>
    <xf borderId="1" fillId="0" fontId="5" numFmtId="164" xfId="0" applyAlignment="1" applyBorder="1" applyFont="1" applyNumberFormat="1">
      <alignment horizontal="center" readingOrder="0" shrinkToFit="0" vertical="center" wrapText="1"/>
    </xf>
    <xf borderId="1" fillId="2" fontId="5" numFmtId="3" xfId="0" applyAlignment="1" applyBorder="1" applyFont="1" applyNumberFormat="1">
      <alignment horizontal="center" readingOrder="0" shrinkToFit="0" vertical="center" wrapText="1"/>
    </xf>
    <xf borderId="1" fillId="2" fontId="5" numFmtId="4" xfId="0" applyAlignment="1" applyBorder="1" applyFont="1" applyNumberFormat="1">
      <alignment horizontal="center" readingOrder="0" shrinkToFit="0" vertical="center" wrapText="1"/>
    </xf>
    <xf borderId="0" fillId="2" fontId="10" numFmtId="0" xfId="0" applyAlignment="1" applyFont="1">
      <alignment horizontal="center" readingOrder="0"/>
    </xf>
    <xf borderId="1" fillId="2" fontId="10" numFmtId="0" xfId="0" applyAlignment="1" applyBorder="1" applyFont="1">
      <alignment horizontal="center" readingOrder="0"/>
    </xf>
    <xf borderId="1" fillId="2" fontId="10" numFmtId="0" xfId="0" applyAlignment="1" applyBorder="1" applyFont="1">
      <alignment horizontal="center"/>
    </xf>
    <xf borderId="1" fillId="2" fontId="5" numFmtId="167" xfId="0" applyAlignment="1" applyBorder="1" applyFont="1" applyNumberFormat="1">
      <alignment horizontal="center" readingOrder="0" shrinkToFit="0" vertical="center" wrapText="1"/>
    </xf>
    <xf borderId="1" fillId="0" fontId="5" numFmtId="165" xfId="0" applyAlignment="1" applyBorder="1" applyFont="1" applyNumberFormat="1">
      <alignment horizontal="center" readingOrder="0" shrinkToFit="0" vertical="center" wrapText="1"/>
    </xf>
    <xf borderId="0" fillId="2" fontId="5" numFmtId="165" xfId="0" applyAlignment="1" applyFont="1" applyNumberFormat="1">
      <alignment readingOrder="0"/>
    </xf>
    <xf borderId="0" fillId="0" fontId="11" numFmtId="0" xfId="0" applyAlignment="1" applyFont="1">
      <alignment horizontal="center" readingOrder="0"/>
    </xf>
    <xf borderId="1" fillId="2" fontId="5" numFmtId="165" xfId="0" applyAlignment="1" applyBorder="1" applyFont="1" applyNumberFormat="1">
      <alignment readingOrder="0"/>
    </xf>
    <xf borderId="1" fillId="0" fontId="11" numFmtId="0" xfId="0" applyAlignment="1" applyBorder="1" applyFont="1">
      <alignment horizontal="center" readingOrder="0"/>
    </xf>
    <xf borderId="6" fillId="2" fontId="5" numFmtId="19" xfId="0" applyAlignment="1" applyBorder="1" applyFont="1" applyNumberFormat="1">
      <alignment horizontal="center" readingOrder="0" shrinkToFit="0" wrapText="1"/>
    </xf>
    <xf borderId="0" fillId="0" fontId="1" numFmtId="165" xfId="0" applyAlignment="1" applyFont="1" applyNumberFormat="1">
      <alignment horizontal="center" readingOrder="0"/>
    </xf>
    <xf borderId="1" fillId="0" fontId="5" numFmtId="165" xfId="0" applyAlignment="1" applyBorder="1" applyFont="1" applyNumberFormat="1">
      <alignment horizontal="center" readingOrder="0"/>
    </xf>
    <xf borderId="7" fillId="2" fontId="5" numFmtId="0" xfId="0" applyBorder="1" applyFont="1"/>
    <xf borderId="1" fillId="2" fontId="5" numFmtId="165" xfId="0" applyAlignment="1" applyBorder="1" applyFont="1" applyNumberFormat="1">
      <alignment horizontal="center" readingOrder="0" shrinkToFit="0" wrapText="1"/>
    </xf>
    <xf borderId="1" fillId="2" fontId="5" numFmtId="19" xfId="0" applyAlignment="1" applyBorder="1" applyFont="1" applyNumberFormat="1">
      <alignment horizontal="center" readingOrder="0"/>
    </xf>
    <xf borderId="0" fillId="2" fontId="5" numFmtId="0" xfId="0" applyFont="1"/>
    <xf borderId="0" fillId="0" fontId="5" numFmtId="0" xfId="0" applyFont="1"/>
    <xf borderId="1" fillId="2" fontId="5" numFmtId="167" xfId="0" applyAlignment="1" applyBorder="1" applyFont="1" applyNumberFormat="1">
      <alignment horizontal="left" shrinkToFit="0" vertical="center" wrapText="1"/>
    </xf>
    <xf borderId="1" fillId="2" fontId="5" numFmtId="164" xfId="0" applyAlignment="1" applyBorder="1" applyFont="1" applyNumberFormat="1">
      <alignment horizontal="center" readingOrder="0" shrinkToFit="0" wrapText="1"/>
    </xf>
    <xf borderId="1" fillId="2" fontId="5" numFmtId="167" xfId="0" applyAlignment="1" applyBorder="1" applyFont="1" applyNumberFormat="1">
      <alignment horizontal="left" readingOrder="0" shrinkToFit="0" vertical="center" wrapText="1"/>
    </xf>
    <xf borderId="1" fillId="2" fontId="10" numFmtId="165" xfId="0" applyAlignment="1" applyBorder="1" applyFont="1" applyNumberFormat="1">
      <alignment horizontal="center" readingOrder="0"/>
    </xf>
    <xf borderId="1" fillId="2" fontId="10" numFmtId="165" xfId="0" applyAlignment="1" applyBorder="1" applyFont="1" applyNumberFormat="1">
      <alignment horizontal="center" readingOrder="0" vertical="center"/>
    </xf>
    <xf borderId="0" fillId="0" fontId="5" numFmtId="0" xfId="0" applyAlignment="1" applyFont="1">
      <alignment horizontal="center" vertical="center"/>
    </xf>
    <xf borderId="0" fillId="0" fontId="5" numFmtId="164" xfId="0" applyAlignment="1" applyFont="1" applyNumberFormat="1">
      <alignment horizontal="center" shrinkToFit="0" vertical="center" wrapText="1"/>
    </xf>
    <xf borderId="0" fillId="0" fontId="5" numFmtId="165" xfId="0" applyAlignment="1" applyFont="1" applyNumberFormat="1">
      <alignment horizontal="center" shrinkToFit="0" vertical="center" wrapText="1"/>
    </xf>
    <xf borderId="0" fillId="0" fontId="5" numFmtId="19" xfId="0" applyAlignment="1" applyFont="1" applyNumberFormat="1">
      <alignment horizontal="center" shrinkToFit="0" vertical="center" wrapText="1"/>
    </xf>
    <xf borderId="0" fillId="0" fontId="5" numFmtId="4" xfId="0" applyAlignment="1" applyFont="1" applyNumberFormat="1">
      <alignment horizontal="center" shrinkToFit="0" vertical="center" wrapText="1"/>
    </xf>
    <xf borderId="0" fillId="0" fontId="5" numFmtId="167" xfId="0" applyAlignment="1" applyFont="1" applyNumberFormat="1">
      <alignment horizontal="center" shrinkToFit="0" vertical="center" wrapText="1"/>
    </xf>
    <xf borderId="0" fillId="0" fontId="5" numFmtId="2" xfId="0" applyAlignment="1" applyFont="1" applyNumberFormat="1">
      <alignment horizontal="center" shrinkToFit="0" vertical="center" wrapText="1"/>
    </xf>
    <xf borderId="1" fillId="0" fontId="12" numFmtId="0" xfId="0" applyAlignment="1" applyBorder="1" applyFont="1">
      <alignment horizontal="center" shrinkToFit="0" vertical="center" wrapText="1"/>
    </xf>
    <xf borderId="1" fillId="0" fontId="12" numFmtId="164" xfId="0" applyAlignment="1" applyBorder="1" applyFont="1" applyNumberFormat="1">
      <alignment horizontal="center" shrinkToFit="0" vertical="center" wrapText="1"/>
    </xf>
    <xf borderId="1" fillId="0" fontId="12" numFmtId="165" xfId="0" applyAlignment="1" applyBorder="1" applyFont="1" applyNumberFormat="1">
      <alignment horizontal="center" shrinkToFit="0" vertical="center" wrapText="1"/>
    </xf>
    <xf borderId="1" fillId="0" fontId="12" numFmtId="4" xfId="0" applyAlignment="1" applyBorder="1" applyFont="1" applyNumberFormat="1">
      <alignment horizontal="center" shrinkToFit="0" vertical="center" wrapText="1"/>
    </xf>
    <xf borderId="8" fillId="0" fontId="12" numFmtId="4" xfId="0" applyAlignment="1" applyBorder="1" applyFont="1" applyNumberFormat="1">
      <alignment horizontal="center" shrinkToFit="0" vertical="center" wrapText="1"/>
    </xf>
    <xf borderId="0" fillId="0" fontId="13" numFmtId="4" xfId="0" applyAlignment="1" applyFont="1" applyNumberFormat="1">
      <alignment horizontal="center" shrinkToFit="0" vertical="center" wrapText="1"/>
    </xf>
    <xf borderId="6" fillId="0" fontId="13" numFmtId="4" xfId="0" applyAlignment="1" applyBorder="1" applyFont="1" applyNumberFormat="1">
      <alignment horizontal="center" shrinkToFit="0" vertical="center" wrapText="1"/>
    </xf>
    <xf borderId="1" fillId="0" fontId="13" numFmtId="4" xfId="0" applyAlignment="1" applyBorder="1" applyFont="1" applyNumberFormat="1">
      <alignment horizontal="center" shrinkToFit="0" vertical="center" wrapText="1"/>
    </xf>
    <xf borderId="8" fillId="0" fontId="13" numFmtId="0" xfId="0" applyAlignment="1" applyBorder="1" applyFont="1">
      <alignment horizontal="center" shrinkToFit="0" vertical="center" wrapText="1"/>
    </xf>
    <xf borderId="1" fillId="0" fontId="13" numFmtId="0" xfId="0" applyAlignment="1" applyBorder="1" applyFont="1">
      <alignment horizontal="left" shrinkToFit="0" vertical="center" wrapText="1"/>
    </xf>
    <xf borderId="0" fillId="0" fontId="14" numFmtId="167" xfId="0" applyAlignment="1" applyFont="1" applyNumberFormat="1">
      <alignment shrinkToFit="0" vertical="center" wrapText="1"/>
    </xf>
    <xf borderId="1" fillId="0" fontId="14" numFmtId="0" xfId="0" applyAlignment="1" applyBorder="1" applyFont="1">
      <alignment horizontal="center" vertical="center"/>
    </xf>
    <xf borderId="1" fillId="0" fontId="14" numFmtId="0" xfId="0" applyAlignment="1" applyBorder="1" applyFont="1">
      <alignment horizontal="center" shrinkToFit="0" vertical="center" wrapText="1"/>
    </xf>
    <xf borderId="1" fillId="0" fontId="14" numFmtId="165" xfId="0" applyAlignment="1" applyBorder="1" applyFont="1" applyNumberFormat="1">
      <alignment horizontal="center" shrinkToFit="0" vertical="center" wrapText="1"/>
    </xf>
    <xf borderId="1" fillId="0" fontId="14" numFmtId="164" xfId="0" applyAlignment="1" applyBorder="1" applyFont="1" applyNumberFormat="1">
      <alignment horizontal="center" readingOrder="0" shrinkToFit="0" vertical="center" wrapText="1"/>
    </xf>
    <xf borderId="1" fillId="0" fontId="14" numFmtId="165" xfId="0" applyAlignment="1" applyBorder="1" applyFont="1" applyNumberFormat="1">
      <alignment horizontal="center" readingOrder="0" shrinkToFit="0" vertical="center" wrapText="1"/>
    </xf>
    <xf borderId="1" fillId="0" fontId="14" numFmtId="4" xfId="0" applyAlignment="1" applyBorder="1" applyFont="1" applyNumberFormat="1">
      <alignment horizontal="center" readingOrder="0" shrinkToFit="0" vertical="center" wrapText="1"/>
    </xf>
    <xf borderId="8" fillId="0" fontId="14" numFmtId="4" xfId="0" applyAlignment="1" applyBorder="1" applyFont="1" applyNumberFormat="1">
      <alignment horizontal="center" readingOrder="0" shrinkToFit="0" vertical="center" wrapText="1"/>
    </xf>
    <xf borderId="1" fillId="0" fontId="15" numFmtId="4" xfId="0" applyAlignment="1" applyBorder="1" applyFont="1" applyNumberFormat="1">
      <alignment horizontal="center" readingOrder="0" shrinkToFit="0" vertical="center" wrapText="1"/>
    </xf>
    <xf borderId="1" fillId="0" fontId="14" numFmtId="19" xfId="0" applyAlignment="1" applyBorder="1" applyFont="1" applyNumberFormat="1">
      <alignment horizontal="center" shrinkToFit="0" vertical="center" wrapText="1"/>
    </xf>
    <xf borderId="8" fillId="0" fontId="14" numFmtId="167" xfId="0" applyAlignment="1" applyBorder="1" applyFont="1" applyNumberFormat="1">
      <alignment horizontal="center" readingOrder="0" shrinkToFit="0" vertical="center" wrapText="1"/>
    </xf>
    <xf borderId="2" fillId="0" fontId="14" numFmtId="167" xfId="0" applyAlignment="1" applyBorder="1" applyFont="1" applyNumberFormat="1">
      <alignment horizontal="left" readingOrder="0" shrinkToFit="0" vertical="center" wrapText="1"/>
    </xf>
    <xf borderId="1" fillId="4" fontId="14" numFmtId="0" xfId="0" applyAlignment="1" applyBorder="1" applyFill="1" applyFont="1">
      <alignment horizontal="center" vertical="center"/>
    </xf>
    <xf borderId="1" fillId="4" fontId="14" numFmtId="164" xfId="0" applyAlignment="1" applyBorder="1" applyFont="1" applyNumberFormat="1">
      <alignment horizontal="center" readingOrder="0" shrinkToFit="0" vertical="center" wrapText="1"/>
    </xf>
    <xf borderId="1" fillId="4" fontId="14" numFmtId="165" xfId="0" applyAlignment="1" applyBorder="1" applyFont="1" applyNumberFormat="1">
      <alignment horizontal="center" shrinkToFit="0" vertical="center" wrapText="1"/>
    </xf>
    <xf borderId="1" fillId="4" fontId="14" numFmtId="165" xfId="0" applyAlignment="1" applyBorder="1" applyFont="1" applyNumberFormat="1">
      <alignment horizontal="center" readingOrder="0" shrinkToFit="0" vertical="center" wrapText="1"/>
    </xf>
    <xf borderId="1" fillId="4" fontId="14" numFmtId="4" xfId="0" applyAlignment="1" applyBorder="1" applyFont="1" applyNumberFormat="1">
      <alignment horizontal="center" readingOrder="0" shrinkToFit="0" vertical="center" wrapText="1"/>
    </xf>
    <xf borderId="8" fillId="4" fontId="14" numFmtId="4" xfId="0" applyAlignment="1" applyBorder="1" applyFont="1" applyNumberFormat="1">
      <alignment horizontal="center" readingOrder="0" shrinkToFit="0" vertical="center" wrapText="1"/>
    </xf>
    <xf borderId="1" fillId="4" fontId="15" numFmtId="4" xfId="0" applyAlignment="1" applyBorder="1" applyFont="1" applyNumberFormat="1">
      <alignment horizontal="center" readingOrder="0" vertical="center"/>
    </xf>
    <xf borderId="6" fillId="4" fontId="15" numFmtId="4" xfId="0" applyAlignment="1" applyBorder="1" applyFont="1" applyNumberFormat="1">
      <alignment horizontal="center" vertical="center"/>
    </xf>
    <xf borderId="1" fillId="2" fontId="14" numFmtId="164" xfId="0" applyAlignment="1" applyBorder="1" applyFont="1" applyNumberFormat="1">
      <alignment horizontal="center" readingOrder="0" shrinkToFit="0" vertical="center" wrapText="1"/>
    </xf>
    <xf borderId="1" fillId="0" fontId="15" numFmtId="4" xfId="0" applyAlignment="1" applyBorder="1" applyFont="1" applyNumberFormat="1">
      <alignment horizontal="center" readingOrder="0" vertical="center"/>
    </xf>
    <xf borderId="6" fillId="2" fontId="15" numFmtId="4" xfId="0" applyAlignment="1" applyBorder="1" applyFont="1" applyNumberFormat="1">
      <alignment horizontal="center" vertical="center"/>
    </xf>
    <xf borderId="1" fillId="0" fontId="14" numFmtId="0" xfId="0" applyAlignment="1" applyBorder="1" applyFont="1">
      <alignment horizontal="center" readingOrder="0" vertical="center"/>
    </xf>
    <xf borderId="1" fillId="0" fontId="14" numFmtId="4" xfId="0" applyAlignment="1" applyBorder="1" applyFont="1" applyNumberFormat="1">
      <alignment horizontal="center" readingOrder="0" vertical="center"/>
    </xf>
    <xf borderId="1" fillId="0" fontId="14" numFmtId="167" xfId="0" applyAlignment="1" applyBorder="1" applyFont="1" applyNumberFormat="1">
      <alignment horizontal="left" readingOrder="0" shrinkToFit="0" vertical="center" wrapText="1"/>
    </xf>
    <xf borderId="0" fillId="0" fontId="14" numFmtId="165" xfId="0" applyAlignment="1" applyFont="1" applyNumberFormat="1">
      <alignment horizontal="center" readingOrder="0" vertical="center"/>
    </xf>
    <xf borderId="1" fillId="0" fontId="14" numFmtId="165" xfId="0" applyAlignment="1" applyBorder="1" applyFont="1" applyNumberFormat="1">
      <alignment horizontal="center" vertical="center"/>
    </xf>
    <xf borderId="1" fillId="4" fontId="14" numFmtId="0" xfId="0" applyAlignment="1" applyBorder="1" applyFont="1">
      <alignment horizontal="center" readingOrder="0" vertical="center"/>
    </xf>
    <xf borderId="1" fillId="4" fontId="14" numFmtId="19" xfId="0" applyAlignment="1" applyBorder="1" applyFont="1" applyNumberFormat="1">
      <alignment horizontal="center" readingOrder="0" shrinkToFit="0" vertical="center" wrapText="1"/>
    </xf>
    <xf borderId="1" fillId="4" fontId="14" numFmtId="0" xfId="0" applyAlignment="1" applyBorder="1" applyFont="1">
      <alignment horizontal="center" readingOrder="0" shrinkToFit="0" vertical="center" wrapText="1"/>
    </xf>
    <xf borderId="1" fillId="0" fontId="14" numFmtId="165" xfId="0" applyAlignment="1" applyBorder="1" applyFont="1" applyNumberFormat="1">
      <alignment horizontal="center" readingOrder="0" vertical="center"/>
    </xf>
    <xf borderId="1" fillId="0" fontId="14" numFmtId="19" xfId="0" applyAlignment="1" applyBorder="1" applyFont="1" applyNumberFormat="1">
      <alignment horizontal="center" readingOrder="0" shrinkToFit="0" vertical="center" wrapText="1"/>
    </xf>
    <xf borderId="1" fillId="0" fontId="14" numFmtId="0" xfId="0" applyAlignment="1" applyBorder="1" applyFont="1">
      <alignment horizontal="center" readingOrder="0" shrinkToFit="0" vertical="center" wrapText="1"/>
    </xf>
    <xf borderId="1" fillId="0" fontId="14" numFmtId="168" xfId="0" applyAlignment="1" applyBorder="1" applyFont="1" applyNumberFormat="1">
      <alignment horizontal="center" readingOrder="0" shrinkToFit="0" vertical="center" wrapText="1"/>
    </xf>
    <xf borderId="1" fillId="4" fontId="14" numFmtId="168" xfId="0" applyAlignment="1" applyBorder="1" applyFont="1" applyNumberFormat="1">
      <alignment horizontal="center" readingOrder="0" shrinkToFit="0" vertical="center" wrapText="1"/>
    </xf>
    <xf borderId="1" fillId="2" fontId="14" numFmtId="165" xfId="0" applyAlignment="1" applyBorder="1" applyFont="1" applyNumberFormat="1">
      <alignment horizontal="center" readingOrder="0" shrinkToFit="0" vertical="center" wrapText="1"/>
    </xf>
    <xf borderId="1" fillId="2" fontId="14" numFmtId="4" xfId="0" applyAlignment="1" applyBorder="1" applyFont="1" applyNumberFormat="1">
      <alignment horizontal="center" readingOrder="0" shrinkToFit="0" vertical="center" wrapText="1"/>
    </xf>
    <xf borderId="8" fillId="2" fontId="14" numFmtId="4" xfId="0" applyAlignment="1" applyBorder="1" applyFont="1" applyNumberFormat="1">
      <alignment horizontal="center" readingOrder="0" shrinkToFit="0" vertical="center" wrapText="1"/>
    </xf>
    <xf borderId="1" fillId="2" fontId="15" numFmtId="4" xfId="0" applyAlignment="1" applyBorder="1" applyFont="1" applyNumberFormat="1">
      <alignment horizontal="center" readingOrder="0" vertical="center"/>
    </xf>
    <xf borderId="1" fillId="2" fontId="14" numFmtId="0" xfId="0" applyAlignment="1" applyBorder="1" applyFont="1">
      <alignment horizontal="center" readingOrder="0" vertical="center"/>
    </xf>
    <xf borderId="0" fillId="2" fontId="11" numFmtId="0" xfId="0" applyFont="1"/>
    <xf borderId="1" fillId="2" fontId="15" numFmtId="4" xfId="0" applyAlignment="1" applyBorder="1" applyFont="1" applyNumberFormat="1">
      <alignment horizontal="center" readingOrder="0" shrinkToFit="0" vertical="center" wrapText="1"/>
    </xf>
    <xf borderId="1" fillId="4" fontId="14" numFmtId="165" xfId="0" applyAlignment="1" applyBorder="1" applyFont="1" applyNumberFormat="1">
      <alignment horizontal="center" readingOrder="0" vertical="center"/>
    </xf>
    <xf borderId="1" fillId="0" fontId="14" numFmtId="170" xfId="0" applyAlignment="1" applyBorder="1" applyFont="1" applyNumberFormat="1">
      <alignment horizontal="center" readingOrder="0" shrinkToFit="0" vertical="center" wrapText="1"/>
    </xf>
    <xf borderId="2" fillId="2" fontId="14" numFmtId="167" xfId="0" applyAlignment="1" applyBorder="1" applyFont="1" applyNumberFormat="1">
      <alignment horizontal="left" readingOrder="0" shrinkToFit="0" vertical="center" wrapText="1"/>
    </xf>
    <xf borderId="9" fillId="2" fontId="5" numFmtId="0" xfId="0" applyBorder="1" applyFont="1"/>
    <xf borderId="6" fillId="2" fontId="1" numFmtId="4" xfId="0" applyAlignment="1" applyBorder="1" applyFont="1" applyNumberFormat="1">
      <alignment horizontal="center"/>
    </xf>
    <xf borderId="0" fillId="0" fontId="14" numFmtId="0" xfId="0" applyAlignment="1" applyFont="1">
      <alignment horizontal="center"/>
    </xf>
    <xf borderId="0" fillId="2" fontId="14" numFmtId="0" xfId="0" applyAlignment="1" applyFont="1">
      <alignment horizontal="center"/>
    </xf>
    <xf borderId="1" fillId="0" fontId="14" numFmtId="168" xfId="0" applyAlignment="1" applyBorder="1" applyFont="1" applyNumberFormat="1">
      <alignment horizontal="center" readingOrder="0" vertical="center"/>
    </xf>
    <xf borderId="1" fillId="0" fontId="14" numFmtId="19" xfId="0" applyAlignment="1" applyBorder="1" applyFont="1" applyNumberFormat="1">
      <alignment horizontal="center" readingOrder="0" vertical="center"/>
    </xf>
    <xf borderId="1" fillId="2" fontId="15" numFmtId="4" xfId="0" applyAlignment="1" applyBorder="1" applyFont="1" applyNumberFormat="1">
      <alignment horizontal="center" vertical="center"/>
    </xf>
    <xf borderId="1" fillId="0" fontId="14" numFmtId="167" xfId="0" applyAlignment="1" applyBorder="1" applyFont="1" applyNumberFormat="1">
      <alignment horizontal="center" readingOrder="0" shrinkToFit="0" vertical="center" wrapText="1"/>
    </xf>
    <xf borderId="1" fillId="2" fontId="14" numFmtId="167" xfId="0" applyAlignment="1" applyBorder="1" applyFont="1" applyNumberFormat="1">
      <alignment horizontal="left" readingOrder="0" shrinkToFit="0" vertical="center" wrapText="1"/>
    </xf>
    <xf borderId="0" fillId="0" fontId="14" numFmtId="0" xfId="0" applyAlignment="1" applyFont="1">
      <alignment horizontal="center" vertical="center"/>
    </xf>
    <xf borderId="0" fillId="0" fontId="14" numFmtId="4" xfId="0" applyAlignment="1" applyFont="1" applyNumberFormat="1">
      <alignment horizontal="center" shrinkToFit="0" vertical="center" wrapText="1"/>
    </xf>
    <xf borderId="0" fillId="0" fontId="14" numFmtId="165" xfId="0" applyAlignment="1" applyFont="1" applyNumberFormat="1">
      <alignment horizontal="center" shrinkToFit="0" vertical="center" wrapText="1"/>
    </xf>
    <xf borderId="0" fillId="0" fontId="15" numFmtId="4" xfId="0" applyAlignment="1" applyFont="1" applyNumberFormat="1">
      <alignment horizontal="center" shrinkToFit="0" vertical="center" wrapText="1"/>
    </xf>
    <xf borderId="0" fillId="0" fontId="14" numFmtId="167" xfId="0" applyAlignment="1" applyFont="1" applyNumberFormat="1">
      <alignment horizontal="center" readingOrder="0" shrinkToFit="0" vertical="center" wrapText="1"/>
    </xf>
    <xf borderId="0" fillId="0" fontId="14" numFmtId="0" xfId="0" applyAlignment="1" applyFont="1">
      <alignment horizontal="left" shrinkToFit="0" vertical="center" wrapText="1"/>
    </xf>
    <xf borderId="0" fillId="0" fontId="14" numFmtId="0" xfId="0" applyAlignment="1" applyFont="1">
      <alignment vertical="center"/>
    </xf>
    <xf borderId="0" fillId="0" fontId="14" numFmtId="167" xfId="0" applyAlignment="1" applyFont="1" applyNumberFormat="1">
      <alignment horizontal="center" shrinkToFit="0" vertical="center" wrapText="1"/>
    </xf>
    <xf borderId="0" fillId="2" fontId="16" numFmtId="0" xfId="0" applyAlignment="1" applyFont="1">
      <alignment vertical="center"/>
    </xf>
    <xf borderId="0" fillId="0" fontId="14" numFmtId="0" xfId="0" applyAlignment="1" applyFont="1">
      <alignment horizontal="center" shrinkToFit="0" vertical="center" wrapText="1"/>
    </xf>
    <xf borderId="0" fillId="2" fontId="16" numFmtId="0" xfId="0" applyAlignment="1" applyFont="1">
      <alignment horizontal="left" shrinkToFit="0" vertical="center" wrapText="1"/>
    </xf>
    <xf borderId="0" fillId="0" fontId="13" numFmtId="0" xfId="0" applyAlignment="1" applyFont="1">
      <alignment horizontal="left" shrinkToFit="0" vertical="center" wrapText="1"/>
    </xf>
    <xf borderId="0" fillId="0" fontId="14" numFmtId="164" xfId="0" applyAlignment="1" applyFont="1" applyNumberFormat="1">
      <alignment horizontal="center" shrinkToFit="0" vertical="center" wrapText="1"/>
    </xf>
    <xf borderId="3" fillId="2" fontId="14" numFmtId="165" xfId="0" applyAlignment="1" applyBorder="1" applyFont="1" applyNumberFormat="1">
      <alignment horizontal="center" shrinkToFit="0" vertical="center" wrapText="1"/>
    </xf>
    <xf borderId="3" fillId="2" fontId="14" numFmtId="164" xfId="0" applyAlignment="1" applyBorder="1" applyFont="1" applyNumberFormat="1">
      <alignment horizontal="center" shrinkToFit="0" vertical="center" wrapText="1"/>
    </xf>
    <xf borderId="3" fillId="2" fontId="14" numFmtId="4" xfId="0" applyAlignment="1" applyBorder="1" applyFont="1" applyNumberFormat="1">
      <alignment horizontal="center" shrinkToFit="0" vertical="center" wrapText="1"/>
    </xf>
    <xf borderId="0" fillId="2" fontId="14" numFmtId="165" xfId="0" applyAlignment="1" applyFont="1" applyNumberFormat="1">
      <alignment horizontal="center" shrinkToFit="0" vertical="center" wrapText="1"/>
    </xf>
    <xf borderId="0" fillId="2" fontId="14" numFmtId="164" xfId="0" applyAlignment="1" applyFont="1" applyNumberFormat="1">
      <alignment horizontal="center" shrinkToFit="0" vertical="center" wrapText="1"/>
    </xf>
    <xf borderId="0" fillId="2" fontId="14" numFmtId="4" xfId="0" applyAlignment="1" applyFont="1" applyNumberFormat="1">
      <alignment horizontal="center" shrinkToFit="0" vertical="center" wrapText="1"/>
    </xf>
    <xf borderId="10" fillId="2" fontId="2" numFmtId="0" xfId="0" applyAlignment="1" applyBorder="1" applyFont="1">
      <alignment horizontal="center" shrinkToFit="0" vertical="center" wrapText="1"/>
    </xf>
    <xf borderId="2" fillId="2" fontId="2" numFmtId="4" xfId="0" applyAlignment="1" applyBorder="1" applyFont="1" applyNumberFormat="1">
      <alignment horizontal="center" shrinkToFit="0" vertical="center" wrapText="1"/>
    </xf>
    <xf borderId="2" fillId="0" fontId="2" numFmtId="164" xfId="0" applyAlignment="1" applyBorder="1" applyFont="1" applyNumberFormat="1">
      <alignment horizontal="center" shrinkToFit="0" vertical="center" wrapText="1"/>
    </xf>
    <xf borderId="2" fillId="0" fontId="2" numFmtId="19" xfId="0" applyAlignment="1" applyBorder="1" applyFont="1" applyNumberFormat="1">
      <alignment horizontal="center" shrinkToFit="0" vertical="center" wrapText="1"/>
    </xf>
    <xf borderId="2" fillId="0" fontId="2" numFmtId="165" xfId="0" applyAlignment="1" applyBorder="1" applyFont="1" applyNumberFormat="1">
      <alignment horizontal="center" shrinkToFit="0" vertical="center" wrapText="1"/>
    </xf>
    <xf borderId="2" fillId="0" fontId="2" numFmtId="4" xfId="0" applyAlignment="1" applyBorder="1" applyFont="1" applyNumberFormat="1">
      <alignment horizontal="center" shrinkToFit="0" vertical="center" wrapText="1"/>
    </xf>
    <xf borderId="2" fillId="0" fontId="2" numFmtId="171" xfId="0" applyAlignment="1" applyBorder="1" applyFont="1" applyNumberFormat="1">
      <alignment horizontal="center" shrinkToFit="0" vertical="center" wrapText="1"/>
    </xf>
    <xf borderId="2" fillId="0" fontId="2" numFmtId="172" xfId="0" applyAlignment="1" applyBorder="1" applyFont="1" applyNumberFormat="1">
      <alignment horizontal="center" shrinkToFit="0" vertical="center" wrapText="1"/>
    </xf>
    <xf borderId="1" fillId="0" fontId="2" numFmtId="172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shrinkToFit="0" vertical="center" wrapText="1"/>
    </xf>
    <xf borderId="0" fillId="0" fontId="5" numFmtId="0" xfId="0" applyAlignment="1" applyFont="1">
      <alignment shrinkToFit="0" vertical="center" wrapText="1"/>
    </xf>
    <xf borderId="1" fillId="5" fontId="3" numFmtId="0" xfId="0" applyAlignment="1" applyBorder="1" applyFill="1" applyFont="1">
      <alignment horizontal="center" shrinkToFit="0" vertical="center" wrapText="1"/>
    </xf>
    <xf borderId="1" fillId="0" fontId="3" numFmtId="4" xfId="0" applyAlignment="1" applyBorder="1" applyFont="1" applyNumberFormat="1">
      <alignment horizontal="center" shrinkToFit="0" vertical="center" wrapText="1"/>
    </xf>
    <xf borderId="1" fillId="0" fontId="3" numFmtId="19" xfId="0" applyAlignment="1" applyBorder="1" applyFont="1" applyNumberFormat="1">
      <alignment horizontal="center" shrinkToFit="0" vertical="center" wrapText="1"/>
    </xf>
    <xf borderId="1" fillId="0" fontId="3" numFmtId="4" xfId="0" applyAlignment="1" applyBorder="1" applyFont="1" applyNumberFormat="1">
      <alignment horizontal="center" readingOrder="0" shrinkToFit="0" vertical="center" wrapText="1"/>
    </xf>
    <xf borderId="1" fillId="0" fontId="3" numFmtId="171" xfId="0" applyAlignment="1" applyBorder="1" applyFont="1" applyNumberFormat="1">
      <alignment horizontal="center" shrinkToFit="0" vertical="center" wrapText="1"/>
    </xf>
    <xf borderId="1" fillId="0" fontId="3" numFmtId="167" xfId="0" applyAlignment="1" applyBorder="1" applyFont="1" applyNumberFormat="1">
      <alignment horizontal="center" readingOrder="0" shrinkToFit="0" vertical="center" wrapText="1"/>
    </xf>
    <xf borderId="1" fillId="2" fontId="4" numFmtId="4" xfId="0" applyAlignment="1" applyBorder="1" applyFont="1" applyNumberFormat="1">
      <alignment horizontal="center" vertical="center"/>
    </xf>
    <xf borderId="1" fillId="0" fontId="3" numFmtId="172" xfId="0" applyAlignment="1" applyBorder="1" applyFont="1" applyNumberFormat="1">
      <alignment horizontal="center" readingOrder="0" shrinkToFit="0" vertical="center" wrapText="1"/>
    </xf>
    <xf borderId="1" fillId="0" fontId="3" numFmtId="172" xfId="0" applyAlignment="1" applyBorder="1" applyFont="1" applyNumberFormat="1">
      <alignment horizontal="center" shrinkToFit="0" vertical="center" wrapText="1"/>
    </xf>
    <xf borderId="0" fillId="0" fontId="5" numFmtId="4" xfId="0" applyAlignment="1" applyFont="1" applyNumberFormat="1">
      <alignment shrinkToFit="0" vertical="center" wrapText="1"/>
    </xf>
    <xf borderId="0" fillId="0" fontId="17" numFmtId="0" xfId="0" applyAlignment="1" applyFont="1">
      <alignment vertical="center"/>
    </xf>
    <xf borderId="0" fillId="0" fontId="5" numFmtId="173" xfId="0" applyAlignment="1" applyFont="1" applyNumberFormat="1">
      <alignment shrinkToFit="0" vertical="center" wrapText="1"/>
    </xf>
    <xf borderId="1" fillId="2" fontId="3" numFmtId="0" xfId="0" applyAlignment="1" applyBorder="1" applyFont="1">
      <alignment horizontal="center" shrinkToFit="0" vertical="center" wrapText="1"/>
    </xf>
    <xf borderId="1" fillId="0" fontId="3" numFmtId="164" xfId="0" applyAlignment="1" applyBorder="1" applyFont="1" applyNumberFormat="1">
      <alignment horizontal="center" shrinkToFit="0" vertical="center" wrapText="1"/>
    </xf>
    <xf borderId="0" fillId="0" fontId="5" numFmtId="174" xfId="0" applyAlignment="1" applyFont="1" applyNumberFormat="1">
      <alignment shrinkToFit="0" vertical="center" wrapText="1"/>
    </xf>
    <xf borderId="1" fillId="0" fontId="3" numFmtId="0" xfId="0" applyAlignment="1" applyBorder="1" applyFont="1">
      <alignment vertical="center"/>
    </xf>
    <xf borderId="0" fillId="0" fontId="5" numFmtId="0" xfId="0" applyAlignment="1" applyFont="1">
      <alignment vertical="center"/>
    </xf>
    <xf borderId="1" fillId="2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/>
    </xf>
    <xf borderId="1" fillId="0" fontId="3" numFmtId="0" xfId="0" applyAlignment="1" applyBorder="1" applyFont="1">
      <alignment horizontal="center" readingOrder="0"/>
    </xf>
    <xf borderId="1" fillId="0" fontId="3" numFmtId="172" xfId="0" applyAlignment="1" applyBorder="1" applyFont="1" applyNumberFormat="1">
      <alignment horizontal="left" readingOrder="0" shrinkToFit="0" vertical="center" wrapText="1"/>
    </xf>
    <xf borderId="0" fillId="0" fontId="3" numFmtId="167" xfId="0" applyAlignment="1" applyFont="1" applyNumberFormat="1">
      <alignment horizontal="center" readingOrder="0"/>
    </xf>
    <xf borderId="0" fillId="0" fontId="3" numFmtId="175" xfId="0" applyAlignment="1" applyFont="1" applyNumberFormat="1">
      <alignment horizontal="center" readingOrder="0"/>
    </xf>
    <xf borderId="1" fillId="0" fontId="3" numFmtId="19" xfId="0" applyAlignment="1" applyBorder="1" applyFont="1" applyNumberFormat="1">
      <alignment horizontal="center" readingOrder="0" vertical="center"/>
    </xf>
    <xf borderId="1" fillId="5" fontId="3" numFmtId="4" xfId="0" applyAlignment="1" applyBorder="1" applyFont="1" applyNumberFormat="1">
      <alignment horizontal="center" readingOrder="0" shrinkToFit="0" vertical="center" wrapText="1"/>
    </xf>
    <xf borderId="0" fillId="0" fontId="3" numFmtId="0" xfId="0" applyAlignment="1" applyFont="1">
      <alignment horizontal="center"/>
    </xf>
    <xf borderId="1" fillId="5" fontId="3" numFmtId="0" xfId="0" applyAlignment="1" applyBorder="1" applyFont="1">
      <alignment vertical="center"/>
    </xf>
    <xf borderId="3" fillId="5" fontId="5" numFmtId="0" xfId="0" applyAlignment="1" applyBorder="1" applyFont="1">
      <alignment vertical="center"/>
    </xf>
    <xf borderId="1" fillId="0" fontId="4" numFmtId="175" xfId="0" applyAlignment="1" applyBorder="1" applyFont="1" applyNumberFormat="1">
      <alignment horizontal="center" readingOrder="0"/>
    </xf>
    <xf borderId="1" fillId="0" fontId="3" numFmtId="4" xfId="0" applyAlignment="1" applyBorder="1" applyFont="1" applyNumberFormat="1">
      <alignment horizontal="center" readingOrder="0" vertical="center"/>
    </xf>
    <xf borderId="0" fillId="0" fontId="1" numFmtId="0" xfId="0" applyAlignment="1" applyFont="1">
      <alignment vertical="center"/>
    </xf>
    <xf borderId="1" fillId="2" fontId="4" numFmtId="4" xfId="0" applyAlignment="1" applyBorder="1" applyFont="1" applyNumberFormat="1">
      <alignment horizontal="center" readingOrder="0" vertical="center"/>
    </xf>
    <xf borderId="8" fillId="0" fontId="3" numFmtId="0" xfId="0" applyAlignment="1" applyBorder="1" applyFont="1">
      <alignment vertical="center"/>
    </xf>
    <xf borderId="8" fillId="0" fontId="3" numFmtId="167" xfId="0" applyAlignment="1" applyBorder="1" applyFont="1" applyNumberFormat="1">
      <alignment shrinkToFit="0" vertical="center" wrapText="1"/>
    </xf>
    <xf borderId="8" fillId="5" fontId="3" numFmtId="0" xfId="0" applyAlignment="1" applyBorder="1" applyFont="1">
      <alignment vertical="center"/>
    </xf>
    <xf borderId="0" fillId="5" fontId="5" numFmtId="0" xfId="0" applyAlignment="1" applyFont="1">
      <alignment vertical="center"/>
    </xf>
    <xf borderId="1" fillId="0" fontId="3" numFmtId="4" xfId="0" applyAlignment="1" applyBorder="1" applyFont="1" applyNumberFormat="1">
      <alignment horizontal="center" readingOrder="0"/>
    </xf>
    <xf borderId="1" fillId="0" fontId="3" numFmtId="175" xfId="0" applyAlignment="1" applyBorder="1" applyFont="1" applyNumberFormat="1">
      <alignment horizontal="center" readingOrder="0" shrinkToFit="0" vertical="center" wrapText="1"/>
    </xf>
    <xf borderId="1" fillId="2" fontId="3" numFmtId="4" xfId="0" applyAlignment="1" applyBorder="1" applyFont="1" applyNumberFormat="1">
      <alignment horizontal="center" readingOrder="0" vertical="center"/>
    </xf>
    <xf borderId="1" fillId="0" fontId="3" numFmtId="175" xfId="0" applyAlignment="1" applyBorder="1" applyFont="1" applyNumberFormat="1">
      <alignment horizontal="center" readingOrder="0"/>
    </xf>
    <xf borderId="8" fillId="2" fontId="3" numFmtId="0" xfId="0" applyAlignment="1" applyBorder="1" applyFont="1">
      <alignment vertical="center"/>
    </xf>
    <xf borderId="0" fillId="2" fontId="5" numFmtId="0" xfId="0" applyAlignment="1" applyFont="1">
      <alignment vertical="center"/>
    </xf>
    <xf borderId="1" fillId="2" fontId="3" numFmtId="167" xfId="0" applyAlignment="1" applyBorder="1" applyFont="1" applyNumberFormat="1">
      <alignment horizontal="center" shrinkToFit="0" vertical="center" wrapText="1"/>
    </xf>
    <xf borderId="1" fillId="0" fontId="3" numFmtId="165" xfId="0" applyAlignment="1" applyBorder="1" applyFont="1" applyNumberFormat="1">
      <alignment horizontal="center" readingOrder="0"/>
    </xf>
    <xf borderId="1" fillId="2" fontId="3" numFmtId="167" xfId="0" applyAlignment="1" applyBorder="1" applyFont="1" applyNumberFormat="1">
      <alignment horizontal="left" readingOrder="0" shrinkToFit="0" wrapText="1"/>
    </xf>
    <xf borderId="1" fillId="0" fontId="4" numFmtId="4" xfId="0" applyAlignment="1" applyBorder="1" applyFont="1" applyNumberFormat="1">
      <alignment horizontal="center" readingOrder="0" shrinkToFit="0" vertical="center" wrapText="1"/>
    </xf>
    <xf borderId="1" fillId="5" fontId="4" numFmtId="165" xfId="0" applyAlignment="1" applyBorder="1" applyFont="1" applyNumberFormat="1">
      <alignment horizontal="center" readingOrder="0" shrinkToFit="0" vertical="center" wrapText="1"/>
    </xf>
    <xf borderId="1" fillId="5" fontId="4" numFmtId="4" xfId="0" applyAlignment="1" applyBorder="1" applyFont="1" applyNumberFormat="1">
      <alignment horizontal="center" readingOrder="0" shrinkToFit="0" vertical="center" wrapText="1"/>
    </xf>
    <xf borderId="1" fillId="5" fontId="3" numFmtId="165" xfId="0" applyAlignment="1" applyBorder="1" applyFont="1" applyNumberFormat="1">
      <alignment horizontal="center" readingOrder="0" shrinkToFit="0" vertical="center" wrapText="1"/>
    </xf>
    <xf borderId="1" fillId="2" fontId="4" numFmtId="175" xfId="0" applyAlignment="1" applyBorder="1" applyFont="1" applyNumberFormat="1">
      <alignment horizontal="center" readingOrder="0"/>
    </xf>
    <xf borderId="1" fillId="0" fontId="3" numFmtId="0" xfId="0" applyAlignment="1" applyBorder="1" applyFont="1">
      <alignment horizontal="center" readingOrder="0" vertical="center"/>
    </xf>
    <xf borderId="0" fillId="0" fontId="3" numFmtId="171" xfId="0" applyAlignment="1" applyFont="1" applyNumberFormat="1">
      <alignment horizontal="center" shrinkToFit="0" vertical="center" wrapText="1"/>
    </xf>
    <xf borderId="0" fillId="0" fontId="3" numFmtId="4" xfId="0" applyAlignment="1" applyFont="1" applyNumberFormat="1">
      <alignment horizontal="center" shrinkToFit="0" vertical="center" wrapText="1"/>
    </xf>
    <xf borderId="0" fillId="0" fontId="3" numFmtId="164" xfId="0" applyAlignment="1" applyFont="1" applyNumberFormat="1">
      <alignment horizontal="center" shrinkToFit="0" vertical="center" wrapText="1"/>
    </xf>
    <xf borderId="0" fillId="0" fontId="3" numFmtId="19" xfId="0" applyAlignment="1" applyFont="1" applyNumberFormat="1">
      <alignment horizontal="center" shrinkToFit="0" vertical="center" wrapText="1"/>
    </xf>
    <xf borderId="0" fillId="0" fontId="3" numFmtId="165" xfId="0" applyAlignment="1" applyFont="1" applyNumberFormat="1">
      <alignment horizontal="center" shrinkToFit="0" vertical="center" wrapText="1"/>
    </xf>
    <xf borderId="0" fillId="0" fontId="3" numFmtId="167" xfId="0" applyAlignment="1" applyFont="1" applyNumberFormat="1">
      <alignment horizontal="center" shrinkToFit="0" vertical="center" wrapText="1"/>
    </xf>
    <xf borderId="0" fillId="0" fontId="3" numFmtId="172" xfId="0" applyAlignment="1" applyFont="1" applyNumberFormat="1">
      <alignment horizontal="center" shrinkToFit="0" vertical="center" wrapText="1"/>
    </xf>
    <xf borderId="3" fillId="2" fontId="3" numFmtId="0" xfId="0" applyAlignment="1" applyBorder="1" applyFont="1">
      <alignment horizontal="center" shrinkToFit="0" vertical="center" wrapText="1"/>
    </xf>
    <xf borderId="1" fillId="0" fontId="18" numFmtId="0" xfId="0" applyAlignment="1" applyBorder="1" applyFont="1">
      <alignment horizontal="center" shrinkToFit="0" vertical="center" wrapText="1"/>
    </xf>
    <xf borderId="1" fillId="0" fontId="18" numFmtId="164" xfId="0" applyAlignment="1" applyBorder="1" applyFont="1" applyNumberFormat="1">
      <alignment horizontal="center" shrinkToFit="0" vertical="center" wrapText="1"/>
    </xf>
    <xf borderId="1" fillId="0" fontId="18" numFmtId="165" xfId="0" applyAlignment="1" applyBorder="1" applyFont="1" applyNumberFormat="1">
      <alignment horizontal="center" shrinkToFit="0" vertical="center" wrapText="1"/>
    </xf>
    <xf borderId="1" fillId="0" fontId="18" numFmtId="4" xfId="0" applyAlignment="1" applyBorder="1" applyFont="1" applyNumberFormat="1">
      <alignment horizontal="center" shrinkToFit="0" vertical="center" wrapText="1"/>
    </xf>
    <xf borderId="1" fillId="0" fontId="18" numFmtId="176" xfId="0" applyAlignment="1" applyBorder="1" applyFont="1" applyNumberFormat="1">
      <alignment horizontal="center" shrinkToFit="0" vertical="center" wrapText="1"/>
    </xf>
    <xf borderId="1" fillId="0" fontId="4" numFmtId="0" xfId="0" applyAlignment="1" applyBorder="1" applyFont="1">
      <alignment horizontal="center" vertical="center"/>
    </xf>
    <xf borderId="0" fillId="0" fontId="7" numFmtId="0" xfId="0" applyAlignment="1" applyFont="1">
      <alignment horizontal="center" shrinkToFit="0" vertical="center" wrapText="1"/>
    </xf>
    <xf borderId="6" fillId="0" fontId="3" numFmtId="4" xfId="0" applyAlignment="1" applyBorder="1" applyFont="1" applyNumberFormat="1">
      <alignment horizontal="center" shrinkToFit="0" vertical="center" wrapText="1"/>
    </xf>
    <xf borderId="6" fillId="0" fontId="3" numFmtId="165" xfId="0" applyAlignment="1" applyBorder="1" applyFont="1" applyNumberFormat="1">
      <alignment horizontal="center" shrinkToFit="0" vertical="center" wrapText="1"/>
    </xf>
    <xf borderId="1" fillId="0" fontId="4" numFmtId="176" xfId="0" applyAlignment="1" applyBorder="1" applyFont="1" applyNumberFormat="1">
      <alignment horizontal="center" readingOrder="0" shrinkToFit="0" vertical="center" wrapText="1"/>
    </xf>
    <xf borderId="1" fillId="2" fontId="3" numFmtId="4" xfId="0" applyAlignment="1" applyBorder="1" applyFont="1" applyNumberFormat="1">
      <alignment horizontal="center" shrinkToFit="0" vertical="center" wrapText="1"/>
    </xf>
    <xf borderId="6" fillId="0" fontId="3" numFmtId="0" xfId="0" applyAlignment="1" applyBorder="1" applyFont="1">
      <alignment horizontal="center" shrinkToFit="0" vertical="center" wrapText="1"/>
    </xf>
    <xf borderId="6" fillId="0" fontId="4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horizontal="center" shrinkToFit="0" vertical="center" wrapText="1"/>
    </xf>
    <xf borderId="1" fillId="0" fontId="4" numFmtId="176" xfId="0" applyAlignment="1" applyBorder="1" applyFont="1" applyNumberFormat="1">
      <alignment horizontal="center" readingOrder="0" vertical="center"/>
    </xf>
    <xf borderId="6" fillId="0" fontId="4" numFmtId="0" xfId="0" applyAlignment="1" applyBorder="1" applyFont="1">
      <alignment horizontal="center" vertical="center"/>
    </xf>
    <xf borderId="6" fillId="0" fontId="4" numFmtId="0" xfId="0" applyAlignment="1" applyBorder="1" applyFont="1">
      <alignment horizontal="center" readingOrder="0" shrinkToFit="0" vertical="center" wrapText="1"/>
    </xf>
    <xf borderId="1" fillId="0" fontId="4" numFmtId="0" xfId="0" applyAlignment="1" applyBorder="1" applyFont="1">
      <alignment horizontal="left" shrinkToFit="0" vertical="center" wrapText="1"/>
    </xf>
    <xf borderId="1" fillId="0" fontId="4" numFmtId="165" xfId="0" applyAlignment="1" applyBorder="1" applyFont="1" applyNumberFormat="1">
      <alignment horizontal="center" readingOrder="0" vertical="center"/>
    </xf>
    <xf borderId="1" fillId="0" fontId="4" numFmtId="4" xfId="0" applyAlignment="1" applyBorder="1" applyFont="1" applyNumberFormat="1">
      <alignment horizontal="center" readingOrder="0" vertical="center"/>
    </xf>
    <xf borderId="1" fillId="0" fontId="3" numFmtId="164" xfId="0" applyAlignment="1" applyBorder="1" applyFont="1" applyNumberFormat="1">
      <alignment horizontal="center" readingOrder="0" vertical="center"/>
    </xf>
    <xf borderId="5" fillId="2" fontId="3" numFmtId="4" xfId="0" applyAlignment="1" applyBorder="1" applyFont="1" applyNumberFormat="1">
      <alignment horizontal="center" vertical="center"/>
    </xf>
    <xf borderId="1" fillId="0" fontId="4" numFmtId="0" xfId="0" applyAlignment="1" applyBorder="1" applyFont="1">
      <alignment horizontal="center" shrinkToFit="0" vertical="center" wrapText="1"/>
    </xf>
    <xf borderId="1" fillId="0" fontId="3" numFmtId="177" xfId="0" applyAlignment="1" applyBorder="1" applyFont="1" applyNumberFormat="1">
      <alignment horizontal="center" readingOrder="0" vertical="center"/>
    </xf>
    <xf borderId="1" fillId="0" fontId="5" numFmtId="0" xfId="0" applyAlignment="1" applyBorder="1" applyFont="1">
      <alignment horizontal="center" vertical="center"/>
    </xf>
    <xf borderId="1" fillId="2" fontId="4" numFmtId="0" xfId="0" applyAlignment="1" applyBorder="1" applyFont="1">
      <alignment horizontal="left" shrinkToFit="0" vertical="center" wrapText="1"/>
    </xf>
    <xf borderId="1" fillId="2" fontId="19" numFmtId="0" xfId="0" applyBorder="1" applyFont="1"/>
    <xf borderId="1" fillId="0" fontId="5" numFmtId="0" xfId="0" applyAlignment="1" applyBorder="1" applyFont="1">
      <alignment vertical="center"/>
    </xf>
    <xf borderId="0" fillId="0" fontId="6" numFmtId="0" xfId="0" applyAlignment="1" applyFont="1">
      <alignment horizontal="center" readingOrder="0" vertical="center"/>
    </xf>
    <xf borderId="1" fillId="0" fontId="6" numFmtId="0" xfId="0" applyAlignment="1" applyBorder="1" applyFont="1">
      <alignment horizontal="center" readingOrder="0" vertical="center"/>
    </xf>
    <xf borderId="6" fillId="0" fontId="3" numFmtId="165" xfId="0" applyAlignment="1" applyBorder="1" applyFont="1" applyNumberFormat="1">
      <alignment horizontal="center" readingOrder="0" vertical="center"/>
    </xf>
    <xf borderId="6" fillId="0" fontId="3" numFmtId="4" xfId="0" applyAlignment="1" applyBorder="1" applyFont="1" applyNumberFormat="1">
      <alignment horizontal="center" readingOrder="0" vertical="center"/>
    </xf>
    <xf borderId="2" fillId="0" fontId="3" numFmtId="167" xfId="0" applyAlignment="1" applyBorder="1" applyFont="1" applyNumberFormat="1">
      <alignment shrinkToFit="0" vertical="center" wrapText="1"/>
    </xf>
    <xf borderId="6" fillId="0" fontId="3" numFmtId="165" xfId="0" applyAlignment="1" applyBorder="1" applyFont="1" applyNumberFormat="1">
      <alignment horizontal="center" readingOrder="0" shrinkToFit="0" vertical="center" wrapText="1"/>
    </xf>
    <xf borderId="6" fillId="0" fontId="3" numFmtId="4" xfId="0" applyAlignment="1" applyBorder="1" applyFont="1" applyNumberFormat="1">
      <alignment horizontal="center" readingOrder="0" shrinkToFit="0" vertical="center" wrapText="1"/>
    </xf>
    <xf borderId="1" fillId="0" fontId="3" numFmtId="176" xfId="0" applyAlignment="1" applyBorder="1" applyFont="1" applyNumberFormat="1">
      <alignment horizontal="center" readingOrder="0" vertical="center"/>
    </xf>
    <xf borderId="6" fillId="0" fontId="4" numFmtId="165" xfId="0" applyAlignment="1" applyBorder="1" applyFont="1" applyNumberFormat="1">
      <alignment horizontal="center" readingOrder="0" vertical="center"/>
    </xf>
    <xf borderId="0" fillId="0" fontId="3" numFmtId="4" xfId="0" applyAlignment="1" applyFont="1" applyNumberFormat="1">
      <alignment horizontal="center" readingOrder="0" vertical="center"/>
    </xf>
    <xf borderId="0" fillId="0" fontId="6" numFmtId="0" xfId="0" applyAlignment="1" applyFont="1">
      <alignment vertical="center"/>
    </xf>
    <xf borderId="1" fillId="2" fontId="4" numFmtId="176" xfId="0" applyAlignment="1" applyBorder="1" applyFont="1" applyNumberFormat="1">
      <alignment horizontal="center" readingOrder="0" vertical="center"/>
    </xf>
    <xf borderId="1" fillId="2" fontId="3" numFmtId="176" xfId="0" applyAlignment="1" applyBorder="1" applyFont="1" applyNumberFormat="1">
      <alignment horizontal="center" readingOrder="0" vertical="center"/>
    </xf>
    <xf borderId="0" fillId="0" fontId="5" numFmtId="164" xfId="0" applyAlignment="1" applyFont="1" applyNumberFormat="1">
      <alignment horizontal="center" vertical="center"/>
    </xf>
    <xf borderId="0" fillId="0" fontId="5" numFmtId="165" xfId="0" applyAlignment="1" applyFont="1" applyNumberFormat="1">
      <alignment horizontal="center" vertical="center"/>
    </xf>
    <xf borderId="0" fillId="0" fontId="5" numFmtId="4" xfId="0" applyAlignment="1" applyFont="1" applyNumberFormat="1">
      <alignment horizontal="center" vertical="center"/>
    </xf>
    <xf borderId="0" fillId="0" fontId="3" numFmtId="165" xfId="0" applyAlignment="1" applyFont="1" applyNumberFormat="1">
      <alignment horizontal="center" vertical="center"/>
    </xf>
    <xf borderId="0" fillId="0" fontId="5" numFmtId="176" xfId="0" applyAlignment="1" applyFont="1" applyNumberFormat="1">
      <alignment horizontal="center" vertical="center"/>
    </xf>
    <xf borderId="0" fillId="0" fontId="10" numFmtId="4" xfId="0" applyAlignment="1" applyFont="1" applyNumberFormat="1">
      <alignment horizontal="center" vertical="center"/>
    </xf>
    <xf borderId="1" fillId="0" fontId="7" numFmtId="0" xfId="0" applyAlignment="1" applyBorder="1" applyFont="1">
      <alignment horizontal="center" vertical="center"/>
    </xf>
    <xf borderId="1" fillId="0" fontId="7" numFmtId="165" xfId="0" applyAlignment="1" applyBorder="1" applyFont="1" applyNumberFormat="1">
      <alignment horizontal="center" vertical="center"/>
    </xf>
    <xf borderId="1" fillId="0" fontId="7" numFmtId="4" xfId="0" applyAlignment="1" applyBorder="1" applyFont="1" applyNumberFormat="1">
      <alignment horizontal="center" vertical="center"/>
    </xf>
    <xf borderId="1" fillId="0" fontId="20" numFmtId="0" xfId="0" applyAlignment="1" applyBorder="1" applyFont="1">
      <alignment horizontal="center" vertical="center"/>
    </xf>
    <xf borderId="1" fillId="0" fontId="5" numFmtId="164" xfId="0" applyAlignment="1" applyBorder="1" applyFont="1" applyNumberFormat="1">
      <alignment horizontal="center" readingOrder="0" vertical="center"/>
    </xf>
    <xf borderId="1" fillId="0" fontId="5" numFmtId="165" xfId="0" applyAlignment="1" applyBorder="1" applyFont="1" applyNumberFormat="1">
      <alignment horizontal="center" readingOrder="0" vertical="center"/>
    </xf>
    <xf borderId="1" fillId="0" fontId="5" numFmtId="4" xfId="0" applyAlignment="1" applyBorder="1" applyFont="1" applyNumberFormat="1">
      <alignment horizontal="center" readingOrder="0" vertical="center"/>
    </xf>
    <xf borderId="1" fillId="0" fontId="5" numFmtId="0" xfId="0" applyAlignment="1" applyBorder="1" applyFont="1">
      <alignment horizontal="center"/>
    </xf>
    <xf borderId="1" fillId="0" fontId="5" numFmtId="0" xfId="0" applyAlignment="1" applyBorder="1" applyFont="1">
      <alignment horizontal="left" shrinkToFit="0" vertical="center" wrapText="1"/>
    </xf>
    <xf borderId="1" fillId="0" fontId="5" numFmtId="0" xfId="0" applyAlignment="1" applyBorder="1" applyFont="1">
      <alignment horizontal="center" readingOrder="0" vertical="center"/>
    </xf>
    <xf borderId="1" fillId="2" fontId="5" numFmtId="4" xfId="0" applyAlignment="1" applyBorder="1" applyFont="1" applyNumberFormat="1">
      <alignment horizontal="center" readingOrder="0"/>
    </xf>
    <xf borderId="1" fillId="0" fontId="5" numFmtId="19" xfId="0" applyAlignment="1" applyBorder="1" applyFont="1" applyNumberFormat="1">
      <alignment horizontal="center" readingOrder="0" shrinkToFit="0" vertical="center" wrapText="1"/>
    </xf>
    <xf borderId="0" fillId="0" fontId="5" numFmtId="165" xfId="0" applyAlignment="1" applyFont="1" applyNumberFormat="1">
      <alignment horizontal="center" readingOrder="0" vertical="center"/>
    </xf>
    <xf borderId="1" fillId="0" fontId="5" numFmtId="4" xfId="0" applyAlignment="1" applyBorder="1" applyFont="1" applyNumberFormat="1">
      <alignment horizontal="center" readingOrder="0"/>
    </xf>
    <xf borderId="0" fillId="0" fontId="5" numFmtId="19" xfId="0" applyAlignment="1" applyFont="1" applyNumberFormat="1">
      <alignment horizontal="center" readingOrder="0" vertical="center"/>
    </xf>
    <xf borderId="1" fillId="0" fontId="5" numFmtId="0" xfId="0" applyAlignment="1" applyBorder="1" applyFont="1">
      <alignment horizontal="center" readingOrder="0"/>
    </xf>
    <xf borderId="1" fillId="0" fontId="5" numFmtId="19" xfId="0" applyAlignment="1" applyBorder="1" applyFont="1" applyNumberFormat="1">
      <alignment horizontal="center" readingOrder="0" vertical="center"/>
    </xf>
    <xf borderId="1" fillId="2" fontId="5" numFmtId="165" xfId="0" applyAlignment="1" applyBorder="1" applyFont="1" applyNumberFormat="1">
      <alignment horizontal="center" readingOrder="0" vertical="center"/>
    </xf>
    <xf borderId="1" fillId="2" fontId="10" numFmtId="4" xfId="0" applyAlignment="1" applyBorder="1" applyFont="1" applyNumberFormat="1">
      <alignment horizontal="center" readingOrder="0"/>
    </xf>
    <xf borderId="1" fillId="0" fontId="10" numFmtId="0" xfId="0" applyAlignment="1" applyBorder="1" applyFont="1">
      <alignment horizontal="left" shrinkToFit="0" vertical="center" wrapText="1"/>
    </xf>
    <xf borderId="0" fillId="0" fontId="10" numFmtId="0" xfId="0" applyFont="1"/>
    <xf borderId="0" fillId="0" fontId="5" numFmtId="0" xfId="0" applyAlignment="1" applyFont="1">
      <alignment horizontal="center" readingOrder="0"/>
    </xf>
    <xf borderId="1" fillId="0" fontId="5" numFmtId="168" xfId="0" applyAlignment="1" applyBorder="1" applyFont="1" applyNumberFormat="1">
      <alignment horizontal="center" readingOrder="0" shrinkToFit="0" vertical="center" wrapText="1"/>
    </xf>
    <xf borderId="1" fillId="2" fontId="5" numFmtId="165" xfId="0" applyAlignment="1" applyBorder="1" applyFont="1" applyNumberFormat="1">
      <alignment horizontal="center" readingOrder="0"/>
    </xf>
    <xf borderId="1" fillId="0" fontId="10" numFmtId="0" xfId="0" applyBorder="1" applyFont="1"/>
    <xf borderId="1" fillId="0" fontId="10" numFmtId="165" xfId="0" applyAlignment="1" applyBorder="1" applyFont="1" applyNumberFormat="1">
      <alignment horizontal="center" readingOrder="0" shrinkToFit="0" vertical="center" wrapText="1"/>
    </xf>
    <xf borderId="1" fillId="0" fontId="5" numFmtId="165" xfId="0" applyAlignment="1" applyBorder="1" applyFont="1" applyNumberFormat="1">
      <alignment horizontal="center" readingOrder="0" shrinkToFit="0" wrapText="1"/>
    </xf>
    <xf borderId="1" fillId="0" fontId="5" numFmtId="0" xfId="0" applyAlignment="1" applyBorder="1" applyFont="1">
      <alignment horizontal="center" readingOrder="0" shrinkToFit="0" wrapText="1"/>
    </xf>
    <xf borderId="0" fillId="0" fontId="5" numFmtId="0" xfId="0" applyAlignment="1" applyFont="1">
      <alignment horizontal="center"/>
    </xf>
    <xf borderId="0" fillId="0" fontId="1" numFmtId="165" xfId="0" applyFont="1" applyNumberFormat="1"/>
    <xf borderId="0" fillId="0" fontId="5" numFmtId="4" xfId="0" applyFont="1" applyNumberFormat="1"/>
    <xf borderId="0" fillId="0" fontId="14" numFmtId="0" xfId="0" applyFont="1"/>
    <xf borderId="1" fillId="2" fontId="13" numFmtId="0" xfId="0" applyAlignment="1" applyBorder="1" applyFont="1">
      <alignment horizontal="center" shrinkToFit="0" vertical="center" wrapText="1"/>
    </xf>
    <xf borderId="1" fillId="2" fontId="13" numFmtId="1" xfId="0" applyAlignment="1" applyBorder="1" applyFont="1" applyNumberFormat="1">
      <alignment horizontal="center" shrinkToFit="0" vertical="center" wrapText="1"/>
    </xf>
    <xf borderId="1" fillId="0" fontId="13" numFmtId="0" xfId="0" applyAlignment="1" applyBorder="1" applyFont="1">
      <alignment horizontal="center" shrinkToFit="0" vertical="center" wrapText="1"/>
    </xf>
    <xf borderId="0" fillId="0" fontId="11" numFmtId="0" xfId="0" applyAlignment="1" applyFont="1">
      <alignment readingOrder="0"/>
    </xf>
    <xf borderId="0" fillId="0" fontId="13" numFmtId="0" xfId="0" applyAlignment="1" applyFont="1">
      <alignment horizontal="center" shrinkToFit="0" vertical="center" wrapText="1"/>
    </xf>
    <xf borderId="0" fillId="2" fontId="13" numFmtId="0" xfId="0" applyAlignment="1" applyFont="1">
      <alignment horizontal="center" shrinkToFit="0" vertical="center" wrapText="1"/>
    </xf>
    <xf borderId="1" fillId="0" fontId="15" numFmtId="0" xfId="0" applyAlignment="1" applyBorder="1" applyFont="1">
      <alignment horizontal="center" readingOrder="0" shrinkToFit="0" vertical="bottom" wrapText="0"/>
    </xf>
    <xf borderId="1" fillId="0" fontId="15" numFmtId="22" xfId="0" applyAlignment="1" applyBorder="1" applyFont="1" applyNumberFormat="1">
      <alignment horizontal="center" readingOrder="0" shrinkToFit="0" vertical="bottom" wrapText="0"/>
    </xf>
    <xf borderId="1" fillId="0" fontId="15" numFmtId="1" xfId="0" applyAlignment="1" applyBorder="1" applyFont="1" applyNumberFormat="1">
      <alignment horizontal="center" readingOrder="0" shrinkToFit="0" vertical="bottom" wrapText="0"/>
    </xf>
    <xf borderId="0" fillId="0" fontId="15" numFmtId="0" xfId="0" applyAlignment="1" applyFont="1">
      <alignment horizontal="center" vertical="center"/>
    </xf>
    <xf borderId="0" fillId="2" fontId="15" numFmtId="0" xfId="0" applyAlignment="1" applyFont="1">
      <alignment horizontal="center" vertical="center"/>
    </xf>
    <xf borderId="1" fillId="2" fontId="15" numFmtId="0" xfId="0" applyAlignment="1" applyBorder="1" applyFont="1">
      <alignment horizontal="center" readingOrder="0" shrinkToFit="0" vertical="bottom" wrapText="0"/>
    </xf>
    <xf borderId="1" fillId="4" fontId="15" numFmtId="0" xfId="0" applyAlignment="1" applyBorder="1" applyFont="1">
      <alignment horizontal="center" readingOrder="0" shrinkToFit="0" vertical="bottom" wrapText="0"/>
    </xf>
    <xf borderId="1" fillId="4" fontId="15" numFmtId="22" xfId="0" applyAlignment="1" applyBorder="1" applyFont="1" applyNumberFormat="1">
      <alignment horizontal="center" readingOrder="0" shrinkToFit="0" vertical="bottom" wrapText="0"/>
    </xf>
    <xf borderId="1" fillId="4" fontId="15" numFmtId="1" xfId="0" applyAlignment="1" applyBorder="1" applyFont="1" applyNumberFormat="1">
      <alignment horizontal="center" readingOrder="0" shrinkToFit="0" vertical="bottom" wrapText="0"/>
    </xf>
    <xf borderId="1" fillId="0" fontId="15" numFmtId="171" xfId="0" applyAlignment="1" applyBorder="1" applyFont="1" applyNumberFormat="1">
      <alignment horizontal="center" readingOrder="0" shrinkToFit="0" vertical="bottom" wrapText="0"/>
    </xf>
    <xf borderId="1" fillId="0" fontId="15" numFmtId="22" xfId="0" applyAlignment="1" applyBorder="1" applyFont="1" applyNumberFormat="1">
      <alignment horizontal="center" shrinkToFit="0" vertical="bottom" wrapText="0"/>
    </xf>
    <xf borderId="1" fillId="0" fontId="15" numFmtId="0" xfId="0" applyAlignment="1" applyBorder="1" applyFont="1">
      <alignment horizontal="center" shrinkToFit="0" vertical="bottom" wrapText="0"/>
    </xf>
    <xf borderId="0" fillId="0" fontId="15" numFmtId="0" xfId="0" applyAlignment="1" applyFont="1">
      <alignment horizontal="left" vertical="center"/>
    </xf>
    <xf borderId="1" fillId="6" fontId="15" numFmtId="0" xfId="0" applyAlignment="1" applyBorder="1" applyFill="1" applyFont="1">
      <alignment horizontal="center" readingOrder="0" shrinkToFit="0" vertical="bottom" wrapText="0"/>
    </xf>
    <xf borderId="1" fillId="6" fontId="15" numFmtId="22" xfId="0" applyAlignment="1" applyBorder="1" applyFont="1" applyNumberFormat="1">
      <alignment horizontal="center" readingOrder="0" shrinkToFit="0" vertical="bottom" wrapText="0"/>
    </xf>
    <xf borderId="1" fillId="6" fontId="15" numFmtId="1" xfId="0" applyAlignment="1" applyBorder="1" applyFont="1" applyNumberFormat="1">
      <alignment horizontal="center" readingOrder="0" shrinkToFit="0" vertical="bottom" wrapText="0"/>
    </xf>
    <xf borderId="0" fillId="4" fontId="15" numFmtId="0" xfId="0" applyAlignment="1" applyFont="1">
      <alignment horizontal="left" readingOrder="0" vertical="center"/>
    </xf>
    <xf borderId="1" fillId="4" fontId="15" numFmtId="0" xfId="0" applyAlignment="1" applyBorder="1" applyFont="1">
      <alignment horizontal="center" shrinkToFit="0" vertical="bottom" wrapText="0"/>
    </xf>
    <xf borderId="1" fillId="0" fontId="15" numFmtId="178" xfId="0" applyAlignment="1" applyBorder="1" applyFont="1" applyNumberFormat="1">
      <alignment horizontal="center" readingOrder="0" shrinkToFit="0" vertical="bottom" wrapText="0"/>
    </xf>
    <xf borderId="1" fillId="4" fontId="15" numFmtId="178" xfId="0" applyAlignment="1" applyBorder="1" applyFont="1" applyNumberFormat="1">
      <alignment horizontal="center" readingOrder="0" shrinkToFit="0" vertical="bottom" wrapText="0"/>
    </xf>
    <xf borderId="0" fillId="0" fontId="15" numFmtId="0" xfId="0" applyAlignment="1" applyFont="1">
      <alignment horizontal="left" readingOrder="0" vertical="center"/>
    </xf>
    <xf borderId="1" fillId="0" fontId="15" numFmtId="179" xfId="0" applyAlignment="1" applyBorder="1" applyFont="1" applyNumberFormat="1">
      <alignment horizontal="center" readingOrder="0" shrinkToFit="0" vertical="bottom" wrapText="0"/>
    </xf>
    <xf borderId="1" fillId="4" fontId="15" numFmtId="179" xfId="0" applyAlignment="1" applyBorder="1" applyFont="1" applyNumberFormat="1">
      <alignment horizontal="center" readingOrder="0" shrinkToFit="0" vertical="bottom" wrapText="0"/>
    </xf>
    <xf borderId="1" fillId="6" fontId="15" numFmtId="179" xfId="0" applyAlignment="1" applyBorder="1" applyFont="1" applyNumberFormat="1">
      <alignment horizontal="center" readingOrder="0" shrinkToFit="0" vertical="bottom" wrapText="0"/>
    </xf>
    <xf borderId="1" fillId="0" fontId="15" numFmtId="180" xfId="0" applyAlignment="1" applyBorder="1" applyFont="1" applyNumberFormat="1">
      <alignment horizontal="center" readingOrder="0" shrinkToFit="0" vertical="bottom" wrapText="0"/>
    </xf>
    <xf borderId="0" fillId="2" fontId="14" numFmtId="0" xfId="0" applyAlignment="1" applyFont="1">
      <alignment vertical="center"/>
    </xf>
    <xf borderId="0" fillId="7" fontId="14" numFmtId="0" xfId="0" applyAlignment="1" applyFill="1" applyFont="1">
      <alignment horizontal="center" vertical="center"/>
    </xf>
    <xf borderId="0" fillId="7" fontId="14" numFmtId="0" xfId="0" applyAlignment="1" applyFont="1">
      <alignment vertical="center"/>
    </xf>
    <xf borderId="1" fillId="0" fontId="15" numFmtId="0" xfId="0" applyAlignment="1" applyBorder="1" applyFont="1">
      <alignment horizontal="center" readingOrder="0" shrinkToFit="0" vertical="bottom" wrapText="0"/>
    </xf>
    <xf borderId="1" fillId="0" fontId="15" numFmtId="22" xfId="0" applyAlignment="1" applyBorder="1" applyFont="1" applyNumberFormat="1">
      <alignment horizontal="center" readingOrder="0" shrinkToFit="0" vertical="bottom" wrapText="0"/>
    </xf>
    <xf borderId="1" fillId="0" fontId="15" numFmtId="1" xfId="0" applyAlignment="1" applyBorder="1" applyFont="1" applyNumberFormat="1">
      <alignment horizontal="center" readingOrder="0" shrinkToFit="0" vertical="bottom" wrapText="0"/>
    </xf>
    <xf borderId="0" fillId="0" fontId="4" numFmtId="1" xfId="0" applyAlignment="1" applyFont="1" applyNumberFormat="1">
      <alignment horizontal="right" readingOrder="0" shrinkToFit="0" vertical="bottom" wrapText="0"/>
    </xf>
    <xf borderId="0" fillId="0" fontId="4" numFmtId="0" xfId="0" applyAlignment="1" applyFont="1">
      <alignment horizontal="right"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1" fillId="4" fontId="15" numFmtId="0" xfId="0" applyAlignment="1" applyBorder="1" applyFont="1">
      <alignment horizontal="center" readingOrder="0" shrinkToFit="0" vertical="bottom" wrapText="0"/>
    </xf>
    <xf borderId="1" fillId="4" fontId="15" numFmtId="22" xfId="0" applyAlignment="1" applyBorder="1" applyFont="1" applyNumberFormat="1">
      <alignment horizontal="center" readingOrder="0" shrinkToFit="0" vertical="bottom" wrapText="0"/>
    </xf>
    <xf borderId="1" fillId="4" fontId="15" numFmtId="1" xfId="0" applyAlignment="1" applyBorder="1" applyFont="1" applyNumberFormat="1">
      <alignment horizontal="center" readingOrder="0" shrinkToFit="0" vertical="bottom" wrapText="0"/>
    </xf>
    <xf borderId="0" fillId="2" fontId="15" numFmtId="0" xfId="0" applyAlignment="1" applyFont="1">
      <alignment horizontal="center" shrinkToFit="0" vertical="bottom" wrapText="0"/>
    </xf>
    <xf borderId="0" fillId="2" fontId="15" numFmtId="22" xfId="0" applyAlignment="1" applyFont="1" applyNumberFormat="1">
      <alignment horizontal="center" shrinkToFit="0" vertical="bottom" wrapText="0"/>
    </xf>
    <xf borderId="0" fillId="2" fontId="15" numFmtId="1" xfId="0" applyAlignment="1" applyFont="1" applyNumberFormat="1">
      <alignment horizontal="center" shrinkToFit="0" vertical="bottom" wrapText="0"/>
    </xf>
    <xf borderId="0" fillId="2" fontId="15" numFmtId="1" xfId="0" applyAlignment="1" applyFont="1" applyNumberFormat="1">
      <alignment horizontal="center" shrinkToFit="0" wrapText="0"/>
    </xf>
    <xf borderId="0" fillId="0" fontId="15" numFmtId="1" xfId="0" applyAlignment="1" applyFont="1" applyNumberFormat="1">
      <alignment horizontal="center" shrinkToFit="0" vertical="bottom" wrapText="0"/>
    </xf>
    <xf borderId="0" fillId="0" fontId="15" numFmtId="0" xfId="0" applyAlignment="1" applyFont="1">
      <alignment horizontal="center" shrinkToFit="0" vertical="bottom" wrapText="0"/>
    </xf>
    <xf borderId="0" fillId="2" fontId="15" numFmtId="0" xfId="0" applyAlignment="1" applyFont="1">
      <alignment horizontal="center" shrinkToFit="0" wrapText="0"/>
    </xf>
    <xf borderId="0" fillId="2" fontId="15" numFmtId="22" xfId="0" applyAlignment="1" applyFont="1" applyNumberFormat="1">
      <alignment horizontal="center" shrinkToFit="0" wrapText="0"/>
    </xf>
    <xf borderId="0" fillId="2" fontId="14" numFmtId="1" xfId="0" applyAlignment="1" applyFont="1" applyNumberFormat="1">
      <alignment horizontal="center"/>
    </xf>
    <xf borderId="0" fillId="0" fontId="15" numFmtId="1" xfId="0" applyAlignment="1" applyFont="1" applyNumberFormat="1">
      <alignment horizontal="center" shrinkToFit="0" wrapText="0"/>
    </xf>
    <xf borderId="0" fillId="0" fontId="15" numFmtId="0" xfId="0" applyAlignment="1" applyFont="1">
      <alignment horizontal="center" shrinkToFit="0" wrapText="0"/>
    </xf>
    <xf borderId="0" fillId="2" fontId="14" numFmtId="0" xfId="0" applyAlignment="1" applyFont="1">
      <alignment shrinkToFit="0" vertical="center" wrapText="1"/>
    </xf>
    <xf borderId="1" fillId="0" fontId="5" numFmtId="4" xfId="0" applyAlignment="1" applyBorder="1" applyFont="1" applyNumberFormat="1">
      <alignment horizontal="center"/>
    </xf>
    <xf borderId="1" fillId="0" fontId="5" numFmtId="168" xfId="0" applyAlignment="1" applyBorder="1" applyFont="1" applyNumberFormat="1">
      <alignment horizontal="center" readingOrder="0"/>
    </xf>
    <xf borderId="1" fillId="0" fontId="5" numFmtId="0" xfId="0" applyAlignment="1" applyBorder="1" applyFont="1">
      <alignment horizontal="center" vertical="bottom"/>
    </xf>
    <xf borderId="1" fillId="0" fontId="10" numFmtId="0" xfId="0" applyAlignment="1" applyBorder="1" applyFont="1">
      <alignment horizontal="center" readingOrder="0" shrinkToFit="0" vertical="bottom" wrapText="0"/>
    </xf>
    <xf borderId="1" fillId="0" fontId="0" numFmtId="0" xfId="0" applyAlignment="1" applyBorder="1" applyFont="1">
      <alignment horizontal="center" readingOrder="0"/>
    </xf>
    <xf borderId="1" fillId="0" fontId="10" numFmtId="0" xfId="0" applyAlignment="1" applyBorder="1" applyFont="1">
      <alignment horizontal="center" readingOrder="0" shrinkToFit="0" vertical="bottom" wrapText="0"/>
    </xf>
    <xf borderId="1" fillId="0" fontId="5" numFmtId="0" xfId="0" applyAlignment="1" applyBorder="1" applyFont="1">
      <alignment horizontal="center" vertical="bottom"/>
    </xf>
    <xf borderId="0" fillId="0" fontId="5" numFmtId="168" xfId="0" applyAlignment="1" applyFont="1" applyNumberFormat="1">
      <alignment horizontal="center"/>
    </xf>
    <xf borderId="0" fillId="0" fontId="5" numFmtId="4" xfId="0" applyAlignment="1" applyFont="1" applyNumberFormat="1">
      <alignment horizontal="center"/>
    </xf>
    <xf borderId="1" fillId="0" fontId="20" numFmtId="0" xfId="0" applyAlignment="1" applyBorder="1" applyFont="1">
      <alignment horizontal="center" shrinkToFit="0" vertical="center" wrapText="1"/>
    </xf>
    <xf borderId="1" fillId="0" fontId="20" numFmtId="171" xfId="0" applyAlignment="1" applyBorder="1" applyFont="1" applyNumberFormat="1">
      <alignment horizontal="center" shrinkToFit="0" vertical="center" wrapText="1"/>
    </xf>
    <xf borderId="1" fillId="2" fontId="20" numFmtId="0" xfId="0" applyAlignment="1" applyBorder="1" applyFont="1">
      <alignment horizontal="center" shrinkToFit="0" vertical="center" wrapText="1"/>
    </xf>
    <xf borderId="1" fillId="2" fontId="20" numFmtId="175" xfId="0" applyAlignment="1" applyBorder="1" applyFont="1" applyNumberFormat="1">
      <alignment horizontal="center" shrinkToFit="0" vertical="center" wrapText="1"/>
    </xf>
    <xf borderId="1" fillId="0" fontId="20" numFmtId="1" xfId="0" applyAlignment="1" applyBorder="1" applyFont="1" applyNumberFormat="1">
      <alignment horizontal="center" shrinkToFit="0" vertical="center" wrapText="1"/>
    </xf>
    <xf borderId="0" fillId="0" fontId="20" numFmtId="1" xfId="0" applyAlignment="1" applyFont="1" applyNumberFormat="1">
      <alignment horizontal="center" shrinkToFit="0" vertical="center" wrapText="1"/>
    </xf>
    <xf borderId="0" fillId="0" fontId="20" numFmtId="0" xfId="0" applyAlignment="1" applyFont="1">
      <alignment horizontal="center" shrinkToFit="0" vertical="center" wrapText="1"/>
    </xf>
    <xf borderId="0" fillId="0" fontId="10" numFmtId="0" xfId="0" applyAlignment="1" applyFont="1">
      <alignment shrinkToFit="0" wrapText="1"/>
    </xf>
    <xf borderId="0" fillId="2" fontId="10" numFmtId="0" xfId="0" applyAlignment="1" applyFont="1">
      <alignment shrinkToFit="0" wrapText="1"/>
    </xf>
    <xf borderId="0" fillId="2" fontId="5" numFmtId="0" xfId="0" applyAlignment="1" applyFont="1">
      <alignment shrinkToFit="0" wrapText="1"/>
    </xf>
    <xf borderId="1" fillId="0" fontId="4" numFmtId="0" xfId="0" applyAlignment="1" applyBorder="1" applyFont="1">
      <alignment horizontal="center" readingOrder="0" shrinkToFit="0" vertical="bottom" wrapText="0"/>
    </xf>
    <xf borderId="1" fillId="0" fontId="4" numFmtId="178" xfId="0" applyAlignment="1" applyBorder="1" applyFont="1" applyNumberFormat="1">
      <alignment horizontal="center" readingOrder="0" shrinkToFit="0" vertical="bottom" wrapText="0"/>
    </xf>
    <xf borderId="1" fillId="0" fontId="4" numFmtId="171" xfId="0" applyAlignment="1" applyBorder="1" applyFont="1" applyNumberFormat="1">
      <alignment horizontal="center" readingOrder="0" shrinkToFit="0" vertical="bottom" wrapText="0"/>
    </xf>
    <xf borderId="1" fillId="2" fontId="4" numFmtId="0" xfId="0" applyAlignment="1" applyBorder="1" applyFont="1">
      <alignment horizontal="center" shrinkToFit="0" vertical="bottom" wrapText="0"/>
    </xf>
    <xf borderId="0" fillId="0" fontId="11" numFmtId="175" xfId="0" applyFont="1" applyNumberFormat="1"/>
    <xf borderId="1" fillId="0" fontId="4" numFmtId="1" xfId="0" applyAlignment="1" applyBorder="1" applyFont="1" applyNumberFormat="1">
      <alignment horizontal="center" shrinkToFit="0" vertical="bottom" wrapText="0"/>
    </xf>
    <xf borderId="0" fillId="2" fontId="10" numFmtId="175" xfId="0" applyAlignment="1" applyFont="1" applyNumberFormat="1">
      <alignment horizontal="center" readingOrder="0" shrinkToFit="0" wrapText="0"/>
    </xf>
    <xf borderId="1" fillId="2" fontId="4" numFmtId="175" xfId="0" applyAlignment="1" applyBorder="1" applyFont="1" applyNumberFormat="1">
      <alignment horizontal="center" readingOrder="0" shrinkToFit="0" vertical="bottom" wrapText="0"/>
    </xf>
    <xf borderId="0" fillId="2" fontId="10" numFmtId="175" xfId="0" applyAlignment="1" applyFont="1" applyNumberFormat="1">
      <alignment horizontal="center" shrinkToFit="0" wrapText="0"/>
    </xf>
    <xf borderId="0" fillId="2" fontId="10" numFmtId="0" xfId="0" applyFont="1"/>
    <xf borderId="1" fillId="2" fontId="4" numFmtId="0" xfId="0" applyAlignment="1" applyBorder="1" applyFont="1">
      <alignment horizontal="center" readingOrder="0" shrinkToFit="0" vertical="bottom" wrapText="0"/>
    </xf>
    <xf borderId="1" fillId="2" fontId="4" numFmtId="10" xfId="0" applyAlignment="1" applyBorder="1" applyFont="1" applyNumberFormat="1">
      <alignment horizontal="center" shrinkToFit="0" vertical="bottom" wrapText="0"/>
    </xf>
    <xf borderId="8" fillId="0" fontId="4" numFmtId="1" xfId="0" applyAlignment="1" applyBorder="1" applyFont="1" applyNumberFormat="1">
      <alignment horizontal="center" readingOrder="0" shrinkToFit="0" vertical="bottom" wrapText="0"/>
    </xf>
    <xf borderId="6" fillId="0" fontId="9" numFmtId="0" xfId="0" applyBorder="1" applyFont="1"/>
    <xf borderId="1" fillId="2" fontId="4" numFmtId="10" xfId="0" applyAlignment="1" applyBorder="1" applyFont="1" applyNumberFormat="1">
      <alignment horizontal="center" readingOrder="0" shrinkToFit="0" vertical="bottom" wrapText="0"/>
    </xf>
    <xf borderId="1" fillId="0" fontId="4" numFmtId="1" xfId="0" applyAlignment="1" applyBorder="1" applyFont="1" applyNumberFormat="1">
      <alignment shrinkToFit="0" vertical="bottom" wrapText="0"/>
    </xf>
    <xf borderId="1" fillId="8" fontId="4" numFmtId="0" xfId="0" applyAlignment="1" applyBorder="1" applyFill="1" applyFont="1">
      <alignment horizontal="center" readingOrder="0" shrinkToFit="0" vertical="bottom" wrapText="0"/>
    </xf>
    <xf borderId="1" fillId="8" fontId="4" numFmtId="178" xfId="0" applyAlignment="1" applyBorder="1" applyFont="1" applyNumberFormat="1">
      <alignment horizontal="center" readingOrder="0" shrinkToFit="0" vertical="bottom" wrapText="0"/>
    </xf>
    <xf borderId="1" fillId="8" fontId="4" numFmtId="171" xfId="0" applyAlignment="1" applyBorder="1" applyFont="1" applyNumberFormat="1">
      <alignment horizontal="center" readingOrder="0" shrinkToFit="0" vertical="bottom" wrapText="0"/>
    </xf>
    <xf borderId="0" fillId="2" fontId="10" numFmtId="1" xfId="0" applyAlignment="1" applyFont="1" applyNumberFormat="1">
      <alignment horizontal="center" shrinkToFit="0" wrapText="0"/>
    </xf>
    <xf borderId="0" fillId="2" fontId="10" numFmtId="1" xfId="0" applyAlignment="1" applyFont="1" applyNumberFormat="1">
      <alignment shrinkToFit="0" vertical="bottom" wrapText="0"/>
    </xf>
    <xf borderId="0" fillId="2" fontId="10" numFmtId="1" xfId="0" applyAlignment="1" applyFont="1" applyNumberFormat="1">
      <alignment horizontal="center"/>
    </xf>
    <xf borderId="1" fillId="2" fontId="4" numFmtId="178" xfId="0" applyAlignment="1" applyBorder="1" applyFont="1" applyNumberFormat="1">
      <alignment horizontal="center" readingOrder="0" shrinkToFit="0" vertical="bottom" wrapText="0"/>
    </xf>
    <xf borderId="1" fillId="2" fontId="4" numFmtId="171" xfId="0" applyAlignment="1" applyBorder="1" applyFont="1" applyNumberFormat="1">
      <alignment horizontal="center" readingOrder="0" shrinkToFit="0" vertical="bottom" wrapText="0"/>
    </xf>
    <xf borderId="0" fillId="2" fontId="10" numFmtId="0" xfId="0" applyAlignment="1" applyFont="1">
      <alignment horizontal="center"/>
    </xf>
    <xf borderId="0" fillId="2" fontId="10" numFmtId="0" xfId="0" applyAlignment="1" applyFont="1">
      <alignment horizontal="left"/>
    </xf>
    <xf borderId="1" fillId="0" fontId="4" numFmtId="1" xfId="0" applyAlignment="1" applyBorder="1" applyFont="1" applyNumberFormat="1">
      <alignment horizontal="center" readingOrder="0" shrinkToFit="0" vertical="bottom" wrapText="0"/>
    </xf>
    <xf borderId="0" fillId="2" fontId="10" numFmtId="175" xfId="0" applyAlignment="1" applyFont="1" applyNumberFormat="1">
      <alignment horizontal="center"/>
    </xf>
    <xf borderId="0" fillId="2" fontId="10" numFmtId="1" xfId="0" applyAlignment="1" applyFont="1" applyNumberFormat="1">
      <alignment horizontal="center" shrinkToFit="0" vertical="bottom" wrapText="0"/>
    </xf>
    <xf borderId="2" fillId="0" fontId="4" numFmtId="1" xfId="0" applyAlignment="1" applyBorder="1" applyFont="1" applyNumberFormat="1">
      <alignment horizontal="left" readingOrder="0" shrinkToFit="0" vertical="center" wrapText="1"/>
    </xf>
    <xf borderId="0" fillId="2" fontId="10" numFmtId="175" xfId="0" applyAlignment="1" applyFont="1" applyNumberFormat="1">
      <alignment horizontal="center" readingOrder="0" shrinkToFit="0" vertical="bottom" wrapText="0"/>
    </xf>
    <xf borderId="1" fillId="7" fontId="4" numFmtId="0" xfId="0" applyAlignment="1" applyBorder="1" applyFont="1">
      <alignment horizontal="center" readingOrder="0" shrinkToFit="0" vertical="bottom" wrapText="0"/>
    </xf>
    <xf borderId="1" fillId="0" fontId="4" numFmtId="1" xfId="0" applyAlignment="1" applyBorder="1" applyFont="1" applyNumberFormat="1">
      <alignment horizontal="left" readingOrder="0" shrinkToFit="0" vertical="bottom" wrapText="0"/>
    </xf>
    <xf borderId="1" fillId="0" fontId="4" numFmtId="180" xfId="0" applyAlignment="1" applyBorder="1" applyFont="1" applyNumberFormat="1">
      <alignment horizontal="center" readingOrder="0" shrinkToFit="0" vertical="bottom" wrapText="0"/>
    </xf>
    <xf borderId="0" fillId="2" fontId="10" numFmtId="1" xfId="0" applyAlignment="1" applyFont="1" applyNumberFormat="1">
      <alignment horizontal="center" vertical="center"/>
    </xf>
    <xf borderId="0" fillId="2" fontId="10" numFmtId="10" xfId="0" applyAlignment="1" applyFont="1" applyNumberFormat="1">
      <alignment horizontal="center"/>
    </xf>
    <xf borderId="0" fillId="2" fontId="10" numFmtId="181" xfId="0" applyAlignment="1" applyFont="1" applyNumberFormat="1">
      <alignment horizontal="center"/>
    </xf>
    <xf borderId="0" fillId="2" fontId="10" numFmtId="171" xfId="0" applyAlignment="1" applyFont="1" applyNumberFormat="1">
      <alignment horizontal="center"/>
    </xf>
    <xf borderId="0" fillId="2" fontId="10" numFmtId="0" xfId="0" applyAlignment="1" applyFont="1">
      <alignment horizontal="center" vertical="center"/>
    </xf>
    <xf borderId="0" fillId="2" fontId="10" numFmtId="175" xfId="0" applyAlignment="1" applyFont="1" applyNumberFormat="1">
      <alignment horizontal="center" vertical="center"/>
    </xf>
    <xf borderId="0" fillId="2" fontId="10" numFmtId="22" xfId="0" applyAlignment="1" applyFont="1" applyNumberFormat="1">
      <alignment horizontal="center"/>
    </xf>
    <xf borderId="0" fillId="2" fontId="10" numFmtId="182" xfId="0" applyAlignment="1" applyFont="1" applyNumberFormat="1">
      <alignment horizontal="center"/>
    </xf>
    <xf borderId="0" fillId="2" fontId="5" numFmtId="0" xfId="0" applyAlignment="1" applyFont="1">
      <alignment horizontal="center"/>
    </xf>
    <xf borderId="0" fillId="2" fontId="5" numFmtId="0" xfId="0" applyAlignment="1" applyFont="1">
      <alignment horizontal="center" vertical="center"/>
    </xf>
    <xf borderId="0" fillId="2" fontId="5" numFmtId="0" xfId="0" applyAlignment="1" applyFont="1">
      <alignment horizontal="center" shrinkToFit="0" vertical="center" wrapText="1"/>
    </xf>
    <xf borderId="0" fillId="2" fontId="5" numFmtId="171" xfId="0" applyAlignment="1" applyFont="1" applyNumberFormat="1">
      <alignment horizontal="center" shrinkToFit="0" vertical="center" wrapText="1"/>
    </xf>
    <xf borderId="0" fillId="2" fontId="5" numFmtId="175" xfId="0" applyAlignment="1" applyFont="1" applyNumberFormat="1">
      <alignment horizontal="center" shrinkToFit="0" vertical="center" wrapText="1"/>
    </xf>
    <xf borderId="0" fillId="2" fontId="5" numFmtId="1" xfId="0" applyAlignment="1" applyFont="1" applyNumberFormat="1">
      <alignment horizontal="center" shrinkToFit="0" vertical="center" wrapText="1"/>
    </xf>
    <xf borderId="0" fillId="0" fontId="5" numFmtId="171" xfId="0" applyAlignment="1" applyFont="1" applyNumberFormat="1">
      <alignment horizontal="center" shrinkToFit="0" vertical="center" wrapText="1"/>
    </xf>
    <xf borderId="0" fillId="0" fontId="5" numFmtId="1" xfId="0" applyAlignment="1" applyFont="1" applyNumberFormat="1">
      <alignment horizontal="center" shrinkToFit="0" vertical="center" wrapText="1"/>
    </xf>
    <xf borderId="0" fillId="0" fontId="21" numFmtId="176" xfId="0" applyAlignment="1" applyFont="1" applyNumberFormat="1">
      <alignment horizontal="center" vertical="bottom"/>
    </xf>
    <xf borderId="0" fillId="0" fontId="21" numFmtId="0" xfId="0" applyAlignment="1" applyFont="1">
      <alignment horizontal="center" vertical="bottom"/>
    </xf>
    <xf borderId="0" fillId="0" fontId="21" numFmtId="0" xfId="0" applyAlignment="1" applyFont="1">
      <alignment horizontal="center" vertical="bottom"/>
    </xf>
    <xf borderId="0" fillId="0" fontId="21" numFmtId="183" xfId="0" applyAlignment="1" applyFont="1" applyNumberFormat="1">
      <alignment horizontal="center" vertical="bottom"/>
    </xf>
    <xf borderId="0" fillId="0" fontId="21" numFmtId="1" xfId="0" applyAlignment="1" applyFont="1" applyNumberFormat="1">
      <alignment horizontal="center" vertical="bottom"/>
    </xf>
    <xf borderId="0" fillId="0" fontId="22" numFmtId="184" xfId="0" applyAlignment="1" applyFont="1" applyNumberFormat="1">
      <alignment horizontal="center" vertical="bottom"/>
    </xf>
    <xf borderId="0" fillId="0" fontId="22" numFmtId="0" xfId="0" applyAlignment="1" applyFont="1">
      <alignment horizontal="center" vertical="bottom"/>
    </xf>
    <xf borderId="0" fillId="0" fontId="22" numFmtId="22" xfId="0" applyAlignment="1" applyFont="1" applyNumberFormat="1">
      <alignment horizontal="center" vertical="bottom"/>
    </xf>
    <xf borderId="0" fillId="0" fontId="22" numFmtId="183" xfId="0" applyAlignment="1" applyFont="1" applyNumberFormat="1">
      <alignment horizontal="center" vertical="bottom"/>
    </xf>
    <xf borderId="0" fillId="2" fontId="21" numFmtId="0" xfId="0" applyAlignment="1" applyFont="1">
      <alignment horizontal="center" vertical="bottom"/>
    </xf>
    <xf borderId="0" fillId="2" fontId="21" numFmtId="176" xfId="0" applyAlignment="1" applyFont="1" applyNumberFormat="1">
      <alignment horizontal="center" vertical="bottom"/>
    </xf>
    <xf borderId="0" fillId="9" fontId="11" numFmtId="0" xfId="0" applyAlignment="1" applyFill="1" applyFont="1">
      <alignment horizontal="center"/>
    </xf>
    <xf borderId="0" fillId="9" fontId="11" numFmtId="183" xfId="0" applyAlignment="1" applyFont="1" applyNumberFormat="1">
      <alignment horizontal="center"/>
    </xf>
    <xf borderId="0" fillId="9" fontId="11" numFmtId="0" xfId="0" applyAlignment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customschemas.google.com/relationships/workbookmetadata" Target="metadata"/><Relationship Id="rId14" Type="http://schemas.openxmlformats.org/officeDocument/2006/relationships/worksheet" Target="worksheets/sheet1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12.78"/>
    <col customWidth="1" min="2" max="5" width="10.78"/>
    <col customWidth="1" min="6" max="6" width="11.11"/>
    <col customWidth="1" min="7" max="9" width="10.78"/>
    <col customWidth="1" min="10" max="10" width="42.33"/>
    <col customWidth="1" min="11" max="27" width="10.44"/>
  </cols>
  <sheetData>
    <row r="1" ht="15.75" customHeight="1">
      <c r="A1" s="1" t="s">
        <v>0</v>
      </c>
      <c r="B1" s="2" t="s">
        <v>1</v>
      </c>
      <c r="C1" s="3" t="s">
        <v>2</v>
      </c>
      <c r="D1" s="2" t="s">
        <v>3</v>
      </c>
      <c r="E1" s="3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6" t="s">
        <v>9</v>
      </c>
    </row>
    <row r="2" ht="15.75" customHeight="1">
      <c r="A2" s="7" t="s">
        <v>10</v>
      </c>
      <c r="B2" s="8">
        <v>45531.0</v>
      </c>
      <c r="C2" s="9">
        <v>0.3090277777777778</v>
      </c>
      <c r="D2" s="8">
        <v>45531.0</v>
      </c>
      <c r="E2" s="9">
        <v>0.61875</v>
      </c>
      <c r="F2" s="9">
        <v>0.6604166666666667</v>
      </c>
      <c r="G2" s="10" t="s">
        <v>11</v>
      </c>
      <c r="H2" s="11" t="s">
        <v>12</v>
      </c>
      <c r="I2" s="11" t="s">
        <v>13</v>
      </c>
      <c r="J2" s="12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</row>
    <row r="3" ht="15.75" customHeight="1">
      <c r="A3" s="14" t="s">
        <v>14</v>
      </c>
      <c r="B3" s="8">
        <v>45531.0</v>
      </c>
      <c r="C3" s="9">
        <v>0.325</v>
      </c>
      <c r="D3" s="8">
        <v>45531.0</v>
      </c>
      <c r="E3" s="9">
        <v>0.5763888888888888</v>
      </c>
      <c r="F3" s="9">
        <v>0.6180555555555556</v>
      </c>
      <c r="G3" s="10" t="s">
        <v>11</v>
      </c>
      <c r="H3" s="11" t="s">
        <v>12</v>
      </c>
      <c r="I3" s="11" t="s">
        <v>13</v>
      </c>
      <c r="J3" s="12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</row>
    <row r="4" ht="15.75" customHeight="1">
      <c r="A4" s="7" t="s">
        <v>15</v>
      </c>
      <c r="B4" s="8">
        <v>45531.0</v>
      </c>
      <c r="C4" s="9">
        <v>0.3347222222222222</v>
      </c>
      <c r="D4" s="8">
        <v>45531.0</v>
      </c>
      <c r="E4" s="9">
        <v>0.6194444444444445</v>
      </c>
      <c r="F4" s="9">
        <v>0.6611111111111111</v>
      </c>
      <c r="G4" s="10" t="s">
        <v>11</v>
      </c>
      <c r="H4" s="11" t="s">
        <v>12</v>
      </c>
      <c r="I4" s="11" t="s">
        <v>13</v>
      </c>
      <c r="J4" s="12"/>
    </row>
    <row r="5" ht="15.75" customHeight="1">
      <c r="A5" s="15" t="s">
        <v>16</v>
      </c>
      <c r="B5" s="8">
        <v>45531.0</v>
      </c>
      <c r="C5" s="9">
        <v>0.37430555555555556</v>
      </c>
      <c r="D5" s="8">
        <v>45531.0</v>
      </c>
      <c r="E5" s="9">
        <v>0.575</v>
      </c>
      <c r="F5" s="9">
        <v>0.6166666666666667</v>
      </c>
      <c r="G5" s="10" t="s">
        <v>11</v>
      </c>
      <c r="H5" s="11" t="s">
        <v>12</v>
      </c>
      <c r="I5" s="11" t="s">
        <v>13</v>
      </c>
      <c r="J5" s="12"/>
    </row>
    <row r="6" ht="15.75" customHeight="1">
      <c r="A6" s="14" t="s">
        <v>17</v>
      </c>
      <c r="B6" s="8">
        <v>45531.0</v>
      </c>
      <c r="C6" s="9">
        <v>0.38472222222222224</v>
      </c>
      <c r="D6" s="8">
        <v>45531.0</v>
      </c>
      <c r="E6" s="9">
        <v>0.5743055555555555</v>
      </c>
      <c r="F6" s="9">
        <v>0.6159722222222223</v>
      </c>
      <c r="G6" s="10" t="s">
        <v>11</v>
      </c>
      <c r="H6" s="11" t="s">
        <v>12</v>
      </c>
      <c r="I6" s="11" t="s">
        <v>13</v>
      </c>
      <c r="J6" s="12"/>
    </row>
    <row r="7" ht="15.75" customHeight="1">
      <c r="A7" s="14" t="s">
        <v>18</v>
      </c>
      <c r="B7" s="8">
        <v>45531.0</v>
      </c>
      <c r="C7" s="9">
        <v>0.3951388888888889</v>
      </c>
      <c r="D7" s="8">
        <v>45531.0</v>
      </c>
      <c r="E7" s="9">
        <v>0.5756944444444444</v>
      </c>
      <c r="F7" s="9">
        <v>0.6173611111111111</v>
      </c>
      <c r="G7" s="10" t="s">
        <v>11</v>
      </c>
      <c r="H7" s="11" t="s">
        <v>12</v>
      </c>
      <c r="I7" s="11" t="s">
        <v>13</v>
      </c>
      <c r="J7" s="12"/>
    </row>
    <row r="8" ht="15.75" customHeight="1">
      <c r="A8" s="15" t="s">
        <v>19</v>
      </c>
      <c r="B8" s="8">
        <v>45531.0</v>
      </c>
      <c r="C8" s="9">
        <v>0.4201388888888889</v>
      </c>
      <c r="D8" s="8">
        <v>45531.0</v>
      </c>
      <c r="E8" s="9">
        <v>0.5770833333333333</v>
      </c>
      <c r="F8" s="9">
        <v>0.61875</v>
      </c>
      <c r="G8" s="10" t="s">
        <v>11</v>
      </c>
      <c r="H8" s="11" t="s">
        <v>12</v>
      </c>
      <c r="I8" s="11" t="s">
        <v>13</v>
      </c>
      <c r="J8" s="12"/>
    </row>
    <row r="9" ht="15.75" customHeight="1">
      <c r="A9" s="14" t="s">
        <v>20</v>
      </c>
      <c r="B9" s="8">
        <v>45531.0</v>
      </c>
      <c r="C9" s="9">
        <v>0.43680555555555556</v>
      </c>
      <c r="D9" s="8">
        <v>45531.0</v>
      </c>
      <c r="E9" s="9">
        <v>0.6201388888888889</v>
      </c>
      <c r="F9" s="9">
        <v>0.6618055555555555</v>
      </c>
      <c r="G9" s="10" t="s">
        <v>11</v>
      </c>
      <c r="H9" s="11" t="s">
        <v>12</v>
      </c>
      <c r="I9" s="11" t="s">
        <v>13</v>
      </c>
      <c r="J9" s="12"/>
    </row>
    <row r="10" ht="15.75" customHeight="1">
      <c r="A10" s="16" t="s">
        <v>21</v>
      </c>
      <c r="B10" s="8">
        <v>45532.0</v>
      </c>
      <c r="C10" s="9">
        <v>0.2847222222222222</v>
      </c>
      <c r="D10" s="8">
        <v>45532.0</v>
      </c>
      <c r="E10" s="9">
        <v>0.5930555555555556</v>
      </c>
      <c r="F10" s="9">
        <v>0.6347222222222222</v>
      </c>
      <c r="G10" s="10" t="s">
        <v>11</v>
      </c>
      <c r="H10" s="11" t="s">
        <v>12</v>
      </c>
      <c r="I10" s="11" t="s">
        <v>13</v>
      </c>
      <c r="J10" s="12"/>
    </row>
    <row r="11" ht="15.75" customHeight="1">
      <c r="A11" s="16" t="s">
        <v>22</v>
      </c>
      <c r="B11" s="8">
        <v>45532.0</v>
      </c>
      <c r="C11" s="9">
        <v>0.2986111111111111</v>
      </c>
      <c r="D11" s="8">
        <v>45532.0</v>
      </c>
      <c r="E11" s="9">
        <v>0.5555555555555556</v>
      </c>
      <c r="F11" s="9">
        <v>0.5972222222222222</v>
      </c>
      <c r="G11" s="10" t="s">
        <v>11</v>
      </c>
      <c r="H11" s="11" t="s">
        <v>12</v>
      </c>
      <c r="I11" s="11" t="s">
        <v>13</v>
      </c>
      <c r="J11" s="12"/>
    </row>
    <row r="12" ht="15.75" customHeight="1">
      <c r="A12" s="16" t="s">
        <v>23</v>
      </c>
      <c r="B12" s="8">
        <v>45532.0</v>
      </c>
      <c r="C12" s="17">
        <v>0.3229166666666667</v>
      </c>
      <c r="D12" s="8">
        <v>45532.0</v>
      </c>
      <c r="E12" s="9">
        <v>0.55625</v>
      </c>
      <c r="F12" s="9">
        <v>0.5979166666666667</v>
      </c>
      <c r="G12" s="10" t="s">
        <v>11</v>
      </c>
      <c r="H12" s="11" t="s">
        <v>12</v>
      </c>
      <c r="I12" s="11" t="s">
        <v>13</v>
      </c>
      <c r="J12" s="12"/>
    </row>
    <row r="13" ht="15.75" customHeight="1">
      <c r="A13" s="16" t="s">
        <v>24</v>
      </c>
      <c r="B13" s="8">
        <v>45532.0</v>
      </c>
      <c r="C13" s="17">
        <v>0.3326388888888889</v>
      </c>
      <c r="D13" s="8">
        <v>45532.0</v>
      </c>
      <c r="E13" s="9">
        <v>0.5868055555555556</v>
      </c>
      <c r="F13" s="9">
        <v>0.6284722222222222</v>
      </c>
      <c r="G13" s="10" t="s">
        <v>11</v>
      </c>
      <c r="H13" s="11" t="s">
        <v>12</v>
      </c>
      <c r="I13" s="11" t="s">
        <v>13</v>
      </c>
      <c r="J13" s="12"/>
    </row>
    <row r="14" ht="15.75" customHeight="1">
      <c r="A14" s="16" t="s">
        <v>25</v>
      </c>
      <c r="B14" s="8">
        <v>45532.0</v>
      </c>
      <c r="C14" s="9">
        <v>0.34930555555555554</v>
      </c>
      <c r="D14" s="8">
        <v>45532.0</v>
      </c>
      <c r="E14" s="9">
        <v>0.55625</v>
      </c>
      <c r="F14" s="9">
        <v>0.5979166666666667</v>
      </c>
      <c r="G14" s="10" t="s">
        <v>11</v>
      </c>
      <c r="H14" s="11" t="s">
        <v>12</v>
      </c>
      <c r="I14" s="11" t="s">
        <v>13</v>
      </c>
      <c r="J14" s="12"/>
    </row>
    <row r="15" ht="15.75" customHeight="1">
      <c r="A15" s="16" t="s">
        <v>26</v>
      </c>
      <c r="B15" s="8">
        <v>45532.0</v>
      </c>
      <c r="C15" s="18">
        <v>0.3597222222222222</v>
      </c>
      <c r="D15" s="8">
        <v>45532.0</v>
      </c>
      <c r="E15" s="9">
        <v>0.5555555555555556</v>
      </c>
      <c r="F15" s="9">
        <v>0.5972222222222222</v>
      </c>
      <c r="G15" s="10" t="s">
        <v>11</v>
      </c>
      <c r="H15" s="11" t="s">
        <v>12</v>
      </c>
      <c r="I15" s="11" t="s">
        <v>13</v>
      </c>
      <c r="J15" s="12"/>
    </row>
    <row r="16" ht="15.75" customHeight="1">
      <c r="A16" s="16" t="s">
        <v>27</v>
      </c>
      <c r="B16" s="8">
        <v>45532.0</v>
      </c>
      <c r="C16" s="9">
        <v>0.37777777777777777</v>
      </c>
      <c r="D16" s="8">
        <v>45532.0</v>
      </c>
      <c r="E16" s="9">
        <v>0.5576388888888889</v>
      </c>
      <c r="F16" s="9">
        <v>0.5993055555555555</v>
      </c>
      <c r="G16" s="10" t="s">
        <v>11</v>
      </c>
      <c r="H16" s="11" t="s">
        <v>12</v>
      </c>
      <c r="I16" s="11" t="s">
        <v>13</v>
      </c>
      <c r="J16" s="12"/>
    </row>
    <row r="17" ht="15.75" customHeight="1">
      <c r="A17" s="16" t="s">
        <v>28</v>
      </c>
      <c r="B17" s="8">
        <v>45532.0</v>
      </c>
      <c r="C17" s="19">
        <v>0.3888888888888889</v>
      </c>
      <c r="D17" s="8">
        <v>45532.0</v>
      </c>
      <c r="E17" s="9">
        <v>0.5833333333333334</v>
      </c>
      <c r="F17" s="9">
        <v>0.625</v>
      </c>
      <c r="G17" s="10" t="s">
        <v>11</v>
      </c>
      <c r="H17" s="11" t="s">
        <v>12</v>
      </c>
      <c r="I17" s="11" t="s">
        <v>13</v>
      </c>
      <c r="J17" s="12"/>
    </row>
    <row r="18" ht="15.75" customHeight="1">
      <c r="A18" s="20" t="s">
        <v>29</v>
      </c>
      <c r="B18" s="8">
        <v>45542.0</v>
      </c>
      <c r="C18" s="9">
        <v>0.4409722222222222</v>
      </c>
      <c r="D18" s="8">
        <v>45542.0</v>
      </c>
      <c r="E18" s="9">
        <v>0.7909722222222222</v>
      </c>
      <c r="F18" s="9">
        <v>0.8326388888888889</v>
      </c>
      <c r="G18" s="10" t="s">
        <v>11</v>
      </c>
      <c r="H18" s="11" t="s">
        <v>12</v>
      </c>
      <c r="I18" s="11" t="s">
        <v>13</v>
      </c>
      <c r="J18" s="12"/>
    </row>
    <row r="19" ht="15.75" customHeight="1">
      <c r="A19" s="21" t="s">
        <v>30</v>
      </c>
      <c r="B19" s="8">
        <v>45542.0</v>
      </c>
      <c r="C19" s="22">
        <v>0.48125</v>
      </c>
      <c r="D19" s="8">
        <v>45542.0</v>
      </c>
      <c r="E19" s="9">
        <v>0.7916666666666666</v>
      </c>
      <c r="F19" s="9">
        <v>0.8333333333333334</v>
      </c>
      <c r="G19" s="10" t="s">
        <v>11</v>
      </c>
      <c r="H19" s="11" t="s">
        <v>12</v>
      </c>
      <c r="I19" s="11" t="s">
        <v>13</v>
      </c>
      <c r="J19" s="12"/>
    </row>
    <row r="20" ht="15.75" customHeight="1">
      <c r="A20" s="21" t="s">
        <v>31</v>
      </c>
      <c r="B20" s="8">
        <v>45542.0</v>
      </c>
      <c r="C20" s="22">
        <v>0.5472222222222223</v>
      </c>
      <c r="D20" s="8">
        <v>45542.0</v>
      </c>
      <c r="E20" s="9">
        <v>0.7923611111111111</v>
      </c>
      <c r="F20" s="9">
        <v>0.8340277777777778</v>
      </c>
      <c r="G20" s="10" t="s">
        <v>11</v>
      </c>
      <c r="H20" s="11" t="s">
        <v>12</v>
      </c>
      <c r="I20" s="11" t="s">
        <v>13</v>
      </c>
      <c r="J20" s="12"/>
    </row>
    <row r="21" ht="15.75" customHeight="1">
      <c r="A21" s="21" t="s">
        <v>32</v>
      </c>
      <c r="B21" s="8">
        <v>45543.0</v>
      </c>
      <c r="C21" s="17">
        <v>0.3284722222222222</v>
      </c>
      <c r="D21" s="8">
        <v>45543.0</v>
      </c>
      <c r="E21" s="9">
        <v>0.8354166666666667</v>
      </c>
      <c r="F21" s="9">
        <v>0.8770833333333333</v>
      </c>
      <c r="G21" s="10" t="s">
        <v>11</v>
      </c>
      <c r="H21" s="11" t="s">
        <v>12</v>
      </c>
      <c r="I21" s="11" t="s">
        <v>13</v>
      </c>
      <c r="J21" s="12"/>
    </row>
    <row r="22" ht="15.75" customHeight="1">
      <c r="A22" s="21" t="s">
        <v>33</v>
      </c>
      <c r="B22" s="8">
        <v>45543.0</v>
      </c>
      <c r="C22" s="17">
        <v>0.3541666666666667</v>
      </c>
      <c r="D22" s="8">
        <v>45543.0</v>
      </c>
      <c r="E22" s="9">
        <v>0.8368055555555556</v>
      </c>
      <c r="F22" s="9">
        <v>0.8784722222222222</v>
      </c>
      <c r="G22" s="10" t="s">
        <v>11</v>
      </c>
      <c r="H22" s="11" t="s">
        <v>12</v>
      </c>
      <c r="I22" s="11" t="s">
        <v>13</v>
      </c>
      <c r="J22" s="12"/>
    </row>
    <row r="23" ht="15.75" customHeight="1">
      <c r="A23" s="21" t="s">
        <v>34</v>
      </c>
      <c r="B23" s="8">
        <v>45543.0</v>
      </c>
      <c r="C23" s="17">
        <v>0.39444444444444443</v>
      </c>
      <c r="D23" s="8">
        <v>45543.0</v>
      </c>
      <c r="E23" s="9">
        <v>0.8375</v>
      </c>
      <c r="F23" s="9">
        <v>0.8791666666666667</v>
      </c>
      <c r="G23" s="10" t="s">
        <v>11</v>
      </c>
      <c r="H23" s="11" t="s">
        <v>12</v>
      </c>
      <c r="I23" s="11" t="s">
        <v>13</v>
      </c>
      <c r="J23" s="12"/>
    </row>
    <row r="24">
      <c r="A24" s="21" t="s">
        <v>35</v>
      </c>
      <c r="B24" s="8">
        <v>45543.0</v>
      </c>
      <c r="C24" s="17">
        <v>0.44305555555555554</v>
      </c>
      <c r="D24" s="8">
        <v>45543.0</v>
      </c>
      <c r="E24" s="9">
        <v>0.8381944444444445</v>
      </c>
      <c r="F24" s="9">
        <v>0.8798611111111111</v>
      </c>
      <c r="G24" s="10" t="s">
        <v>11</v>
      </c>
      <c r="H24" s="11" t="s">
        <v>12</v>
      </c>
      <c r="I24" s="11" t="s">
        <v>13</v>
      </c>
      <c r="J24" s="12"/>
    </row>
    <row r="25" ht="15.75" customHeight="1">
      <c r="A25" s="21" t="s">
        <v>36</v>
      </c>
      <c r="B25" s="8">
        <v>45543.0</v>
      </c>
      <c r="C25" s="9">
        <v>0.4597222222222222</v>
      </c>
      <c r="D25" s="8">
        <v>45543.0</v>
      </c>
      <c r="E25" s="9">
        <v>0.8388888888888889</v>
      </c>
      <c r="F25" s="9">
        <v>0.8805555555555555</v>
      </c>
      <c r="G25" s="10" t="s">
        <v>11</v>
      </c>
      <c r="H25" s="11" t="s">
        <v>12</v>
      </c>
      <c r="I25" s="11" t="s">
        <v>13</v>
      </c>
      <c r="J25" s="12"/>
    </row>
    <row r="26" ht="15.75" customHeight="1">
      <c r="A26" s="21" t="s">
        <v>37</v>
      </c>
      <c r="B26" s="8">
        <v>45543.0</v>
      </c>
      <c r="C26" s="22">
        <v>0.4895833333333333</v>
      </c>
      <c r="D26" s="8">
        <v>45543.0</v>
      </c>
      <c r="E26" s="9">
        <v>0.8395833333333333</v>
      </c>
      <c r="F26" s="9">
        <v>0.88125</v>
      </c>
      <c r="G26" s="10" t="s">
        <v>11</v>
      </c>
      <c r="H26" s="11" t="s">
        <v>12</v>
      </c>
      <c r="I26" s="11" t="s">
        <v>13</v>
      </c>
      <c r="J26" s="12"/>
    </row>
    <row r="27" ht="15.75" customHeight="1">
      <c r="A27" s="21" t="s">
        <v>38</v>
      </c>
      <c r="B27" s="8">
        <v>45545.0</v>
      </c>
      <c r="C27" s="9">
        <v>0.29444444444444445</v>
      </c>
      <c r="D27" s="8">
        <v>45545.0</v>
      </c>
      <c r="E27" s="9">
        <v>0.5722222222222222</v>
      </c>
      <c r="F27" s="9">
        <v>0.6138888888888889</v>
      </c>
      <c r="G27" s="10" t="s">
        <v>11</v>
      </c>
      <c r="H27" s="11" t="s">
        <v>12</v>
      </c>
      <c r="I27" s="11" t="s">
        <v>13</v>
      </c>
      <c r="J27" s="12"/>
    </row>
    <row r="28">
      <c r="A28" s="21" t="s">
        <v>39</v>
      </c>
      <c r="B28" s="8">
        <v>45545.0</v>
      </c>
      <c r="C28" s="22">
        <v>0.3145833333333333</v>
      </c>
      <c r="D28" s="8">
        <v>45545.0</v>
      </c>
      <c r="E28" s="9">
        <v>0.5722222222222222</v>
      </c>
      <c r="F28" s="9">
        <v>0.6138888888888889</v>
      </c>
      <c r="G28" s="10" t="s">
        <v>11</v>
      </c>
      <c r="H28" s="11" t="s">
        <v>12</v>
      </c>
      <c r="I28" s="11" t="s">
        <v>13</v>
      </c>
      <c r="J28" s="23"/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  <c r="X28" s="24"/>
      <c r="Y28" s="24"/>
      <c r="Z28" s="24"/>
      <c r="AA28" s="24"/>
    </row>
    <row r="29">
      <c r="A29" s="21" t="s">
        <v>40</v>
      </c>
      <c r="B29" s="8">
        <v>45545.0</v>
      </c>
      <c r="C29" s="22">
        <v>0.3326388888888889</v>
      </c>
      <c r="D29" s="8">
        <v>45545.0</v>
      </c>
      <c r="E29" s="9">
        <v>0.5729166666666666</v>
      </c>
      <c r="F29" s="9">
        <v>0.6145833333333334</v>
      </c>
      <c r="G29" s="10" t="s">
        <v>11</v>
      </c>
      <c r="H29" s="11" t="s">
        <v>12</v>
      </c>
      <c r="I29" s="11" t="s">
        <v>13</v>
      </c>
      <c r="J29" s="23"/>
      <c r="K29" s="24"/>
      <c r="L29" s="24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  <c r="X29" s="24"/>
      <c r="Y29" s="24"/>
      <c r="Z29" s="24"/>
      <c r="AA29" s="24"/>
    </row>
    <row r="30" ht="15.75" customHeight="1">
      <c r="A30" s="21" t="s">
        <v>41</v>
      </c>
      <c r="B30" s="8">
        <v>45545.0</v>
      </c>
      <c r="C30" s="25">
        <v>0.3472222222222222</v>
      </c>
      <c r="D30" s="8">
        <v>45545.0</v>
      </c>
      <c r="E30" s="9">
        <v>0.5736111111111111</v>
      </c>
      <c r="F30" s="9">
        <v>0.6152777777777778</v>
      </c>
      <c r="G30" s="10" t="s">
        <v>11</v>
      </c>
      <c r="H30" s="11" t="s">
        <v>12</v>
      </c>
      <c r="I30" s="11" t="s">
        <v>13</v>
      </c>
      <c r="J30" s="23"/>
      <c r="K30" s="24"/>
      <c r="L30" s="24"/>
      <c r="M30" s="24"/>
      <c r="N30" s="24"/>
      <c r="O30" s="24"/>
      <c r="P30" s="24"/>
      <c r="Q30" s="24"/>
      <c r="R30" s="24"/>
      <c r="S30" s="24"/>
      <c r="T30" s="24"/>
      <c r="U30" s="24"/>
      <c r="V30" s="24"/>
      <c r="W30" s="24"/>
      <c r="X30" s="24"/>
      <c r="Y30" s="24"/>
      <c r="Z30" s="24"/>
      <c r="AA30" s="24"/>
    </row>
    <row r="31" ht="15.75" customHeight="1">
      <c r="A31" s="21" t="s">
        <v>42</v>
      </c>
      <c r="B31" s="8">
        <v>45545.0</v>
      </c>
      <c r="C31" s="25">
        <v>0.36736111111111114</v>
      </c>
      <c r="D31" s="8">
        <v>45545.0</v>
      </c>
      <c r="E31" s="9">
        <v>0.5743055555555555</v>
      </c>
      <c r="F31" s="9">
        <v>0.6159722222222223</v>
      </c>
      <c r="G31" s="10" t="s">
        <v>11</v>
      </c>
      <c r="H31" s="11" t="s">
        <v>12</v>
      </c>
      <c r="I31" s="11" t="s">
        <v>13</v>
      </c>
      <c r="J31" s="23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24"/>
      <c r="Y31" s="24"/>
      <c r="Z31" s="24"/>
      <c r="AA31" s="24"/>
    </row>
    <row r="32" ht="15.75" customHeight="1">
      <c r="A32" s="21" t="s">
        <v>43</v>
      </c>
      <c r="B32" s="8">
        <v>45545.0</v>
      </c>
      <c r="C32" s="25">
        <v>0.38055555555555554</v>
      </c>
      <c r="D32" s="8">
        <v>45545.0</v>
      </c>
      <c r="E32" s="9">
        <v>0.6319444444444444</v>
      </c>
      <c r="F32" s="9">
        <v>0.6736111111111112</v>
      </c>
      <c r="G32" s="10" t="s">
        <v>11</v>
      </c>
      <c r="H32" s="11" t="s">
        <v>12</v>
      </c>
      <c r="I32" s="11" t="s">
        <v>13</v>
      </c>
      <c r="J32" s="12"/>
    </row>
    <row r="33" ht="15.75" customHeight="1">
      <c r="A33" s="21" t="s">
        <v>44</v>
      </c>
      <c r="B33" s="8">
        <v>45545.0</v>
      </c>
      <c r="C33" s="25">
        <v>0.4013888888888889</v>
      </c>
      <c r="D33" s="8">
        <v>45545.0</v>
      </c>
      <c r="E33" s="9">
        <v>0.6319444444444444</v>
      </c>
      <c r="F33" s="9">
        <v>0.6736111111111112</v>
      </c>
      <c r="G33" s="10" t="s">
        <v>11</v>
      </c>
      <c r="H33" s="11" t="s">
        <v>12</v>
      </c>
      <c r="I33" s="11" t="s">
        <v>13</v>
      </c>
      <c r="J33" s="12"/>
    </row>
    <row r="34" ht="15.75" customHeight="1">
      <c r="A34" s="21" t="s">
        <v>45</v>
      </c>
      <c r="B34" s="8">
        <v>45545.0</v>
      </c>
      <c r="C34" s="9">
        <v>0.4395833333333333</v>
      </c>
      <c r="D34" s="8">
        <v>45545.0</v>
      </c>
      <c r="E34" s="9">
        <v>0.63125</v>
      </c>
      <c r="F34" s="9">
        <v>0.6729166666666667</v>
      </c>
      <c r="G34" s="10" t="s">
        <v>11</v>
      </c>
      <c r="H34" s="11" t="s">
        <v>12</v>
      </c>
      <c r="I34" s="11" t="s">
        <v>13</v>
      </c>
      <c r="J34" s="12"/>
    </row>
    <row r="35" ht="15.75" customHeight="1">
      <c r="A35" s="20" t="s">
        <v>46</v>
      </c>
      <c r="B35" s="8">
        <v>45545.0</v>
      </c>
      <c r="C35" s="9">
        <v>0.46597222222222223</v>
      </c>
      <c r="D35" s="8">
        <v>45545.0</v>
      </c>
      <c r="E35" s="9">
        <v>0.63125</v>
      </c>
      <c r="F35" s="9">
        <v>0.6729166666666667</v>
      </c>
      <c r="G35" s="10" t="s">
        <v>11</v>
      </c>
      <c r="H35" s="11" t="s">
        <v>12</v>
      </c>
      <c r="I35" s="11" t="s">
        <v>13</v>
      </c>
      <c r="J35" s="12"/>
    </row>
    <row r="36" ht="15.75" customHeight="1">
      <c r="A36" s="26" t="s">
        <v>47</v>
      </c>
      <c r="B36" s="27">
        <v>45547.0</v>
      </c>
      <c r="C36" s="9">
        <v>0.34791666666666665</v>
      </c>
      <c r="D36" s="27">
        <v>45547.0</v>
      </c>
      <c r="E36" s="9">
        <v>0.6041666666666666</v>
      </c>
      <c r="F36" s="9">
        <v>0.6458333333333334</v>
      </c>
      <c r="G36" s="10" t="s">
        <v>11</v>
      </c>
      <c r="H36" s="11" t="s">
        <v>12</v>
      </c>
      <c r="I36" s="11" t="s">
        <v>13</v>
      </c>
      <c r="J36" s="12"/>
    </row>
    <row r="37" ht="15.75" customHeight="1">
      <c r="A37" s="21" t="s">
        <v>48</v>
      </c>
      <c r="B37" s="27">
        <v>45547.0</v>
      </c>
      <c r="C37" s="9">
        <v>0.36319444444444443</v>
      </c>
      <c r="D37" s="27">
        <v>45547.0</v>
      </c>
      <c r="E37" s="9">
        <v>0.6048611111111111</v>
      </c>
      <c r="F37" s="9">
        <v>0.6465277777777778</v>
      </c>
      <c r="G37" s="10" t="s">
        <v>11</v>
      </c>
      <c r="H37" s="11" t="s">
        <v>12</v>
      </c>
      <c r="I37" s="11" t="s">
        <v>13</v>
      </c>
      <c r="J37" s="12"/>
    </row>
    <row r="38" ht="15.75" customHeight="1">
      <c r="A38" s="21" t="s">
        <v>49</v>
      </c>
      <c r="B38" s="27">
        <v>45547.0</v>
      </c>
      <c r="C38" s="9">
        <v>0.4041666666666667</v>
      </c>
      <c r="D38" s="27">
        <v>45547.0</v>
      </c>
      <c r="E38" s="9">
        <v>0.60625</v>
      </c>
      <c r="F38" s="9">
        <v>0.6479166666666667</v>
      </c>
      <c r="G38" s="10" t="s">
        <v>11</v>
      </c>
      <c r="H38" s="11" t="s">
        <v>12</v>
      </c>
      <c r="I38" s="11" t="s">
        <v>13</v>
      </c>
      <c r="J38" s="12"/>
    </row>
    <row r="39" ht="15.75" customHeight="1">
      <c r="A39" s="21" t="s">
        <v>50</v>
      </c>
      <c r="B39" s="27">
        <v>45547.0</v>
      </c>
      <c r="C39" s="9">
        <v>0.4270833333333333</v>
      </c>
      <c r="D39" s="27">
        <v>45547.0</v>
      </c>
      <c r="E39" s="9">
        <v>0.6069444444444444</v>
      </c>
      <c r="F39" s="9">
        <v>0.6486111111111111</v>
      </c>
      <c r="G39" s="10" t="s">
        <v>11</v>
      </c>
      <c r="H39" s="11" t="s">
        <v>12</v>
      </c>
      <c r="I39" s="11" t="s">
        <v>13</v>
      </c>
      <c r="J39" s="28"/>
    </row>
    <row r="40" ht="15.75" customHeight="1">
      <c r="A40" s="21" t="s">
        <v>51</v>
      </c>
      <c r="B40" s="27">
        <v>45547.0</v>
      </c>
      <c r="C40" s="9">
        <v>0.45694444444444443</v>
      </c>
      <c r="D40" s="27">
        <v>45547.0</v>
      </c>
      <c r="E40" s="9">
        <v>0.6069444444444444</v>
      </c>
      <c r="F40" s="9">
        <v>0.6486111111111111</v>
      </c>
      <c r="G40" s="10" t="s">
        <v>11</v>
      </c>
      <c r="H40" s="11" t="s">
        <v>12</v>
      </c>
      <c r="I40" s="11" t="s">
        <v>13</v>
      </c>
      <c r="J40" s="28"/>
    </row>
    <row r="41" ht="15.75" customHeight="1">
      <c r="A41" s="21" t="s">
        <v>52</v>
      </c>
      <c r="B41" s="27">
        <v>45547.0</v>
      </c>
      <c r="C41" s="9">
        <v>0.4673611111111111</v>
      </c>
      <c r="D41" s="27">
        <v>45547.0</v>
      </c>
      <c r="E41" s="9">
        <v>0.6527777777777778</v>
      </c>
      <c r="F41" s="9">
        <v>0.6944444444444444</v>
      </c>
      <c r="G41" s="10" t="s">
        <v>11</v>
      </c>
      <c r="H41" s="11" t="s">
        <v>12</v>
      </c>
      <c r="I41" s="11" t="s">
        <v>13</v>
      </c>
      <c r="J41" s="28"/>
    </row>
    <row r="42" ht="15.75" customHeight="1">
      <c r="A42" s="21" t="s">
        <v>53</v>
      </c>
      <c r="B42" s="27">
        <v>45547.0</v>
      </c>
      <c r="C42" s="9">
        <v>0.4791666666666667</v>
      </c>
      <c r="D42" s="27">
        <v>45547.0</v>
      </c>
      <c r="E42" s="9">
        <v>0.6534722222222222</v>
      </c>
      <c r="F42" s="9">
        <v>0.6951388888888889</v>
      </c>
      <c r="G42" s="10" t="s">
        <v>11</v>
      </c>
      <c r="H42" s="11" t="s">
        <v>12</v>
      </c>
      <c r="I42" s="11" t="s">
        <v>13</v>
      </c>
      <c r="J42" s="28"/>
    </row>
    <row r="43" ht="15.75" customHeight="1">
      <c r="A43" s="21" t="s">
        <v>54</v>
      </c>
      <c r="B43" s="27">
        <v>45547.0</v>
      </c>
      <c r="C43" s="29">
        <v>0.4895833333333333</v>
      </c>
      <c r="D43" s="27">
        <v>45547.0</v>
      </c>
      <c r="E43" s="9">
        <v>0.6541666666666667</v>
      </c>
      <c r="F43" s="9">
        <v>0.6958333333333333</v>
      </c>
      <c r="G43" s="10" t="s">
        <v>11</v>
      </c>
      <c r="H43" s="11" t="s">
        <v>12</v>
      </c>
      <c r="I43" s="11" t="s">
        <v>13</v>
      </c>
      <c r="J43" s="28"/>
    </row>
    <row r="44" ht="15.75" customHeight="1">
      <c r="A44" s="16" t="s">
        <v>55</v>
      </c>
      <c r="B44" s="8">
        <v>45551.0</v>
      </c>
      <c r="C44" s="9">
        <v>0.2638888888888889</v>
      </c>
      <c r="D44" s="8">
        <v>45551.0</v>
      </c>
      <c r="E44" s="30">
        <v>0.5888888888888889</v>
      </c>
      <c r="F44" s="30">
        <v>0.6722222222222223</v>
      </c>
      <c r="G44" s="10" t="s">
        <v>11</v>
      </c>
      <c r="H44" s="11" t="s">
        <v>12</v>
      </c>
      <c r="I44" s="11" t="s">
        <v>13</v>
      </c>
      <c r="J44" s="28"/>
    </row>
    <row r="45" ht="15.75" customHeight="1">
      <c r="A45" s="31" t="s">
        <v>56</v>
      </c>
      <c r="B45" s="8">
        <v>45551.0</v>
      </c>
      <c r="C45" s="9">
        <v>0.2708333333333333</v>
      </c>
      <c r="D45" s="8">
        <v>45551.0</v>
      </c>
      <c r="E45" s="30">
        <v>0.5888888888888889</v>
      </c>
      <c r="F45" s="30">
        <v>0.6305555555555555</v>
      </c>
      <c r="G45" s="10" t="s">
        <v>11</v>
      </c>
      <c r="H45" s="11" t="s">
        <v>12</v>
      </c>
      <c r="I45" s="11" t="s">
        <v>13</v>
      </c>
      <c r="J45" s="28"/>
    </row>
    <row r="46" ht="15.75" customHeight="1">
      <c r="A46" s="21" t="s">
        <v>57</v>
      </c>
      <c r="B46" s="8">
        <v>45551.0</v>
      </c>
      <c r="C46" s="9">
        <v>0.3854166666666667</v>
      </c>
      <c r="D46" s="8">
        <v>45551.0</v>
      </c>
      <c r="E46" s="30">
        <v>0.5895833333333333</v>
      </c>
      <c r="F46" s="30">
        <v>0.63125</v>
      </c>
      <c r="G46" s="10" t="s">
        <v>11</v>
      </c>
      <c r="H46" s="11" t="s">
        <v>12</v>
      </c>
      <c r="I46" s="11" t="s">
        <v>13</v>
      </c>
      <c r="J46" s="28"/>
    </row>
    <row r="47" ht="15.75" customHeight="1">
      <c r="A47" s="21" t="s">
        <v>58</v>
      </c>
      <c r="B47" s="8">
        <v>45551.0</v>
      </c>
      <c r="C47" s="9">
        <v>0.39444444444444443</v>
      </c>
      <c r="D47" s="8">
        <v>45551.0</v>
      </c>
      <c r="E47" s="30">
        <v>0.5902777777777778</v>
      </c>
      <c r="F47" s="30">
        <v>0.6319444444444444</v>
      </c>
      <c r="G47" s="10" t="s">
        <v>11</v>
      </c>
      <c r="H47" s="11" t="s">
        <v>12</v>
      </c>
      <c r="I47" s="11" t="s">
        <v>13</v>
      </c>
      <c r="J47" s="28"/>
    </row>
    <row r="48" ht="15.75" customHeight="1">
      <c r="C48" s="32"/>
      <c r="D48" s="33"/>
      <c r="E48" s="34"/>
      <c r="F48" s="35"/>
      <c r="G48" s="36"/>
      <c r="H48" s="36"/>
      <c r="I48" s="36"/>
      <c r="J48" s="37"/>
    </row>
    <row r="49" ht="15.75" customHeight="1">
      <c r="B49" s="38"/>
      <c r="C49" s="34"/>
      <c r="D49" s="33"/>
      <c r="E49" s="34"/>
      <c r="F49" s="35"/>
      <c r="G49" s="36"/>
      <c r="H49" s="36"/>
      <c r="I49" s="36"/>
      <c r="J49" s="37"/>
    </row>
    <row r="50" ht="15.75" customHeight="1">
      <c r="B50" s="38"/>
      <c r="C50" s="34"/>
      <c r="D50" s="33"/>
      <c r="E50" s="34"/>
      <c r="F50" s="35"/>
      <c r="G50" s="36"/>
      <c r="H50" s="36"/>
      <c r="I50" s="36"/>
      <c r="J50" s="13"/>
    </row>
    <row r="51" ht="15.75" customHeight="1">
      <c r="B51" s="38"/>
      <c r="C51" s="34"/>
      <c r="D51" s="33"/>
      <c r="E51" s="34"/>
      <c r="F51" s="35"/>
      <c r="G51" s="36"/>
      <c r="H51" s="36"/>
      <c r="I51" s="36"/>
      <c r="J51" s="13"/>
    </row>
    <row r="52" ht="15.75" customHeight="1">
      <c r="B52" s="38"/>
      <c r="C52" s="34"/>
      <c r="D52" s="33"/>
      <c r="E52" s="34"/>
      <c r="F52" s="35"/>
      <c r="G52" s="36"/>
      <c r="H52" s="36"/>
      <c r="I52" s="36"/>
      <c r="J52" s="13"/>
    </row>
    <row r="53" ht="15.75" customHeight="1">
      <c r="B53" s="38"/>
      <c r="C53" s="34"/>
      <c r="D53" s="33"/>
      <c r="E53" s="34"/>
      <c r="F53" s="35"/>
      <c r="G53" s="36"/>
      <c r="H53" s="36"/>
      <c r="I53" s="36"/>
      <c r="J53" s="13"/>
    </row>
    <row r="54" ht="15.75" customHeight="1">
      <c r="B54" s="38"/>
      <c r="C54" s="34"/>
      <c r="D54" s="33"/>
      <c r="E54" s="34"/>
      <c r="F54" s="35"/>
      <c r="G54" s="36"/>
      <c r="H54" s="36"/>
      <c r="I54" s="36"/>
      <c r="J54" s="13"/>
    </row>
    <row r="55" ht="15.75" customHeight="1">
      <c r="B55" s="38"/>
      <c r="C55" s="34"/>
      <c r="D55" s="33"/>
      <c r="E55" s="34"/>
      <c r="F55" s="35"/>
      <c r="G55" s="36"/>
      <c r="H55" s="36"/>
      <c r="I55" s="36"/>
      <c r="J55" s="13"/>
    </row>
    <row r="56" ht="15.75" customHeight="1">
      <c r="B56" s="38"/>
      <c r="C56" s="34"/>
      <c r="D56" s="33"/>
      <c r="E56" s="34"/>
      <c r="F56" s="35"/>
      <c r="G56" s="36"/>
      <c r="H56" s="36"/>
      <c r="I56" s="36"/>
      <c r="J56" s="13"/>
    </row>
    <row r="57" ht="15.75" customHeight="1">
      <c r="B57" s="38"/>
      <c r="C57" s="34"/>
      <c r="D57" s="33"/>
      <c r="E57" s="34"/>
      <c r="F57" s="35"/>
      <c r="G57" s="36"/>
      <c r="H57" s="36"/>
      <c r="I57" s="36"/>
      <c r="J57" s="13"/>
    </row>
    <row r="58" ht="15.75" customHeight="1">
      <c r="B58" s="38"/>
      <c r="C58" s="34"/>
      <c r="D58" s="33"/>
      <c r="E58" s="34"/>
      <c r="F58" s="35"/>
      <c r="G58" s="36"/>
      <c r="H58" s="36"/>
      <c r="I58" s="36"/>
      <c r="J58" s="13"/>
    </row>
    <row r="59" ht="15.75" customHeight="1">
      <c r="B59" s="38"/>
      <c r="C59" s="34"/>
      <c r="D59" s="33"/>
      <c r="E59" s="34"/>
      <c r="F59" s="35"/>
      <c r="G59" s="36"/>
      <c r="H59" s="36"/>
      <c r="I59" s="36"/>
      <c r="J59" s="13"/>
    </row>
    <row r="60" ht="15.75" customHeight="1">
      <c r="B60" s="38"/>
      <c r="C60" s="34"/>
      <c r="D60" s="33"/>
      <c r="E60" s="34"/>
      <c r="F60" s="35"/>
      <c r="G60" s="36"/>
      <c r="H60" s="36"/>
      <c r="I60" s="36"/>
      <c r="J60" s="13"/>
    </row>
    <row r="61" ht="15.75" customHeight="1">
      <c r="B61" s="38"/>
      <c r="C61" s="34"/>
      <c r="D61" s="33"/>
      <c r="E61" s="34"/>
      <c r="F61" s="35"/>
      <c r="G61" s="36"/>
      <c r="H61" s="36"/>
      <c r="I61" s="36"/>
      <c r="J61" s="13"/>
    </row>
    <row r="62" ht="15.75" customHeight="1">
      <c r="B62" s="38"/>
      <c r="C62" s="34"/>
      <c r="D62" s="33"/>
      <c r="E62" s="34"/>
      <c r="F62" s="35"/>
      <c r="G62" s="36"/>
      <c r="H62" s="36"/>
      <c r="I62" s="36"/>
      <c r="J62" s="13"/>
    </row>
    <row r="63" ht="15.75" customHeight="1">
      <c r="B63" s="38"/>
      <c r="C63" s="34"/>
      <c r="D63" s="33"/>
      <c r="E63" s="34"/>
      <c r="F63" s="35"/>
      <c r="G63" s="36"/>
      <c r="H63" s="36"/>
      <c r="I63" s="36"/>
      <c r="J63" s="13"/>
    </row>
    <row r="64" ht="15.75" customHeight="1">
      <c r="B64" s="38"/>
      <c r="C64" s="34"/>
      <c r="D64" s="33"/>
      <c r="E64" s="34"/>
      <c r="F64" s="35"/>
      <c r="G64" s="36"/>
      <c r="H64" s="36"/>
      <c r="I64" s="36"/>
      <c r="J64" s="13"/>
    </row>
    <row r="65" ht="15.75" customHeight="1">
      <c r="B65" s="38"/>
      <c r="C65" s="34"/>
      <c r="D65" s="33"/>
      <c r="E65" s="34"/>
      <c r="F65" s="35"/>
      <c r="G65" s="36"/>
      <c r="H65" s="36"/>
      <c r="I65" s="36"/>
      <c r="J65" s="13"/>
    </row>
    <row r="66" ht="15.75" customHeight="1">
      <c r="B66" s="38"/>
      <c r="C66" s="34"/>
      <c r="D66" s="33"/>
      <c r="E66" s="34"/>
      <c r="F66" s="35"/>
      <c r="G66" s="36"/>
      <c r="H66" s="36"/>
      <c r="I66" s="36"/>
      <c r="J66" s="13"/>
    </row>
    <row r="67" ht="15.75" customHeight="1">
      <c r="B67" s="38"/>
      <c r="C67" s="34"/>
      <c r="D67" s="33"/>
      <c r="E67" s="34"/>
      <c r="F67" s="35"/>
      <c r="G67" s="36"/>
      <c r="H67" s="36"/>
      <c r="I67" s="36"/>
      <c r="J67" s="13"/>
    </row>
    <row r="68" ht="15.75" customHeight="1">
      <c r="B68" s="38"/>
      <c r="C68" s="34"/>
      <c r="D68" s="33"/>
      <c r="E68" s="34"/>
      <c r="F68" s="35"/>
      <c r="G68" s="36"/>
      <c r="H68" s="36"/>
      <c r="I68" s="36"/>
      <c r="J68" s="13"/>
    </row>
    <row r="69" ht="15.75" customHeight="1">
      <c r="B69" s="38"/>
      <c r="C69" s="34"/>
      <c r="D69" s="33"/>
      <c r="E69" s="34"/>
      <c r="F69" s="35"/>
      <c r="G69" s="36"/>
      <c r="H69" s="36"/>
      <c r="I69" s="36"/>
      <c r="J69" s="13"/>
    </row>
    <row r="70" ht="15.75" customHeight="1">
      <c r="B70" s="38"/>
      <c r="C70" s="34"/>
      <c r="D70" s="33"/>
      <c r="E70" s="34"/>
      <c r="F70" s="35"/>
      <c r="G70" s="36"/>
      <c r="H70" s="36"/>
      <c r="I70" s="36"/>
      <c r="J70" s="13"/>
    </row>
    <row r="71" ht="15.75" customHeight="1">
      <c r="B71" s="38"/>
      <c r="C71" s="34"/>
      <c r="D71" s="33"/>
      <c r="E71" s="34"/>
      <c r="F71" s="35"/>
      <c r="G71" s="36"/>
      <c r="H71" s="36"/>
      <c r="I71" s="36"/>
      <c r="J71" s="13"/>
    </row>
    <row r="72" ht="15.75" customHeight="1">
      <c r="B72" s="38"/>
      <c r="C72" s="34"/>
      <c r="D72" s="33"/>
      <c r="E72" s="34"/>
      <c r="F72" s="35"/>
      <c r="G72" s="36"/>
      <c r="H72" s="36"/>
      <c r="I72" s="36"/>
      <c r="J72" s="13"/>
    </row>
    <row r="73" ht="15.75" customHeight="1">
      <c r="B73" s="38"/>
      <c r="C73" s="34"/>
      <c r="D73" s="33"/>
      <c r="E73" s="34"/>
      <c r="F73" s="35"/>
      <c r="G73" s="36"/>
      <c r="H73" s="36"/>
      <c r="I73" s="36"/>
      <c r="J73" s="13"/>
    </row>
    <row r="74" ht="15.75" customHeight="1">
      <c r="B74" s="38"/>
      <c r="C74" s="34"/>
      <c r="D74" s="33"/>
      <c r="E74" s="34"/>
      <c r="F74" s="35"/>
      <c r="G74" s="36"/>
      <c r="H74" s="36"/>
      <c r="I74" s="36"/>
      <c r="J74" s="13"/>
    </row>
    <row r="75" ht="15.75" customHeight="1">
      <c r="B75" s="38"/>
      <c r="C75" s="34"/>
      <c r="D75" s="33"/>
      <c r="E75" s="34"/>
      <c r="F75" s="35"/>
      <c r="G75" s="36"/>
      <c r="H75" s="36"/>
      <c r="I75" s="36"/>
      <c r="J75" s="13"/>
    </row>
    <row r="76" ht="15.75" customHeight="1">
      <c r="B76" s="38"/>
      <c r="C76" s="34"/>
      <c r="D76" s="33"/>
      <c r="E76" s="34"/>
      <c r="F76" s="35"/>
      <c r="G76" s="36"/>
      <c r="H76" s="36"/>
      <c r="I76" s="36"/>
      <c r="J76" s="13"/>
    </row>
    <row r="77" ht="15.75" customHeight="1">
      <c r="B77" s="38"/>
      <c r="C77" s="34"/>
      <c r="D77" s="33"/>
      <c r="E77" s="34"/>
      <c r="F77" s="35"/>
      <c r="G77" s="36"/>
      <c r="H77" s="36"/>
      <c r="I77" s="36"/>
      <c r="J77" s="13"/>
    </row>
    <row r="78" ht="15.75" customHeight="1">
      <c r="B78" s="38"/>
      <c r="C78" s="34"/>
      <c r="D78" s="33"/>
      <c r="E78" s="34"/>
      <c r="F78" s="35"/>
      <c r="G78" s="36"/>
      <c r="H78" s="36"/>
      <c r="I78" s="36"/>
      <c r="J78" s="13"/>
    </row>
    <row r="79" ht="15.75" customHeight="1">
      <c r="B79" s="38"/>
      <c r="C79" s="34"/>
      <c r="D79" s="33"/>
      <c r="E79" s="34"/>
      <c r="F79" s="35"/>
      <c r="G79" s="36"/>
      <c r="H79" s="36"/>
      <c r="I79" s="36"/>
      <c r="J79" s="13"/>
    </row>
    <row r="80" ht="15.75" customHeight="1">
      <c r="B80" s="38"/>
      <c r="C80" s="34"/>
      <c r="D80" s="33"/>
      <c r="E80" s="34"/>
      <c r="F80" s="35"/>
      <c r="G80" s="36"/>
      <c r="H80" s="36"/>
      <c r="I80" s="36"/>
      <c r="J80" s="13"/>
    </row>
    <row r="81" ht="15.75" customHeight="1">
      <c r="B81" s="38"/>
      <c r="C81" s="34"/>
      <c r="D81" s="33"/>
      <c r="E81" s="34"/>
      <c r="F81" s="35"/>
      <c r="G81" s="36"/>
      <c r="H81" s="36"/>
      <c r="I81" s="36"/>
      <c r="J81" s="13"/>
    </row>
    <row r="82" ht="15.75" customHeight="1">
      <c r="B82" s="38"/>
      <c r="C82" s="34"/>
      <c r="D82" s="33"/>
      <c r="E82" s="34"/>
      <c r="F82" s="35"/>
      <c r="G82" s="36"/>
      <c r="H82" s="36"/>
      <c r="I82" s="36"/>
      <c r="J82" s="13"/>
    </row>
    <row r="83" ht="15.75" customHeight="1">
      <c r="B83" s="38"/>
      <c r="C83" s="34"/>
      <c r="D83" s="33"/>
      <c r="E83" s="34"/>
      <c r="F83" s="35"/>
      <c r="G83" s="36"/>
      <c r="H83" s="36"/>
      <c r="I83" s="36"/>
      <c r="J83" s="13"/>
    </row>
    <row r="84" ht="15.75" customHeight="1">
      <c r="B84" s="38"/>
      <c r="C84" s="34"/>
      <c r="D84" s="33"/>
      <c r="E84" s="34"/>
      <c r="F84" s="35"/>
      <c r="G84" s="36"/>
      <c r="H84" s="36"/>
      <c r="I84" s="36"/>
      <c r="J84" s="13"/>
    </row>
    <row r="85" ht="15.75" customHeight="1">
      <c r="B85" s="38"/>
      <c r="C85" s="34"/>
      <c r="D85" s="33"/>
      <c r="E85" s="34"/>
      <c r="F85" s="35"/>
      <c r="G85" s="36"/>
      <c r="H85" s="36"/>
      <c r="I85" s="36"/>
      <c r="J85" s="13"/>
    </row>
    <row r="86" ht="15.75" customHeight="1">
      <c r="B86" s="38"/>
      <c r="C86" s="34"/>
      <c r="D86" s="33"/>
      <c r="E86" s="34"/>
      <c r="F86" s="35"/>
      <c r="G86" s="36"/>
      <c r="H86" s="36"/>
      <c r="I86" s="36"/>
      <c r="J86" s="13"/>
    </row>
    <row r="87" ht="15.75" customHeight="1">
      <c r="B87" s="38"/>
      <c r="C87" s="34"/>
      <c r="D87" s="33"/>
      <c r="E87" s="34"/>
      <c r="F87" s="35"/>
      <c r="G87" s="36"/>
      <c r="H87" s="36"/>
      <c r="I87" s="36"/>
      <c r="J87" s="13"/>
    </row>
    <row r="88" ht="15.75" customHeight="1">
      <c r="B88" s="38"/>
      <c r="C88" s="34"/>
      <c r="D88" s="33"/>
      <c r="E88" s="34"/>
      <c r="F88" s="35"/>
      <c r="G88" s="36"/>
      <c r="H88" s="36"/>
      <c r="I88" s="36"/>
      <c r="J88" s="13"/>
    </row>
    <row r="89" ht="15.75" customHeight="1">
      <c r="B89" s="38"/>
      <c r="C89" s="34"/>
      <c r="D89" s="33"/>
      <c r="E89" s="34"/>
      <c r="F89" s="35"/>
      <c r="G89" s="36"/>
      <c r="H89" s="36"/>
      <c r="I89" s="36"/>
      <c r="J89" s="13"/>
    </row>
    <row r="90" ht="15.75" customHeight="1">
      <c r="B90" s="38"/>
      <c r="C90" s="34"/>
      <c r="D90" s="33"/>
      <c r="E90" s="34"/>
      <c r="F90" s="35"/>
      <c r="G90" s="36"/>
      <c r="H90" s="36"/>
      <c r="I90" s="36"/>
      <c r="J90" s="13"/>
    </row>
    <row r="91" ht="15.75" customHeight="1">
      <c r="B91" s="38"/>
      <c r="C91" s="34"/>
      <c r="D91" s="33"/>
      <c r="E91" s="34"/>
      <c r="F91" s="35"/>
      <c r="G91" s="36"/>
      <c r="H91" s="36"/>
      <c r="I91" s="36"/>
      <c r="J91" s="13"/>
    </row>
    <row r="92" ht="15.75" customHeight="1">
      <c r="B92" s="38"/>
      <c r="C92" s="34"/>
      <c r="D92" s="33"/>
      <c r="E92" s="34"/>
      <c r="F92" s="35"/>
      <c r="G92" s="36"/>
      <c r="H92" s="36"/>
      <c r="I92" s="36"/>
      <c r="J92" s="13"/>
    </row>
    <row r="93" ht="15.75" customHeight="1">
      <c r="B93" s="38"/>
      <c r="C93" s="34"/>
      <c r="D93" s="33"/>
      <c r="E93" s="34"/>
      <c r="F93" s="35"/>
      <c r="G93" s="36"/>
      <c r="H93" s="36"/>
      <c r="I93" s="36"/>
      <c r="J93" s="13"/>
    </row>
    <row r="94" ht="15.75" customHeight="1">
      <c r="B94" s="38"/>
      <c r="C94" s="34"/>
      <c r="D94" s="33"/>
      <c r="E94" s="34"/>
      <c r="F94" s="35"/>
      <c r="G94" s="36"/>
      <c r="H94" s="36"/>
      <c r="I94" s="36"/>
      <c r="J94" s="13"/>
    </row>
    <row r="95" ht="15.75" customHeight="1">
      <c r="B95" s="38"/>
      <c r="C95" s="34"/>
      <c r="D95" s="33"/>
      <c r="E95" s="34"/>
      <c r="F95" s="35"/>
      <c r="G95" s="36"/>
      <c r="H95" s="36"/>
      <c r="I95" s="36"/>
      <c r="J95" s="13"/>
    </row>
    <row r="96" ht="15.75" customHeight="1">
      <c r="B96" s="38"/>
      <c r="C96" s="34"/>
      <c r="D96" s="33"/>
      <c r="E96" s="34"/>
      <c r="F96" s="35"/>
      <c r="G96" s="36"/>
      <c r="H96" s="36"/>
      <c r="I96" s="36"/>
      <c r="J96" s="13"/>
    </row>
    <row r="97" ht="15.75" customHeight="1">
      <c r="B97" s="38"/>
      <c r="C97" s="34"/>
      <c r="D97" s="33"/>
      <c r="E97" s="34"/>
      <c r="F97" s="35"/>
      <c r="G97" s="36"/>
      <c r="H97" s="36"/>
      <c r="I97" s="36"/>
      <c r="J97" s="13"/>
    </row>
    <row r="98" ht="15.75" customHeight="1">
      <c r="B98" s="38"/>
      <c r="C98" s="34"/>
      <c r="D98" s="33"/>
      <c r="E98" s="34"/>
      <c r="F98" s="35"/>
      <c r="G98" s="36"/>
      <c r="H98" s="36"/>
      <c r="I98" s="36"/>
      <c r="J98" s="13"/>
    </row>
    <row r="99" ht="15.75" customHeight="1">
      <c r="B99" s="38"/>
      <c r="C99" s="34"/>
      <c r="D99" s="33"/>
      <c r="E99" s="34"/>
      <c r="F99" s="35"/>
      <c r="G99" s="36"/>
      <c r="H99" s="36"/>
      <c r="I99" s="36"/>
      <c r="J99" s="13"/>
    </row>
    <row r="100" ht="15.75" customHeight="1">
      <c r="B100" s="38"/>
      <c r="C100" s="34"/>
      <c r="D100" s="33"/>
      <c r="E100" s="34"/>
      <c r="F100" s="35"/>
      <c r="G100" s="36"/>
      <c r="H100" s="36"/>
      <c r="I100" s="36"/>
      <c r="J100" s="13"/>
    </row>
    <row r="101" ht="15.75" customHeight="1">
      <c r="B101" s="38"/>
      <c r="C101" s="34"/>
      <c r="D101" s="33"/>
      <c r="E101" s="34"/>
      <c r="F101" s="35"/>
      <c r="G101" s="36"/>
      <c r="H101" s="36"/>
      <c r="I101" s="36"/>
      <c r="J101" s="13"/>
    </row>
    <row r="102" ht="15.75" customHeight="1">
      <c r="B102" s="38"/>
      <c r="C102" s="34"/>
      <c r="D102" s="33"/>
      <c r="E102" s="34"/>
      <c r="F102" s="35"/>
      <c r="G102" s="36"/>
      <c r="H102" s="36"/>
      <c r="I102" s="36"/>
      <c r="J102" s="13"/>
    </row>
    <row r="103" ht="15.75" customHeight="1">
      <c r="B103" s="38"/>
      <c r="C103" s="34"/>
      <c r="D103" s="33"/>
      <c r="E103" s="34"/>
      <c r="F103" s="35"/>
      <c r="G103" s="36"/>
      <c r="H103" s="36"/>
      <c r="I103" s="36"/>
      <c r="J103" s="13"/>
    </row>
    <row r="104" ht="15.75" customHeight="1">
      <c r="B104" s="38"/>
      <c r="C104" s="34"/>
      <c r="D104" s="33"/>
      <c r="E104" s="34"/>
      <c r="F104" s="35"/>
      <c r="G104" s="36"/>
      <c r="H104" s="36"/>
      <c r="I104" s="36"/>
      <c r="J104" s="13"/>
    </row>
    <row r="105" ht="15.75" customHeight="1">
      <c r="B105" s="38"/>
      <c r="C105" s="34"/>
      <c r="D105" s="33"/>
      <c r="E105" s="34"/>
      <c r="F105" s="35"/>
      <c r="G105" s="36"/>
      <c r="H105" s="36"/>
      <c r="I105" s="36"/>
      <c r="J105" s="13"/>
    </row>
    <row r="106" ht="15.75" customHeight="1">
      <c r="B106" s="38"/>
      <c r="C106" s="34"/>
      <c r="D106" s="33"/>
      <c r="E106" s="34"/>
      <c r="F106" s="35"/>
      <c r="G106" s="36"/>
      <c r="H106" s="36"/>
      <c r="I106" s="36"/>
      <c r="J106" s="13"/>
    </row>
    <row r="107" ht="15.75" customHeight="1">
      <c r="B107" s="38"/>
      <c r="C107" s="34"/>
      <c r="D107" s="33"/>
      <c r="E107" s="34"/>
      <c r="F107" s="35"/>
      <c r="G107" s="36"/>
      <c r="H107" s="36"/>
      <c r="I107" s="36"/>
      <c r="J107" s="13"/>
    </row>
    <row r="108" ht="15.75" customHeight="1">
      <c r="B108" s="38"/>
      <c r="C108" s="34"/>
      <c r="D108" s="33"/>
      <c r="E108" s="34"/>
      <c r="F108" s="35"/>
      <c r="G108" s="36"/>
      <c r="H108" s="36"/>
      <c r="I108" s="36"/>
      <c r="J108" s="13"/>
    </row>
    <row r="109" ht="15.75" customHeight="1">
      <c r="B109" s="38"/>
      <c r="C109" s="34"/>
      <c r="D109" s="33"/>
      <c r="E109" s="34"/>
      <c r="F109" s="35"/>
      <c r="G109" s="36"/>
      <c r="H109" s="36"/>
      <c r="I109" s="36"/>
      <c r="J109" s="13"/>
    </row>
    <row r="110" ht="15.75" customHeight="1">
      <c r="B110" s="38"/>
      <c r="C110" s="34"/>
      <c r="D110" s="33"/>
      <c r="E110" s="34"/>
      <c r="F110" s="35"/>
      <c r="G110" s="36"/>
      <c r="H110" s="36"/>
      <c r="I110" s="36"/>
      <c r="J110" s="13"/>
    </row>
    <row r="111" ht="15.75" customHeight="1">
      <c r="B111" s="38"/>
      <c r="C111" s="34"/>
      <c r="D111" s="33"/>
      <c r="E111" s="34"/>
      <c r="F111" s="35"/>
      <c r="G111" s="36"/>
      <c r="H111" s="36"/>
      <c r="I111" s="36"/>
      <c r="J111" s="13"/>
    </row>
    <row r="112" ht="15.75" customHeight="1">
      <c r="B112" s="38"/>
      <c r="C112" s="34"/>
      <c r="D112" s="33"/>
      <c r="E112" s="34"/>
      <c r="F112" s="35"/>
      <c r="G112" s="36"/>
      <c r="H112" s="36"/>
      <c r="I112" s="36"/>
      <c r="J112" s="13"/>
    </row>
    <row r="113" ht="15.75" customHeight="1">
      <c r="B113" s="38"/>
      <c r="C113" s="34"/>
      <c r="D113" s="33"/>
      <c r="E113" s="34"/>
      <c r="F113" s="35"/>
      <c r="G113" s="36"/>
      <c r="H113" s="36"/>
      <c r="I113" s="36"/>
      <c r="J113" s="13"/>
    </row>
    <row r="114" ht="15.75" customHeight="1">
      <c r="B114" s="38"/>
      <c r="C114" s="34"/>
      <c r="D114" s="33"/>
      <c r="E114" s="34"/>
      <c r="F114" s="35"/>
      <c r="G114" s="36"/>
      <c r="H114" s="36"/>
      <c r="I114" s="36"/>
      <c r="J114" s="13"/>
    </row>
    <row r="115" ht="15.75" customHeight="1">
      <c r="B115" s="38"/>
      <c r="C115" s="34"/>
      <c r="D115" s="33"/>
      <c r="E115" s="34"/>
      <c r="F115" s="35"/>
      <c r="G115" s="36"/>
      <c r="H115" s="36"/>
      <c r="I115" s="36"/>
      <c r="J115" s="13"/>
    </row>
    <row r="116" ht="15.75" customHeight="1">
      <c r="B116" s="38"/>
      <c r="C116" s="34"/>
      <c r="D116" s="33"/>
      <c r="E116" s="34"/>
      <c r="F116" s="35"/>
      <c r="G116" s="36"/>
      <c r="H116" s="36"/>
      <c r="I116" s="36"/>
      <c r="J116" s="13"/>
    </row>
    <row r="117" ht="15.75" customHeight="1">
      <c r="B117" s="38"/>
      <c r="C117" s="34"/>
      <c r="D117" s="33"/>
      <c r="E117" s="34"/>
      <c r="F117" s="35"/>
      <c r="G117" s="36"/>
      <c r="H117" s="36"/>
      <c r="I117" s="36"/>
      <c r="J117" s="13"/>
    </row>
    <row r="118" ht="15.75" customHeight="1">
      <c r="B118" s="38"/>
      <c r="C118" s="34"/>
      <c r="D118" s="33"/>
      <c r="E118" s="34"/>
      <c r="F118" s="35"/>
      <c r="G118" s="36"/>
      <c r="H118" s="36"/>
      <c r="I118" s="36"/>
      <c r="J118" s="13"/>
    </row>
    <row r="119" ht="15.75" customHeight="1">
      <c r="B119" s="38"/>
      <c r="C119" s="34"/>
      <c r="D119" s="33"/>
      <c r="E119" s="34"/>
      <c r="F119" s="35"/>
      <c r="G119" s="36"/>
      <c r="H119" s="36"/>
      <c r="I119" s="36"/>
      <c r="J119" s="13"/>
    </row>
    <row r="120" ht="15.75" customHeight="1">
      <c r="B120" s="38"/>
      <c r="C120" s="34"/>
      <c r="D120" s="33"/>
      <c r="E120" s="34"/>
      <c r="F120" s="35"/>
      <c r="G120" s="36"/>
      <c r="H120" s="36"/>
      <c r="I120" s="36"/>
      <c r="J120" s="13"/>
    </row>
    <row r="121" ht="15.75" customHeight="1">
      <c r="B121" s="38"/>
      <c r="C121" s="34"/>
      <c r="D121" s="33"/>
      <c r="E121" s="34"/>
      <c r="F121" s="35"/>
      <c r="G121" s="36"/>
      <c r="H121" s="36"/>
      <c r="I121" s="36"/>
      <c r="J121" s="13"/>
    </row>
    <row r="122" ht="15.75" customHeight="1">
      <c r="B122" s="38"/>
      <c r="C122" s="34"/>
      <c r="D122" s="33"/>
      <c r="E122" s="34"/>
      <c r="F122" s="35"/>
      <c r="G122" s="36"/>
      <c r="H122" s="36"/>
      <c r="I122" s="36"/>
      <c r="J122" s="13"/>
    </row>
    <row r="123" ht="15.75" customHeight="1">
      <c r="B123" s="38"/>
      <c r="C123" s="34"/>
      <c r="D123" s="33"/>
      <c r="E123" s="34"/>
      <c r="F123" s="35"/>
      <c r="G123" s="36"/>
      <c r="H123" s="36"/>
      <c r="I123" s="36"/>
      <c r="J123" s="13"/>
    </row>
    <row r="124" ht="15.75" customHeight="1">
      <c r="B124" s="38"/>
      <c r="C124" s="34"/>
      <c r="D124" s="33"/>
      <c r="E124" s="34"/>
      <c r="F124" s="35"/>
      <c r="G124" s="36"/>
      <c r="H124" s="36"/>
      <c r="I124" s="36"/>
      <c r="J124" s="13"/>
    </row>
    <row r="125" ht="15.75" customHeight="1">
      <c r="B125" s="38"/>
      <c r="C125" s="34"/>
      <c r="D125" s="33"/>
      <c r="E125" s="34"/>
      <c r="F125" s="35"/>
      <c r="G125" s="36"/>
      <c r="H125" s="36"/>
      <c r="I125" s="36"/>
      <c r="J125" s="13"/>
    </row>
    <row r="126" ht="15.75" customHeight="1">
      <c r="B126" s="38"/>
      <c r="C126" s="34"/>
      <c r="D126" s="33"/>
      <c r="E126" s="34"/>
      <c r="F126" s="35"/>
      <c r="G126" s="36"/>
      <c r="H126" s="36"/>
      <c r="I126" s="36"/>
      <c r="J126" s="13"/>
    </row>
    <row r="127" ht="15.75" customHeight="1">
      <c r="B127" s="38"/>
      <c r="C127" s="34"/>
      <c r="D127" s="33"/>
      <c r="E127" s="34"/>
      <c r="F127" s="35"/>
      <c r="G127" s="36"/>
      <c r="H127" s="36"/>
      <c r="I127" s="36"/>
      <c r="J127" s="13"/>
    </row>
    <row r="128" ht="15.75" customHeight="1">
      <c r="B128" s="38"/>
      <c r="C128" s="34"/>
      <c r="D128" s="33"/>
      <c r="E128" s="34"/>
      <c r="F128" s="35"/>
      <c r="G128" s="36"/>
      <c r="H128" s="36"/>
      <c r="I128" s="36"/>
      <c r="J128" s="13"/>
    </row>
    <row r="129" ht="15.75" customHeight="1">
      <c r="B129" s="38"/>
      <c r="C129" s="34"/>
      <c r="D129" s="33"/>
      <c r="E129" s="34"/>
      <c r="F129" s="35"/>
      <c r="G129" s="36"/>
      <c r="H129" s="36"/>
      <c r="I129" s="36"/>
      <c r="J129" s="13"/>
    </row>
    <row r="130" ht="15.75" customHeight="1">
      <c r="B130" s="38"/>
      <c r="C130" s="34"/>
      <c r="D130" s="33"/>
      <c r="E130" s="34"/>
      <c r="F130" s="35"/>
      <c r="G130" s="36"/>
      <c r="H130" s="36"/>
      <c r="I130" s="36"/>
      <c r="J130" s="13"/>
    </row>
    <row r="131" ht="15.75" customHeight="1">
      <c r="B131" s="38"/>
      <c r="C131" s="34"/>
      <c r="D131" s="33"/>
      <c r="E131" s="34"/>
      <c r="F131" s="35"/>
      <c r="G131" s="36"/>
      <c r="H131" s="36"/>
      <c r="I131" s="36"/>
      <c r="J131" s="13"/>
    </row>
    <row r="132" ht="15.75" customHeight="1">
      <c r="B132" s="38"/>
      <c r="C132" s="34"/>
      <c r="D132" s="33"/>
      <c r="E132" s="34"/>
      <c r="F132" s="35"/>
      <c r="G132" s="36"/>
      <c r="H132" s="36"/>
      <c r="I132" s="36"/>
      <c r="J132" s="13"/>
    </row>
    <row r="133" ht="15.75" customHeight="1">
      <c r="B133" s="38"/>
      <c r="C133" s="34"/>
      <c r="D133" s="33"/>
      <c r="E133" s="34"/>
      <c r="F133" s="35"/>
      <c r="G133" s="36"/>
      <c r="H133" s="36"/>
      <c r="I133" s="36"/>
      <c r="J133" s="13"/>
    </row>
    <row r="134" ht="15.75" customHeight="1">
      <c r="B134" s="38"/>
      <c r="C134" s="34"/>
      <c r="D134" s="33"/>
      <c r="E134" s="34"/>
      <c r="F134" s="35"/>
      <c r="G134" s="36"/>
      <c r="H134" s="36"/>
      <c r="I134" s="36"/>
      <c r="J134" s="13"/>
    </row>
    <row r="135" ht="15.75" customHeight="1">
      <c r="B135" s="38"/>
      <c r="C135" s="34"/>
      <c r="D135" s="33"/>
      <c r="E135" s="34"/>
      <c r="F135" s="35"/>
      <c r="G135" s="36"/>
      <c r="H135" s="36"/>
      <c r="I135" s="36"/>
      <c r="J135" s="13"/>
    </row>
    <row r="136" ht="15.75" customHeight="1">
      <c r="B136" s="38"/>
      <c r="C136" s="34"/>
      <c r="D136" s="33"/>
      <c r="E136" s="34"/>
      <c r="F136" s="35"/>
      <c r="G136" s="36"/>
      <c r="H136" s="36"/>
      <c r="I136" s="36"/>
      <c r="J136" s="13"/>
    </row>
    <row r="137" ht="15.75" customHeight="1">
      <c r="B137" s="38"/>
      <c r="C137" s="34"/>
      <c r="D137" s="33"/>
      <c r="E137" s="34"/>
      <c r="F137" s="35"/>
      <c r="G137" s="36"/>
      <c r="H137" s="36"/>
      <c r="I137" s="36"/>
      <c r="J137" s="13"/>
    </row>
    <row r="138" ht="15.75" customHeight="1">
      <c r="B138" s="38"/>
      <c r="C138" s="34"/>
      <c r="D138" s="33"/>
      <c r="E138" s="34"/>
      <c r="F138" s="35"/>
      <c r="G138" s="36"/>
      <c r="H138" s="36"/>
      <c r="I138" s="36"/>
      <c r="J138" s="13"/>
    </row>
    <row r="139" ht="15.75" customHeight="1">
      <c r="B139" s="38"/>
      <c r="C139" s="34"/>
      <c r="D139" s="33"/>
      <c r="E139" s="34"/>
      <c r="F139" s="35"/>
      <c r="G139" s="36"/>
      <c r="H139" s="36"/>
      <c r="I139" s="36"/>
      <c r="J139" s="13"/>
    </row>
    <row r="140" ht="15.75" customHeight="1">
      <c r="B140" s="38"/>
      <c r="C140" s="34"/>
      <c r="D140" s="33"/>
      <c r="E140" s="34"/>
      <c r="F140" s="35"/>
      <c r="G140" s="36"/>
      <c r="H140" s="36"/>
      <c r="I140" s="36"/>
      <c r="J140" s="13"/>
    </row>
    <row r="141" ht="15.75" customHeight="1">
      <c r="B141" s="38"/>
      <c r="C141" s="34"/>
      <c r="D141" s="33"/>
      <c r="E141" s="34"/>
      <c r="F141" s="35"/>
      <c r="G141" s="36"/>
      <c r="H141" s="36"/>
      <c r="I141" s="36"/>
      <c r="J141" s="13"/>
    </row>
    <row r="142" ht="15.75" customHeight="1">
      <c r="B142" s="38"/>
      <c r="C142" s="34"/>
      <c r="D142" s="33"/>
      <c r="E142" s="34"/>
      <c r="F142" s="35"/>
      <c r="G142" s="36"/>
      <c r="H142" s="36"/>
      <c r="I142" s="36"/>
      <c r="J142" s="13"/>
    </row>
    <row r="143" ht="15.75" customHeight="1">
      <c r="B143" s="38"/>
      <c r="C143" s="34"/>
      <c r="D143" s="33"/>
      <c r="E143" s="34"/>
      <c r="F143" s="35"/>
      <c r="G143" s="36"/>
      <c r="H143" s="36"/>
      <c r="I143" s="36"/>
      <c r="J143" s="13"/>
    </row>
    <row r="144" ht="15.75" customHeight="1">
      <c r="B144" s="38"/>
      <c r="C144" s="34"/>
      <c r="D144" s="33"/>
      <c r="E144" s="34"/>
      <c r="F144" s="35"/>
      <c r="G144" s="36"/>
      <c r="H144" s="36"/>
      <c r="I144" s="36"/>
      <c r="J144" s="13"/>
    </row>
    <row r="145" ht="15.75" customHeight="1">
      <c r="B145" s="38"/>
      <c r="C145" s="34"/>
      <c r="D145" s="33"/>
      <c r="E145" s="34"/>
      <c r="F145" s="35"/>
      <c r="G145" s="36"/>
      <c r="H145" s="36"/>
      <c r="I145" s="36"/>
      <c r="J145" s="13"/>
    </row>
    <row r="146" ht="15.75" customHeight="1">
      <c r="B146" s="38"/>
      <c r="C146" s="34"/>
      <c r="D146" s="33"/>
      <c r="E146" s="34"/>
      <c r="F146" s="35"/>
      <c r="G146" s="36"/>
      <c r="H146" s="36"/>
      <c r="I146" s="36"/>
      <c r="J146" s="13"/>
    </row>
    <row r="147" ht="15.75" customHeight="1">
      <c r="B147" s="38"/>
      <c r="C147" s="34"/>
      <c r="D147" s="33"/>
      <c r="E147" s="34"/>
      <c r="F147" s="35"/>
      <c r="G147" s="36"/>
      <c r="H147" s="36"/>
      <c r="I147" s="36"/>
      <c r="J147" s="13"/>
    </row>
    <row r="148" ht="15.75" customHeight="1">
      <c r="B148" s="38"/>
      <c r="C148" s="34"/>
      <c r="D148" s="33"/>
      <c r="E148" s="34"/>
      <c r="F148" s="35"/>
      <c r="G148" s="36"/>
      <c r="H148" s="36"/>
      <c r="I148" s="36"/>
      <c r="J148" s="13"/>
    </row>
    <row r="149" ht="15.75" customHeight="1">
      <c r="B149" s="38"/>
      <c r="C149" s="34"/>
      <c r="D149" s="33"/>
      <c r="E149" s="34"/>
      <c r="F149" s="35"/>
      <c r="G149" s="36"/>
      <c r="H149" s="36"/>
      <c r="I149" s="36"/>
      <c r="J149" s="13"/>
    </row>
    <row r="150" ht="15.75" customHeight="1">
      <c r="B150" s="38"/>
      <c r="C150" s="34"/>
      <c r="D150" s="33"/>
      <c r="E150" s="34"/>
      <c r="F150" s="35"/>
      <c r="G150" s="36"/>
      <c r="H150" s="36"/>
      <c r="I150" s="36"/>
      <c r="J150" s="13"/>
    </row>
    <row r="151" ht="15.75" customHeight="1">
      <c r="B151" s="38"/>
      <c r="C151" s="34"/>
      <c r="D151" s="33"/>
      <c r="E151" s="34"/>
      <c r="F151" s="35"/>
      <c r="G151" s="36"/>
      <c r="H151" s="36"/>
      <c r="I151" s="36"/>
      <c r="J151" s="13"/>
    </row>
    <row r="152" ht="15.75" customHeight="1">
      <c r="B152" s="38"/>
      <c r="C152" s="34"/>
      <c r="D152" s="33"/>
      <c r="E152" s="34"/>
      <c r="F152" s="35"/>
      <c r="G152" s="36"/>
      <c r="H152" s="36"/>
      <c r="I152" s="36"/>
      <c r="J152" s="13"/>
    </row>
    <row r="153" ht="15.75" customHeight="1">
      <c r="B153" s="38"/>
      <c r="C153" s="34"/>
      <c r="D153" s="33"/>
      <c r="E153" s="34"/>
      <c r="F153" s="35"/>
      <c r="G153" s="36"/>
      <c r="H153" s="36"/>
      <c r="I153" s="36"/>
      <c r="J153" s="13"/>
    </row>
    <row r="154" ht="15.75" customHeight="1">
      <c r="B154" s="38"/>
      <c r="C154" s="34"/>
      <c r="D154" s="33"/>
      <c r="E154" s="34"/>
      <c r="F154" s="35"/>
      <c r="G154" s="36"/>
      <c r="H154" s="36"/>
      <c r="I154" s="36"/>
      <c r="J154" s="13"/>
    </row>
    <row r="155" ht="15.75" customHeight="1">
      <c r="B155" s="38"/>
      <c r="C155" s="34"/>
      <c r="D155" s="33"/>
      <c r="E155" s="34"/>
      <c r="F155" s="35"/>
      <c r="G155" s="36"/>
      <c r="H155" s="36"/>
      <c r="I155" s="36"/>
      <c r="J155" s="13"/>
    </row>
    <row r="156" ht="15.75" customHeight="1">
      <c r="B156" s="38"/>
      <c r="C156" s="34"/>
      <c r="D156" s="33"/>
      <c r="E156" s="34"/>
      <c r="F156" s="35"/>
      <c r="G156" s="36"/>
      <c r="H156" s="36"/>
      <c r="I156" s="36"/>
      <c r="J156" s="13"/>
    </row>
    <row r="157" ht="15.75" customHeight="1">
      <c r="B157" s="38"/>
      <c r="C157" s="34"/>
      <c r="D157" s="33"/>
      <c r="E157" s="34"/>
      <c r="F157" s="35"/>
      <c r="G157" s="36"/>
      <c r="H157" s="36"/>
      <c r="I157" s="36"/>
      <c r="J157" s="13"/>
    </row>
    <row r="158" ht="15.75" customHeight="1">
      <c r="B158" s="38"/>
      <c r="C158" s="34"/>
      <c r="D158" s="33"/>
      <c r="E158" s="34"/>
      <c r="F158" s="35"/>
      <c r="G158" s="36"/>
      <c r="H158" s="36"/>
      <c r="I158" s="36"/>
      <c r="J158" s="13"/>
    </row>
    <row r="159" ht="15.75" customHeight="1">
      <c r="B159" s="38"/>
      <c r="C159" s="34"/>
      <c r="D159" s="33"/>
      <c r="E159" s="34"/>
      <c r="F159" s="35"/>
      <c r="G159" s="36"/>
      <c r="H159" s="36"/>
      <c r="I159" s="36"/>
      <c r="J159" s="13"/>
    </row>
    <row r="160" ht="15.75" customHeight="1">
      <c r="B160" s="38"/>
      <c r="C160" s="34"/>
      <c r="D160" s="33"/>
      <c r="E160" s="34"/>
      <c r="F160" s="35"/>
      <c r="G160" s="36"/>
      <c r="H160" s="36"/>
      <c r="I160" s="36"/>
      <c r="J160" s="13"/>
    </row>
    <row r="161" ht="15.75" customHeight="1">
      <c r="B161" s="38"/>
      <c r="C161" s="34"/>
      <c r="D161" s="33"/>
      <c r="E161" s="34"/>
      <c r="F161" s="35"/>
      <c r="G161" s="36"/>
      <c r="H161" s="36"/>
      <c r="I161" s="36"/>
      <c r="J161" s="13"/>
    </row>
    <row r="162" ht="15.75" customHeight="1">
      <c r="B162" s="38"/>
      <c r="C162" s="34"/>
      <c r="D162" s="33"/>
      <c r="E162" s="34"/>
      <c r="F162" s="35"/>
      <c r="G162" s="36"/>
      <c r="H162" s="36"/>
      <c r="I162" s="36"/>
      <c r="J162" s="13"/>
    </row>
    <row r="163" ht="15.75" customHeight="1">
      <c r="B163" s="38"/>
      <c r="C163" s="34"/>
      <c r="D163" s="33"/>
      <c r="E163" s="34"/>
      <c r="F163" s="35"/>
      <c r="G163" s="36"/>
      <c r="H163" s="36"/>
      <c r="I163" s="36"/>
      <c r="J163" s="13"/>
    </row>
    <row r="164" ht="15.75" customHeight="1">
      <c r="B164" s="38"/>
      <c r="C164" s="34"/>
      <c r="D164" s="33"/>
      <c r="E164" s="34"/>
      <c r="F164" s="35"/>
      <c r="G164" s="36"/>
      <c r="H164" s="36"/>
      <c r="I164" s="36"/>
      <c r="J164" s="13"/>
    </row>
    <row r="165" ht="15.75" customHeight="1">
      <c r="B165" s="38"/>
      <c r="C165" s="34"/>
      <c r="D165" s="33"/>
      <c r="E165" s="34"/>
      <c r="F165" s="35"/>
      <c r="G165" s="36"/>
      <c r="H165" s="36"/>
      <c r="I165" s="36"/>
      <c r="J165" s="13"/>
    </row>
    <row r="166" ht="15.75" customHeight="1">
      <c r="B166" s="38"/>
      <c r="C166" s="34"/>
      <c r="D166" s="33"/>
      <c r="E166" s="34"/>
      <c r="F166" s="35"/>
      <c r="G166" s="36"/>
      <c r="H166" s="36"/>
      <c r="I166" s="36"/>
      <c r="J166" s="13"/>
    </row>
    <row r="167" ht="15.75" customHeight="1">
      <c r="B167" s="38"/>
      <c r="C167" s="34"/>
      <c r="D167" s="33"/>
      <c r="E167" s="34"/>
      <c r="F167" s="35"/>
      <c r="G167" s="36"/>
      <c r="H167" s="36"/>
      <c r="I167" s="36"/>
      <c r="J167" s="13"/>
    </row>
    <row r="168" ht="15.75" customHeight="1">
      <c r="B168" s="38"/>
      <c r="C168" s="34"/>
      <c r="D168" s="33"/>
      <c r="E168" s="34"/>
      <c r="F168" s="35"/>
      <c r="G168" s="36"/>
      <c r="H168" s="36"/>
      <c r="I168" s="36"/>
      <c r="J168" s="13"/>
    </row>
    <row r="169" ht="15.75" customHeight="1">
      <c r="B169" s="38"/>
      <c r="C169" s="34"/>
      <c r="D169" s="33"/>
      <c r="E169" s="34"/>
      <c r="F169" s="35"/>
      <c r="G169" s="36"/>
      <c r="H169" s="36"/>
      <c r="I169" s="36"/>
      <c r="J169" s="13"/>
    </row>
    <row r="170" ht="15.75" customHeight="1">
      <c r="B170" s="38"/>
      <c r="C170" s="34"/>
      <c r="D170" s="33"/>
      <c r="E170" s="34"/>
      <c r="F170" s="35"/>
      <c r="G170" s="36"/>
      <c r="H170" s="36"/>
      <c r="I170" s="36"/>
      <c r="J170" s="13"/>
    </row>
    <row r="171" ht="15.75" customHeight="1">
      <c r="B171" s="38"/>
      <c r="C171" s="34"/>
      <c r="D171" s="33"/>
      <c r="E171" s="34"/>
      <c r="F171" s="35"/>
      <c r="G171" s="36"/>
      <c r="H171" s="36"/>
      <c r="I171" s="36"/>
      <c r="J171" s="13"/>
    </row>
    <row r="172" ht="15.75" customHeight="1">
      <c r="B172" s="38"/>
      <c r="C172" s="34"/>
      <c r="D172" s="33"/>
      <c r="E172" s="34"/>
      <c r="F172" s="35"/>
      <c r="G172" s="36"/>
      <c r="H172" s="36"/>
      <c r="I172" s="36"/>
      <c r="J172" s="13"/>
    </row>
    <row r="173" ht="15.75" customHeight="1">
      <c r="B173" s="38"/>
      <c r="C173" s="34"/>
      <c r="D173" s="33"/>
      <c r="E173" s="34"/>
      <c r="F173" s="35"/>
      <c r="G173" s="36"/>
      <c r="H173" s="36"/>
      <c r="I173" s="36"/>
      <c r="J173" s="13"/>
    </row>
    <row r="174" ht="15.75" customHeight="1">
      <c r="B174" s="38"/>
      <c r="C174" s="34"/>
      <c r="D174" s="33"/>
      <c r="E174" s="34"/>
      <c r="F174" s="35"/>
      <c r="G174" s="36"/>
      <c r="H174" s="36"/>
      <c r="I174" s="36"/>
      <c r="J174" s="13"/>
    </row>
    <row r="175" ht="15.75" customHeight="1">
      <c r="B175" s="38"/>
      <c r="C175" s="34"/>
      <c r="D175" s="33"/>
      <c r="E175" s="34"/>
      <c r="F175" s="35"/>
      <c r="G175" s="36"/>
      <c r="H175" s="36"/>
      <c r="I175" s="36"/>
      <c r="J175" s="13"/>
    </row>
    <row r="176" ht="15.75" customHeight="1">
      <c r="B176" s="38"/>
      <c r="C176" s="34"/>
      <c r="D176" s="33"/>
      <c r="E176" s="34"/>
      <c r="F176" s="35"/>
      <c r="G176" s="36"/>
      <c r="H176" s="36"/>
      <c r="I176" s="36"/>
      <c r="J176" s="13"/>
    </row>
    <row r="177" ht="15.75" customHeight="1">
      <c r="B177" s="38"/>
      <c r="C177" s="34"/>
      <c r="D177" s="33"/>
      <c r="E177" s="34"/>
      <c r="F177" s="35"/>
      <c r="G177" s="36"/>
      <c r="H177" s="36"/>
      <c r="I177" s="36"/>
      <c r="J177" s="13"/>
    </row>
    <row r="178" ht="15.75" customHeight="1">
      <c r="B178" s="38"/>
      <c r="C178" s="34"/>
      <c r="D178" s="33"/>
      <c r="E178" s="34"/>
      <c r="F178" s="35"/>
      <c r="G178" s="36"/>
      <c r="H178" s="36"/>
      <c r="I178" s="36"/>
      <c r="J178" s="13"/>
    </row>
    <row r="179" ht="15.75" customHeight="1">
      <c r="B179" s="38"/>
      <c r="C179" s="34"/>
      <c r="D179" s="33"/>
      <c r="E179" s="34"/>
      <c r="F179" s="35"/>
      <c r="G179" s="36"/>
      <c r="H179" s="36"/>
      <c r="I179" s="36"/>
      <c r="J179" s="13"/>
    </row>
    <row r="180" ht="15.75" customHeight="1">
      <c r="B180" s="38"/>
      <c r="C180" s="34"/>
      <c r="D180" s="33"/>
      <c r="E180" s="34"/>
      <c r="F180" s="35"/>
      <c r="G180" s="36"/>
      <c r="H180" s="36"/>
      <c r="I180" s="36"/>
      <c r="J180" s="13"/>
    </row>
    <row r="181" ht="15.75" customHeight="1">
      <c r="B181" s="38"/>
      <c r="C181" s="34"/>
      <c r="D181" s="33"/>
      <c r="E181" s="34"/>
      <c r="F181" s="35"/>
      <c r="G181" s="36"/>
      <c r="H181" s="36"/>
      <c r="I181" s="36"/>
      <c r="J181" s="13"/>
    </row>
    <row r="182" ht="15.75" customHeight="1">
      <c r="B182" s="38"/>
      <c r="C182" s="34"/>
      <c r="D182" s="33"/>
      <c r="E182" s="34"/>
      <c r="F182" s="35"/>
      <c r="G182" s="36"/>
      <c r="H182" s="36"/>
      <c r="I182" s="36"/>
      <c r="J182" s="13"/>
    </row>
    <row r="183" ht="15.75" customHeight="1">
      <c r="B183" s="38"/>
      <c r="C183" s="34"/>
      <c r="D183" s="33"/>
      <c r="E183" s="34"/>
      <c r="F183" s="35"/>
      <c r="G183" s="36"/>
      <c r="H183" s="36"/>
      <c r="I183" s="36"/>
      <c r="J183" s="13"/>
    </row>
    <row r="184" ht="15.75" customHeight="1">
      <c r="B184" s="38"/>
      <c r="C184" s="34"/>
      <c r="D184" s="33"/>
      <c r="E184" s="34"/>
      <c r="F184" s="35"/>
      <c r="G184" s="36"/>
      <c r="H184" s="36"/>
      <c r="I184" s="36"/>
      <c r="J184" s="13"/>
    </row>
    <row r="185" ht="15.75" customHeight="1">
      <c r="B185" s="38"/>
      <c r="C185" s="34"/>
      <c r="D185" s="33"/>
      <c r="E185" s="34"/>
      <c r="F185" s="35"/>
      <c r="G185" s="36"/>
      <c r="H185" s="36"/>
      <c r="I185" s="36"/>
      <c r="J185" s="13"/>
    </row>
    <row r="186" ht="15.75" customHeight="1">
      <c r="B186" s="38"/>
      <c r="C186" s="34"/>
      <c r="D186" s="33"/>
      <c r="E186" s="34"/>
      <c r="F186" s="35"/>
      <c r="G186" s="36"/>
      <c r="H186" s="36"/>
      <c r="I186" s="36"/>
      <c r="J186" s="13"/>
    </row>
    <row r="187" ht="15.75" customHeight="1">
      <c r="B187" s="38"/>
      <c r="C187" s="34"/>
      <c r="D187" s="33"/>
      <c r="E187" s="34"/>
      <c r="F187" s="35"/>
      <c r="G187" s="36"/>
      <c r="H187" s="36"/>
      <c r="I187" s="36"/>
      <c r="J187" s="13"/>
    </row>
    <row r="188" ht="15.75" customHeight="1">
      <c r="B188" s="38"/>
      <c r="C188" s="34"/>
      <c r="D188" s="33"/>
      <c r="E188" s="34"/>
      <c r="F188" s="35"/>
      <c r="G188" s="36"/>
      <c r="H188" s="36"/>
      <c r="I188" s="36"/>
      <c r="J188" s="13"/>
    </row>
    <row r="189" ht="15.75" customHeight="1">
      <c r="B189" s="38"/>
      <c r="C189" s="34"/>
      <c r="D189" s="33"/>
      <c r="E189" s="34"/>
      <c r="F189" s="35"/>
      <c r="G189" s="36"/>
      <c r="H189" s="36"/>
      <c r="I189" s="36"/>
      <c r="J189" s="13"/>
    </row>
    <row r="190" ht="15.75" customHeight="1">
      <c r="B190" s="38"/>
      <c r="C190" s="34"/>
      <c r="D190" s="33"/>
      <c r="E190" s="34"/>
      <c r="F190" s="35"/>
      <c r="G190" s="36"/>
      <c r="H190" s="36"/>
      <c r="I190" s="36"/>
      <c r="J190" s="13"/>
    </row>
    <row r="191" ht="15.75" customHeight="1">
      <c r="B191" s="38"/>
      <c r="C191" s="34"/>
      <c r="D191" s="33"/>
      <c r="E191" s="34"/>
      <c r="F191" s="35"/>
      <c r="G191" s="36"/>
      <c r="H191" s="36"/>
      <c r="I191" s="36"/>
      <c r="J191" s="13"/>
    </row>
    <row r="192" ht="15.75" customHeight="1">
      <c r="B192" s="38"/>
      <c r="C192" s="34"/>
      <c r="D192" s="33"/>
      <c r="E192" s="34"/>
      <c r="F192" s="35"/>
      <c r="G192" s="36"/>
      <c r="H192" s="36"/>
      <c r="I192" s="36"/>
      <c r="J192" s="13"/>
    </row>
    <row r="193" ht="15.75" customHeight="1">
      <c r="B193" s="38"/>
      <c r="C193" s="34"/>
      <c r="D193" s="33"/>
      <c r="E193" s="34"/>
      <c r="F193" s="35"/>
      <c r="G193" s="36"/>
      <c r="H193" s="36"/>
      <c r="I193" s="36"/>
      <c r="J193" s="13"/>
    </row>
    <row r="194" ht="15.75" customHeight="1">
      <c r="B194" s="38"/>
      <c r="C194" s="34"/>
      <c r="D194" s="33"/>
      <c r="E194" s="34"/>
      <c r="F194" s="35"/>
      <c r="G194" s="36"/>
      <c r="H194" s="36"/>
      <c r="I194" s="36"/>
      <c r="J194" s="13"/>
    </row>
    <row r="195" ht="15.75" customHeight="1">
      <c r="B195" s="38"/>
      <c r="C195" s="34"/>
      <c r="D195" s="33"/>
      <c r="E195" s="34"/>
      <c r="F195" s="35"/>
      <c r="G195" s="36"/>
      <c r="H195" s="36"/>
      <c r="I195" s="36"/>
      <c r="J195" s="13"/>
    </row>
    <row r="196" ht="15.75" customHeight="1">
      <c r="B196" s="38"/>
      <c r="C196" s="34"/>
      <c r="D196" s="33"/>
      <c r="E196" s="34"/>
      <c r="F196" s="35"/>
      <c r="G196" s="36"/>
      <c r="H196" s="36"/>
      <c r="I196" s="36"/>
      <c r="J196" s="13"/>
    </row>
    <row r="197" ht="15.75" customHeight="1">
      <c r="B197" s="38"/>
      <c r="C197" s="34"/>
      <c r="D197" s="33"/>
      <c r="E197" s="34"/>
      <c r="F197" s="35"/>
      <c r="G197" s="36"/>
      <c r="H197" s="36"/>
      <c r="I197" s="36"/>
      <c r="J197" s="13"/>
    </row>
    <row r="198" ht="15.75" customHeight="1">
      <c r="B198" s="38"/>
      <c r="C198" s="34"/>
      <c r="D198" s="33"/>
      <c r="E198" s="34"/>
      <c r="F198" s="35"/>
      <c r="G198" s="36"/>
      <c r="H198" s="36"/>
      <c r="I198" s="36"/>
      <c r="J198" s="13"/>
    </row>
    <row r="199" ht="15.75" customHeight="1">
      <c r="B199" s="38"/>
      <c r="C199" s="34"/>
      <c r="D199" s="33"/>
      <c r="E199" s="34"/>
      <c r="F199" s="35"/>
      <c r="G199" s="36"/>
      <c r="H199" s="36"/>
      <c r="I199" s="36"/>
      <c r="J199" s="13"/>
    </row>
    <row r="200" ht="15.75" customHeight="1">
      <c r="B200" s="38"/>
      <c r="C200" s="34"/>
      <c r="D200" s="33"/>
      <c r="E200" s="34"/>
      <c r="F200" s="35"/>
      <c r="G200" s="36"/>
      <c r="H200" s="36"/>
      <c r="I200" s="36"/>
      <c r="J200" s="13"/>
    </row>
    <row r="201" ht="15.75" customHeight="1">
      <c r="B201" s="38"/>
      <c r="C201" s="34"/>
      <c r="D201" s="33"/>
      <c r="E201" s="34"/>
      <c r="F201" s="35"/>
      <c r="G201" s="36"/>
      <c r="H201" s="36"/>
      <c r="I201" s="36"/>
      <c r="J201" s="13"/>
    </row>
    <row r="202" ht="15.75" customHeight="1">
      <c r="B202" s="38"/>
      <c r="C202" s="34"/>
      <c r="D202" s="33"/>
      <c r="E202" s="34"/>
      <c r="F202" s="35"/>
      <c r="G202" s="36"/>
      <c r="H202" s="36"/>
      <c r="I202" s="36"/>
      <c r="J202" s="13"/>
    </row>
    <row r="203" ht="15.75" customHeight="1">
      <c r="B203" s="38"/>
      <c r="C203" s="34"/>
      <c r="D203" s="33"/>
      <c r="E203" s="34"/>
      <c r="F203" s="35"/>
      <c r="G203" s="36"/>
      <c r="H203" s="36"/>
      <c r="I203" s="36"/>
      <c r="J203" s="13"/>
    </row>
    <row r="204" ht="15.75" customHeight="1">
      <c r="B204" s="38"/>
      <c r="C204" s="34"/>
      <c r="D204" s="33"/>
      <c r="E204" s="34"/>
      <c r="F204" s="35"/>
      <c r="G204" s="36"/>
      <c r="H204" s="36"/>
      <c r="I204" s="36"/>
      <c r="J204" s="13"/>
    </row>
    <row r="205" ht="15.75" customHeight="1">
      <c r="B205" s="38"/>
      <c r="C205" s="34"/>
      <c r="D205" s="33"/>
      <c r="E205" s="34"/>
      <c r="F205" s="35"/>
      <c r="G205" s="36"/>
      <c r="H205" s="36"/>
      <c r="I205" s="36"/>
      <c r="J205" s="13"/>
    </row>
    <row r="206" ht="15.75" customHeight="1">
      <c r="B206" s="38"/>
      <c r="C206" s="34"/>
      <c r="D206" s="33"/>
      <c r="E206" s="34"/>
      <c r="F206" s="35"/>
      <c r="G206" s="36"/>
      <c r="H206" s="36"/>
      <c r="I206" s="36"/>
      <c r="J206" s="13"/>
    </row>
    <row r="207" ht="15.75" customHeight="1">
      <c r="B207" s="38"/>
      <c r="C207" s="34"/>
      <c r="D207" s="33"/>
      <c r="E207" s="34"/>
      <c r="F207" s="35"/>
      <c r="G207" s="36"/>
      <c r="H207" s="36"/>
      <c r="I207" s="36"/>
      <c r="J207" s="13"/>
    </row>
    <row r="208" ht="15.75" customHeight="1">
      <c r="B208" s="38"/>
      <c r="C208" s="34"/>
      <c r="D208" s="33"/>
      <c r="E208" s="34"/>
      <c r="F208" s="35"/>
      <c r="G208" s="36"/>
      <c r="H208" s="36"/>
      <c r="I208" s="36"/>
      <c r="J208" s="13"/>
    </row>
    <row r="209" ht="15.75" customHeight="1">
      <c r="B209" s="38"/>
      <c r="C209" s="34"/>
      <c r="D209" s="33"/>
      <c r="E209" s="34"/>
      <c r="F209" s="35"/>
      <c r="G209" s="36"/>
      <c r="H209" s="36"/>
      <c r="I209" s="36"/>
      <c r="J209" s="13"/>
    </row>
    <row r="210" ht="15.75" customHeight="1">
      <c r="B210" s="38"/>
      <c r="C210" s="34"/>
      <c r="D210" s="33"/>
      <c r="E210" s="34"/>
      <c r="F210" s="35"/>
      <c r="G210" s="36"/>
      <c r="H210" s="36"/>
      <c r="I210" s="36"/>
      <c r="J210" s="13"/>
    </row>
    <row r="211" ht="15.75" customHeight="1">
      <c r="B211" s="38"/>
      <c r="C211" s="34"/>
      <c r="D211" s="33"/>
      <c r="E211" s="34"/>
      <c r="F211" s="35"/>
      <c r="G211" s="36"/>
      <c r="H211" s="36"/>
      <c r="I211" s="36"/>
      <c r="J211" s="13"/>
    </row>
    <row r="212" ht="15.75" customHeight="1">
      <c r="B212" s="38"/>
      <c r="C212" s="34"/>
      <c r="D212" s="33"/>
      <c r="E212" s="34"/>
      <c r="F212" s="35"/>
      <c r="G212" s="36"/>
      <c r="H212" s="36"/>
      <c r="I212" s="36"/>
      <c r="J212" s="13"/>
    </row>
    <row r="213" ht="15.75" customHeight="1">
      <c r="B213" s="38"/>
      <c r="C213" s="34"/>
      <c r="D213" s="33"/>
      <c r="E213" s="34"/>
      <c r="F213" s="35"/>
      <c r="G213" s="36"/>
      <c r="H213" s="36"/>
      <c r="I213" s="36"/>
      <c r="J213" s="13"/>
    </row>
    <row r="214" ht="15.75" customHeight="1">
      <c r="B214" s="38"/>
      <c r="C214" s="34"/>
      <c r="D214" s="33"/>
      <c r="E214" s="34"/>
      <c r="F214" s="35"/>
      <c r="G214" s="36"/>
      <c r="H214" s="36"/>
      <c r="I214" s="36"/>
      <c r="J214" s="13"/>
    </row>
    <row r="215" ht="15.75" customHeight="1">
      <c r="B215" s="38"/>
      <c r="C215" s="34"/>
      <c r="D215" s="33"/>
      <c r="E215" s="34"/>
      <c r="F215" s="35"/>
      <c r="G215" s="36"/>
      <c r="H215" s="36"/>
      <c r="I215" s="36"/>
      <c r="J215" s="13"/>
    </row>
    <row r="216" ht="15.75" customHeight="1">
      <c r="B216" s="38"/>
      <c r="C216" s="34"/>
      <c r="D216" s="33"/>
      <c r="E216" s="34"/>
      <c r="F216" s="35"/>
      <c r="G216" s="36"/>
      <c r="H216" s="36"/>
      <c r="I216" s="36"/>
      <c r="J216" s="13"/>
    </row>
    <row r="217" ht="15.75" customHeight="1">
      <c r="B217" s="38"/>
      <c r="C217" s="34"/>
      <c r="D217" s="33"/>
      <c r="E217" s="34"/>
      <c r="F217" s="35"/>
      <c r="G217" s="36"/>
      <c r="H217" s="36"/>
      <c r="I217" s="36"/>
      <c r="J217" s="13"/>
    </row>
    <row r="218" ht="15.75" customHeight="1">
      <c r="B218" s="38"/>
      <c r="C218" s="34"/>
      <c r="D218" s="33"/>
      <c r="E218" s="34"/>
      <c r="F218" s="35"/>
      <c r="G218" s="36"/>
      <c r="H218" s="36"/>
      <c r="I218" s="36"/>
      <c r="J218" s="13"/>
    </row>
    <row r="219" ht="15.75" customHeight="1">
      <c r="B219" s="38"/>
      <c r="C219" s="34"/>
      <c r="D219" s="33"/>
      <c r="E219" s="34"/>
      <c r="F219" s="35"/>
      <c r="G219" s="36"/>
      <c r="H219" s="36"/>
      <c r="I219" s="36"/>
      <c r="J219" s="13"/>
    </row>
    <row r="220" ht="15.75" customHeight="1">
      <c r="B220" s="38"/>
      <c r="C220" s="34"/>
      <c r="D220" s="33"/>
      <c r="E220" s="34"/>
      <c r="F220" s="35"/>
      <c r="G220" s="36"/>
      <c r="H220" s="36"/>
      <c r="I220" s="36"/>
      <c r="J220" s="13"/>
    </row>
    <row r="221" ht="15.75" customHeight="1">
      <c r="B221" s="38"/>
      <c r="C221" s="34"/>
      <c r="D221" s="33"/>
      <c r="E221" s="34"/>
      <c r="F221" s="35"/>
      <c r="G221" s="36"/>
      <c r="H221" s="36"/>
      <c r="I221" s="36"/>
      <c r="J221" s="13"/>
    </row>
    <row r="222" ht="15.75" customHeight="1">
      <c r="B222" s="38"/>
      <c r="C222" s="34"/>
      <c r="D222" s="33"/>
      <c r="E222" s="34"/>
      <c r="F222" s="35"/>
      <c r="G222" s="36"/>
      <c r="H222" s="36"/>
      <c r="I222" s="36"/>
      <c r="J222" s="13"/>
    </row>
    <row r="223" ht="15.75" customHeight="1">
      <c r="B223" s="38"/>
      <c r="C223" s="34"/>
      <c r="D223" s="33"/>
      <c r="E223" s="34"/>
      <c r="F223" s="35"/>
      <c r="G223" s="36"/>
      <c r="H223" s="36"/>
      <c r="I223" s="36"/>
      <c r="J223" s="13"/>
    </row>
    <row r="224" ht="15.75" customHeight="1">
      <c r="B224" s="38"/>
      <c r="C224" s="34"/>
      <c r="D224" s="33"/>
      <c r="E224" s="34"/>
      <c r="F224" s="35"/>
      <c r="G224" s="36"/>
      <c r="H224" s="36"/>
      <c r="I224" s="36"/>
      <c r="J224" s="13"/>
    </row>
    <row r="225" ht="15.75" customHeight="1">
      <c r="B225" s="38"/>
      <c r="C225" s="34"/>
      <c r="D225" s="33"/>
      <c r="E225" s="34"/>
      <c r="F225" s="35"/>
      <c r="G225" s="36"/>
      <c r="H225" s="36"/>
      <c r="I225" s="36"/>
      <c r="J225" s="13"/>
    </row>
    <row r="226" ht="15.75" customHeight="1">
      <c r="B226" s="38"/>
      <c r="C226" s="34"/>
      <c r="D226" s="33"/>
      <c r="E226" s="34"/>
      <c r="F226" s="35"/>
      <c r="G226" s="36"/>
      <c r="H226" s="36"/>
      <c r="I226" s="36"/>
      <c r="J226" s="13"/>
    </row>
    <row r="227" ht="15.75" customHeight="1">
      <c r="B227" s="38"/>
      <c r="C227" s="34"/>
      <c r="D227" s="33"/>
      <c r="E227" s="34"/>
      <c r="F227" s="35"/>
      <c r="G227" s="36"/>
      <c r="H227" s="36"/>
      <c r="I227" s="36"/>
      <c r="J227" s="13"/>
    </row>
    <row r="228" ht="15.75" customHeight="1">
      <c r="B228" s="38"/>
      <c r="C228" s="34"/>
      <c r="D228" s="33"/>
      <c r="E228" s="34"/>
      <c r="F228" s="35"/>
      <c r="G228" s="36"/>
      <c r="H228" s="36"/>
      <c r="I228" s="36"/>
      <c r="J228" s="13"/>
    </row>
    <row r="229" ht="15.75" customHeight="1">
      <c r="B229" s="38"/>
      <c r="C229" s="34"/>
      <c r="D229" s="33"/>
      <c r="E229" s="34"/>
      <c r="F229" s="35"/>
      <c r="G229" s="36"/>
      <c r="H229" s="36"/>
      <c r="I229" s="36"/>
      <c r="J229" s="13"/>
    </row>
    <row r="230" ht="15.75" customHeight="1">
      <c r="B230" s="38"/>
      <c r="C230" s="34"/>
      <c r="D230" s="33"/>
      <c r="E230" s="34"/>
      <c r="F230" s="35"/>
      <c r="G230" s="36"/>
      <c r="H230" s="36"/>
      <c r="I230" s="36"/>
      <c r="J230" s="13"/>
    </row>
    <row r="231" ht="15.75" customHeight="1">
      <c r="B231" s="38"/>
      <c r="C231" s="34"/>
      <c r="D231" s="33"/>
      <c r="E231" s="34"/>
      <c r="F231" s="35"/>
      <c r="G231" s="36"/>
      <c r="H231" s="36"/>
      <c r="I231" s="36"/>
      <c r="J231" s="13"/>
    </row>
    <row r="232" ht="15.75" customHeight="1">
      <c r="B232" s="38"/>
      <c r="C232" s="34"/>
      <c r="D232" s="33"/>
      <c r="E232" s="34"/>
      <c r="F232" s="35"/>
      <c r="G232" s="36"/>
      <c r="H232" s="36"/>
      <c r="I232" s="36"/>
      <c r="J232" s="13"/>
    </row>
    <row r="233" ht="15.75" customHeight="1">
      <c r="B233" s="38"/>
      <c r="C233" s="34"/>
      <c r="D233" s="33"/>
      <c r="E233" s="34"/>
      <c r="F233" s="35"/>
      <c r="G233" s="36"/>
      <c r="H233" s="36"/>
      <c r="I233" s="36"/>
      <c r="J233" s="13"/>
    </row>
    <row r="234" ht="15.75" customHeight="1">
      <c r="B234" s="38"/>
      <c r="C234" s="34"/>
      <c r="D234" s="33"/>
      <c r="E234" s="34"/>
      <c r="F234" s="35"/>
      <c r="G234" s="36"/>
      <c r="H234" s="36"/>
      <c r="I234" s="36"/>
      <c r="J234" s="13"/>
    </row>
    <row r="235" ht="15.75" customHeight="1">
      <c r="B235" s="38"/>
      <c r="C235" s="34"/>
      <c r="D235" s="33"/>
      <c r="E235" s="34"/>
      <c r="F235" s="35"/>
      <c r="G235" s="36"/>
      <c r="H235" s="36"/>
      <c r="I235" s="36"/>
      <c r="J235" s="13"/>
    </row>
    <row r="236" ht="15.75" customHeight="1">
      <c r="B236" s="38"/>
      <c r="C236" s="34"/>
      <c r="D236" s="33"/>
      <c r="E236" s="34"/>
      <c r="F236" s="35"/>
      <c r="G236" s="36"/>
      <c r="H236" s="36"/>
      <c r="I236" s="36"/>
      <c r="J236" s="13"/>
    </row>
    <row r="237" ht="15.75" customHeight="1">
      <c r="B237" s="38"/>
      <c r="C237" s="34"/>
      <c r="D237" s="33"/>
      <c r="E237" s="34"/>
      <c r="F237" s="35"/>
      <c r="G237" s="36"/>
      <c r="H237" s="36"/>
      <c r="I237" s="36"/>
      <c r="J237" s="13"/>
    </row>
    <row r="238" ht="15.75" customHeight="1">
      <c r="B238" s="38"/>
      <c r="C238" s="34"/>
      <c r="D238" s="33"/>
      <c r="E238" s="34"/>
      <c r="F238" s="35"/>
      <c r="G238" s="36"/>
      <c r="H238" s="36"/>
      <c r="I238" s="36"/>
      <c r="J238" s="13"/>
    </row>
    <row r="239" ht="15.75" customHeight="1">
      <c r="B239" s="38"/>
      <c r="C239" s="34"/>
      <c r="D239" s="33"/>
      <c r="E239" s="34"/>
      <c r="F239" s="35"/>
      <c r="G239" s="36"/>
      <c r="H239" s="36"/>
      <c r="I239" s="36"/>
      <c r="J239" s="13"/>
    </row>
    <row r="240" ht="15.75" customHeight="1">
      <c r="B240" s="38"/>
      <c r="C240" s="34"/>
      <c r="D240" s="33"/>
      <c r="E240" s="34"/>
      <c r="F240" s="35"/>
      <c r="G240" s="36"/>
      <c r="H240" s="36"/>
      <c r="I240" s="36"/>
      <c r="J240" s="13"/>
    </row>
    <row r="241" ht="15.75" customHeight="1">
      <c r="B241" s="38"/>
      <c r="C241" s="34"/>
      <c r="D241" s="33"/>
      <c r="E241" s="34"/>
      <c r="F241" s="35"/>
      <c r="G241" s="36"/>
      <c r="H241" s="36"/>
      <c r="I241" s="36"/>
      <c r="J241" s="13"/>
    </row>
    <row r="242" ht="15.75" customHeight="1">
      <c r="B242" s="38"/>
      <c r="C242" s="34"/>
      <c r="D242" s="33"/>
      <c r="E242" s="34"/>
      <c r="F242" s="35"/>
      <c r="G242" s="36"/>
      <c r="H242" s="36"/>
      <c r="I242" s="36"/>
      <c r="J242" s="13"/>
    </row>
    <row r="243" ht="15.75" customHeight="1">
      <c r="B243" s="38"/>
      <c r="C243" s="34"/>
      <c r="D243" s="33"/>
      <c r="E243" s="34"/>
      <c r="F243" s="35"/>
      <c r="G243" s="36"/>
      <c r="H243" s="36"/>
      <c r="I243" s="36"/>
      <c r="J243" s="13"/>
    </row>
    <row r="244" ht="15.75" customHeight="1">
      <c r="B244" s="38"/>
      <c r="C244" s="34"/>
      <c r="D244" s="33"/>
      <c r="E244" s="34"/>
      <c r="F244" s="35"/>
      <c r="G244" s="36"/>
      <c r="H244" s="36"/>
      <c r="I244" s="36"/>
      <c r="J244" s="13"/>
    </row>
    <row r="245" ht="15.75" customHeight="1">
      <c r="B245" s="38"/>
      <c r="C245" s="34"/>
      <c r="D245" s="33"/>
      <c r="E245" s="34"/>
      <c r="F245" s="35"/>
      <c r="G245" s="36"/>
      <c r="H245" s="36"/>
      <c r="I245" s="36"/>
      <c r="J245" s="13"/>
    </row>
    <row r="246" ht="15.75" customHeight="1">
      <c r="B246" s="38"/>
      <c r="C246" s="34"/>
      <c r="D246" s="33"/>
      <c r="E246" s="34"/>
      <c r="F246" s="35"/>
      <c r="G246" s="36"/>
      <c r="H246" s="36"/>
      <c r="I246" s="36"/>
      <c r="J246" s="13"/>
    </row>
    <row r="247" ht="15.75" customHeight="1">
      <c r="B247" s="38"/>
      <c r="C247" s="34"/>
      <c r="D247" s="33"/>
      <c r="E247" s="34"/>
      <c r="F247" s="35"/>
      <c r="G247" s="36"/>
      <c r="H247" s="36"/>
      <c r="I247" s="36"/>
      <c r="J247" s="13"/>
    </row>
    <row r="248" ht="15.75" customHeight="1">
      <c r="B248" s="38"/>
      <c r="C248" s="34"/>
      <c r="D248" s="33"/>
      <c r="E248" s="34"/>
      <c r="F248" s="35"/>
      <c r="G248" s="36"/>
      <c r="H248" s="36"/>
      <c r="I248" s="36"/>
      <c r="J248" s="13"/>
    </row>
    <row r="249" ht="15.75" customHeight="1">
      <c r="B249" s="38"/>
      <c r="C249" s="34"/>
      <c r="D249" s="33"/>
      <c r="E249" s="34"/>
      <c r="F249" s="35"/>
      <c r="G249" s="36"/>
      <c r="H249" s="36"/>
      <c r="I249" s="36"/>
      <c r="J249" s="13"/>
    </row>
    <row r="250" ht="15.75" customHeight="1">
      <c r="B250" s="38"/>
      <c r="C250" s="34"/>
      <c r="D250" s="33"/>
      <c r="E250" s="34"/>
      <c r="F250" s="35"/>
      <c r="G250" s="36"/>
      <c r="H250" s="36"/>
      <c r="I250" s="36"/>
      <c r="J250" s="13"/>
    </row>
    <row r="251" ht="15.75" customHeight="1">
      <c r="B251" s="38"/>
      <c r="C251" s="34"/>
      <c r="D251" s="33"/>
      <c r="E251" s="34"/>
      <c r="F251" s="35"/>
      <c r="G251" s="36"/>
      <c r="H251" s="36"/>
      <c r="I251" s="36"/>
      <c r="J251" s="13"/>
    </row>
    <row r="252" ht="15.75" customHeight="1">
      <c r="B252" s="38"/>
      <c r="C252" s="34"/>
      <c r="D252" s="33"/>
      <c r="E252" s="34"/>
      <c r="F252" s="35"/>
      <c r="G252" s="36"/>
      <c r="H252" s="36"/>
      <c r="I252" s="36"/>
      <c r="J252" s="13"/>
    </row>
    <row r="253" ht="15.75" customHeight="1">
      <c r="B253" s="38"/>
      <c r="C253" s="34"/>
      <c r="D253" s="33"/>
      <c r="E253" s="34"/>
      <c r="F253" s="35"/>
      <c r="G253" s="36"/>
      <c r="H253" s="36"/>
      <c r="I253" s="36"/>
      <c r="J253" s="13"/>
    </row>
    <row r="254" ht="15.75" customHeight="1">
      <c r="B254" s="38"/>
      <c r="C254" s="34"/>
      <c r="D254" s="33"/>
      <c r="E254" s="34"/>
      <c r="F254" s="35"/>
      <c r="G254" s="36"/>
      <c r="H254" s="36"/>
      <c r="I254" s="36"/>
      <c r="J254" s="13"/>
    </row>
    <row r="255" ht="15.75" customHeight="1">
      <c r="B255" s="38"/>
      <c r="C255" s="34"/>
      <c r="D255" s="33"/>
      <c r="E255" s="34"/>
      <c r="F255" s="35"/>
      <c r="G255" s="36"/>
      <c r="H255" s="36"/>
      <c r="I255" s="36"/>
      <c r="J255" s="13"/>
    </row>
    <row r="256" ht="15.75" customHeight="1">
      <c r="B256" s="38"/>
      <c r="C256" s="34"/>
      <c r="D256" s="33"/>
      <c r="E256" s="34"/>
      <c r="F256" s="35"/>
      <c r="G256" s="36"/>
      <c r="H256" s="36"/>
      <c r="I256" s="36"/>
      <c r="J256" s="13"/>
    </row>
    <row r="257" ht="15.75" customHeight="1">
      <c r="B257" s="38"/>
      <c r="C257" s="34"/>
      <c r="D257" s="33"/>
      <c r="E257" s="34"/>
      <c r="F257" s="35"/>
      <c r="G257" s="36"/>
      <c r="H257" s="36"/>
      <c r="I257" s="36"/>
      <c r="J257" s="13"/>
    </row>
    <row r="258" ht="15.75" customHeight="1">
      <c r="B258" s="38"/>
      <c r="C258" s="34"/>
      <c r="D258" s="33"/>
      <c r="E258" s="34"/>
      <c r="F258" s="35"/>
      <c r="G258" s="36"/>
      <c r="H258" s="36"/>
      <c r="I258" s="36"/>
      <c r="J258" s="13"/>
    </row>
    <row r="259" ht="15.75" customHeight="1">
      <c r="B259" s="38"/>
      <c r="C259" s="34"/>
      <c r="D259" s="33"/>
      <c r="E259" s="34"/>
      <c r="F259" s="35"/>
      <c r="G259" s="36"/>
      <c r="H259" s="36"/>
      <c r="I259" s="36"/>
      <c r="J259" s="13"/>
    </row>
    <row r="260" ht="15.75" customHeight="1">
      <c r="B260" s="38"/>
      <c r="C260" s="34"/>
      <c r="D260" s="33"/>
      <c r="E260" s="34"/>
      <c r="F260" s="35"/>
      <c r="G260" s="36"/>
      <c r="H260" s="36"/>
      <c r="I260" s="36"/>
      <c r="J260" s="13"/>
    </row>
    <row r="261" ht="15.75" customHeight="1">
      <c r="B261" s="38"/>
      <c r="C261" s="34"/>
      <c r="D261" s="33"/>
      <c r="E261" s="34"/>
      <c r="F261" s="35"/>
      <c r="G261" s="36"/>
      <c r="H261" s="36"/>
      <c r="I261" s="36"/>
      <c r="J261" s="13"/>
    </row>
    <row r="262" ht="15.75" customHeight="1">
      <c r="B262" s="38"/>
      <c r="C262" s="34"/>
      <c r="D262" s="33"/>
      <c r="E262" s="34"/>
      <c r="F262" s="35"/>
      <c r="G262" s="36"/>
      <c r="H262" s="36"/>
      <c r="I262" s="36"/>
      <c r="J262" s="13"/>
    </row>
    <row r="263" ht="15.75" customHeight="1">
      <c r="B263" s="38"/>
      <c r="C263" s="34"/>
      <c r="D263" s="33"/>
      <c r="E263" s="34"/>
      <c r="F263" s="35"/>
      <c r="G263" s="36"/>
      <c r="H263" s="36"/>
      <c r="I263" s="36"/>
      <c r="J263" s="13"/>
    </row>
    <row r="264" ht="15.75" customHeight="1">
      <c r="B264" s="38"/>
      <c r="C264" s="34"/>
      <c r="D264" s="33"/>
      <c r="E264" s="34"/>
      <c r="F264" s="35"/>
      <c r="G264" s="36"/>
      <c r="H264" s="36"/>
      <c r="I264" s="36"/>
      <c r="J264" s="13"/>
    </row>
    <row r="265" ht="15.75" customHeight="1">
      <c r="B265" s="38"/>
      <c r="C265" s="34"/>
      <c r="D265" s="33"/>
      <c r="E265" s="34"/>
      <c r="F265" s="35"/>
      <c r="G265" s="36"/>
      <c r="H265" s="36"/>
      <c r="I265" s="36"/>
      <c r="J265" s="13"/>
    </row>
    <row r="266" ht="15.75" customHeight="1">
      <c r="B266" s="38"/>
      <c r="C266" s="34"/>
      <c r="D266" s="33"/>
      <c r="E266" s="34"/>
      <c r="F266" s="35"/>
      <c r="G266" s="36"/>
      <c r="H266" s="36"/>
      <c r="I266" s="36"/>
      <c r="J266" s="13"/>
    </row>
    <row r="267" ht="15.75" customHeight="1">
      <c r="B267" s="38"/>
      <c r="C267" s="34"/>
      <c r="D267" s="33"/>
      <c r="E267" s="34"/>
      <c r="F267" s="35"/>
      <c r="G267" s="36"/>
      <c r="H267" s="36"/>
      <c r="I267" s="36"/>
      <c r="J267" s="13"/>
    </row>
    <row r="268" ht="15.75" customHeight="1">
      <c r="B268" s="38"/>
      <c r="C268" s="34"/>
      <c r="D268" s="33"/>
      <c r="E268" s="34"/>
      <c r="F268" s="35"/>
      <c r="G268" s="36"/>
      <c r="H268" s="36"/>
      <c r="I268" s="36"/>
      <c r="J268" s="13"/>
    </row>
    <row r="269" ht="15.75" customHeight="1">
      <c r="B269" s="38"/>
      <c r="C269" s="34"/>
      <c r="D269" s="33"/>
      <c r="E269" s="34"/>
      <c r="F269" s="35"/>
      <c r="G269" s="36"/>
      <c r="H269" s="36"/>
      <c r="I269" s="36"/>
      <c r="J269" s="13"/>
    </row>
    <row r="270" ht="15.75" customHeight="1">
      <c r="B270" s="38"/>
      <c r="C270" s="34"/>
      <c r="D270" s="33"/>
      <c r="E270" s="34"/>
      <c r="F270" s="35"/>
      <c r="G270" s="36"/>
      <c r="H270" s="36"/>
      <c r="I270" s="36"/>
      <c r="J270" s="13"/>
    </row>
    <row r="271" ht="15.75" customHeight="1">
      <c r="B271" s="38"/>
      <c r="C271" s="34"/>
      <c r="D271" s="33"/>
      <c r="E271" s="34"/>
      <c r="F271" s="35"/>
      <c r="G271" s="36"/>
      <c r="H271" s="36"/>
      <c r="I271" s="36"/>
      <c r="J271" s="13"/>
    </row>
    <row r="272" ht="15.75" customHeight="1">
      <c r="B272" s="38"/>
      <c r="C272" s="34"/>
      <c r="D272" s="33"/>
      <c r="E272" s="34"/>
      <c r="F272" s="35"/>
      <c r="G272" s="36"/>
      <c r="H272" s="36"/>
      <c r="I272" s="36"/>
      <c r="J272" s="13"/>
    </row>
    <row r="273" ht="15.75" customHeight="1">
      <c r="B273" s="38"/>
      <c r="C273" s="34"/>
      <c r="D273" s="33"/>
      <c r="E273" s="34"/>
      <c r="F273" s="35"/>
      <c r="G273" s="36"/>
      <c r="H273" s="36"/>
      <c r="I273" s="36"/>
      <c r="J273" s="13"/>
    </row>
    <row r="274" ht="15.75" customHeight="1">
      <c r="B274" s="38"/>
      <c r="C274" s="34"/>
      <c r="D274" s="33"/>
      <c r="E274" s="34"/>
      <c r="F274" s="35"/>
      <c r="G274" s="36"/>
      <c r="H274" s="36"/>
      <c r="I274" s="36"/>
      <c r="J274" s="13"/>
    </row>
    <row r="275" ht="15.75" customHeight="1">
      <c r="B275" s="38"/>
      <c r="C275" s="34"/>
      <c r="D275" s="33"/>
      <c r="E275" s="34"/>
      <c r="F275" s="35"/>
      <c r="G275" s="36"/>
      <c r="H275" s="36"/>
      <c r="I275" s="36"/>
      <c r="J275" s="13"/>
    </row>
    <row r="276" ht="15.75" customHeight="1">
      <c r="B276" s="38"/>
      <c r="C276" s="34"/>
      <c r="D276" s="33"/>
      <c r="E276" s="34"/>
      <c r="F276" s="35"/>
      <c r="G276" s="36"/>
      <c r="H276" s="36"/>
      <c r="I276" s="36"/>
      <c r="J276" s="13"/>
    </row>
    <row r="277" ht="15.75" customHeight="1">
      <c r="B277" s="38"/>
      <c r="C277" s="34"/>
      <c r="D277" s="33"/>
      <c r="E277" s="34"/>
      <c r="F277" s="35"/>
      <c r="G277" s="36"/>
      <c r="H277" s="36"/>
      <c r="I277" s="36"/>
      <c r="J277" s="13"/>
    </row>
    <row r="278" ht="15.75" customHeight="1">
      <c r="B278" s="38"/>
      <c r="C278" s="34"/>
      <c r="D278" s="33"/>
      <c r="E278" s="34"/>
      <c r="F278" s="35"/>
      <c r="G278" s="36"/>
      <c r="H278" s="36"/>
      <c r="I278" s="36"/>
      <c r="J278" s="13"/>
    </row>
    <row r="279" ht="15.75" customHeight="1">
      <c r="B279" s="38"/>
      <c r="C279" s="34"/>
      <c r="D279" s="33"/>
      <c r="E279" s="34"/>
      <c r="F279" s="35"/>
      <c r="G279" s="36"/>
      <c r="H279" s="36"/>
      <c r="I279" s="36"/>
      <c r="J279" s="13"/>
    </row>
    <row r="280" ht="15.75" customHeight="1">
      <c r="B280" s="38"/>
      <c r="C280" s="34"/>
      <c r="D280" s="33"/>
      <c r="E280" s="34"/>
      <c r="F280" s="35"/>
      <c r="G280" s="36"/>
      <c r="H280" s="36"/>
      <c r="I280" s="36"/>
      <c r="J280" s="13"/>
    </row>
    <row r="281" ht="15.75" customHeight="1">
      <c r="B281" s="38"/>
      <c r="C281" s="34"/>
      <c r="D281" s="33"/>
      <c r="E281" s="34"/>
      <c r="F281" s="35"/>
      <c r="G281" s="36"/>
      <c r="H281" s="36"/>
      <c r="I281" s="36"/>
      <c r="J281" s="13"/>
    </row>
    <row r="282" ht="15.75" customHeight="1">
      <c r="B282" s="38"/>
      <c r="C282" s="34"/>
      <c r="D282" s="33"/>
      <c r="E282" s="34"/>
      <c r="F282" s="35"/>
      <c r="G282" s="36"/>
      <c r="H282" s="36"/>
      <c r="I282" s="36"/>
      <c r="J282" s="13"/>
    </row>
    <row r="283" ht="15.75" customHeight="1">
      <c r="B283" s="38"/>
      <c r="C283" s="34"/>
      <c r="D283" s="33"/>
      <c r="E283" s="34"/>
      <c r="F283" s="35"/>
      <c r="G283" s="36"/>
      <c r="H283" s="36"/>
      <c r="I283" s="36"/>
      <c r="J283" s="13"/>
    </row>
    <row r="284" ht="15.75" customHeight="1">
      <c r="B284" s="38"/>
      <c r="C284" s="34"/>
      <c r="D284" s="33"/>
      <c r="E284" s="34"/>
      <c r="F284" s="35"/>
      <c r="G284" s="36"/>
      <c r="H284" s="36"/>
      <c r="I284" s="36"/>
      <c r="J284" s="13"/>
    </row>
    <row r="285" ht="15.75" customHeight="1">
      <c r="B285" s="38"/>
      <c r="C285" s="34"/>
      <c r="D285" s="33"/>
      <c r="E285" s="34"/>
      <c r="F285" s="35"/>
      <c r="G285" s="36"/>
      <c r="H285" s="36"/>
      <c r="I285" s="36"/>
      <c r="J285" s="13"/>
    </row>
    <row r="286" ht="15.75" customHeight="1">
      <c r="B286" s="38"/>
      <c r="C286" s="34"/>
      <c r="D286" s="33"/>
      <c r="E286" s="34"/>
      <c r="F286" s="35"/>
      <c r="G286" s="36"/>
      <c r="H286" s="36"/>
      <c r="I286" s="36"/>
      <c r="J286" s="13"/>
    </row>
    <row r="287" ht="15.75" customHeight="1">
      <c r="B287" s="38"/>
      <c r="C287" s="34"/>
      <c r="D287" s="33"/>
      <c r="E287" s="34"/>
      <c r="F287" s="35"/>
      <c r="G287" s="36"/>
      <c r="H287" s="36"/>
      <c r="I287" s="36"/>
      <c r="J287" s="13"/>
    </row>
    <row r="288" ht="15.75" customHeight="1">
      <c r="B288" s="38"/>
      <c r="C288" s="34"/>
      <c r="D288" s="33"/>
      <c r="E288" s="34"/>
      <c r="F288" s="35"/>
      <c r="G288" s="36"/>
      <c r="H288" s="36"/>
      <c r="I288" s="36"/>
      <c r="J288" s="13"/>
    </row>
    <row r="289" ht="15.75" customHeight="1">
      <c r="B289" s="38"/>
      <c r="C289" s="34"/>
      <c r="D289" s="33"/>
      <c r="E289" s="34"/>
      <c r="F289" s="35"/>
      <c r="G289" s="36"/>
      <c r="H289" s="36"/>
      <c r="I289" s="36"/>
      <c r="J289" s="13"/>
    </row>
    <row r="290" ht="15.75" customHeight="1">
      <c r="B290" s="38"/>
      <c r="C290" s="34"/>
      <c r="D290" s="33"/>
      <c r="E290" s="34"/>
      <c r="F290" s="35"/>
      <c r="G290" s="36"/>
      <c r="H290" s="36"/>
      <c r="I290" s="36"/>
      <c r="J290" s="13"/>
    </row>
    <row r="291" ht="15.75" customHeight="1">
      <c r="B291" s="38"/>
      <c r="C291" s="34"/>
      <c r="D291" s="33"/>
      <c r="E291" s="34"/>
      <c r="F291" s="35"/>
      <c r="G291" s="36"/>
      <c r="H291" s="36"/>
      <c r="I291" s="36"/>
      <c r="J291" s="13"/>
    </row>
    <row r="292" ht="15.75" customHeight="1">
      <c r="B292" s="38"/>
      <c r="C292" s="34"/>
      <c r="D292" s="33"/>
      <c r="E292" s="34"/>
      <c r="F292" s="35"/>
      <c r="G292" s="36"/>
      <c r="H292" s="36"/>
      <c r="I292" s="36"/>
      <c r="J292" s="13"/>
    </row>
    <row r="293" ht="15.75" customHeight="1">
      <c r="B293" s="38"/>
      <c r="C293" s="34"/>
      <c r="D293" s="33"/>
      <c r="E293" s="34"/>
      <c r="F293" s="35"/>
      <c r="G293" s="36"/>
      <c r="H293" s="36"/>
      <c r="I293" s="36"/>
      <c r="J293" s="13"/>
    </row>
    <row r="294" ht="15.75" customHeight="1">
      <c r="B294" s="38"/>
      <c r="C294" s="34"/>
      <c r="D294" s="33"/>
      <c r="E294" s="34"/>
      <c r="F294" s="35"/>
      <c r="G294" s="36"/>
      <c r="H294" s="36"/>
      <c r="I294" s="36"/>
      <c r="J294" s="13"/>
    </row>
    <row r="295" ht="15.75" customHeight="1">
      <c r="B295" s="38"/>
      <c r="C295" s="34"/>
      <c r="D295" s="33"/>
      <c r="E295" s="34"/>
      <c r="F295" s="35"/>
      <c r="G295" s="36"/>
      <c r="H295" s="36"/>
      <c r="I295" s="36"/>
      <c r="J295" s="13"/>
    </row>
    <row r="296" ht="15.75" customHeight="1">
      <c r="B296" s="38"/>
      <c r="C296" s="34"/>
      <c r="D296" s="33"/>
      <c r="E296" s="34"/>
      <c r="F296" s="35"/>
      <c r="G296" s="36"/>
      <c r="H296" s="36"/>
      <c r="I296" s="36"/>
      <c r="J296" s="13"/>
    </row>
    <row r="297" ht="15.75" customHeight="1">
      <c r="B297" s="38"/>
      <c r="C297" s="34"/>
      <c r="D297" s="33"/>
      <c r="E297" s="34"/>
      <c r="F297" s="35"/>
      <c r="G297" s="36"/>
      <c r="H297" s="36"/>
      <c r="I297" s="36"/>
      <c r="J297" s="13"/>
    </row>
    <row r="298" ht="15.75" customHeight="1">
      <c r="B298" s="38"/>
      <c r="C298" s="34"/>
      <c r="D298" s="33"/>
      <c r="E298" s="34"/>
      <c r="F298" s="35"/>
      <c r="G298" s="36"/>
      <c r="H298" s="36"/>
      <c r="I298" s="36"/>
      <c r="J298" s="13"/>
    </row>
    <row r="299" ht="15.75" customHeight="1">
      <c r="B299" s="38"/>
      <c r="C299" s="34"/>
      <c r="D299" s="33"/>
      <c r="E299" s="34"/>
      <c r="F299" s="35"/>
      <c r="G299" s="36"/>
      <c r="H299" s="36"/>
      <c r="I299" s="36"/>
      <c r="J299" s="13"/>
    </row>
    <row r="300" ht="15.75" customHeight="1">
      <c r="B300" s="38"/>
      <c r="C300" s="34"/>
      <c r="D300" s="33"/>
      <c r="E300" s="34"/>
      <c r="F300" s="35"/>
      <c r="G300" s="36"/>
      <c r="H300" s="36"/>
      <c r="I300" s="36"/>
      <c r="J300" s="13"/>
    </row>
    <row r="301" ht="15.75" customHeight="1">
      <c r="B301" s="38"/>
      <c r="C301" s="34"/>
      <c r="D301" s="33"/>
      <c r="E301" s="34"/>
      <c r="F301" s="35"/>
      <c r="G301" s="36"/>
      <c r="H301" s="36"/>
      <c r="I301" s="36"/>
      <c r="J301" s="13"/>
    </row>
    <row r="302" ht="15.75" customHeight="1">
      <c r="B302" s="38"/>
      <c r="C302" s="34"/>
      <c r="D302" s="33"/>
      <c r="E302" s="34"/>
      <c r="F302" s="35"/>
      <c r="G302" s="36"/>
      <c r="H302" s="36"/>
      <c r="I302" s="36"/>
      <c r="J302" s="13"/>
    </row>
    <row r="303" ht="15.75" customHeight="1">
      <c r="B303" s="38"/>
      <c r="C303" s="34"/>
      <c r="D303" s="33"/>
      <c r="E303" s="34"/>
      <c r="F303" s="35"/>
      <c r="G303" s="36"/>
      <c r="H303" s="36"/>
      <c r="I303" s="36"/>
      <c r="J303" s="13"/>
    </row>
    <row r="304" ht="15.75" customHeight="1">
      <c r="B304" s="38"/>
      <c r="C304" s="34"/>
      <c r="D304" s="33"/>
      <c r="E304" s="34"/>
      <c r="F304" s="35"/>
      <c r="G304" s="36"/>
      <c r="H304" s="36"/>
      <c r="I304" s="36"/>
      <c r="J304" s="13"/>
    </row>
    <row r="305" ht="15.75" customHeight="1">
      <c r="B305" s="38"/>
      <c r="C305" s="34"/>
      <c r="D305" s="33"/>
      <c r="E305" s="34"/>
      <c r="F305" s="35"/>
      <c r="G305" s="36"/>
      <c r="H305" s="36"/>
      <c r="I305" s="36"/>
      <c r="J305" s="13"/>
    </row>
    <row r="306" ht="15.75" customHeight="1">
      <c r="B306" s="38"/>
      <c r="C306" s="34"/>
      <c r="D306" s="33"/>
      <c r="E306" s="34"/>
      <c r="F306" s="35"/>
      <c r="G306" s="36"/>
      <c r="H306" s="36"/>
      <c r="I306" s="36"/>
      <c r="J306" s="13"/>
    </row>
    <row r="307" ht="15.75" customHeight="1">
      <c r="B307" s="38"/>
      <c r="C307" s="34"/>
      <c r="D307" s="33"/>
      <c r="E307" s="34"/>
      <c r="F307" s="35"/>
      <c r="G307" s="36"/>
      <c r="H307" s="36"/>
      <c r="I307" s="36"/>
      <c r="J307" s="13"/>
    </row>
    <row r="308" ht="15.75" customHeight="1">
      <c r="B308" s="38"/>
      <c r="C308" s="34"/>
      <c r="D308" s="33"/>
      <c r="E308" s="34"/>
      <c r="F308" s="35"/>
      <c r="G308" s="36"/>
      <c r="H308" s="36"/>
      <c r="I308" s="36"/>
      <c r="J308" s="13"/>
    </row>
    <row r="309" ht="15.75" customHeight="1">
      <c r="B309" s="38"/>
      <c r="C309" s="34"/>
      <c r="D309" s="33"/>
      <c r="E309" s="34"/>
      <c r="F309" s="35"/>
      <c r="G309" s="36"/>
      <c r="H309" s="36"/>
      <c r="I309" s="36"/>
      <c r="J309" s="13"/>
    </row>
    <row r="310" ht="15.75" customHeight="1">
      <c r="B310" s="38"/>
      <c r="C310" s="34"/>
      <c r="D310" s="33"/>
      <c r="E310" s="34"/>
      <c r="F310" s="35"/>
      <c r="G310" s="36"/>
      <c r="H310" s="36"/>
      <c r="I310" s="36"/>
      <c r="J310" s="13"/>
    </row>
    <row r="311" ht="15.75" customHeight="1">
      <c r="B311" s="38"/>
      <c r="C311" s="34"/>
      <c r="D311" s="33"/>
      <c r="E311" s="34"/>
      <c r="F311" s="35"/>
      <c r="G311" s="36"/>
      <c r="H311" s="36"/>
      <c r="I311" s="36"/>
      <c r="J311" s="13"/>
    </row>
    <row r="312" ht="15.75" customHeight="1">
      <c r="B312" s="38"/>
      <c r="C312" s="34"/>
      <c r="D312" s="33"/>
      <c r="E312" s="34"/>
      <c r="F312" s="35"/>
      <c r="G312" s="36"/>
      <c r="H312" s="36"/>
      <c r="I312" s="36"/>
      <c r="J312" s="13"/>
    </row>
    <row r="313" ht="15.75" customHeight="1">
      <c r="B313" s="38"/>
      <c r="C313" s="34"/>
      <c r="D313" s="33"/>
      <c r="E313" s="34"/>
      <c r="F313" s="35"/>
      <c r="G313" s="36"/>
      <c r="H313" s="36"/>
      <c r="I313" s="36"/>
      <c r="J313" s="13"/>
    </row>
    <row r="314" ht="15.75" customHeight="1">
      <c r="B314" s="38"/>
      <c r="C314" s="34"/>
      <c r="D314" s="33"/>
      <c r="E314" s="34"/>
      <c r="F314" s="35"/>
      <c r="G314" s="36"/>
      <c r="H314" s="36"/>
      <c r="I314" s="36"/>
      <c r="J314" s="13"/>
    </row>
    <row r="315" ht="15.75" customHeight="1">
      <c r="B315" s="38"/>
      <c r="C315" s="34"/>
      <c r="D315" s="33"/>
      <c r="E315" s="34"/>
      <c r="F315" s="35"/>
      <c r="G315" s="36"/>
      <c r="H315" s="36"/>
      <c r="I315" s="36"/>
      <c r="J315" s="13"/>
    </row>
    <row r="316" ht="15.75" customHeight="1">
      <c r="B316" s="38"/>
      <c r="C316" s="34"/>
      <c r="D316" s="33"/>
      <c r="E316" s="34"/>
      <c r="F316" s="35"/>
      <c r="G316" s="36"/>
      <c r="H316" s="36"/>
      <c r="I316" s="36"/>
      <c r="J316" s="13"/>
    </row>
    <row r="317" ht="15.75" customHeight="1">
      <c r="B317" s="38"/>
      <c r="C317" s="34"/>
      <c r="D317" s="33"/>
      <c r="E317" s="34"/>
      <c r="F317" s="35"/>
      <c r="G317" s="36"/>
      <c r="H317" s="36"/>
      <c r="I317" s="36"/>
      <c r="J317" s="13"/>
    </row>
    <row r="318" ht="15.75" customHeight="1">
      <c r="B318" s="38"/>
      <c r="C318" s="34"/>
      <c r="D318" s="33"/>
      <c r="E318" s="34"/>
      <c r="F318" s="35"/>
      <c r="G318" s="36"/>
      <c r="H318" s="36"/>
      <c r="I318" s="36"/>
      <c r="J318" s="13"/>
    </row>
    <row r="319" ht="15.75" customHeight="1">
      <c r="B319" s="38"/>
      <c r="C319" s="34"/>
      <c r="D319" s="33"/>
      <c r="E319" s="34"/>
      <c r="F319" s="35"/>
      <c r="G319" s="36"/>
      <c r="H319" s="36"/>
      <c r="I319" s="36"/>
      <c r="J319" s="13"/>
    </row>
    <row r="320" ht="15.75" customHeight="1">
      <c r="B320" s="38"/>
      <c r="C320" s="34"/>
      <c r="D320" s="33"/>
      <c r="E320" s="34"/>
      <c r="F320" s="35"/>
      <c r="G320" s="36"/>
      <c r="H320" s="36"/>
      <c r="I320" s="36"/>
      <c r="J320" s="13"/>
    </row>
    <row r="321" ht="15.75" customHeight="1">
      <c r="B321" s="38"/>
      <c r="C321" s="34"/>
      <c r="D321" s="33"/>
      <c r="E321" s="34"/>
      <c r="F321" s="35"/>
      <c r="G321" s="36"/>
      <c r="H321" s="36"/>
      <c r="I321" s="36"/>
      <c r="J321" s="13"/>
    </row>
    <row r="322" ht="15.75" customHeight="1">
      <c r="B322" s="38"/>
      <c r="C322" s="34"/>
      <c r="D322" s="33"/>
      <c r="E322" s="34"/>
      <c r="F322" s="35"/>
      <c r="G322" s="36"/>
      <c r="H322" s="36"/>
      <c r="I322" s="36"/>
      <c r="J322" s="13"/>
    </row>
    <row r="323" ht="15.75" customHeight="1">
      <c r="B323" s="38"/>
      <c r="C323" s="34"/>
      <c r="D323" s="33"/>
      <c r="E323" s="34"/>
      <c r="F323" s="35"/>
      <c r="G323" s="36"/>
      <c r="H323" s="36"/>
      <c r="I323" s="36"/>
      <c r="J323" s="13"/>
    </row>
    <row r="324" ht="15.75" customHeight="1">
      <c r="B324" s="38"/>
      <c r="C324" s="34"/>
      <c r="D324" s="33"/>
      <c r="E324" s="34"/>
      <c r="F324" s="35"/>
      <c r="G324" s="36"/>
      <c r="H324" s="36"/>
      <c r="I324" s="36"/>
      <c r="J324" s="13"/>
    </row>
    <row r="325" ht="15.75" customHeight="1">
      <c r="B325" s="38"/>
      <c r="C325" s="34"/>
      <c r="D325" s="33"/>
      <c r="E325" s="34"/>
      <c r="F325" s="35"/>
      <c r="G325" s="36"/>
      <c r="H325" s="36"/>
      <c r="I325" s="36"/>
      <c r="J325" s="13"/>
    </row>
    <row r="326" ht="15.75" customHeight="1">
      <c r="B326" s="38"/>
      <c r="C326" s="34"/>
      <c r="D326" s="33"/>
      <c r="E326" s="34"/>
      <c r="F326" s="35"/>
      <c r="G326" s="36"/>
      <c r="H326" s="36"/>
      <c r="I326" s="36"/>
      <c r="J326" s="13"/>
    </row>
    <row r="327" ht="15.75" customHeight="1">
      <c r="B327" s="38"/>
      <c r="C327" s="34"/>
      <c r="D327" s="33"/>
      <c r="E327" s="34"/>
      <c r="F327" s="35"/>
      <c r="G327" s="36"/>
      <c r="H327" s="36"/>
      <c r="I327" s="36"/>
      <c r="J327" s="13"/>
    </row>
    <row r="328" ht="15.75" customHeight="1">
      <c r="B328" s="38"/>
      <c r="C328" s="34"/>
      <c r="D328" s="33"/>
      <c r="E328" s="34"/>
      <c r="F328" s="35"/>
      <c r="G328" s="36"/>
      <c r="H328" s="36"/>
      <c r="I328" s="36"/>
      <c r="J328" s="13"/>
    </row>
    <row r="329" ht="15.75" customHeight="1">
      <c r="B329" s="38"/>
      <c r="C329" s="34"/>
      <c r="D329" s="33"/>
      <c r="E329" s="34"/>
      <c r="F329" s="35"/>
      <c r="G329" s="36"/>
      <c r="H329" s="36"/>
      <c r="I329" s="36"/>
      <c r="J329" s="13"/>
    </row>
    <row r="330" ht="15.75" customHeight="1">
      <c r="B330" s="38"/>
      <c r="C330" s="34"/>
      <c r="D330" s="33"/>
      <c r="E330" s="34"/>
      <c r="F330" s="35"/>
      <c r="G330" s="36"/>
      <c r="H330" s="36"/>
      <c r="I330" s="36"/>
      <c r="J330" s="13"/>
    </row>
    <row r="331" ht="15.75" customHeight="1">
      <c r="B331" s="38"/>
      <c r="C331" s="34"/>
      <c r="D331" s="33"/>
      <c r="E331" s="34"/>
      <c r="F331" s="35"/>
      <c r="G331" s="36"/>
      <c r="H331" s="36"/>
      <c r="I331" s="36"/>
      <c r="J331" s="13"/>
    </row>
    <row r="332" ht="15.75" customHeight="1">
      <c r="B332" s="38"/>
      <c r="C332" s="34"/>
      <c r="D332" s="33"/>
      <c r="E332" s="34"/>
      <c r="F332" s="35"/>
      <c r="G332" s="36"/>
      <c r="H332" s="36"/>
      <c r="I332" s="36"/>
      <c r="J332" s="13"/>
    </row>
    <row r="333" ht="15.75" customHeight="1">
      <c r="B333" s="38"/>
      <c r="C333" s="34"/>
      <c r="D333" s="33"/>
      <c r="E333" s="34"/>
      <c r="F333" s="35"/>
      <c r="G333" s="36"/>
      <c r="H333" s="36"/>
      <c r="I333" s="36"/>
      <c r="J333" s="13"/>
    </row>
    <row r="334" ht="15.75" customHeight="1">
      <c r="B334" s="38"/>
      <c r="C334" s="34"/>
      <c r="D334" s="33"/>
      <c r="E334" s="34"/>
      <c r="F334" s="35"/>
      <c r="G334" s="36"/>
      <c r="H334" s="36"/>
      <c r="I334" s="36"/>
      <c r="J334" s="13"/>
    </row>
    <row r="335" ht="15.75" customHeight="1">
      <c r="B335" s="38"/>
      <c r="C335" s="34"/>
      <c r="D335" s="33"/>
      <c r="E335" s="34"/>
      <c r="F335" s="35"/>
      <c r="G335" s="36"/>
      <c r="H335" s="36"/>
      <c r="I335" s="36"/>
      <c r="J335" s="13"/>
    </row>
    <row r="336" ht="15.75" customHeight="1">
      <c r="B336" s="38"/>
      <c r="C336" s="34"/>
      <c r="D336" s="33"/>
      <c r="E336" s="34"/>
      <c r="F336" s="35"/>
      <c r="G336" s="36"/>
      <c r="H336" s="36"/>
      <c r="I336" s="36"/>
      <c r="J336" s="13"/>
    </row>
    <row r="337" ht="15.75" customHeight="1">
      <c r="B337" s="38"/>
      <c r="C337" s="34"/>
      <c r="D337" s="33"/>
      <c r="E337" s="34"/>
      <c r="F337" s="35"/>
      <c r="G337" s="36"/>
      <c r="H337" s="36"/>
      <c r="I337" s="36"/>
      <c r="J337" s="13"/>
    </row>
    <row r="338" ht="15.75" customHeight="1">
      <c r="B338" s="38"/>
      <c r="C338" s="34"/>
      <c r="D338" s="33"/>
      <c r="E338" s="34"/>
      <c r="F338" s="35"/>
      <c r="G338" s="36"/>
      <c r="H338" s="36"/>
      <c r="I338" s="36"/>
      <c r="J338" s="13"/>
    </row>
    <row r="339" ht="15.75" customHeight="1">
      <c r="B339" s="38"/>
      <c r="C339" s="34"/>
      <c r="D339" s="33"/>
      <c r="E339" s="34"/>
      <c r="F339" s="35"/>
      <c r="G339" s="36"/>
      <c r="H339" s="36"/>
      <c r="I339" s="36"/>
      <c r="J339" s="13"/>
    </row>
    <row r="340" ht="15.75" customHeight="1">
      <c r="B340" s="38"/>
      <c r="C340" s="34"/>
      <c r="D340" s="33"/>
      <c r="E340" s="34"/>
      <c r="F340" s="35"/>
      <c r="G340" s="36"/>
      <c r="H340" s="36"/>
      <c r="I340" s="36"/>
      <c r="J340" s="13"/>
    </row>
    <row r="341" ht="15.75" customHeight="1">
      <c r="B341" s="38"/>
      <c r="C341" s="34"/>
      <c r="D341" s="33"/>
      <c r="E341" s="34"/>
      <c r="F341" s="35"/>
      <c r="G341" s="36"/>
      <c r="H341" s="36"/>
      <c r="I341" s="36"/>
      <c r="J341" s="13"/>
    </row>
    <row r="342" ht="15.75" customHeight="1">
      <c r="B342" s="38"/>
      <c r="C342" s="34"/>
      <c r="D342" s="33"/>
      <c r="E342" s="34"/>
      <c r="F342" s="35"/>
      <c r="G342" s="36"/>
      <c r="H342" s="36"/>
      <c r="I342" s="36"/>
      <c r="J342" s="13"/>
    </row>
    <row r="343" ht="15.75" customHeight="1">
      <c r="B343" s="38"/>
      <c r="C343" s="34"/>
      <c r="D343" s="33"/>
      <c r="E343" s="34"/>
      <c r="F343" s="35"/>
      <c r="G343" s="36"/>
      <c r="H343" s="36"/>
      <c r="I343" s="36"/>
      <c r="J343" s="13"/>
    </row>
    <row r="344" ht="15.75" customHeight="1">
      <c r="B344" s="38"/>
      <c r="C344" s="34"/>
      <c r="D344" s="33"/>
      <c r="E344" s="34"/>
      <c r="F344" s="35"/>
      <c r="G344" s="36"/>
      <c r="H344" s="36"/>
      <c r="I344" s="36"/>
      <c r="J344" s="13"/>
    </row>
    <row r="345" ht="15.75" customHeight="1">
      <c r="B345" s="38"/>
      <c r="C345" s="34"/>
      <c r="D345" s="33"/>
      <c r="E345" s="34"/>
      <c r="F345" s="35"/>
      <c r="G345" s="36"/>
      <c r="H345" s="36"/>
      <c r="I345" s="36"/>
      <c r="J345" s="13"/>
    </row>
    <row r="346" ht="15.75" customHeight="1">
      <c r="B346" s="38"/>
      <c r="C346" s="34"/>
      <c r="D346" s="33"/>
      <c r="E346" s="34"/>
      <c r="F346" s="35"/>
      <c r="G346" s="36"/>
      <c r="H346" s="36"/>
      <c r="I346" s="36"/>
      <c r="J346" s="13"/>
    </row>
    <row r="347" ht="15.75" customHeight="1">
      <c r="B347" s="38"/>
      <c r="C347" s="34"/>
      <c r="D347" s="33"/>
      <c r="E347" s="34"/>
      <c r="F347" s="35"/>
      <c r="G347" s="36"/>
      <c r="H347" s="36"/>
      <c r="I347" s="36"/>
      <c r="J347" s="13"/>
    </row>
    <row r="348" ht="15.75" customHeight="1">
      <c r="B348" s="38"/>
      <c r="C348" s="34"/>
      <c r="D348" s="33"/>
      <c r="E348" s="34"/>
      <c r="F348" s="35"/>
      <c r="G348" s="36"/>
      <c r="H348" s="36"/>
      <c r="I348" s="36"/>
      <c r="J348" s="13"/>
    </row>
    <row r="349" ht="15.75" customHeight="1">
      <c r="B349" s="38"/>
      <c r="C349" s="34"/>
      <c r="D349" s="33"/>
      <c r="E349" s="34"/>
      <c r="F349" s="35"/>
      <c r="G349" s="36"/>
      <c r="H349" s="36"/>
      <c r="I349" s="36"/>
      <c r="J349" s="13"/>
    </row>
    <row r="350" ht="15.75" customHeight="1">
      <c r="B350" s="38"/>
      <c r="C350" s="34"/>
      <c r="D350" s="33"/>
      <c r="E350" s="34"/>
      <c r="F350" s="35"/>
      <c r="G350" s="36"/>
      <c r="H350" s="36"/>
      <c r="I350" s="36"/>
      <c r="J350" s="13"/>
    </row>
    <row r="351" ht="15.75" customHeight="1">
      <c r="B351" s="38"/>
      <c r="C351" s="34"/>
      <c r="D351" s="33"/>
      <c r="E351" s="34"/>
      <c r="F351" s="35"/>
      <c r="G351" s="36"/>
      <c r="H351" s="36"/>
      <c r="I351" s="36"/>
      <c r="J351" s="13"/>
    </row>
    <row r="352" ht="15.75" customHeight="1">
      <c r="B352" s="38"/>
      <c r="C352" s="34"/>
      <c r="D352" s="33"/>
      <c r="E352" s="34"/>
      <c r="F352" s="35"/>
      <c r="G352" s="36"/>
      <c r="H352" s="36"/>
      <c r="I352" s="36"/>
      <c r="J352" s="13"/>
    </row>
    <row r="353" ht="15.75" customHeight="1">
      <c r="B353" s="38"/>
      <c r="C353" s="34"/>
      <c r="D353" s="33"/>
      <c r="E353" s="34"/>
      <c r="F353" s="35"/>
      <c r="G353" s="36"/>
      <c r="H353" s="36"/>
      <c r="I353" s="36"/>
      <c r="J353" s="13"/>
    </row>
    <row r="354" ht="15.75" customHeight="1">
      <c r="B354" s="38"/>
      <c r="C354" s="34"/>
      <c r="D354" s="33"/>
      <c r="E354" s="34"/>
      <c r="F354" s="35"/>
      <c r="G354" s="36"/>
      <c r="H354" s="36"/>
      <c r="I354" s="36"/>
      <c r="J354" s="13"/>
    </row>
    <row r="355" ht="15.75" customHeight="1">
      <c r="B355" s="38"/>
      <c r="C355" s="34"/>
      <c r="D355" s="33"/>
      <c r="E355" s="34"/>
      <c r="F355" s="35"/>
      <c r="G355" s="36"/>
      <c r="H355" s="36"/>
      <c r="I355" s="36"/>
      <c r="J355" s="13"/>
    </row>
    <row r="356" ht="15.75" customHeight="1">
      <c r="B356" s="38"/>
      <c r="C356" s="34"/>
      <c r="D356" s="33"/>
      <c r="E356" s="34"/>
      <c r="F356" s="35"/>
      <c r="G356" s="36"/>
      <c r="H356" s="36"/>
      <c r="I356" s="36"/>
      <c r="J356" s="13"/>
    </row>
    <row r="357" ht="15.75" customHeight="1">
      <c r="B357" s="38"/>
      <c r="C357" s="34"/>
      <c r="D357" s="33"/>
      <c r="E357" s="34"/>
      <c r="F357" s="35"/>
      <c r="G357" s="36"/>
      <c r="H357" s="36"/>
      <c r="I357" s="36"/>
      <c r="J357" s="13"/>
    </row>
    <row r="358" ht="15.75" customHeight="1">
      <c r="B358" s="38"/>
      <c r="C358" s="34"/>
      <c r="D358" s="33"/>
      <c r="E358" s="34"/>
      <c r="F358" s="35"/>
      <c r="G358" s="36"/>
      <c r="H358" s="36"/>
      <c r="I358" s="36"/>
      <c r="J358" s="13"/>
    </row>
    <row r="359" ht="15.75" customHeight="1">
      <c r="B359" s="38"/>
      <c r="C359" s="34"/>
      <c r="D359" s="33"/>
      <c r="E359" s="34"/>
      <c r="F359" s="35"/>
      <c r="G359" s="36"/>
      <c r="H359" s="36"/>
      <c r="I359" s="36"/>
      <c r="J359" s="13"/>
    </row>
    <row r="360" ht="15.75" customHeight="1">
      <c r="B360" s="38"/>
      <c r="C360" s="34"/>
      <c r="D360" s="33"/>
      <c r="E360" s="34"/>
      <c r="F360" s="35"/>
      <c r="G360" s="36"/>
      <c r="H360" s="36"/>
      <c r="I360" s="36"/>
      <c r="J360" s="13"/>
    </row>
    <row r="361" ht="15.75" customHeight="1">
      <c r="B361" s="38"/>
      <c r="C361" s="34"/>
      <c r="D361" s="33"/>
      <c r="E361" s="34"/>
      <c r="F361" s="35"/>
      <c r="G361" s="36"/>
      <c r="H361" s="36"/>
      <c r="I361" s="36"/>
      <c r="J361" s="13"/>
    </row>
    <row r="362" ht="15.75" customHeight="1">
      <c r="B362" s="38"/>
      <c r="C362" s="34"/>
      <c r="D362" s="33"/>
      <c r="E362" s="34"/>
      <c r="F362" s="35"/>
      <c r="G362" s="36"/>
      <c r="H362" s="36"/>
      <c r="I362" s="36"/>
      <c r="J362" s="13"/>
    </row>
    <row r="363" ht="15.75" customHeight="1">
      <c r="B363" s="38"/>
      <c r="C363" s="34"/>
      <c r="D363" s="33"/>
      <c r="E363" s="34"/>
      <c r="F363" s="35"/>
      <c r="G363" s="36"/>
      <c r="H363" s="36"/>
      <c r="I363" s="36"/>
      <c r="J363" s="13"/>
    </row>
    <row r="364" ht="15.75" customHeight="1">
      <c r="B364" s="38"/>
      <c r="C364" s="34"/>
      <c r="D364" s="33"/>
      <c r="E364" s="34"/>
      <c r="F364" s="35"/>
      <c r="G364" s="36"/>
      <c r="H364" s="36"/>
      <c r="I364" s="36"/>
      <c r="J364" s="13"/>
    </row>
    <row r="365" ht="15.75" customHeight="1">
      <c r="B365" s="38"/>
      <c r="C365" s="34"/>
      <c r="D365" s="33"/>
      <c r="E365" s="34"/>
      <c r="F365" s="35"/>
      <c r="G365" s="36"/>
      <c r="H365" s="36"/>
      <c r="I365" s="36"/>
      <c r="J365" s="13"/>
    </row>
    <row r="366" ht="15.75" customHeight="1">
      <c r="B366" s="38"/>
      <c r="C366" s="34"/>
      <c r="D366" s="33"/>
      <c r="E366" s="34"/>
      <c r="F366" s="35"/>
      <c r="G366" s="36"/>
      <c r="H366" s="36"/>
      <c r="I366" s="36"/>
      <c r="J366" s="13"/>
    </row>
    <row r="367" ht="15.75" customHeight="1">
      <c r="B367" s="38"/>
      <c r="C367" s="34"/>
      <c r="D367" s="33"/>
      <c r="E367" s="34"/>
      <c r="F367" s="35"/>
      <c r="G367" s="36"/>
      <c r="H367" s="36"/>
      <c r="I367" s="36"/>
      <c r="J367" s="13"/>
    </row>
    <row r="368" ht="15.75" customHeight="1">
      <c r="B368" s="38"/>
      <c r="C368" s="34"/>
      <c r="D368" s="33"/>
      <c r="E368" s="34"/>
      <c r="F368" s="35"/>
      <c r="G368" s="36"/>
      <c r="H368" s="36"/>
      <c r="I368" s="36"/>
      <c r="J368" s="13"/>
    </row>
    <row r="369" ht="15.75" customHeight="1">
      <c r="B369" s="38"/>
      <c r="C369" s="34"/>
      <c r="D369" s="33"/>
      <c r="E369" s="34"/>
      <c r="F369" s="35"/>
      <c r="G369" s="36"/>
      <c r="H369" s="36"/>
      <c r="I369" s="36"/>
      <c r="J369" s="13"/>
    </row>
    <row r="370" ht="15.75" customHeight="1">
      <c r="B370" s="38"/>
      <c r="C370" s="34"/>
      <c r="D370" s="33"/>
      <c r="E370" s="34"/>
      <c r="F370" s="35"/>
      <c r="G370" s="36"/>
      <c r="H370" s="36"/>
      <c r="I370" s="36"/>
      <c r="J370" s="13"/>
    </row>
    <row r="371" ht="15.75" customHeight="1">
      <c r="B371" s="38"/>
      <c r="C371" s="34"/>
      <c r="D371" s="33"/>
      <c r="E371" s="34"/>
      <c r="F371" s="35"/>
      <c r="G371" s="36"/>
      <c r="H371" s="36"/>
      <c r="I371" s="36"/>
      <c r="J371" s="13"/>
    </row>
    <row r="372" ht="15.75" customHeight="1">
      <c r="B372" s="38"/>
      <c r="C372" s="34"/>
      <c r="D372" s="33"/>
      <c r="E372" s="34"/>
      <c r="F372" s="35"/>
      <c r="G372" s="36"/>
      <c r="H372" s="36"/>
      <c r="I372" s="36"/>
      <c r="J372" s="13"/>
    </row>
    <row r="373" ht="15.75" customHeight="1">
      <c r="B373" s="38"/>
      <c r="C373" s="34"/>
      <c r="D373" s="33"/>
      <c r="E373" s="34"/>
      <c r="F373" s="35"/>
      <c r="G373" s="36"/>
      <c r="H373" s="36"/>
      <c r="I373" s="36"/>
      <c r="J373" s="13"/>
    </row>
    <row r="374" ht="15.75" customHeight="1">
      <c r="B374" s="38"/>
      <c r="C374" s="34"/>
      <c r="D374" s="33"/>
      <c r="E374" s="34"/>
      <c r="F374" s="35"/>
      <c r="G374" s="36"/>
      <c r="H374" s="36"/>
      <c r="I374" s="36"/>
      <c r="J374" s="13"/>
    </row>
    <row r="375" ht="15.75" customHeight="1">
      <c r="B375" s="38"/>
      <c r="C375" s="34"/>
      <c r="D375" s="33"/>
      <c r="E375" s="34"/>
      <c r="F375" s="35"/>
      <c r="G375" s="36"/>
      <c r="H375" s="36"/>
      <c r="I375" s="36"/>
      <c r="J375" s="13"/>
    </row>
    <row r="376" ht="15.75" customHeight="1">
      <c r="B376" s="38"/>
      <c r="C376" s="34"/>
      <c r="D376" s="33"/>
      <c r="E376" s="34"/>
      <c r="F376" s="35"/>
      <c r="G376" s="36"/>
      <c r="H376" s="36"/>
      <c r="I376" s="36"/>
      <c r="J376" s="13"/>
    </row>
    <row r="377" ht="15.75" customHeight="1">
      <c r="B377" s="38"/>
      <c r="C377" s="34"/>
      <c r="D377" s="33"/>
      <c r="E377" s="34"/>
      <c r="F377" s="35"/>
      <c r="G377" s="36"/>
      <c r="H377" s="36"/>
      <c r="I377" s="36"/>
      <c r="J377" s="13"/>
    </row>
    <row r="378" ht="15.75" customHeight="1">
      <c r="B378" s="38"/>
      <c r="C378" s="34"/>
      <c r="D378" s="33"/>
      <c r="E378" s="34"/>
      <c r="F378" s="35"/>
      <c r="G378" s="36"/>
      <c r="H378" s="36"/>
      <c r="I378" s="36"/>
      <c r="J378" s="13"/>
    </row>
    <row r="379" ht="15.75" customHeight="1">
      <c r="B379" s="38"/>
      <c r="C379" s="34"/>
      <c r="D379" s="33"/>
      <c r="E379" s="34"/>
      <c r="F379" s="35"/>
      <c r="G379" s="36"/>
      <c r="H379" s="36"/>
      <c r="I379" s="36"/>
      <c r="J379" s="13"/>
    </row>
    <row r="380" ht="15.75" customHeight="1">
      <c r="B380" s="38"/>
      <c r="C380" s="34"/>
      <c r="D380" s="33"/>
      <c r="E380" s="34"/>
      <c r="F380" s="35"/>
      <c r="G380" s="36"/>
      <c r="H380" s="36"/>
      <c r="I380" s="36"/>
      <c r="J380" s="13"/>
    </row>
    <row r="381" ht="15.75" customHeight="1">
      <c r="B381" s="38"/>
      <c r="C381" s="34"/>
      <c r="D381" s="33"/>
      <c r="E381" s="34"/>
      <c r="F381" s="35"/>
      <c r="G381" s="36"/>
      <c r="H381" s="36"/>
      <c r="I381" s="36"/>
      <c r="J381" s="13"/>
    </row>
    <row r="382" ht="15.75" customHeight="1">
      <c r="B382" s="38"/>
      <c r="C382" s="34"/>
      <c r="D382" s="33"/>
      <c r="E382" s="34"/>
      <c r="F382" s="35"/>
      <c r="G382" s="36"/>
      <c r="H382" s="36"/>
      <c r="I382" s="36"/>
      <c r="J382" s="13"/>
    </row>
    <row r="383" ht="15.75" customHeight="1">
      <c r="B383" s="38"/>
      <c r="C383" s="34"/>
      <c r="D383" s="33"/>
      <c r="E383" s="34"/>
      <c r="F383" s="35"/>
      <c r="G383" s="36"/>
      <c r="H383" s="36"/>
      <c r="I383" s="36"/>
      <c r="J383" s="13"/>
    </row>
    <row r="384" ht="15.75" customHeight="1">
      <c r="B384" s="38"/>
      <c r="C384" s="34"/>
      <c r="D384" s="33"/>
      <c r="E384" s="34"/>
      <c r="F384" s="35"/>
      <c r="G384" s="36"/>
      <c r="H384" s="36"/>
      <c r="I384" s="36"/>
      <c r="J384" s="13"/>
    </row>
    <row r="385" ht="15.75" customHeight="1">
      <c r="B385" s="38"/>
      <c r="C385" s="34"/>
      <c r="D385" s="33"/>
      <c r="E385" s="34"/>
      <c r="F385" s="35"/>
      <c r="G385" s="36"/>
      <c r="H385" s="36"/>
      <c r="I385" s="36"/>
      <c r="J385" s="13"/>
    </row>
    <row r="386" ht="15.75" customHeight="1">
      <c r="B386" s="38"/>
      <c r="C386" s="34"/>
      <c r="D386" s="33"/>
      <c r="E386" s="34"/>
      <c r="F386" s="35"/>
      <c r="G386" s="36"/>
      <c r="H386" s="36"/>
      <c r="I386" s="36"/>
      <c r="J386" s="13"/>
    </row>
    <row r="387" ht="15.75" customHeight="1">
      <c r="B387" s="38"/>
      <c r="C387" s="34"/>
      <c r="D387" s="33"/>
      <c r="E387" s="34"/>
      <c r="F387" s="35"/>
      <c r="G387" s="36"/>
      <c r="H387" s="36"/>
      <c r="I387" s="36"/>
      <c r="J387" s="13"/>
    </row>
    <row r="388" ht="15.75" customHeight="1">
      <c r="B388" s="38"/>
      <c r="C388" s="34"/>
      <c r="D388" s="33"/>
      <c r="E388" s="34"/>
      <c r="F388" s="35"/>
      <c r="G388" s="36"/>
      <c r="H388" s="36"/>
      <c r="I388" s="36"/>
      <c r="J388" s="13"/>
    </row>
    <row r="389" ht="15.75" customHeight="1">
      <c r="B389" s="38"/>
      <c r="C389" s="34"/>
      <c r="D389" s="33"/>
      <c r="E389" s="34"/>
      <c r="F389" s="35"/>
      <c r="G389" s="36"/>
      <c r="H389" s="36"/>
      <c r="I389" s="36"/>
      <c r="J389" s="13"/>
    </row>
    <row r="390" ht="15.75" customHeight="1">
      <c r="B390" s="38"/>
      <c r="C390" s="34"/>
      <c r="D390" s="33"/>
      <c r="E390" s="34"/>
      <c r="F390" s="35"/>
      <c r="G390" s="36"/>
      <c r="H390" s="36"/>
      <c r="I390" s="36"/>
      <c r="J390" s="13"/>
    </row>
    <row r="391" ht="15.75" customHeight="1">
      <c r="B391" s="38"/>
      <c r="C391" s="34"/>
      <c r="D391" s="33"/>
      <c r="E391" s="34"/>
      <c r="F391" s="35"/>
      <c r="G391" s="36"/>
      <c r="H391" s="36"/>
      <c r="I391" s="36"/>
      <c r="J391" s="13"/>
    </row>
    <row r="392" ht="15.75" customHeight="1">
      <c r="B392" s="38"/>
      <c r="C392" s="34"/>
      <c r="D392" s="33"/>
      <c r="E392" s="34"/>
      <c r="F392" s="35"/>
      <c r="G392" s="36"/>
      <c r="H392" s="36"/>
      <c r="I392" s="36"/>
      <c r="J392" s="13"/>
    </row>
    <row r="393" ht="15.75" customHeight="1">
      <c r="B393" s="38"/>
      <c r="C393" s="34"/>
      <c r="D393" s="33"/>
      <c r="E393" s="34"/>
      <c r="F393" s="35"/>
      <c r="G393" s="36"/>
      <c r="H393" s="36"/>
      <c r="I393" s="36"/>
      <c r="J393" s="13"/>
    </row>
    <row r="394" ht="15.75" customHeight="1">
      <c r="B394" s="38"/>
      <c r="C394" s="34"/>
      <c r="D394" s="33"/>
      <c r="E394" s="34"/>
      <c r="F394" s="35"/>
      <c r="G394" s="36"/>
      <c r="H394" s="36"/>
      <c r="I394" s="36"/>
      <c r="J394" s="13"/>
    </row>
    <row r="395" ht="15.75" customHeight="1">
      <c r="B395" s="38"/>
      <c r="C395" s="34"/>
      <c r="D395" s="33"/>
      <c r="E395" s="34"/>
      <c r="F395" s="35"/>
      <c r="G395" s="36"/>
      <c r="H395" s="36"/>
      <c r="I395" s="36"/>
      <c r="J395" s="13"/>
    </row>
    <row r="396" ht="15.75" customHeight="1">
      <c r="B396" s="38"/>
      <c r="C396" s="34"/>
      <c r="D396" s="33"/>
      <c r="E396" s="34"/>
      <c r="F396" s="35"/>
      <c r="G396" s="36"/>
      <c r="H396" s="36"/>
      <c r="I396" s="36"/>
      <c r="J396" s="13"/>
    </row>
    <row r="397" ht="15.75" customHeight="1">
      <c r="B397" s="38"/>
      <c r="C397" s="34"/>
      <c r="D397" s="33"/>
      <c r="E397" s="34"/>
      <c r="F397" s="35"/>
      <c r="G397" s="36"/>
      <c r="H397" s="36"/>
      <c r="I397" s="36"/>
      <c r="J397" s="13"/>
    </row>
    <row r="398" ht="15.75" customHeight="1">
      <c r="B398" s="38"/>
      <c r="C398" s="34"/>
      <c r="D398" s="33"/>
      <c r="E398" s="34"/>
      <c r="F398" s="35"/>
      <c r="G398" s="36"/>
      <c r="H398" s="36"/>
      <c r="I398" s="36"/>
      <c r="J398" s="13"/>
    </row>
    <row r="399" ht="15.75" customHeight="1">
      <c r="B399" s="38"/>
      <c r="C399" s="34"/>
      <c r="D399" s="33"/>
      <c r="E399" s="34"/>
      <c r="F399" s="35"/>
      <c r="G399" s="36"/>
      <c r="H399" s="36"/>
      <c r="I399" s="36"/>
      <c r="J399" s="13"/>
    </row>
    <row r="400" ht="15.75" customHeight="1">
      <c r="B400" s="38"/>
      <c r="C400" s="34"/>
      <c r="D400" s="33"/>
      <c r="E400" s="34"/>
      <c r="F400" s="35"/>
      <c r="G400" s="36"/>
      <c r="H400" s="36"/>
      <c r="I400" s="36"/>
      <c r="J400" s="13"/>
    </row>
    <row r="401" ht="15.75" customHeight="1">
      <c r="B401" s="38"/>
      <c r="C401" s="34"/>
      <c r="D401" s="33"/>
      <c r="E401" s="34"/>
      <c r="F401" s="35"/>
      <c r="G401" s="36"/>
      <c r="H401" s="36"/>
      <c r="I401" s="36"/>
      <c r="J401" s="13"/>
    </row>
    <row r="402" ht="15.75" customHeight="1">
      <c r="B402" s="38"/>
      <c r="C402" s="34"/>
      <c r="D402" s="33"/>
      <c r="E402" s="34"/>
      <c r="F402" s="35"/>
      <c r="G402" s="36"/>
      <c r="H402" s="36"/>
      <c r="I402" s="36"/>
      <c r="J402" s="13"/>
    </row>
    <row r="403" ht="15.75" customHeight="1">
      <c r="B403" s="38"/>
      <c r="C403" s="34"/>
      <c r="D403" s="33"/>
      <c r="E403" s="34"/>
      <c r="F403" s="35"/>
      <c r="G403" s="36"/>
      <c r="H403" s="36"/>
      <c r="I403" s="36"/>
      <c r="J403" s="13"/>
    </row>
    <row r="404" ht="15.75" customHeight="1">
      <c r="B404" s="38"/>
      <c r="C404" s="34"/>
      <c r="D404" s="33"/>
      <c r="E404" s="34"/>
      <c r="F404" s="35"/>
      <c r="G404" s="36"/>
      <c r="H404" s="36"/>
      <c r="I404" s="36"/>
      <c r="J404" s="13"/>
    </row>
    <row r="405" ht="15.75" customHeight="1">
      <c r="B405" s="38"/>
      <c r="C405" s="34"/>
      <c r="D405" s="33"/>
      <c r="E405" s="34"/>
      <c r="F405" s="35"/>
      <c r="G405" s="36"/>
      <c r="H405" s="36"/>
      <c r="I405" s="36"/>
      <c r="J405" s="13"/>
    </row>
    <row r="406" ht="15.75" customHeight="1">
      <c r="B406" s="38"/>
      <c r="C406" s="34"/>
      <c r="D406" s="33"/>
      <c r="E406" s="34"/>
      <c r="F406" s="35"/>
      <c r="G406" s="36"/>
      <c r="H406" s="36"/>
      <c r="I406" s="36"/>
      <c r="J406" s="13"/>
    </row>
    <row r="407" ht="15.75" customHeight="1">
      <c r="B407" s="38"/>
      <c r="C407" s="34"/>
      <c r="D407" s="33"/>
      <c r="E407" s="34"/>
      <c r="F407" s="35"/>
      <c r="G407" s="36"/>
      <c r="H407" s="36"/>
      <c r="I407" s="36"/>
      <c r="J407" s="13"/>
    </row>
    <row r="408" ht="15.75" customHeight="1">
      <c r="B408" s="38"/>
      <c r="C408" s="34"/>
      <c r="D408" s="33"/>
      <c r="E408" s="34"/>
      <c r="F408" s="35"/>
      <c r="G408" s="36"/>
      <c r="H408" s="36"/>
      <c r="I408" s="36"/>
      <c r="J408" s="13"/>
    </row>
    <row r="409" ht="15.75" customHeight="1">
      <c r="B409" s="38"/>
      <c r="C409" s="34"/>
      <c r="D409" s="33"/>
      <c r="E409" s="34"/>
      <c r="F409" s="35"/>
      <c r="G409" s="36"/>
      <c r="H409" s="36"/>
      <c r="I409" s="36"/>
      <c r="J409" s="13"/>
    </row>
    <row r="410" ht="15.75" customHeight="1">
      <c r="B410" s="38"/>
      <c r="C410" s="34"/>
      <c r="D410" s="33"/>
      <c r="E410" s="34"/>
      <c r="F410" s="35"/>
      <c r="G410" s="36"/>
      <c r="H410" s="36"/>
      <c r="I410" s="36"/>
      <c r="J410" s="13"/>
    </row>
    <row r="411" ht="15.75" customHeight="1">
      <c r="B411" s="38"/>
      <c r="C411" s="34"/>
      <c r="D411" s="33"/>
      <c r="E411" s="34"/>
      <c r="F411" s="35"/>
      <c r="G411" s="36"/>
      <c r="H411" s="36"/>
      <c r="I411" s="36"/>
      <c r="J411" s="13"/>
    </row>
    <row r="412" ht="15.75" customHeight="1">
      <c r="B412" s="38"/>
      <c r="C412" s="34"/>
      <c r="D412" s="33"/>
      <c r="E412" s="34"/>
      <c r="F412" s="35"/>
      <c r="G412" s="36"/>
      <c r="H412" s="36"/>
      <c r="I412" s="36"/>
      <c r="J412" s="13"/>
    </row>
    <row r="413" ht="15.75" customHeight="1">
      <c r="B413" s="38"/>
      <c r="C413" s="34"/>
      <c r="D413" s="33"/>
      <c r="E413" s="34"/>
      <c r="F413" s="35"/>
      <c r="G413" s="36"/>
      <c r="H413" s="36"/>
      <c r="I413" s="36"/>
      <c r="J413" s="13"/>
    </row>
    <row r="414" ht="15.75" customHeight="1">
      <c r="B414" s="38"/>
      <c r="C414" s="34"/>
      <c r="D414" s="33"/>
      <c r="E414" s="34"/>
      <c r="F414" s="35"/>
      <c r="G414" s="36"/>
      <c r="H414" s="36"/>
      <c r="I414" s="36"/>
      <c r="J414" s="13"/>
    </row>
    <row r="415" ht="15.75" customHeight="1">
      <c r="B415" s="38"/>
      <c r="C415" s="34"/>
      <c r="D415" s="33"/>
      <c r="E415" s="34"/>
      <c r="F415" s="35"/>
      <c r="G415" s="36"/>
      <c r="H415" s="36"/>
      <c r="I415" s="36"/>
      <c r="J415" s="13"/>
    </row>
    <row r="416" ht="15.75" customHeight="1">
      <c r="B416" s="38"/>
      <c r="C416" s="34"/>
      <c r="D416" s="33"/>
      <c r="E416" s="34"/>
      <c r="F416" s="35"/>
      <c r="G416" s="36"/>
      <c r="H416" s="36"/>
      <c r="I416" s="36"/>
      <c r="J416" s="13"/>
    </row>
    <row r="417" ht="15.75" customHeight="1">
      <c r="B417" s="38"/>
      <c r="C417" s="34"/>
      <c r="D417" s="33"/>
      <c r="E417" s="34"/>
      <c r="F417" s="35"/>
      <c r="G417" s="36"/>
      <c r="H417" s="36"/>
      <c r="I417" s="36"/>
      <c r="J417" s="13"/>
    </row>
    <row r="418" ht="15.75" customHeight="1">
      <c r="B418" s="38"/>
      <c r="C418" s="34"/>
      <c r="D418" s="33"/>
      <c r="E418" s="34"/>
      <c r="F418" s="35"/>
      <c r="G418" s="36"/>
      <c r="H418" s="36"/>
      <c r="I418" s="36"/>
      <c r="J418" s="13"/>
    </row>
    <row r="419" ht="15.75" customHeight="1">
      <c r="B419" s="38"/>
      <c r="C419" s="34"/>
      <c r="D419" s="33"/>
      <c r="E419" s="34"/>
      <c r="F419" s="35"/>
      <c r="G419" s="36"/>
      <c r="H419" s="36"/>
      <c r="I419" s="36"/>
      <c r="J419" s="13"/>
    </row>
    <row r="420" ht="15.75" customHeight="1">
      <c r="B420" s="38"/>
      <c r="C420" s="34"/>
      <c r="D420" s="33"/>
      <c r="E420" s="34"/>
      <c r="F420" s="35"/>
      <c r="G420" s="36"/>
      <c r="H420" s="36"/>
      <c r="I420" s="36"/>
      <c r="J420" s="13"/>
    </row>
    <row r="421" ht="15.75" customHeight="1">
      <c r="B421" s="38"/>
      <c r="C421" s="34"/>
      <c r="D421" s="33"/>
      <c r="E421" s="34"/>
      <c r="F421" s="35"/>
      <c r="G421" s="36"/>
      <c r="H421" s="36"/>
      <c r="I421" s="36"/>
      <c r="J421" s="13"/>
    </row>
    <row r="422" ht="15.75" customHeight="1">
      <c r="B422" s="38"/>
      <c r="C422" s="34"/>
      <c r="D422" s="33"/>
      <c r="E422" s="34"/>
      <c r="F422" s="35"/>
      <c r="G422" s="36"/>
      <c r="H422" s="36"/>
      <c r="I422" s="36"/>
      <c r="J422" s="13"/>
    </row>
    <row r="423" ht="15.75" customHeight="1">
      <c r="B423" s="38"/>
      <c r="C423" s="34"/>
      <c r="D423" s="33"/>
      <c r="E423" s="34"/>
      <c r="F423" s="35"/>
      <c r="G423" s="36"/>
      <c r="H423" s="36"/>
      <c r="I423" s="36"/>
      <c r="J423" s="13"/>
    </row>
    <row r="424" ht="15.75" customHeight="1">
      <c r="B424" s="38"/>
      <c r="C424" s="34"/>
      <c r="D424" s="33"/>
      <c r="E424" s="34"/>
      <c r="F424" s="35"/>
      <c r="G424" s="36"/>
      <c r="H424" s="36"/>
      <c r="I424" s="36"/>
      <c r="J424" s="13"/>
    </row>
    <row r="425" ht="15.75" customHeight="1">
      <c r="B425" s="38"/>
      <c r="C425" s="34"/>
      <c r="D425" s="33"/>
      <c r="E425" s="34"/>
      <c r="F425" s="35"/>
      <c r="G425" s="36"/>
      <c r="H425" s="36"/>
      <c r="I425" s="36"/>
      <c r="J425" s="13"/>
    </row>
    <row r="426" ht="15.75" customHeight="1">
      <c r="B426" s="38"/>
      <c r="C426" s="34"/>
      <c r="D426" s="33"/>
      <c r="E426" s="34"/>
      <c r="F426" s="35"/>
      <c r="G426" s="36"/>
      <c r="H426" s="36"/>
      <c r="I426" s="36"/>
      <c r="J426" s="13"/>
    </row>
    <row r="427" ht="15.75" customHeight="1">
      <c r="B427" s="38"/>
      <c r="C427" s="34"/>
      <c r="D427" s="33"/>
      <c r="E427" s="34"/>
      <c r="F427" s="35"/>
      <c r="G427" s="36"/>
      <c r="H427" s="36"/>
      <c r="I427" s="36"/>
      <c r="J427" s="13"/>
    </row>
    <row r="428" ht="15.75" customHeight="1">
      <c r="B428" s="38"/>
      <c r="C428" s="34"/>
      <c r="D428" s="33"/>
      <c r="E428" s="34"/>
      <c r="F428" s="35"/>
      <c r="G428" s="36"/>
      <c r="H428" s="36"/>
      <c r="I428" s="36"/>
      <c r="J428" s="13"/>
    </row>
    <row r="429" ht="15.75" customHeight="1">
      <c r="B429" s="38"/>
      <c r="C429" s="34"/>
      <c r="D429" s="33"/>
      <c r="E429" s="34"/>
      <c r="F429" s="35"/>
      <c r="G429" s="36"/>
      <c r="H429" s="36"/>
      <c r="I429" s="36"/>
      <c r="J429" s="13"/>
    </row>
    <row r="430" ht="15.75" customHeight="1">
      <c r="B430" s="38"/>
      <c r="C430" s="34"/>
      <c r="D430" s="33"/>
      <c r="E430" s="34"/>
      <c r="F430" s="35"/>
      <c r="G430" s="36"/>
      <c r="H430" s="36"/>
      <c r="I430" s="36"/>
      <c r="J430" s="13"/>
    </row>
    <row r="431" ht="15.75" customHeight="1">
      <c r="B431" s="38"/>
      <c r="C431" s="34"/>
      <c r="D431" s="33"/>
      <c r="E431" s="34"/>
      <c r="F431" s="35"/>
      <c r="G431" s="36"/>
      <c r="H431" s="36"/>
      <c r="I431" s="36"/>
      <c r="J431" s="13"/>
    </row>
    <row r="432" ht="15.75" customHeight="1">
      <c r="B432" s="38"/>
      <c r="C432" s="34"/>
      <c r="D432" s="33"/>
      <c r="E432" s="34"/>
      <c r="F432" s="35"/>
      <c r="G432" s="36"/>
      <c r="H432" s="36"/>
      <c r="I432" s="36"/>
      <c r="J432" s="13"/>
    </row>
    <row r="433" ht="15.75" customHeight="1">
      <c r="B433" s="38"/>
      <c r="C433" s="34"/>
      <c r="D433" s="33"/>
      <c r="E433" s="34"/>
      <c r="F433" s="35"/>
      <c r="G433" s="36"/>
      <c r="H433" s="36"/>
      <c r="I433" s="36"/>
      <c r="J433" s="13"/>
    </row>
    <row r="434" ht="15.75" customHeight="1">
      <c r="B434" s="38"/>
      <c r="C434" s="34"/>
      <c r="D434" s="33"/>
      <c r="E434" s="34"/>
      <c r="F434" s="35"/>
      <c r="G434" s="36"/>
      <c r="H434" s="36"/>
      <c r="I434" s="36"/>
      <c r="J434" s="13"/>
    </row>
    <row r="435" ht="15.75" customHeight="1">
      <c r="B435" s="38"/>
      <c r="C435" s="34"/>
      <c r="D435" s="33"/>
      <c r="E435" s="34"/>
      <c r="F435" s="35"/>
      <c r="G435" s="36"/>
      <c r="H435" s="36"/>
      <c r="I435" s="36"/>
      <c r="J435" s="13"/>
    </row>
    <row r="436" ht="15.75" customHeight="1">
      <c r="B436" s="38"/>
      <c r="C436" s="34"/>
      <c r="D436" s="33"/>
      <c r="E436" s="34"/>
      <c r="F436" s="35"/>
      <c r="G436" s="36"/>
      <c r="H436" s="36"/>
      <c r="I436" s="36"/>
      <c r="J436" s="13"/>
    </row>
    <row r="437" ht="15.75" customHeight="1">
      <c r="B437" s="38"/>
      <c r="C437" s="34"/>
      <c r="D437" s="33"/>
      <c r="E437" s="34"/>
      <c r="F437" s="35"/>
      <c r="G437" s="36"/>
      <c r="H437" s="36"/>
      <c r="I437" s="36"/>
      <c r="J437" s="13"/>
    </row>
    <row r="438" ht="15.75" customHeight="1">
      <c r="B438" s="38"/>
      <c r="C438" s="34"/>
      <c r="D438" s="33"/>
      <c r="E438" s="34"/>
      <c r="F438" s="35"/>
      <c r="G438" s="36"/>
      <c r="H438" s="36"/>
      <c r="I438" s="36"/>
      <c r="J438" s="13"/>
    </row>
    <row r="439" ht="15.75" customHeight="1">
      <c r="B439" s="38"/>
      <c r="C439" s="34"/>
      <c r="D439" s="33"/>
      <c r="E439" s="34"/>
      <c r="F439" s="35"/>
      <c r="G439" s="36"/>
      <c r="H439" s="36"/>
      <c r="I439" s="36"/>
      <c r="J439" s="13"/>
    </row>
    <row r="440" ht="15.75" customHeight="1">
      <c r="B440" s="38"/>
      <c r="C440" s="34"/>
      <c r="D440" s="33"/>
      <c r="E440" s="34"/>
      <c r="F440" s="35"/>
      <c r="G440" s="36"/>
      <c r="H440" s="36"/>
      <c r="I440" s="36"/>
      <c r="J440" s="13"/>
    </row>
    <row r="441" ht="15.75" customHeight="1">
      <c r="B441" s="38"/>
      <c r="C441" s="34"/>
      <c r="D441" s="33"/>
      <c r="E441" s="34"/>
      <c r="F441" s="35"/>
      <c r="G441" s="36"/>
      <c r="H441" s="36"/>
      <c r="I441" s="36"/>
      <c r="J441" s="13"/>
    </row>
    <row r="442" ht="15.75" customHeight="1">
      <c r="B442" s="38"/>
      <c r="C442" s="34"/>
      <c r="D442" s="33"/>
      <c r="E442" s="34"/>
      <c r="F442" s="35"/>
      <c r="G442" s="36"/>
      <c r="H442" s="36"/>
      <c r="I442" s="36"/>
      <c r="J442" s="13"/>
    </row>
    <row r="443" ht="15.75" customHeight="1">
      <c r="B443" s="38"/>
      <c r="C443" s="34"/>
      <c r="D443" s="33"/>
      <c r="E443" s="34"/>
      <c r="F443" s="35"/>
      <c r="G443" s="36"/>
      <c r="H443" s="36"/>
      <c r="I443" s="36"/>
      <c r="J443" s="13"/>
    </row>
    <row r="444" ht="15.75" customHeight="1">
      <c r="B444" s="38"/>
      <c r="C444" s="34"/>
      <c r="D444" s="33"/>
      <c r="E444" s="34"/>
      <c r="F444" s="35"/>
      <c r="G444" s="36"/>
      <c r="H444" s="36"/>
      <c r="I444" s="36"/>
      <c r="J444" s="13"/>
    </row>
    <row r="445" ht="15.75" customHeight="1">
      <c r="B445" s="38"/>
      <c r="C445" s="34"/>
      <c r="D445" s="33"/>
      <c r="E445" s="34"/>
      <c r="F445" s="35"/>
      <c r="G445" s="36"/>
      <c r="H445" s="36"/>
      <c r="I445" s="36"/>
      <c r="J445" s="13"/>
    </row>
    <row r="446" ht="15.75" customHeight="1">
      <c r="B446" s="38"/>
      <c r="C446" s="34"/>
      <c r="D446" s="33"/>
      <c r="E446" s="34"/>
      <c r="F446" s="35"/>
      <c r="G446" s="36"/>
      <c r="H446" s="36"/>
      <c r="I446" s="36"/>
      <c r="J446" s="13"/>
    </row>
    <row r="447" ht="15.75" customHeight="1">
      <c r="B447" s="38"/>
      <c r="C447" s="34"/>
      <c r="D447" s="33"/>
      <c r="E447" s="34"/>
      <c r="F447" s="35"/>
      <c r="G447" s="36"/>
      <c r="H447" s="36"/>
      <c r="I447" s="36"/>
      <c r="J447" s="13"/>
    </row>
    <row r="448" ht="15.75" customHeight="1">
      <c r="B448" s="38"/>
      <c r="C448" s="34"/>
      <c r="D448" s="33"/>
      <c r="E448" s="34"/>
      <c r="F448" s="35"/>
      <c r="G448" s="36"/>
      <c r="H448" s="36"/>
      <c r="I448" s="36"/>
      <c r="J448" s="13"/>
    </row>
    <row r="449" ht="15.75" customHeight="1">
      <c r="B449" s="38"/>
      <c r="C449" s="34"/>
      <c r="D449" s="33"/>
      <c r="E449" s="34"/>
      <c r="F449" s="35"/>
      <c r="G449" s="36"/>
      <c r="H449" s="36"/>
      <c r="I449" s="36"/>
      <c r="J449" s="13"/>
    </row>
    <row r="450" ht="15.75" customHeight="1">
      <c r="B450" s="38"/>
      <c r="C450" s="34"/>
      <c r="D450" s="33"/>
      <c r="E450" s="34"/>
      <c r="F450" s="35"/>
      <c r="G450" s="36"/>
      <c r="H450" s="36"/>
      <c r="I450" s="36"/>
      <c r="J450" s="13"/>
    </row>
    <row r="451" ht="15.75" customHeight="1">
      <c r="B451" s="38"/>
      <c r="C451" s="34"/>
      <c r="D451" s="33"/>
      <c r="E451" s="34"/>
      <c r="F451" s="35"/>
      <c r="G451" s="36"/>
      <c r="H451" s="36"/>
      <c r="I451" s="36"/>
      <c r="J451" s="13"/>
    </row>
    <row r="452" ht="15.75" customHeight="1">
      <c r="B452" s="38"/>
      <c r="C452" s="34"/>
      <c r="D452" s="33"/>
      <c r="E452" s="34"/>
      <c r="F452" s="35"/>
      <c r="G452" s="36"/>
      <c r="H452" s="36"/>
      <c r="I452" s="36"/>
      <c r="J452" s="13"/>
    </row>
    <row r="453" ht="15.75" customHeight="1">
      <c r="B453" s="38"/>
      <c r="C453" s="34"/>
      <c r="D453" s="33"/>
      <c r="E453" s="34"/>
      <c r="F453" s="35"/>
      <c r="G453" s="36"/>
      <c r="H453" s="36"/>
      <c r="I453" s="36"/>
      <c r="J453" s="13"/>
    </row>
    <row r="454" ht="15.75" customHeight="1">
      <c r="B454" s="38"/>
      <c r="C454" s="34"/>
      <c r="D454" s="33"/>
      <c r="E454" s="34"/>
      <c r="F454" s="35"/>
      <c r="G454" s="36"/>
      <c r="H454" s="36"/>
      <c r="I454" s="36"/>
      <c r="J454" s="13"/>
    </row>
    <row r="455" ht="15.75" customHeight="1">
      <c r="B455" s="38"/>
      <c r="C455" s="34"/>
      <c r="D455" s="33"/>
      <c r="E455" s="34"/>
      <c r="F455" s="35"/>
      <c r="G455" s="36"/>
      <c r="H455" s="36"/>
      <c r="I455" s="36"/>
      <c r="J455" s="13"/>
    </row>
    <row r="456" ht="15.75" customHeight="1">
      <c r="B456" s="38"/>
      <c r="C456" s="34"/>
      <c r="D456" s="33"/>
      <c r="E456" s="34"/>
      <c r="F456" s="35"/>
      <c r="G456" s="36"/>
      <c r="H456" s="36"/>
      <c r="I456" s="36"/>
      <c r="J456" s="13"/>
    </row>
    <row r="457" ht="15.75" customHeight="1">
      <c r="B457" s="38"/>
      <c r="C457" s="34"/>
      <c r="D457" s="33"/>
      <c r="E457" s="34"/>
      <c r="F457" s="35"/>
      <c r="G457" s="36"/>
      <c r="H457" s="36"/>
      <c r="I457" s="36"/>
      <c r="J457" s="13"/>
    </row>
    <row r="458" ht="15.75" customHeight="1">
      <c r="B458" s="38"/>
      <c r="C458" s="34"/>
      <c r="D458" s="33"/>
      <c r="E458" s="34"/>
      <c r="F458" s="35"/>
      <c r="G458" s="36"/>
      <c r="H458" s="36"/>
      <c r="I458" s="36"/>
      <c r="J458" s="13"/>
    </row>
    <row r="459" ht="15.75" customHeight="1">
      <c r="B459" s="38"/>
      <c r="C459" s="34"/>
      <c r="D459" s="33"/>
      <c r="E459" s="34"/>
      <c r="F459" s="35"/>
      <c r="G459" s="36"/>
      <c r="H459" s="36"/>
      <c r="I459" s="36"/>
      <c r="J459" s="13"/>
    </row>
    <row r="460" ht="15.75" customHeight="1">
      <c r="B460" s="38"/>
      <c r="C460" s="34"/>
      <c r="D460" s="33"/>
      <c r="E460" s="34"/>
      <c r="F460" s="35"/>
      <c r="G460" s="36"/>
      <c r="H460" s="36"/>
      <c r="I460" s="36"/>
      <c r="J460" s="13"/>
    </row>
    <row r="461" ht="15.75" customHeight="1">
      <c r="B461" s="38"/>
      <c r="C461" s="34"/>
      <c r="D461" s="33"/>
      <c r="E461" s="34"/>
      <c r="F461" s="35"/>
      <c r="G461" s="36"/>
      <c r="H461" s="36"/>
      <c r="I461" s="36"/>
      <c r="J461" s="13"/>
    </row>
    <row r="462" ht="15.75" customHeight="1">
      <c r="B462" s="38"/>
      <c r="C462" s="34"/>
      <c r="D462" s="33"/>
      <c r="E462" s="34"/>
      <c r="F462" s="35"/>
      <c r="G462" s="36"/>
      <c r="H462" s="36"/>
      <c r="I462" s="36"/>
      <c r="J462" s="13"/>
    </row>
    <row r="463" ht="15.75" customHeight="1">
      <c r="B463" s="38"/>
      <c r="C463" s="34"/>
      <c r="D463" s="33"/>
      <c r="E463" s="34"/>
      <c r="F463" s="35"/>
      <c r="G463" s="36"/>
      <c r="H463" s="36"/>
      <c r="I463" s="36"/>
      <c r="J463" s="13"/>
    </row>
    <row r="464" ht="15.75" customHeight="1">
      <c r="B464" s="38"/>
      <c r="C464" s="34"/>
      <c r="D464" s="33"/>
      <c r="E464" s="34"/>
      <c r="F464" s="35"/>
      <c r="G464" s="36"/>
      <c r="H464" s="36"/>
      <c r="I464" s="36"/>
      <c r="J464" s="13"/>
    </row>
    <row r="465" ht="15.75" customHeight="1">
      <c r="B465" s="38"/>
      <c r="C465" s="34"/>
      <c r="D465" s="33"/>
      <c r="E465" s="34"/>
      <c r="F465" s="35"/>
      <c r="G465" s="36"/>
      <c r="H465" s="36"/>
      <c r="I465" s="36"/>
      <c r="J465" s="13"/>
    </row>
    <row r="466" ht="15.75" customHeight="1">
      <c r="B466" s="38"/>
      <c r="C466" s="34"/>
      <c r="D466" s="33"/>
      <c r="E466" s="34"/>
      <c r="F466" s="35"/>
      <c r="G466" s="36"/>
      <c r="H466" s="36"/>
      <c r="I466" s="36"/>
      <c r="J466" s="13"/>
    </row>
    <row r="467" ht="15.75" customHeight="1">
      <c r="B467" s="38"/>
      <c r="C467" s="34"/>
      <c r="D467" s="33"/>
      <c r="E467" s="34"/>
      <c r="F467" s="35"/>
      <c r="G467" s="36"/>
      <c r="H467" s="36"/>
      <c r="I467" s="36"/>
      <c r="J467" s="13"/>
    </row>
    <row r="468" ht="15.75" customHeight="1">
      <c r="B468" s="38"/>
      <c r="C468" s="34"/>
      <c r="D468" s="33"/>
      <c r="E468" s="34"/>
      <c r="F468" s="35"/>
      <c r="G468" s="36"/>
      <c r="H468" s="36"/>
      <c r="I468" s="36"/>
      <c r="J468" s="13"/>
    </row>
    <row r="469" ht="15.75" customHeight="1">
      <c r="B469" s="38"/>
      <c r="C469" s="34"/>
      <c r="D469" s="33"/>
      <c r="E469" s="34"/>
      <c r="F469" s="35"/>
      <c r="G469" s="36"/>
      <c r="H469" s="36"/>
      <c r="I469" s="36"/>
      <c r="J469" s="13"/>
    </row>
    <row r="470" ht="15.75" customHeight="1">
      <c r="B470" s="38"/>
      <c r="C470" s="34"/>
      <c r="D470" s="33"/>
      <c r="E470" s="34"/>
      <c r="F470" s="35"/>
      <c r="G470" s="36"/>
      <c r="H470" s="36"/>
      <c r="I470" s="36"/>
      <c r="J470" s="13"/>
    </row>
    <row r="471" ht="15.75" customHeight="1">
      <c r="B471" s="38"/>
      <c r="C471" s="34"/>
      <c r="D471" s="33"/>
      <c r="E471" s="34"/>
      <c r="F471" s="35"/>
      <c r="G471" s="36"/>
      <c r="H471" s="36"/>
      <c r="I471" s="36"/>
      <c r="J471" s="13"/>
    </row>
    <row r="472" ht="15.75" customHeight="1">
      <c r="B472" s="38"/>
      <c r="C472" s="34"/>
      <c r="D472" s="33"/>
      <c r="E472" s="34"/>
      <c r="F472" s="35"/>
      <c r="G472" s="36"/>
      <c r="H472" s="36"/>
      <c r="I472" s="36"/>
      <c r="J472" s="13"/>
    </row>
    <row r="473" ht="15.75" customHeight="1">
      <c r="B473" s="38"/>
      <c r="C473" s="34"/>
      <c r="D473" s="33"/>
      <c r="E473" s="34"/>
      <c r="F473" s="35"/>
      <c r="G473" s="36"/>
      <c r="H473" s="36"/>
      <c r="I473" s="36"/>
      <c r="J473" s="13"/>
    </row>
    <row r="474" ht="15.75" customHeight="1">
      <c r="B474" s="38"/>
      <c r="C474" s="34"/>
      <c r="D474" s="33"/>
      <c r="E474" s="34"/>
      <c r="F474" s="35"/>
      <c r="G474" s="36"/>
      <c r="H474" s="36"/>
      <c r="I474" s="36"/>
      <c r="J474" s="13"/>
    </row>
    <row r="475" ht="15.75" customHeight="1">
      <c r="B475" s="38"/>
      <c r="C475" s="34"/>
      <c r="D475" s="33"/>
      <c r="E475" s="34"/>
      <c r="F475" s="35"/>
      <c r="G475" s="36"/>
      <c r="H475" s="36"/>
      <c r="I475" s="36"/>
      <c r="J475" s="13"/>
    </row>
    <row r="476" ht="15.75" customHeight="1">
      <c r="B476" s="38"/>
      <c r="C476" s="34"/>
      <c r="D476" s="33"/>
      <c r="E476" s="34"/>
      <c r="F476" s="35"/>
      <c r="G476" s="36"/>
      <c r="H476" s="36"/>
      <c r="I476" s="36"/>
      <c r="J476" s="13"/>
    </row>
    <row r="477" ht="15.75" customHeight="1">
      <c r="B477" s="38"/>
      <c r="C477" s="34"/>
      <c r="D477" s="33"/>
      <c r="E477" s="34"/>
      <c r="F477" s="35"/>
      <c r="G477" s="36"/>
      <c r="H477" s="36"/>
      <c r="I477" s="36"/>
      <c r="J477" s="13"/>
    </row>
    <row r="478" ht="15.75" customHeight="1">
      <c r="B478" s="38"/>
      <c r="C478" s="34"/>
      <c r="D478" s="33"/>
      <c r="E478" s="34"/>
      <c r="F478" s="35"/>
      <c r="G478" s="36"/>
      <c r="H478" s="36"/>
      <c r="I478" s="36"/>
      <c r="J478" s="13"/>
    </row>
    <row r="479" ht="15.75" customHeight="1">
      <c r="B479" s="38"/>
      <c r="C479" s="34"/>
      <c r="D479" s="33"/>
      <c r="E479" s="34"/>
      <c r="F479" s="35"/>
      <c r="G479" s="36"/>
      <c r="H479" s="36"/>
      <c r="I479" s="36"/>
      <c r="J479" s="13"/>
    </row>
    <row r="480" ht="15.75" customHeight="1">
      <c r="B480" s="38"/>
      <c r="C480" s="34"/>
      <c r="D480" s="33"/>
      <c r="E480" s="34"/>
      <c r="F480" s="35"/>
      <c r="G480" s="36"/>
      <c r="H480" s="36"/>
      <c r="I480" s="36"/>
      <c r="J480" s="13"/>
    </row>
    <row r="481" ht="15.75" customHeight="1">
      <c r="B481" s="38"/>
      <c r="C481" s="34"/>
      <c r="D481" s="33"/>
      <c r="E481" s="34"/>
      <c r="F481" s="35"/>
      <c r="G481" s="36"/>
      <c r="H481" s="36"/>
      <c r="I481" s="36"/>
      <c r="J481" s="13"/>
    </row>
    <row r="482" ht="15.75" customHeight="1">
      <c r="B482" s="38"/>
      <c r="C482" s="34"/>
      <c r="D482" s="33"/>
      <c r="E482" s="34"/>
      <c r="F482" s="35"/>
      <c r="G482" s="36"/>
      <c r="H482" s="36"/>
      <c r="I482" s="36"/>
      <c r="J482" s="13"/>
    </row>
    <row r="483" ht="15.75" customHeight="1">
      <c r="B483" s="38"/>
      <c r="C483" s="34"/>
      <c r="D483" s="33"/>
      <c r="E483" s="34"/>
      <c r="F483" s="35"/>
      <c r="G483" s="36"/>
      <c r="H483" s="36"/>
      <c r="I483" s="36"/>
      <c r="J483" s="13"/>
    </row>
    <row r="484" ht="15.75" customHeight="1">
      <c r="B484" s="38"/>
      <c r="C484" s="34"/>
      <c r="D484" s="33"/>
      <c r="E484" s="34"/>
      <c r="F484" s="35"/>
      <c r="G484" s="36"/>
      <c r="H484" s="36"/>
      <c r="I484" s="36"/>
      <c r="J484" s="13"/>
    </row>
    <row r="485" ht="15.75" customHeight="1">
      <c r="B485" s="38"/>
      <c r="C485" s="34"/>
      <c r="D485" s="33"/>
      <c r="E485" s="34"/>
      <c r="F485" s="35"/>
      <c r="G485" s="36"/>
      <c r="H485" s="36"/>
      <c r="I485" s="36"/>
      <c r="J485" s="13"/>
    </row>
    <row r="486" ht="15.75" customHeight="1">
      <c r="B486" s="38"/>
      <c r="C486" s="34"/>
      <c r="D486" s="33"/>
      <c r="E486" s="34"/>
      <c r="F486" s="35"/>
      <c r="G486" s="36"/>
      <c r="H486" s="36"/>
      <c r="I486" s="36"/>
      <c r="J486" s="13"/>
    </row>
    <row r="487" ht="15.75" customHeight="1">
      <c r="B487" s="38"/>
      <c r="C487" s="34"/>
      <c r="D487" s="33"/>
      <c r="E487" s="34"/>
      <c r="F487" s="35"/>
      <c r="G487" s="36"/>
      <c r="H487" s="36"/>
      <c r="I487" s="36"/>
      <c r="J487" s="13"/>
    </row>
    <row r="488" ht="15.75" customHeight="1">
      <c r="B488" s="38"/>
      <c r="C488" s="34"/>
      <c r="D488" s="33"/>
      <c r="E488" s="34"/>
      <c r="F488" s="35"/>
      <c r="G488" s="36"/>
      <c r="H488" s="36"/>
      <c r="I488" s="36"/>
      <c r="J488" s="13"/>
    </row>
    <row r="489" ht="15.75" customHeight="1">
      <c r="B489" s="38"/>
      <c r="C489" s="34"/>
      <c r="D489" s="33"/>
      <c r="E489" s="34"/>
      <c r="F489" s="35"/>
      <c r="G489" s="36"/>
      <c r="H489" s="36"/>
      <c r="I489" s="36"/>
      <c r="J489" s="13"/>
    </row>
    <row r="490" ht="15.75" customHeight="1">
      <c r="B490" s="38"/>
      <c r="C490" s="34"/>
      <c r="D490" s="33"/>
      <c r="E490" s="34"/>
      <c r="F490" s="35"/>
      <c r="G490" s="36"/>
      <c r="H490" s="36"/>
      <c r="I490" s="36"/>
      <c r="J490" s="13"/>
    </row>
    <row r="491" ht="15.75" customHeight="1">
      <c r="B491" s="38"/>
      <c r="C491" s="34"/>
      <c r="D491" s="33"/>
      <c r="E491" s="34"/>
      <c r="F491" s="35"/>
      <c r="G491" s="36"/>
      <c r="H491" s="36"/>
      <c r="I491" s="36"/>
      <c r="J491" s="13"/>
    </row>
    <row r="492" ht="15.75" customHeight="1">
      <c r="B492" s="38"/>
      <c r="C492" s="34"/>
      <c r="D492" s="33"/>
      <c r="E492" s="34"/>
      <c r="F492" s="35"/>
      <c r="G492" s="36"/>
      <c r="H492" s="36"/>
      <c r="I492" s="36"/>
      <c r="J492" s="13"/>
    </row>
    <row r="493" ht="15.75" customHeight="1">
      <c r="B493" s="38"/>
      <c r="C493" s="34"/>
      <c r="D493" s="33"/>
      <c r="E493" s="34"/>
      <c r="F493" s="35"/>
      <c r="G493" s="36"/>
      <c r="H493" s="36"/>
      <c r="I493" s="36"/>
      <c r="J493" s="13"/>
    </row>
    <row r="494" ht="15.75" customHeight="1">
      <c r="B494" s="38"/>
      <c r="C494" s="34"/>
      <c r="D494" s="33"/>
      <c r="E494" s="34"/>
      <c r="F494" s="35"/>
      <c r="G494" s="36"/>
      <c r="H494" s="36"/>
      <c r="I494" s="36"/>
      <c r="J494" s="13"/>
    </row>
    <row r="495" ht="15.75" customHeight="1">
      <c r="B495" s="38"/>
      <c r="C495" s="34"/>
      <c r="D495" s="33"/>
      <c r="E495" s="34"/>
      <c r="F495" s="35"/>
      <c r="G495" s="36"/>
      <c r="H495" s="36"/>
      <c r="I495" s="36"/>
      <c r="J495" s="13"/>
    </row>
    <row r="496" ht="15.75" customHeight="1">
      <c r="B496" s="38"/>
      <c r="C496" s="34"/>
      <c r="D496" s="33"/>
      <c r="E496" s="34"/>
      <c r="F496" s="35"/>
      <c r="G496" s="36"/>
      <c r="H496" s="36"/>
      <c r="I496" s="36"/>
      <c r="J496" s="13"/>
    </row>
    <row r="497" ht="15.75" customHeight="1">
      <c r="B497" s="38"/>
      <c r="C497" s="34"/>
      <c r="D497" s="33"/>
      <c r="E497" s="34"/>
      <c r="F497" s="35"/>
      <c r="G497" s="36"/>
      <c r="H497" s="36"/>
      <c r="I497" s="36"/>
      <c r="J497" s="13"/>
    </row>
    <row r="498" ht="15.75" customHeight="1">
      <c r="B498" s="38"/>
      <c r="C498" s="34"/>
      <c r="D498" s="33"/>
      <c r="E498" s="34"/>
      <c r="F498" s="35"/>
      <c r="G498" s="36"/>
      <c r="H498" s="36"/>
      <c r="I498" s="36"/>
      <c r="J498" s="13"/>
    </row>
    <row r="499" ht="15.75" customHeight="1">
      <c r="B499" s="38"/>
      <c r="C499" s="34"/>
      <c r="D499" s="33"/>
      <c r="E499" s="34"/>
      <c r="F499" s="35"/>
      <c r="G499" s="36"/>
      <c r="H499" s="36"/>
      <c r="I499" s="36"/>
      <c r="J499" s="13"/>
    </row>
    <row r="500" ht="15.75" customHeight="1">
      <c r="B500" s="38"/>
      <c r="C500" s="34"/>
      <c r="D500" s="33"/>
      <c r="E500" s="34"/>
      <c r="F500" s="35"/>
      <c r="G500" s="36"/>
      <c r="H500" s="36"/>
      <c r="I500" s="36"/>
      <c r="J500" s="13"/>
    </row>
    <row r="501" ht="15.75" customHeight="1">
      <c r="B501" s="38"/>
      <c r="C501" s="34"/>
      <c r="D501" s="33"/>
      <c r="E501" s="34"/>
      <c r="F501" s="35"/>
      <c r="G501" s="36"/>
      <c r="H501" s="36"/>
      <c r="I501" s="36"/>
      <c r="J501" s="13"/>
    </row>
    <row r="502" ht="15.75" customHeight="1">
      <c r="B502" s="38"/>
      <c r="C502" s="34"/>
      <c r="D502" s="33"/>
      <c r="E502" s="34"/>
      <c r="F502" s="35"/>
      <c r="G502" s="36"/>
      <c r="H502" s="36"/>
      <c r="I502" s="36"/>
      <c r="J502" s="13"/>
    </row>
    <row r="503" ht="15.75" customHeight="1">
      <c r="B503" s="38"/>
      <c r="C503" s="34"/>
      <c r="D503" s="33"/>
      <c r="E503" s="34"/>
      <c r="F503" s="35"/>
      <c r="G503" s="36"/>
      <c r="H503" s="36"/>
      <c r="I503" s="36"/>
      <c r="J503" s="13"/>
    </row>
    <row r="504" ht="15.75" customHeight="1">
      <c r="B504" s="38"/>
      <c r="C504" s="34"/>
      <c r="D504" s="33"/>
      <c r="E504" s="34"/>
      <c r="F504" s="35"/>
      <c r="G504" s="36"/>
      <c r="H504" s="36"/>
      <c r="I504" s="36"/>
      <c r="J504" s="13"/>
    </row>
    <row r="505" ht="15.75" customHeight="1">
      <c r="B505" s="38"/>
      <c r="C505" s="34"/>
      <c r="D505" s="33"/>
      <c r="E505" s="34"/>
      <c r="F505" s="35"/>
      <c r="G505" s="36"/>
      <c r="H505" s="36"/>
      <c r="I505" s="36"/>
      <c r="J505" s="13"/>
    </row>
    <row r="506" ht="15.75" customHeight="1">
      <c r="B506" s="38"/>
      <c r="C506" s="34"/>
      <c r="D506" s="33"/>
      <c r="E506" s="34"/>
      <c r="F506" s="35"/>
      <c r="G506" s="36"/>
      <c r="H506" s="36"/>
      <c r="I506" s="36"/>
      <c r="J506" s="13"/>
    </row>
    <row r="507" ht="15.75" customHeight="1">
      <c r="B507" s="38"/>
      <c r="C507" s="34"/>
      <c r="D507" s="33"/>
      <c r="E507" s="34"/>
      <c r="F507" s="35"/>
      <c r="G507" s="36"/>
      <c r="H507" s="36"/>
      <c r="I507" s="36"/>
      <c r="J507" s="13"/>
    </row>
    <row r="508" ht="15.75" customHeight="1">
      <c r="B508" s="38"/>
      <c r="C508" s="34"/>
      <c r="D508" s="33"/>
      <c r="E508" s="34"/>
      <c r="F508" s="35"/>
      <c r="G508" s="36"/>
      <c r="H508" s="36"/>
      <c r="I508" s="36"/>
      <c r="J508" s="13"/>
    </row>
    <row r="509" ht="15.75" customHeight="1">
      <c r="B509" s="38"/>
      <c r="C509" s="34"/>
      <c r="D509" s="33"/>
      <c r="E509" s="34"/>
      <c r="F509" s="35"/>
      <c r="G509" s="36"/>
      <c r="H509" s="36"/>
      <c r="I509" s="36"/>
      <c r="J509" s="13"/>
    </row>
    <row r="510" ht="15.75" customHeight="1">
      <c r="B510" s="38"/>
      <c r="C510" s="34"/>
      <c r="D510" s="33"/>
      <c r="E510" s="34"/>
      <c r="F510" s="35"/>
      <c r="G510" s="36"/>
      <c r="H510" s="36"/>
      <c r="I510" s="36"/>
      <c r="J510" s="13"/>
    </row>
    <row r="511" ht="15.75" customHeight="1">
      <c r="B511" s="38"/>
      <c r="C511" s="34"/>
      <c r="D511" s="33"/>
      <c r="E511" s="34"/>
      <c r="F511" s="35"/>
      <c r="G511" s="36"/>
      <c r="H511" s="36"/>
      <c r="I511" s="36"/>
      <c r="J511" s="13"/>
    </row>
    <row r="512" ht="15.75" customHeight="1">
      <c r="B512" s="38"/>
      <c r="C512" s="34"/>
      <c r="D512" s="33"/>
      <c r="E512" s="34"/>
      <c r="F512" s="35"/>
      <c r="G512" s="36"/>
      <c r="H512" s="36"/>
      <c r="I512" s="36"/>
      <c r="J512" s="13"/>
    </row>
    <row r="513" ht="15.75" customHeight="1">
      <c r="B513" s="38"/>
      <c r="C513" s="34"/>
      <c r="D513" s="33"/>
      <c r="E513" s="34"/>
      <c r="F513" s="35"/>
      <c r="G513" s="36"/>
      <c r="H513" s="36"/>
      <c r="I513" s="36"/>
      <c r="J513" s="13"/>
    </row>
    <row r="514" ht="15.75" customHeight="1">
      <c r="B514" s="38"/>
      <c r="C514" s="34"/>
      <c r="D514" s="33"/>
      <c r="E514" s="34"/>
      <c r="F514" s="35"/>
      <c r="G514" s="36"/>
      <c r="H514" s="36"/>
      <c r="I514" s="36"/>
      <c r="J514" s="13"/>
    </row>
    <row r="515" ht="15.75" customHeight="1">
      <c r="B515" s="38"/>
      <c r="C515" s="34"/>
      <c r="D515" s="33"/>
      <c r="E515" s="34"/>
      <c r="F515" s="35"/>
      <c r="G515" s="36"/>
      <c r="H515" s="36"/>
      <c r="I515" s="36"/>
      <c r="J515" s="13"/>
    </row>
    <row r="516" ht="15.75" customHeight="1">
      <c r="B516" s="38"/>
      <c r="C516" s="34"/>
      <c r="D516" s="33"/>
      <c r="E516" s="34"/>
      <c r="F516" s="35"/>
      <c r="G516" s="36"/>
      <c r="H516" s="36"/>
      <c r="I516" s="36"/>
      <c r="J516" s="13"/>
    </row>
    <row r="517" ht="15.75" customHeight="1">
      <c r="B517" s="38"/>
      <c r="C517" s="34"/>
      <c r="D517" s="33"/>
      <c r="E517" s="34"/>
      <c r="F517" s="35"/>
      <c r="G517" s="36"/>
      <c r="H517" s="36"/>
      <c r="I517" s="36"/>
      <c r="J517" s="13"/>
    </row>
    <row r="518" ht="15.75" customHeight="1">
      <c r="B518" s="38"/>
      <c r="C518" s="34"/>
      <c r="D518" s="33"/>
      <c r="E518" s="34"/>
      <c r="F518" s="35"/>
      <c r="G518" s="36"/>
      <c r="H518" s="36"/>
      <c r="I518" s="36"/>
      <c r="J518" s="13"/>
    </row>
    <row r="519" ht="15.75" customHeight="1">
      <c r="B519" s="38"/>
      <c r="C519" s="34"/>
      <c r="D519" s="33"/>
      <c r="E519" s="34"/>
      <c r="F519" s="35"/>
      <c r="G519" s="36"/>
      <c r="H519" s="36"/>
      <c r="I519" s="36"/>
      <c r="J519" s="13"/>
    </row>
    <row r="520" ht="15.75" customHeight="1">
      <c r="B520" s="38"/>
      <c r="C520" s="34"/>
      <c r="D520" s="33"/>
      <c r="E520" s="34"/>
      <c r="F520" s="35"/>
      <c r="G520" s="36"/>
      <c r="H520" s="36"/>
      <c r="I520" s="36"/>
      <c r="J520" s="13"/>
    </row>
    <row r="521" ht="15.75" customHeight="1">
      <c r="B521" s="38"/>
      <c r="C521" s="34"/>
      <c r="D521" s="33"/>
      <c r="E521" s="34"/>
      <c r="F521" s="35"/>
      <c r="G521" s="36"/>
      <c r="H521" s="36"/>
      <c r="I521" s="36"/>
      <c r="J521" s="13"/>
    </row>
    <row r="522" ht="15.75" customHeight="1">
      <c r="B522" s="38"/>
      <c r="C522" s="34"/>
      <c r="D522" s="33"/>
      <c r="E522" s="34"/>
      <c r="F522" s="35"/>
      <c r="G522" s="36"/>
      <c r="H522" s="36"/>
      <c r="I522" s="36"/>
      <c r="J522" s="13"/>
    </row>
    <row r="523" ht="15.75" customHeight="1">
      <c r="B523" s="38"/>
      <c r="C523" s="34"/>
      <c r="D523" s="33"/>
      <c r="E523" s="34"/>
      <c r="F523" s="35"/>
      <c r="G523" s="36"/>
      <c r="H523" s="36"/>
      <c r="I523" s="36"/>
      <c r="J523" s="13"/>
    </row>
    <row r="524" ht="15.75" customHeight="1">
      <c r="B524" s="38"/>
      <c r="C524" s="34"/>
      <c r="D524" s="33"/>
      <c r="E524" s="34"/>
      <c r="F524" s="35"/>
      <c r="G524" s="36"/>
      <c r="H524" s="36"/>
      <c r="I524" s="36"/>
      <c r="J524" s="13"/>
    </row>
    <row r="525" ht="15.75" customHeight="1">
      <c r="B525" s="38"/>
      <c r="C525" s="34"/>
      <c r="D525" s="33"/>
      <c r="E525" s="34"/>
      <c r="F525" s="35"/>
      <c r="G525" s="36"/>
      <c r="H525" s="36"/>
      <c r="I525" s="36"/>
      <c r="J525" s="13"/>
    </row>
    <row r="526" ht="15.75" customHeight="1">
      <c r="B526" s="38"/>
      <c r="C526" s="34"/>
      <c r="D526" s="33"/>
      <c r="E526" s="34"/>
      <c r="F526" s="35"/>
      <c r="G526" s="36"/>
      <c r="H526" s="36"/>
      <c r="I526" s="36"/>
      <c r="J526" s="13"/>
    </row>
    <row r="527" ht="15.75" customHeight="1">
      <c r="B527" s="38"/>
      <c r="C527" s="34"/>
      <c r="D527" s="33"/>
      <c r="E527" s="34"/>
      <c r="F527" s="35"/>
      <c r="G527" s="36"/>
      <c r="H527" s="36"/>
      <c r="I527" s="36"/>
      <c r="J527" s="13"/>
    </row>
    <row r="528" ht="15.75" customHeight="1">
      <c r="B528" s="38"/>
      <c r="C528" s="34"/>
      <c r="D528" s="33"/>
      <c r="E528" s="34"/>
      <c r="F528" s="35"/>
      <c r="G528" s="36"/>
      <c r="H528" s="36"/>
      <c r="I528" s="36"/>
      <c r="J528" s="13"/>
    </row>
    <row r="529" ht="15.75" customHeight="1">
      <c r="B529" s="38"/>
      <c r="C529" s="34"/>
      <c r="D529" s="33"/>
      <c r="E529" s="34"/>
      <c r="F529" s="35"/>
      <c r="G529" s="36"/>
      <c r="H529" s="36"/>
      <c r="I529" s="36"/>
      <c r="J529" s="13"/>
    </row>
    <row r="530" ht="15.75" customHeight="1">
      <c r="B530" s="38"/>
      <c r="C530" s="34"/>
      <c r="D530" s="33"/>
      <c r="E530" s="34"/>
      <c r="F530" s="35"/>
      <c r="G530" s="36"/>
      <c r="H530" s="36"/>
      <c r="I530" s="36"/>
      <c r="J530" s="13"/>
    </row>
    <row r="531" ht="15.75" customHeight="1">
      <c r="B531" s="38"/>
      <c r="C531" s="34"/>
      <c r="D531" s="33"/>
      <c r="E531" s="34"/>
      <c r="F531" s="35"/>
      <c r="G531" s="36"/>
      <c r="H531" s="36"/>
      <c r="I531" s="36"/>
      <c r="J531" s="13"/>
    </row>
    <row r="532" ht="15.75" customHeight="1">
      <c r="B532" s="38"/>
      <c r="C532" s="34"/>
      <c r="D532" s="33"/>
      <c r="E532" s="34"/>
      <c r="F532" s="35"/>
      <c r="G532" s="36"/>
      <c r="H532" s="36"/>
      <c r="I532" s="36"/>
      <c r="J532" s="13"/>
    </row>
    <row r="533" ht="15.75" customHeight="1">
      <c r="B533" s="38"/>
      <c r="C533" s="34"/>
      <c r="D533" s="33"/>
      <c r="E533" s="34"/>
      <c r="F533" s="35"/>
      <c r="G533" s="36"/>
      <c r="H533" s="36"/>
      <c r="I533" s="36"/>
      <c r="J533" s="13"/>
    </row>
    <row r="534" ht="15.75" customHeight="1">
      <c r="B534" s="38"/>
      <c r="C534" s="34"/>
      <c r="D534" s="33"/>
      <c r="E534" s="34"/>
      <c r="F534" s="35"/>
      <c r="G534" s="36"/>
      <c r="H534" s="36"/>
      <c r="I534" s="36"/>
      <c r="J534" s="13"/>
    </row>
    <row r="535" ht="15.75" customHeight="1">
      <c r="B535" s="38"/>
      <c r="C535" s="34"/>
      <c r="D535" s="33"/>
      <c r="E535" s="34"/>
      <c r="F535" s="35"/>
      <c r="G535" s="36"/>
      <c r="H535" s="36"/>
      <c r="I535" s="36"/>
      <c r="J535" s="13"/>
    </row>
    <row r="536" ht="15.75" customHeight="1">
      <c r="B536" s="38"/>
      <c r="C536" s="34"/>
      <c r="D536" s="33"/>
      <c r="E536" s="34"/>
      <c r="F536" s="35"/>
      <c r="G536" s="36"/>
      <c r="H536" s="36"/>
      <c r="I536" s="36"/>
      <c r="J536" s="13"/>
    </row>
    <row r="537" ht="15.75" customHeight="1">
      <c r="B537" s="38"/>
      <c r="C537" s="34"/>
      <c r="D537" s="33"/>
      <c r="E537" s="34"/>
      <c r="F537" s="35"/>
      <c r="G537" s="36"/>
      <c r="H537" s="36"/>
      <c r="I537" s="36"/>
      <c r="J537" s="13"/>
    </row>
    <row r="538" ht="15.75" customHeight="1">
      <c r="B538" s="38"/>
      <c r="C538" s="34"/>
      <c r="D538" s="33"/>
      <c r="E538" s="34"/>
      <c r="F538" s="35"/>
      <c r="G538" s="36"/>
      <c r="H538" s="36"/>
      <c r="I538" s="36"/>
      <c r="J538" s="13"/>
    </row>
    <row r="539" ht="15.75" customHeight="1">
      <c r="B539" s="38"/>
      <c r="C539" s="34"/>
      <c r="D539" s="33"/>
      <c r="E539" s="34"/>
      <c r="F539" s="35"/>
      <c r="G539" s="36"/>
      <c r="H539" s="36"/>
      <c r="I539" s="36"/>
      <c r="J539" s="13"/>
    </row>
    <row r="540" ht="15.75" customHeight="1">
      <c r="B540" s="38"/>
      <c r="C540" s="34"/>
      <c r="D540" s="33"/>
      <c r="E540" s="34"/>
      <c r="F540" s="35"/>
      <c r="G540" s="36"/>
      <c r="H540" s="36"/>
      <c r="I540" s="36"/>
      <c r="J540" s="13"/>
    </row>
    <row r="541" ht="15.75" customHeight="1">
      <c r="B541" s="38"/>
      <c r="C541" s="34"/>
      <c r="D541" s="33"/>
      <c r="E541" s="34"/>
      <c r="F541" s="35"/>
      <c r="G541" s="36"/>
      <c r="H541" s="36"/>
      <c r="I541" s="36"/>
      <c r="J541" s="13"/>
    </row>
    <row r="542" ht="15.75" customHeight="1">
      <c r="B542" s="38"/>
      <c r="C542" s="34"/>
      <c r="D542" s="33"/>
      <c r="E542" s="34"/>
      <c r="F542" s="35"/>
      <c r="G542" s="36"/>
      <c r="H542" s="36"/>
      <c r="I542" s="36"/>
      <c r="J542" s="13"/>
    </row>
    <row r="543" ht="15.75" customHeight="1">
      <c r="B543" s="38"/>
      <c r="C543" s="34"/>
      <c r="D543" s="33"/>
      <c r="E543" s="34"/>
      <c r="F543" s="35"/>
      <c r="G543" s="36"/>
      <c r="H543" s="36"/>
      <c r="I543" s="36"/>
      <c r="J543" s="13"/>
    </row>
    <row r="544" ht="15.75" customHeight="1">
      <c r="B544" s="38"/>
      <c r="C544" s="34"/>
      <c r="D544" s="33"/>
      <c r="E544" s="34"/>
      <c r="F544" s="35"/>
      <c r="G544" s="36"/>
      <c r="H544" s="36"/>
      <c r="I544" s="36"/>
      <c r="J544" s="13"/>
    </row>
    <row r="545" ht="15.75" customHeight="1">
      <c r="B545" s="38"/>
      <c r="C545" s="34"/>
      <c r="D545" s="33"/>
      <c r="E545" s="34"/>
      <c r="F545" s="35"/>
      <c r="G545" s="36"/>
      <c r="H545" s="36"/>
      <c r="I545" s="36"/>
      <c r="J545" s="13"/>
    </row>
    <row r="546" ht="15.75" customHeight="1">
      <c r="B546" s="38"/>
      <c r="C546" s="34"/>
      <c r="D546" s="33"/>
      <c r="E546" s="34"/>
      <c r="F546" s="35"/>
      <c r="G546" s="36"/>
      <c r="H546" s="36"/>
      <c r="I546" s="36"/>
      <c r="J546" s="13"/>
    </row>
    <row r="547" ht="15.75" customHeight="1">
      <c r="B547" s="38"/>
      <c r="C547" s="34"/>
      <c r="D547" s="33"/>
      <c r="E547" s="34"/>
      <c r="F547" s="35"/>
      <c r="G547" s="36"/>
      <c r="H547" s="36"/>
      <c r="I547" s="36"/>
      <c r="J547" s="13"/>
    </row>
    <row r="548" ht="15.75" customHeight="1">
      <c r="B548" s="38"/>
      <c r="C548" s="34"/>
      <c r="D548" s="33"/>
      <c r="E548" s="34"/>
      <c r="F548" s="35"/>
      <c r="G548" s="36"/>
      <c r="H548" s="36"/>
      <c r="I548" s="36"/>
      <c r="J548" s="13"/>
    </row>
    <row r="549" ht="15.75" customHeight="1">
      <c r="B549" s="38"/>
      <c r="C549" s="34"/>
      <c r="D549" s="33"/>
      <c r="E549" s="34"/>
      <c r="F549" s="35"/>
      <c r="G549" s="36"/>
      <c r="H549" s="36"/>
      <c r="I549" s="36"/>
      <c r="J549" s="13"/>
    </row>
    <row r="550" ht="15.75" customHeight="1">
      <c r="B550" s="38"/>
      <c r="C550" s="34"/>
      <c r="D550" s="33"/>
      <c r="E550" s="34"/>
      <c r="F550" s="35"/>
      <c r="G550" s="36"/>
      <c r="H550" s="36"/>
      <c r="I550" s="36"/>
      <c r="J550" s="13"/>
    </row>
    <row r="551" ht="15.75" customHeight="1">
      <c r="B551" s="38"/>
      <c r="C551" s="34"/>
      <c r="D551" s="33"/>
      <c r="E551" s="34"/>
      <c r="F551" s="35"/>
      <c r="G551" s="36"/>
      <c r="H551" s="36"/>
      <c r="I551" s="36"/>
      <c r="J551" s="13"/>
    </row>
    <row r="552" ht="15.75" customHeight="1">
      <c r="B552" s="38"/>
      <c r="C552" s="34"/>
      <c r="D552" s="33"/>
      <c r="E552" s="34"/>
      <c r="F552" s="35"/>
      <c r="G552" s="36"/>
      <c r="H552" s="36"/>
      <c r="I552" s="36"/>
      <c r="J552" s="13"/>
    </row>
    <row r="553" ht="15.75" customHeight="1">
      <c r="B553" s="38"/>
      <c r="C553" s="34"/>
      <c r="D553" s="33"/>
      <c r="E553" s="34"/>
      <c r="F553" s="35"/>
      <c r="G553" s="36"/>
      <c r="H553" s="36"/>
      <c r="I553" s="36"/>
      <c r="J553" s="13"/>
    </row>
    <row r="554" ht="15.75" customHeight="1">
      <c r="B554" s="38"/>
      <c r="C554" s="34"/>
      <c r="D554" s="33"/>
      <c r="E554" s="34"/>
      <c r="F554" s="35"/>
      <c r="G554" s="36"/>
      <c r="H554" s="36"/>
      <c r="I554" s="36"/>
      <c r="J554" s="13"/>
    </row>
    <row r="555" ht="15.75" customHeight="1">
      <c r="B555" s="38"/>
      <c r="C555" s="34"/>
      <c r="D555" s="33"/>
      <c r="E555" s="34"/>
      <c r="F555" s="35"/>
      <c r="G555" s="36"/>
      <c r="H555" s="36"/>
      <c r="I555" s="36"/>
      <c r="J555" s="13"/>
    </row>
    <row r="556" ht="15.75" customHeight="1">
      <c r="B556" s="38"/>
      <c r="C556" s="34"/>
      <c r="D556" s="33"/>
      <c r="E556" s="34"/>
      <c r="F556" s="35"/>
      <c r="G556" s="36"/>
      <c r="H556" s="36"/>
      <c r="I556" s="36"/>
      <c r="J556" s="13"/>
    </row>
    <row r="557" ht="15.75" customHeight="1">
      <c r="B557" s="38"/>
      <c r="C557" s="34"/>
      <c r="D557" s="33"/>
      <c r="E557" s="34"/>
      <c r="F557" s="35"/>
      <c r="G557" s="36"/>
      <c r="H557" s="36"/>
      <c r="I557" s="36"/>
      <c r="J557" s="13"/>
    </row>
    <row r="558" ht="15.75" customHeight="1">
      <c r="B558" s="38"/>
      <c r="C558" s="34"/>
      <c r="D558" s="33"/>
      <c r="E558" s="34"/>
      <c r="F558" s="35"/>
      <c r="G558" s="36"/>
      <c r="H558" s="36"/>
      <c r="I558" s="36"/>
      <c r="J558" s="13"/>
    </row>
    <row r="559" ht="15.75" customHeight="1">
      <c r="B559" s="38"/>
      <c r="C559" s="34"/>
      <c r="D559" s="33"/>
      <c r="E559" s="34"/>
      <c r="F559" s="35"/>
      <c r="G559" s="36"/>
      <c r="H559" s="36"/>
      <c r="I559" s="36"/>
      <c r="J559" s="13"/>
    </row>
    <row r="560" ht="15.75" customHeight="1">
      <c r="B560" s="38"/>
      <c r="C560" s="34"/>
      <c r="D560" s="33"/>
      <c r="E560" s="34"/>
      <c r="F560" s="35"/>
      <c r="G560" s="36"/>
      <c r="H560" s="36"/>
      <c r="I560" s="36"/>
      <c r="J560" s="13"/>
    </row>
    <row r="561" ht="15.75" customHeight="1">
      <c r="B561" s="38"/>
      <c r="C561" s="34"/>
      <c r="D561" s="33"/>
      <c r="E561" s="34"/>
      <c r="F561" s="35"/>
      <c r="G561" s="36"/>
      <c r="H561" s="36"/>
      <c r="I561" s="36"/>
      <c r="J561" s="13"/>
    </row>
    <row r="562" ht="15.75" customHeight="1">
      <c r="B562" s="38"/>
      <c r="C562" s="34"/>
      <c r="D562" s="33"/>
      <c r="E562" s="34"/>
      <c r="F562" s="35"/>
      <c r="G562" s="36"/>
      <c r="H562" s="36"/>
      <c r="I562" s="36"/>
      <c r="J562" s="13"/>
    </row>
    <row r="563" ht="15.75" customHeight="1">
      <c r="B563" s="38"/>
      <c r="C563" s="34"/>
      <c r="D563" s="33"/>
      <c r="E563" s="34"/>
      <c r="F563" s="35"/>
      <c r="G563" s="36"/>
      <c r="H563" s="36"/>
      <c r="I563" s="36"/>
      <c r="J563" s="13"/>
    </row>
    <row r="564" ht="15.75" customHeight="1">
      <c r="B564" s="38"/>
      <c r="C564" s="34"/>
      <c r="D564" s="33"/>
      <c r="E564" s="34"/>
      <c r="F564" s="35"/>
      <c r="G564" s="36"/>
      <c r="H564" s="36"/>
      <c r="I564" s="36"/>
      <c r="J564" s="13"/>
    </row>
    <row r="565" ht="15.75" customHeight="1">
      <c r="B565" s="38"/>
      <c r="C565" s="34"/>
      <c r="D565" s="33"/>
      <c r="E565" s="34"/>
      <c r="F565" s="35"/>
      <c r="G565" s="36"/>
      <c r="H565" s="36"/>
      <c r="I565" s="36"/>
      <c r="J565" s="13"/>
    </row>
    <row r="566" ht="15.75" customHeight="1">
      <c r="B566" s="38"/>
      <c r="C566" s="34"/>
      <c r="D566" s="33"/>
      <c r="E566" s="34"/>
      <c r="F566" s="35"/>
      <c r="G566" s="36"/>
      <c r="H566" s="36"/>
      <c r="I566" s="36"/>
      <c r="J566" s="13"/>
    </row>
    <row r="567" ht="15.75" customHeight="1">
      <c r="B567" s="38"/>
      <c r="C567" s="34"/>
      <c r="D567" s="33"/>
      <c r="E567" s="34"/>
      <c r="F567" s="35"/>
      <c r="G567" s="36"/>
      <c r="H567" s="36"/>
      <c r="I567" s="36"/>
      <c r="J567" s="13"/>
    </row>
    <row r="568" ht="15.75" customHeight="1">
      <c r="B568" s="38"/>
      <c r="C568" s="34"/>
      <c r="D568" s="33"/>
      <c r="E568" s="34"/>
      <c r="F568" s="35"/>
      <c r="G568" s="36"/>
      <c r="H568" s="36"/>
      <c r="I568" s="36"/>
      <c r="J568" s="13"/>
    </row>
    <row r="569" ht="15.75" customHeight="1">
      <c r="B569" s="38"/>
      <c r="C569" s="34"/>
      <c r="D569" s="33"/>
      <c r="E569" s="34"/>
      <c r="F569" s="35"/>
      <c r="G569" s="36"/>
      <c r="H569" s="36"/>
      <c r="I569" s="36"/>
      <c r="J569" s="13"/>
    </row>
    <row r="570" ht="15.75" customHeight="1">
      <c r="B570" s="38"/>
      <c r="C570" s="34"/>
      <c r="D570" s="33"/>
      <c r="E570" s="34"/>
      <c r="F570" s="35"/>
      <c r="G570" s="36"/>
      <c r="H570" s="36"/>
      <c r="I570" s="36"/>
      <c r="J570" s="13"/>
    </row>
    <row r="571" ht="15.75" customHeight="1">
      <c r="B571" s="38"/>
      <c r="C571" s="34"/>
      <c r="D571" s="33"/>
      <c r="E571" s="34"/>
      <c r="F571" s="35"/>
      <c r="G571" s="36"/>
      <c r="H571" s="36"/>
      <c r="I571" s="36"/>
      <c r="J571" s="13"/>
    </row>
    <row r="572" ht="15.75" customHeight="1">
      <c r="B572" s="38"/>
      <c r="C572" s="34"/>
      <c r="D572" s="33"/>
      <c r="E572" s="34"/>
      <c r="F572" s="35"/>
      <c r="G572" s="36"/>
      <c r="H572" s="36"/>
      <c r="I572" s="36"/>
      <c r="J572" s="13"/>
    </row>
    <row r="573" ht="15.75" customHeight="1">
      <c r="B573" s="38"/>
      <c r="C573" s="34"/>
      <c r="D573" s="33"/>
      <c r="E573" s="34"/>
      <c r="F573" s="35"/>
      <c r="G573" s="36"/>
      <c r="H573" s="36"/>
      <c r="I573" s="36"/>
      <c r="J573" s="13"/>
    </row>
    <row r="574" ht="15.75" customHeight="1">
      <c r="B574" s="38"/>
      <c r="C574" s="34"/>
      <c r="D574" s="33"/>
      <c r="E574" s="34"/>
      <c r="F574" s="35"/>
      <c r="G574" s="36"/>
      <c r="H574" s="36"/>
      <c r="I574" s="36"/>
      <c r="J574" s="13"/>
    </row>
    <row r="575" ht="15.75" customHeight="1">
      <c r="B575" s="38"/>
      <c r="C575" s="34"/>
      <c r="D575" s="33"/>
      <c r="E575" s="34"/>
      <c r="F575" s="35"/>
      <c r="G575" s="36"/>
      <c r="H575" s="36"/>
      <c r="I575" s="36"/>
      <c r="J575" s="13"/>
    </row>
    <row r="576" ht="15.75" customHeight="1">
      <c r="B576" s="38"/>
      <c r="C576" s="34"/>
      <c r="D576" s="33"/>
      <c r="E576" s="34"/>
      <c r="F576" s="35"/>
      <c r="G576" s="36"/>
      <c r="H576" s="36"/>
      <c r="I576" s="36"/>
      <c r="J576" s="13"/>
    </row>
    <row r="577" ht="15.75" customHeight="1">
      <c r="B577" s="38"/>
      <c r="C577" s="34"/>
      <c r="D577" s="33"/>
      <c r="E577" s="34"/>
      <c r="F577" s="35"/>
      <c r="G577" s="36"/>
      <c r="H577" s="36"/>
      <c r="I577" s="36"/>
      <c r="J577" s="13"/>
    </row>
    <row r="578" ht="15.75" customHeight="1">
      <c r="B578" s="38"/>
      <c r="C578" s="34"/>
      <c r="D578" s="33"/>
      <c r="E578" s="34"/>
      <c r="F578" s="35"/>
      <c r="G578" s="36"/>
      <c r="H578" s="36"/>
      <c r="I578" s="36"/>
      <c r="J578" s="13"/>
    </row>
    <row r="579" ht="15.75" customHeight="1">
      <c r="B579" s="38"/>
      <c r="C579" s="34"/>
      <c r="D579" s="33"/>
      <c r="E579" s="34"/>
      <c r="F579" s="35"/>
      <c r="G579" s="36"/>
      <c r="H579" s="36"/>
      <c r="I579" s="36"/>
      <c r="J579" s="13"/>
    </row>
    <row r="580" ht="15.75" customHeight="1">
      <c r="B580" s="38"/>
      <c r="C580" s="34"/>
      <c r="D580" s="33"/>
      <c r="E580" s="34"/>
      <c r="F580" s="35"/>
      <c r="G580" s="36"/>
      <c r="H580" s="36"/>
      <c r="I580" s="36"/>
      <c r="J580" s="13"/>
    </row>
    <row r="581" ht="15.75" customHeight="1">
      <c r="B581" s="38"/>
      <c r="C581" s="34"/>
      <c r="D581" s="33"/>
      <c r="E581" s="34"/>
      <c r="F581" s="35"/>
      <c r="G581" s="36"/>
      <c r="H581" s="36"/>
      <c r="I581" s="36"/>
      <c r="J581" s="13"/>
    </row>
    <row r="582" ht="15.75" customHeight="1">
      <c r="B582" s="38"/>
      <c r="C582" s="34"/>
      <c r="D582" s="33"/>
      <c r="E582" s="34"/>
      <c r="F582" s="35"/>
      <c r="G582" s="36"/>
      <c r="H582" s="36"/>
      <c r="I582" s="36"/>
      <c r="J582" s="13"/>
    </row>
    <row r="583" ht="15.75" customHeight="1">
      <c r="B583" s="38"/>
      <c r="C583" s="34"/>
      <c r="D583" s="33"/>
      <c r="E583" s="34"/>
      <c r="F583" s="35"/>
      <c r="G583" s="36"/>
      <c r="H583" s="36"/>
      <c r="I583" s="36"/>
      <c r="J583" s="13"/>
    </row>
    <row r="584" ht="15.75" customHeight="1">
      <c r="B584" s="38"/>
      <c r="C584" s="34"/>
      <c r="D584" s="33"/>
      <c r="E584" s="34"/>
      <c r="F584" s="35"/>
      <c r="G584" s="36"/>
      <c r="H584" s="36"/>
      <c r="I584" s="36"/>
      <c r="J584" s="13"/>
    </row>
    <row r="585" ht="15.75" customHeight="1">
      <c r="B585" s="38"/>
      <c r="C585" s="34"/>
      <c r="D585" s="33"/>
      <c r="E585" s="34"/>
      <c r="F585" s="35"/>
      <c r="G585" s="36"/>
      <c r="H585" s="36"/>
      <c r="I585" s="36"/>
      <c r="J585" s="13"/>
    </row>
    <row r="586" ht="15.75" customHeight="1">
      <c r="B586" s="38"/>
      <c r="C586" s="34"/>
      <c r="D586" s="33"/>
      <c r="E586" s="34"/>
      <c r="F586" s="35"/>
      <c r="G586" s="36"/>
      <c r="H586" s="36"/>
      <c r="I586" s="36"/>
      <c r="J586" s="13"/>
    </row>
    <row r="587" ht="15.75" customHeight="1">
      <c r="B587" s="38"/>
      <c r="C587" s="34"/>
      <c r="D587" s="33"/>
      <c r="E587" s="34"/>
      <c r="F587" s="35"/>
      <c r="G587" s="36"/>
      <c r="H587" s="36"/>
      <c r="I587" s="36"/>
      <c r="J587" s="13"/>
    </row>
    <row r="588" ht="15.75" customHeight="1">
      <c r="B588" s="38"/>
      <c r="C588" s="34"/>
      <c r="D588" s="33"/>
      <c r="E588" s="34"/>
      <c r="F588" s="35"/>
      <c r="G588" s="36"/>
      <c r="H588" s="36"/>
      <c r="I588" s="36"/>
      <c r="J588" s="13"/>
    </row>
    <row r="589" ht="15.75" customHeight="1">
      <c r="B589" s="38"/>
      <c r="C589" s="34"/>
      <c r="D589" s="33"/>
      <c r="E589" s="34"/>
      <c r="F589" s="35"/>
      <c r="G589" s="36"/>
      <c r="H589" s="36"/>
      <c r="I589" s="36"/>
      <c r="J589" s="13"/>
    </row>
    <row r="590" ht="15.75" customHeight="1">
      <c r="B590" s="38"/>
      <c r="C590" s="34"/>
      <c r="D590" s="33"/>
      <c r="E590" s="34"/>
      <c r="F590" s="35"/>
      <c r="G590" s="36"/>
      <c r="H590" s="36"/>
      <c r="I590" s="36"/>
      <c r="J590" s="13"/>
    </row>
    <row r="591" ht="15.75" customHeight="1">
      <c r="B591" s="38"/>
      <c r="C591" s="34"/>
      <c r="D591" s="33"/>
      <c r="E591" s="34"/>
      <c r="F591" s="35"/>
      <c r="G591" s="36"/>
      <c r="H591" s="36"/>
      <c r="I591" s="36"/>
      <c r="J591" s="13"/>
    </row>
    <row r="592" ht="15.75" customHeight="1">
      <c r="B592" s="38"/>
      <c r="C592" s="34"/>
      <c r="D592" s="33"/>
      <c r="E592" s="34"/>
      <c r="F592" s="35"/>
      <c r="G592" s="36"/>
      <c r="H592" s="36"/>
      <c r="I592" s="36"/>
      <c r="J592" s="13"/>
    </row>
    <row r="593" ht="15.75" customHeight="1">
      <c r="B593" s="38"/>
      <c r="C593" s="34"/>
      <c r="D593" s="33"/>
      <c r="E593" s="34"/>
      <c r="F593" s="35"/>
      <c r="G593" s="36"/>
      <c r="H593" s="36"/>
      <c r="I593" s="36"/>
      <c r="J593" s="13"/>
    </row>
    <row r="594" ht="15.75" customHeight="1">
      <c r="B594" s="38"/>
      <c r="C594" s="34"/>
      <c r="D594" s="33"/>
      <c r="E594" s="34"/>
      <c r="F594" s="35"/>
      <c r="G594" s="36"/>
      <c r="H594" s="36"/>
      <c r="I594" s="36"/>
      <c r="J594" s="13"/>
    </row>
    <row r="595" ht="15.75" customHeight="1">
      <c r="B595" s="38"/>
      <c r="C595" s="34"/>
      <c r="D595" s="33"/>
      <c r="E595" s="34"/>
      <c r="F595" s="35"/>
      <c r="G595" s="36"/>
      <c r="H595" s="36"/>
      <c r="I595" s="36"/>
      <c r="J595" s="13"/>
    </row>
    <row r="596" ht="15.75" customHeight="1">
      <c r="B596" s="38"/>
      <c r="C596" s="34"/>
      <c r="D596" s="33"/>
      <c r="E596" s="34"/>
      <c r="F596" s="35"/>
      <c r="G596" s="36"/>
      <c r="H596" s="36"/>
      <c r="I596" s="36"/>
      <c r="J596" s="13"/>
    </row>
    <row r="597" ht="15.75" customHeight="1">
      <c r="B597" s="38"/>
      <c r="C597" s="34"/>
      <c r="D597" s="33"/>
      <c r="E597" s="34"/>
      <c r="F597" s="35"/>
      <c r="G597" s="36"/>
      <c r="H597" s="36"/>
      <c r="I597" s="36"/>
      <c r="J597" s="13"/>
    </row>
    <row r="598" ht="15.75" customHeight="1">
      <c r="B598" s="38"/>
      <c r="C598" s="34"/>
      <c r="D598" s="33"/>
      <c r="E598" s="34"/>
      <c r="F598" s="35"/>
      <c r="G598" s="36"/>
      <c r="H598" s="36"/>
      <c r="I598" s="36"/>
      <c r="J598" s="13"/>
    </row>
    <row r="599" ht="15.75" customHeight="1">
      <c r="B599" s="38"/>
      <c r="C599" s="34"/>
      <c r="D599" s="33"/>
      <c r="E599" s="34"/>
      <c r="F599" s="35"/>
      <c r="G599" s="36"/>
      <c r="H599" s="36"/>
      <c r="I599" s="36"/>
      <c r="J599" s="13"/>
    </row>
    <row r="600" ht="15.75" customHeight="1">
      <c r="B600" s="38"/>
      <c r="C600" s="34"/>
      <c r="D600" s="33"/>
      <c r="E600" s="34"/>
      <c r="F600" s="35"/>
      <c r="G600" s="36"/>
      <c r="H600" s="36"/>
      <c r="I600" s="36"/>
      <c r="J600" s="13"/>
    </row>
    <row r="601" ht="15.75" customHeight="1">
      <c r="B601" s="38"/>
      <c r="C601" s="34"/>
      <c r="D601" s="33"/>
      <c r="E601" s="34"/>
      <c r="F601" s="35"/>
      <c r="G601" s="36"/>
      <c r="H601" s="36"/>
      <c r="I601" s="36"/>
      <c r="J601" s="13"/>
    </row>
    <row r="602" ht="15.75" customHeight="1">
      <c r="B602" s="38"/>
      <c r="C602" s="34"/>
      <c r="D602" s="33"/>
      <c r="E602" s="34"/>
      <c r="F602" s="35"/>
      <c r="G602" s="36"/>
      <c r="H602" s="36"/>
      <c r="I602" s="36"/>
      <c r="J602" s="13"/>
    </row>
    <row r="603" ht="15.75" customHeight="1">
      <c r="B603" s="38"/>
      <c r="C603" s="34"/>
      <c r="D603" s="33"/>
      <c r="E603" s="34"/>
      <c r="F603" s="35"/>
      <c r="G603" s="36"/>
      <c r="H603" s="36"/>
      <c r="I603" s="36"/>
      <c r="J603" s="13"/>
    </row>
    <row r="604" ht="15.75" customHeight="1">
      <c r="B604" s="38"/>
      <c r="C604" s="34"/>
      <c r="D604" s="33"/>
      <c r="E604" s="34"/>
      <c r="F604" s="35"/>
      <c r="G604" s="36"/>
      <c r="H604" s="36"/>
      <c r="I604" s="36"/>
      <c r="J604" s="13"/>
    </row>
    <row r="605" ht="15.75" customHeight="1">
      <c r="B605" s="38"/>
      <c r="C605" s="34"/>
      <c r="D605" s="33"/>
      <c r="E605" s="34"/>
      <c r="F605" s="35"/>
      <c r="G605" s="36"/>
      <c r="H605" s="36"/>
      <c r="I605" s="36"/>
      <c r="J605" s="13"/>
    </row>
    <row r="606" ht="15.75" customHeight="1">
      <c r="B606" s="38"/>
      <c r="C606" s="34"/>
      <c r="D606" s="33"/>
      <c r="E606" s="34"/>
      <c r="F606" s="35"/>
      <c r="G606" s="36"/>
      <c r="H606" s="36"/>
      <c r="I606" s="36"/>
      <c r="J606" s="13"/>
    </row>
    <row r="607" ht="15.75" customHeight="1">
      <c r="B607" s="38"/>
      <c r="C607" s="34"/>
      <c r="D607" s="33"/>
      <c r="E607" s="34"/>
      <c r="F607" s="35"/>
      <c r="G607" s="36"/>
      <c r="H607" s="36"/>
      <c r="I607" s="36"/>
      <c r="J607" s="13"/>
    </row>
    <row r="608" ht="15.75" customHeight="1">
      <c r="B608" s="38"/>
      <c r="C608" s="34"/>
      <c r="D608" s="33"/>
      <c r="E608" s="34"/>
      <c r="F608" s="35"/>
      <c r="G608" s="36"/>
      <c r="H608" s="36"/>
      <c r="I608" s="36"/>
      <c r="J608" s="13"/>
    </row>
    <row r="609" ht="15.75" customHeight="1">
      <c r="B609" s="38"/>
      <c r="C609" s="34"/>
      <c r="D609" s="33"/>
      <c r="E609" s="34"/>
      <c r="F609" s="35"/>
      <c r="G609" s="36"/>
      <c r="H609" s="36"/>
      <c r="I609" s="36"/>
      <c r="J609" s="13"/>
    </row>
    <row r="610" ht="15.75" customHeight="1">
      <c r="B610" s="38"/>
      <c r="C610" s="34"/>
      <c r="D610" s="33"/>
      <c r="E610" s="34"/>
      <c r="F610" s="35"/>
      <c r="G610" s="36"/>
      <c r="H610" s="36"/>
      <c r="I610" s="36"/>
      <c r="J610" s="13"/>
    </row>
    <row r="611" ht="15.75" customHeight="1">
      <c r="B611" s="38"/>
      <c r="C611" s="34"/>
      <c r="D611" s="33"/>
      <c r="E611" s="34"/>
      <c r="F611" s="35"/>
      <c r="G611" s="36"/>
      <c r="H611" s="36"/>
      <c r="I611" s="36"/>
      <c r="J611" s="13"/>
    </row>
    <row r="612" ht="15.75" customHeight="1">
      <c r="B612" s="38"/>
      <c r="C612" s="34"/>
      <c r="D612" s="33"/>
      <c r="E612" s="34"/>
      <c r="F612" s="35"/>
      <c r="G612" s="36"/>
      <c r="H612" s="36"/>
      <c r="I612" s="36"/>
      <c r="J612" s="13"/>
    </row>
    <row r="613" ht="15.75" customHeight="1">
      <c r="B613" s="38"/>
      <c r="C613" s="34"/>
      <c r="D613" s="33"/>
      <c r="E613" s="34"/>
      <c r="F613" s="35"/>
      <c r="G613" s="36"/>
      <c r="H613" s="36"/>
      <c r="I613" s="36"/>
      <c r="J613" s="13"/>
    </row>
    <row r="614" ht="15.75" customHeight="1">
      <c r="B614" s="38"/>
      <c r="C614" s="34"/>
      <c r="D614" s="33"/>
      <c r="E614" s="34"/>
      <c r="F614" s="35"/>
      <c r="G614" s="36"/>
      <c r="H614" s="36"/>
      <c r="I614" s="36"/>
      <c r="J614" s="13"/>
    </row>
    <row r="615" ht="15.75" customHeight="1">
      <c r="B615" s="38"/>
      <c r="C615" s="34"/>
      <c r="D615" s="33"/>
      <c r="E615" s="34"/>
      <c r="F615" s="35"/>
      <c r="G615" s="36"/>
      <c r="H615" s="36"/>
      <c r="I615" s="36"/>
      <c r="J615" s="13"/>
    </row>
    <row r="616" ht="15.75" customHeight="1">
      <c r="B616" s="38"/>
      <c r="C616" s="34"/>
      <c r="D616" s="33"/>
      <c r="E616" s="34"/>
      <c r="F616" s="35"/>
      <c r="G616" s="36"/>
      <c r="H616" s="36"/>
      <c r="I616" s="36"/>
      <c r="J616" s="13"/>
    </row>
    <row r="617" ht="15.75" customHeight="1">
      <c r="B617" s="38"/>
      <c r="C617" s="34"/>
      <c r="D617" s="33"/>
      <c r="E617" s="34"/>
      <c r="F617" s="35"/>
      <c r="G617" s="36"/>
      <c r="H617" s="36"/>
      <c r="I617" s="36"/>
      <c r="J617" s="13"/>
    </row>
    <row r="618" ht="15.75" customHeight="1">
      <c r="B618" s="38"/>
      <c r="C618" s="34"/>
      <c r="D618" s="33"/>
      <c r="E618" s="34"/>
      <c r="F618" s="35"/>
      <c r="G618" s="36"/>
      <c r="H618" s="36"/>
      <c r="I618" s="36"/>
      <c r="J618" s="13"/>
    </row>
    <row r="619" ht="15.75" customHeight="1">
      <c r="B619" s="38"/>
      <c r="C619" s="34"/>
      <c r="D619" s="33"/>
      <c r="E619" s="34"/>
      <c r="F619" s="35"/>
      <c r="G619" s="36"/>
      <c r="H619" s="36"/>
      <c r="I619" s="36"/>
      <c r="J619" s="13"/>
    </row>
    <row r="620" ht="15.75" customHeight="1">
      <c r="B620" s="38"/>
      <c r="C620" s="34"/>
      <c r="D620" s="33"/>
      <c r="E620" s="34"/>
      <c r="F620" s="35"/>
      <c r="G620" s="36"/>
      <c r="H620" s="36"/>
      <c r="I620" s="36"/>
      <c r="J620" s="13"/>
    </row>
    <row r="621" ht="15.75" customHeight="1">
      <c r="B621" s="38"/>
      <c r="C621" s="34"/>
      <c r="D621" s="33"/>
      <c r="E621" s="34"/>
      <c r="F621" s="35"/>
      <c r="G621" s="36"/>
      <c r="H621" s="36"/>
      <c r="I621" s="36"/>
      <c r="J621" s="13"/>
    </row>
    <row r="622" ht="15.75" customHeight="1">
      <c r="B622" s="38"/>
      <c r="C622" s="34"/>
      <c r="D622" s="33"/>
      <c r="E622" s="34"/>
      <c r="F622" s="35"/>
      <c r="G622" s="36"/>
      <c r="H622" s="36"/>
      <c r="I622" s="36"/>
      <c r="J622" s="13"/>
    </row>
    <row r="623" ht="15.75" customHeight="1">
      <c r="B623" s="38"/>
      <c r="C623" s="34"/>
      <c r="D623" s="33"/>
      <c r="E623" s="34"/>
      <c r="F623" s="35"/>
      <c r="G623" s="36"/>
      <c r="H623" s="36"/>
      <c r="I623" s="36"/>
      <c r="J623" s="13"/>
    </row>
    <row r="624" ht="15.75" customHeight="1">
      <c r="B624" s="38"/>
      <c r="C624" s="34"/>
      <c r="D624" s="33"/>
      <c r="E624" s="34"/>
      <c r="F624" s="35"/>
      <c r="G624" s="36"/>
      <c r="H624" s="36"/>
      <c r="I624" s="36"/>
      <c r="J624" s="13"/>
    </row>
    <row r="625" ht="15.75" customHeight="1">
      <c r="B625" s="38"/>
      <c r="C625" s="34"/>
      <c r="D625" s="33"/>
      <c r="E625" s="34"/>
      <c r="F625" s="35"/>
      <c r="G625" s="36"/>
      <c r="H625" s="36"/>
      <c r="I625" s="36"/>
      <c r="J625" s="13"/>
    </row>
    <row r="626" ht="15.75" customHeight="1">
      <c r="B626" s="38"/>
      <c r="C626" s="34"/>
      <c r="D626" s="33"/>
      <c r="E626" s="34"/>
      <c r="F626" s="35"/>
      <c r="G626" s="36"/>
      <c r="H626" s="36"/>
      <c r="I626" s="36"/>
      <c r="J626" s="13"/>
    </row>
    <row r="627" ht="15.75" customHeight="1">
      <c r="B627" s="38"/>
      <c r="C627" s="34"/>
      <c r="D627" s="33"/>
      <c r="E627" s="34"/>
      <c r="F627" s="35"/>
      <c r="G627" s="36"/>
      <c r="H627" s="36"/>
      <c r="I627" s="36"/>
      <c r="J627" s="13"/>
    </row>
    <row r="628" ht="15.75" customHeight="1">
      <c r="B628" s="38"/>
      <c r="C628" s="34"/>
      <c r="D628" s="33"/>
      <c r="E628" s="34"/>
      <c r="F628" s="35"/>
      <c r="G628" s="36"/>
      <c r="H628" s="36"/>
      <c r="I628" s="36"/>
      <c r="J628" s="13"/>
    </row>
    <row r="629" ht="15.75" customHeight="1">
      <c r="B629" s="38"/>
      <c r="C629" s="34"/>
      <c r="D629" s="33"/>
      <c r="E629" s="34"/>
      <c r="F629" s="35"/>
      <c r="G629" s="36"/>
      <c r="H629" s="36"/>
      <c r="I629" s="36"/>
      <c r="J629" s="13"/>
    </row>
    <row r="630" ht="15.75" customHeight="1">
      <c r="B630" s="38"/>
      <c r="C630" s="34"/>
      <c r="D630" s="33"/>
      <c r="E630" s="34"/>
      <c r="F630" s="35"/>
      <c r="G630" s="36"/>
      <c r="H630" s="36"/>
      <c r="I630" s="36"/>
      <c r="J630" s="13"/>
    </row>
    <row r="631" ht="15.75" customHeight="1">
      <c r="B631" s="38"/>
      <c r="C631" s="34"/>
      <c r="D631" s="33"/>
      <c r="E631" s="34"/>
      <c r="F631" s="35"/>
      <c r="G631" s="36"/>
      <c r="H631" s="36"/>
      <c r="I631" s="36"/>
      <c r="J631" s="13"/>
    </row>
    <row r="632" ht="15.75" customHeight="1">
      <c r="B632" s="38"/>
      <c r="C632" s="34"/>
      <c r="D632" s="33"/>
      <c r="E632" s="34"/>
      <c r="F632" s="35"/>
      <c r="G632" s="36"/>
      <c r="H632" s="36"/>
      <c r="I632" s="36"/>
      <c r="J632" s="13"/>
    </row>
    <row r="633" ht="15.75" customHeight="1">
      <c r="B633" s="38"/>
      <c r="C633" s="34"/>
      <c r="D633" s="33"/>
      <c r="E633" s="34"/>
      <c r="F633" s="35"/>
      <c r="G633" s="36"/>
      <c r="H633" s="36"/>
      <c r="I633" s="36"/>
      <c r="J633" s="13"/>
    </row>
    <row r="634" ht="15.75" customHeight="1">
      <c r="B634" s="38"/>
      <c r="C634" s="34"/>
      <c r="D634" s="33"/>
      <c r="E634" s="34"/>
      <c r="F634" s="35"/>
      <c r="G634" s="36"/>
      <c r="H634" s="36"/>
      <c r="I634" s="36"/>
      <c r="J634" s="13"/>
    </row>
    <row r="635" ht="15.75" customHeight="1">
      <c r="B635" s="38"/>
      <c r="C635" s="34"/>
      <c r="D635" s="33"/>
      <c r="E635" s="34"/>
      <c r="F635" s="35"/>
      <c r="G635" s="36"/>
      <c r="H635" s="36"/>
      <c r="I635" s="36"/>
      <c r="J635" s="13"/>
    </row>
    <row r="636" ht="15.75" customHeight="1">
      <c r="B636" s="38"/>
      <c r="C636" s="34"/>
      <c r="D636" s="33"/>
      <c r="E636" s="34"/>
      <c r="F636" s="35"/>
      <c r="G636" s="36"/>
      <c r="H636" s="36"/>
      <c r="I636" s="36"/>
      <c r="J636" s="13"/>
    </row>
    <row r="637" ht="15.75" customHeight="1">
      <c r="B637" s="38"/>
      <c r="C637" s="34"/>
      <c r="D637" s="33"/>
      <c r="E637" s="34"/>
      <c r="F637" s="35"/>
      <c r="G637" s="36"/>
      <c r="H637" s="36"/>
      <c r="I637" s="36"/>
      <c r="J637" s="13"/>
    </row>
    <row r="638" ht="15.75" customHeight="1">
      <c r="B638" s="38"/>
      <c r="C638" s="34"/>
      <c r="D638" s="33"/>
      <c r="E638" s="34"/>
      <c r="F638" s="35"/>
      <c r="G638" s="36"/>
      <c r="H638" s="36"/>
      <c r="I638" s="36"/>
      <c r="J638" s="13"/>
    </row>
    <row r="639" ht="15.75" customHeight="1">
      <c r="B639" s="38"/>
      <c r="C639" s="34"/>
      <c r="D639" s="33"/>
      <c r="E639" s="34"/>
      <c r="F639" s="35"/>
      <c r="G639" s="36"/>
      <c r="H639" s="36"/>
      <c r="I639" s="36"/>
      <c r="J639" s="13"/>
    </row>
    <row r="640" ht="15.75" customHeight="1">
      <c r="B640" s="38"/>
      <c r="C640" s="34"/>
      <c r="D640" s="33"/>
      <c r="E640" s="34"/>
      <c r="F640" s="35"/>
      <c r="G640" s="36"/>
      <c r="H640" s="36"/>
      <c r="I640" s="36"/>
      <c r="J640" s="13"/>
    </row>
    <row r="641" ht="15.75" customHeight="1">
      <c r="B641" s="38"/>
      <c r="C641" s="34"/>
      <c r="D641" s="33"/>
      <c r="E641" s="34"/>
      <c r="F641" s="35"/>
      <c r="G641" s="36"/>
      <c r="H641" s="36"/>
      <c r="I641" s="36"/>
      <c r="J641" s="13"/>
    </row>
    <row r="642" ht="15.75" customHeight="1">
      <c r="B642" s="38"/>
      <c r="C642" s="34"/>
      <c r="D642" s="33"/>
      <c r="E642" s="34"/>
      <c r="F642" s="35"/>
      <c r="G642" s="36"/>
      <c r="H642" s="36"/>
      <c r="I642" s="36"/>
      <c r="J642" s="13"/>
    </row>
    <row r="643" ht="15.75" customHeight="1">
      <c r="B643" s="38"/>
      <c r="C643" s="34"/>
      <c r="D643" s="33"/>
      <c r="E643" s="34"/>
      <c r="F643" s="35"/>
      <c r="G643" s="36"/>
      <c r="H643" s="36"/>
      <c r="I643" s="36"/>
      <c r="J643" s="13"/>
    </row>
    <row r="644" ht="15.75" customHeight="1">
      <c r="B644" s="38"/>
      <c r="C644" s="34"/>
      <c r="D644" s="33"/>
      <c r="E644" s="34"/>
      <c r="F644" s="35"/>
      <c r="G644" s="36"/>
      <c r="H644" s="36"/>
      <c r="I644" s="36"/>
      <c r="J644" s="13"/>
    </row>
    <row r="645" ht="15.75" customHeight="1">
      <c r="B645" s="38"/>
      <c r="C645" s="34"/>
      <c r="D645" s="33"/>
      <c r="E645" s="34"/>
      <c r="F645" s="35"/>
      <c r="G645" s="36"/>
      <c r="H645" s="36"/>
      <c r="I645" s="36"/>
      <c r="J645" s="13"/>
    </row>
    <row r="646" ht="15.75" customHeight="1">
      <c r="B646" s="38"/>
      <c r="C646" s="34"/>
      <c r="D646" s="33"/>
      <c r="E646" s="34"/>
      <c r="F646" s="35"/>
      <c r="G646" s="36"/>
      <c r="H646" s="36"/>
      <c r="I646" s="36"/>
      <c r="J646" s="13"/>
    </row>
    <row r="647" ht="15.75" customHeight="1">
      <c r="B647" s="38"/>
      <c r="C647" s="34"/>
      <c r="D647" s="33"/>
      <c r="E647" s="34"/>
      <c r="F647" s="35"/>
      <c r="G647" s="36"/>
      <c r="H647" s="36"/>
      <c r="I647" s="36"/>
      <c r="J647" s="13"/>
    </row>
    <row r="648" ht="15.75" customHeight="1">
      <c r="B648" s="38"/>
      <c r="C648" s="34"/>
      <c r="D648" s="33"/>
      <c r="E648" s="34"/>
      <c r="F648" s="35"/>
      <c r="G648" s="36"/>
      <c r="H648" s="36"/>
      <c r="I648" s="36"/>
      <c r="J648" s="13"/>
    </row>
    <row r="649" ht="15.75" customHeight="1">
      <c r="B649" s="38"/>
      <c r="C649" s="34"/>
      <c r="D649" s="33"/>
      <c r="E649" s="34"/>
      <c r="F649" s="35"/>
      <c r="G649" s="36"/>
      <c r="H649" s="36"/>
      <c r="I649" s="36"/>
      <c r="J649" s="13"/>
    </row>
    <row r="650" ht="15.75" customHeight="1">
      <c r="B650" s="38"/>
      <c r="C650" s="34"/>
      <c r="D650" s="33"/>
      <c r="E650" s="34"/>
      <c r="F650" s="35"/>
      <c r="G650" s="36"/>
      <c r="H650" s="36"/>
      <c r="I650" s="36"/>
      <c r="J650" s="13"/>
    </row>
    <row r="651" ht="15.75" customHeight="1">
      <c r="B651" s="38"/>
      <c r="C651" s="34"/>
      <c r="D651" s="33"/>
      <c r="E651" s="34"/>
      <c r="F651" s="35"/>
      <c r="G651" s="36"/>
      <c r="H651" s="36"/>
      <c r="I651" s="36"/>
      <c r="J651" s="13"/>
    </row>
    <row r="652" ht="15.75" customHeight="1">
      <c r="B652" s="38"/>
      <c r="C652" s="34"/>
      <c r="D652" s="33"/>
      <c r="E652" s="34"/>
      <c r="F652" s="35"/>
      <c r="G652" s="36"/>
      <c r="H652" s="36"/>
      <c r="I652" s="36"/>
      <c r="J652" s="13"/>
    </row>
    <row r="653" ht="15.75" customHeight="1">
      <c r="B653" s="38"/>
      <c r="C653" s="34"/>
      <c r="D653" s="33"/>
      <c r="E653" s="34"/>
      <c r="F653" s="35"/>
      <c r="G653" s="36"/>
      <c r="H653" s="36"/>
      <c r="I653" s="36"/>
      <c r="J653" s="13"/>
    </row>
    <row r="654" ht="15.75" customHeight="1">
      <c r="B654" s="38"/>
      <c r="C654" s="34"/>
      <c r="D654" s="33"/>
      <c r="E654" s="34"/>
      <c r="F654" s="35"/>
      <c r="G654" s="36"/>
      <c r="H654" s="36"/>
      <c r="I654" s="36"/>
      <c r="J654" s="13"/>
    </row>
    <row r="655" ht="15.75" customHeight="1">
      <c r="B655" s="38"/>
      <c r="C655" s="34"/>
      <c r="D655" s="33"/>
      <c r="E655" s="34"/>
      <c r="F655" s="35"/>
      <c r="G655" s="36"/>
      <c r="H655" s="36"/>
      <c r="I655" s="36"/>
      <c r="J655" s="13"/>
    </row>
    <row r="656" ht="15.75" customHeight="1">
      <c r="B656" s="38"/>
      <c r="C656" s="34"/>
      <c r="D656" s="33"/>
      <c r="E656" s="34"/>
      <c r="F656" s="35"/>
      <c r="G656" s="36"/>
      <c r="H656" s="36"/>
      <c r="I656" s="36"/>
      <c r="J656" s="13"/>
    </row>
    <row r="657" ht="15.75" customHeight="1">
      <c r="B657" s="38"/>
      <c r="C657" s="34"/>
      <c r="D657" s="33"/>
      <c r="E657" s="34"/>
      <c r="F657" s="35"/>
      <c r="G657" s="36"/>
      <c r="H657" s="36"/>
      <c r="I657" s="36"/>
      <c r="J657" s="13"/>
    </row>
    <row r="658" ht="15.75" customHeight="1">
      <c r="B658" s="38"/>
      <c r="C658" s="34"/>
      <c r="D658" s="33"/>
      <c r="E658" s="34"/>
      <c r="F658" s="35"/>
      <c r="G658" s="36"/>
      <c r="H658" s="36"/>
      <c r="I658" s="36"/>
      <c r="J658" s="13"/>
    </row>
    <row r="659" ht="15.75" customHeight="1">
      <c r="B659" s="38"/>
      <c r="C659" s="34"/>
      <c r="D659" s="33"/>
      <c r="E659" s="34"/>
      <c r="F659" s="35"/>
      <c r="G659" s="36"/>
      <c r="H659" s="36"/>
      <c r="I659" s="36"/>
      <c r="J659" s="13"/>
    </row>
    <row r="660" ht="15.75" customHeight="1">
      <c r="B660" s="38"/>
      <c r="C660" s="34"/>
      <c r="D660" s="33"/>
      <c r="E660" s="34"/>
      <c r="F660" s="35"/>
      <c r="G660" s="36"/>
      <c r="H660" s="36"/>
      <c r="I660" s="36"/>
      <c r="J660" s="13"/>
    </row>
    <row r="661" ht="15.75" customHeight="1">
      <c r="B661" s="38"/>
      <c r="C661" s="34"/>
      <c r="D661" s="33"/>
      <c r="E661" s="34"/>
      <c r="F661" s="35"/>
      <c r="G661" s="36"/>
      <c r="H661" s="36"/>
      <c r="I661" s="36"/>
      <c r="J661" s="13"/>
    </row>
    <row r="662" ht="15.75" customHeight="1">
      <c r="B662" s="38"/>
      <c r="C662" s="34"/>
      <c r="D662" s="33"/>
      <c r="E662" s="34"/>
      <c r="F662" s="35"/>
      <c r="G662" s="36"/>
      <c r="H662" s="36"/>
      <c r="I662" s="36"/>
      <c r="J662" s="13"/>
    </row>
    <row r="663" ht="15.75" customHeight="1">
      <c r="B663" s="38"/>
      <c r="C663" s="34"/>
      <c r="D663" s="33"/>
      <c r="E663" s="34"/>
      <c r="F663" s="35"/>
      <c r="G663" s="36"/>
      <c r="H663" s="36"/>
      <c r="I663" s="36"/>
      <c r="J663" s="13"/>
    </row>
    <row r="664" ht="15.75" customHeight="1">
      <c r="B664" s="38"/>
      <c r="C664" s="34"/>
      <c r="D664" s="33"/>
      <c r="E664" s="34"/>
      <c r="F664" s="35"/>
      <c r="G664" s="36"/>
      <c r="H664" s="36"/>
      <c r="I664" s="36"/>
      <c r="J664" s="13"/>
    </row>
    <row r="665" ht="15.75" customHeight="1">
      <c r="B665" s="38"/>
      <c r="C665" s="34"/>
      <c r="D665" s="33"/>
      <c r="E665" s="34"/>
      <c r="F665" s="35"/>
      <c r="G665" s="36"/>
      <c r="H665" s="36"/>
      <c r="I665" s="36"/>
      <c r="J665" s="13"/>
    </row>
    <row r="666" ht="15.75" customHeight="1">
      <c r="B666" s="38"/>
      <c r="C666" s="34"/>
      <c r="D666" s="33"/>
      <c r="E666" s="34"/>
      <c r="F666" s="35"/>
      <c r="G666" s="36"/>
      <c r="H666" s="36"/>
      <c r="I666" s="36"/>
      <c r="J666" s="13"/>
    </row>
    <row r="667" ht="15.75" customHeight="1">
      <c r="B667" s="38"/>
      <c r="C667" s="34"/>
      <c r="D667" s="33"/>
      <c r="E667" s="34"/>
      <c r="F667" s="35"/>
      <c r="G667" s="36"/>
      <c r="H667" s="36"/>
      <c r="I667" s="36"/>
      <c r="J667" s="13"/>
    </row>
    <row r="668" ht="15.75" customHeight="1">
      <c r="B668" s="38"/>
      <c r="C668" s="34"/>
      <c r="D668" s="33"/>
      <c r="E668" s="34"/>
      <c r="F668" s="35"/>
      <c r="G668" s="36"/>
      <c r="H668" s="36"/>
      <c r="I668" s="36"/>
      <c r="J668" s="13"/>
    </row>
    <row r="669" ht="15.75" customHeight="1">
      <c r="B669" s="38"/>
      <c r="C669" s="34"/>
      <c r="D669" s="33"/>
      <c r="E669" s="34"/>
      <c r="F669" s="35"/>
      <c r="G669" s="36"/>
      <c r="H669" s="36"/>
      <c r="I669" s="36"/>
      <c r="J669" s="13"/>
    </row>
    <row r="670" ht="15.75" customHeight="1">
      <c r="B670" s="38"/>
      <c r="C670" s="34"/>
      <c r="D670" s="33"/>
      <c r="E670" s="34"/>
      <c r="F670" s="35"/>
      <c r="G670" s="36"/>
      <c r="H670" s="36"/>
      <c r="I670" s="36"/>
      <c r="J670" s="13"/>
    </row>
    <row r="671" ht="15.75" customHeight="1">
      <c r="B671" s="38"/>
      <c r="C671" s="34"/>
      <c r="D671" s="33"/>
      <c r="E671" s="34"/>
      <c r="F671" s="35"/>
      <c r="G671" s="36"/>
      <c r="H671" s="36"/>
      <c r="I671" s="36"/>
      <c r="J671" s="13"/>
    </row>
    <row r="672" ht="15.75" customHeight="1">
      <c r="B672" s="38"/>
      <c r="C672" s="34"/>
      <c r="D672" s="33"/>
      <c r="E672" s="34"/>
      <c r="F672" s="35"/>
      <c r="G672" s="36"/>
      <c r="H672" s="36"/>
      <c r="I672" s="36"/>
      <c r="J672" s="13"/>
    </row>
    <row r="673" ht="15.75" customHeight="1">
      <c r="B673" s="38"/>
      <c r="C673" s="34"/>
      <c r="D673" s="33"/>
      <c r="E673" s="34"/>
      <c r="F673" s="35"/>
      <c r="G673" s="36"/>
      <c r="H673" s="36"/>
      <c r="I673" s="36"/>
      <c r="J673" s="13"/>
    </row>
    <row r="674" ht="15.75" customHeight="1">
      <c r="B674" s="38"/>
      <c r="C674" s="34"/>
      <c r="D674" s="33"/>
      <c r="E674" s="34"/>
      <c r="F674" s="35"/>
      <c r="G674" s="36"/>
      <c r="H674" s="36"/>
      <c r="I674" s="36"/>
      <c r="J674" s="13"/>
    </row>
    <row r="675" ht="15.75" customHeight="1">
      <c r="B675" s="38"/>
      <c r="C675" s="34"/>
      <c r="D675" s="33"/>
      <c r="E675" s="34"/>
      <c r="F675" s="35"/>
      <c r="G675" s="36"/>
      <c r="H675" s="36"/>
      <c r="I675" s="36"/>
      <c r="J675" s="13"/>
    </row>
    <row r="676" ht="15.75" customHeight="1">
      <c r="B676" s="38"/>
      <c r="C676" s="34"/>
      <c r="D676" s="33"/>
      <c r="E676" s="34"/>
      <c r="F676" s="35"/>
      <c r="G676" s="36"/>
      <c r="H676" s="36"/>
      <c r="I676" s="36"/>
      <c r="J676" s="13"/>
    </row>
    <row r="677" ht="15.75" customHeight="1">
      <c r="B677" s="38"/>
      <c r="C677" s="34"/>
      <c r="D677" s="33"/>
      <c r="E677" s="34"/>
      <c r="F677" s="35"/>
      <c r="G677" s="36"/>
      <c r="H677" s="36"/>
      <c r="I677" s="36"/>
      <c r="J677" s="13"/>
    </row>
    <row r="678" ht="15.75" customHeight="1">
      <c r="B678" s="38"/>
      <c r="C678" s="34"/>
      <c r="D678" s="33"/>
      <c r="E678" s="34"/>
      <c r="F678" s="35"/>
      <c r="G678" s="36"/>
      <c r="H678" s="36"/>
      <c r="I678" s="36"/>
      <c r="J678" s="13"/>
    </row>
    <row r="679" ht="15.75" customHeight="1">
      <c r="B679" s="38"/>
      <c r="C679" s="34"/>
      <c r="D679" s="33"/>
      <c r="E679" s="34"/>
      <c r="F679" s="35"/>
      <c r="G679" s="36"/>
      <c r="H679" s="36"/>
      <c r="I679" s="36"/>
      <c r="J679" s="13"/>
    </row>
    <row r="680" ht="15.75" customHeight="1">
      <c r="B680" s="38"/>
      <c r="C680" s="34"/>
      <c r="D680" s="33"/>
      <c r="E680" s="34"/>
      <c r="F680" s="35"/>
      <c r="G680" s="36"/>
      <c r="H680" s="36"/>
      <c r="I680" s="36"/>
      <c r="J680" s="13"/>
    </row>
    <row r="681" ht="15.75" customHeight="1">
      <c r="B681" s="38"/>
      <c r="C681" s="34"/>
      <c r="D681" s="33"/>
      <c r="E681" s="34"/>
      <c r="F681" s="35"/>
      <c r="G681" s="36"/>
      <c r="H681" s="36"/>
      <c r="I681" s="36"/>
      <c r="J681" s="13"/>
    </row>
    <row r="682" ht="15.75" customHeight="1">
      <c r="B682" s="38"/>
      <c r="C682" s="34"/>
      <c r="D682" s="33"/>
      <c r="E682" s="34"/>
      <c r="F682" s="35"/>
      <c r="G682" s="36"/>
      <c r="H682" s="36"/>
      <c r="I682" s="36"/>
      <c r="J682" s="13"/>
    </row>
    <row r="683" ht="15.75" customHeight="1">
      <c r="B683" s="38"/>
      <c r="C683" s="34"/>
      <c r="D683" s="33"/>
      <c r="E683" s="34"/>
      <c r="F683" s="35"/>
      <c r="G683" s="36"/>
      <c r="H683" s="36"/>
      <c r="I683" s="36"/>
      <c r="J683" s="13"/>
    </row>
    <row r="684" ht="15.75" customHeight="1">
      <c r="B684" s="38"/>
      <c r="C684" s="34"/>
      <c r="D684" s="33"/>
      <c r="E684" s="34"/>
      <c r="F684" s="35"/>
      <c r="G684" s="36"/>
      <c r="H684" s="36"/>
      <c r="I684" s="36"/>
      <c r="J684" s="13"/>
    </row>
    <row r="685" ht="15.75" customHeight="1">
      <c r="B685" s="38"/>
      <c r="C685" s="34"/>
      <c r="D685" s="33"/>
      <c r="E685" s="34"/>
      <c r="F685" s="35"/>
      <c r="G685" s="36"/>
      <c r="H685" s="36"/>
      <c r="I685" s="36"/>
      <c r="J685" s="13"/>
    </row>
    <row r="686" ht="15.75" customHeight="1">
      <c r="B686" s="38"/>
      <c r="C686" s="34"/>
      <c r="D686" s="33"/>
      <c r="E686" s="34"/>
      <c r="F686" s="35"/>
      <c r="G686" s="36"/>
      <c r="H686" s="36"/>
      <c r="I686" s="36"/>
      <c r="J686" s="13"/>
    </row>
    <row r="687" ht="15.75" customHeight="1">
      <c r="B687" s="38"/>
      <c r="C687" s="34"/>
      <c r="D687" s="33"/>
      <c r="E687" s="34"/>
      <c r="F687" s="35"/>
      <c r="G687" s="36"/>
      <c r="H687" s="36"/>
      <c r="I687" s="36"/>
      <c r="J687" s="13"/>
    </row>
    <row r="688" ht="15.75" customHeight="1">
      <c r="B688" s="38"/>
      <c r="C688" s="34"/>
      <c r="D688" s="33"/>
      <c r="E688" s="34"/>
      <c r="F688" s="35"/>
      <c r="G688" s="36"/>
      <c r="H688" s="36"/>
      <c r="I688" s="36"/>
      <c r="J688" s="13"/>
    </row>
    <row r="689" ht="15.75" customHeight="1">
      <c r="B689" s="38"/>
      <c r="C689" s="34"/>
      <c r="D689" s="33"/>
      <c r="E689" s="34"/>
      <c r="F689" s="35"/>
      <c r="G689" s="36"/>
      <c r="H689" s="36"/>
      <c r="I689" s="36"/>
      <c r="J689" s="13"/>
    </row>
    <row r="690" ht="15.75" customHeight="1">
      <c r="B690" s="38"/>
      <c r="C690" s="34"/>
      <c r="D690" s="33"/>
      <c r="E690" s="34"/>
      <c r="F690" s="35"/>
      <c r="G690" s="36"/>
      <c r="H690" s="36"/>
      <c r="I690" s="36"/>
      <c r="J690" s="13"/>
    </row>
    <row r="691" ht="15.75" customHeight="1">
      <c r="B691" s="38"/>
      <c r="C691" s="34"/>
      <c r="D691" s="33"/>
      <c r="E691" s="34"/>
      <c r="F691" s="35"/>
      <c r="G691" s="36"/>
      <c r="H691" s="36"/>
      <c r="I691" s="36"/>
      <c r="J691" s="13"/>
    </row>
    <row r="692" ht="15.75" customHeight="1">
      <c r="B692" s="38"/>
      <c r="C692" s="34"/>
      <c r="D692" s="33"/>
      <c r="E692" s="34"/>
      <c r="F692" s="35"/>
      <c r="G692" s="36"/>
      <c r="H692" s="36"/>
      <c r="I692" s="36"/>
      <c r="J692" s="13"/>
    </row>
    <row r="693" ht="15.75" customHeight="1">
      <c r="B693" s="38"/>
      <c r="C693" s="34"/>
      <c r="D693" s="33"/>
      <c r="E693" s="34"/>
      <c r="F693" s="35"/>
      <c r="G693" s="36"/>
      <c r="H693" s="36"/>
      <c r="I693" s="36"/>
      <c r="J693" s="13"/>
    </row>
    <row r="694" ht="15.75" customHeight="1">
      <c r="B694" s="38"/>
      <c r="C694" s="34"/>
      <c r="D694" s="33"/>
      <c r="E694" s="34"/>
      <c r="F694" s="35"/>
      <c r="G694" s="36"/>
      <c r="H694" s="36"/>
      <c r="I694" s="36"/>
      <c r="J694" s="13"/>
    </row>
    <row r="695" ht="15.75" customHeight="1">
      <c r="B695" s="38"/>
      <c r="C695" s="34"/>
      <c r="D695" s="33"/>
      <c r="E695" s="34"/>
      <c r="F695" s="35"/>
      <c r="G695" s="36"/>
      <c r="H695" s="36"/>
      <c r="I695" s="36"/>
      <c r="J695" s="13"/>
    </row>
    <row r="696" ht="15.75" customHeight="1">
      <c r="B696" s="38"/>
      <c r="C696" s="34"/>
      <c r="D696" s="33"/>
      <c r="E696" s="34"/>
      <c r="F696" s="35"/>
      <c r="G696" s="36"/>
      <c r="H696" s="36"/>
      <c r="I696" s="36"/>
      <c r="J696" s="13"/>
    </row>
    <row r="697" ht="15.75" customHeight="1">
      <c r="B697" s="38"/>
      <c r="C697" s="34"/>
      <c r="D697" s="33"/>
      <c r="E697" s="34"/>
      <c r="F697" s="35"/>
      <c r="G697" s="36"/>
      <c r="H697" s="36"/>
      <c r="I697" s="36"/>
      <c r="J697" s="13"/>
    </row>
    <row r="698" ht="15.75" customHeight="1">
      <c r="B698" s="38"/>
      <c r="C698" s="34"/>
      <c r="D698" s="33"/>
      <c r="E698" s="34"/>
      <c r="F698" s="35"/>
      <c r="G698" s="36"/>
      <c r="H698" s="36"/>
      <c r="I698" s="36"/>
      <c r="J698" s="13"/>
    </row>
    <row r="699" ht="15.75" customHeight="1">
      <c r="B699" s="38"/>
      <c r="C699" s="34"/>
      <c r="D699" s="33"/>
      <c r="E699" s="34"/>
      <c r="F699" s="35"/>
      <c r="G699" s="36"/>
      <c r="H699" s="36"/>
      <c r="I699" s="36"/>
      <c r="J699" s="13"/>
    </row>
    <row r="700" ht="15.75" customHeight="1">
      <c r="B700" s="38"/>
      <c r="C700" s="34"/>
      <c r="D700" s="33"/>
      <c r="E700" s="34"/>
      <c r="F700" s="35"/>
      <c r="G700" s="36"/>
      <c r="H700" s="36"/>
      <c r="I700" s="36"/>
      <c r="J700" s="13"/>
    </row>
    <row r="701" ht="15.75" customHeight="1">
      <c r="B701" s="38"/>
      <c r="C701" s="34"/>
      <c r="D701" s="33"/>
      <c r="E701" s="34"/>
      <c r="F701" s="35"/>
      <c r="G701" s="36"/>
      <c r="H701" s="36"/>
      <c r="I701" s="36"/>
      <c r="J701" s="13"/>
    </row>
    <row r="702" ht="15.75" customHeight="1">
      <c r="B702" s="38"/>
      <c r="C702" s="34"/>
      <c r="D702" s="33"/>
      <c r="E702" s="34"/>
      <c r="F702" s="35"/>
      <c r="G702" s="36"/>
      <c r="H702" s="36"/>
      <c r="I702" s="36"/>
      <c r="J702" s="13"/>
    </row>
    <row r="703" ht="15.75" customHeight="1">
      <c r="B703" s="38"/>
      <c r="C703" s="34"/>
      <c r="D703" s="33"/>
      <c r="E703" s="34"/>
      <c r="F703" s="35"/>
      <c r="G703" s="36"/>
      <c r="H703" s="36"/>
      <c r="I703" s="36"/>
      <c r="J703" s="13"/>
    </row>
    <row r="704" ht="15.75" customHeight="1">
      <c r="B704" s="38"/>
      <c r="C704" s="34"/>
      <c r="D704" s="33"/>
      <c r="E704" s="34"/>
      <c r="F704" s="35"/>
      <c r="G704" s="36"/>
      <c r="H704" s="36"/>
      <c r="I704" s="36"/>
      <c r="J704" s="13"/>
    </row>
    <row r="705" ht="15.75" customHeight="1">
      <c r="B705" s="38"/>
      <c r="C705" s="34"/>
      <c r="D705" s="33"/>
      <c r="E705" s="34"/>
      <c r="F705" s="35"/>
      <c r="G705" s="36"/>
      <c r="H705" s="36"/>
      <c r="I705" s="36"/>
      <c r="J705" s="13"/>
    </row>
    <row r="706" ht="15.75" customHeight="1">
      <c r="B706" s="38"/>
      <c r="C706" s="34"/>
      <c r="D706" s="33"/>
      <c r="E706" s="34"/>
      <c r="F706" s="35"/>
      <c r="G706" s="36"/>
      <c r="H706" s="36"/>
      <c r="I706" s="36"/>
      <c r="J706" s="13"/>
    </row>
    <row r="707" ht="15.75" customHeight="1">
      <c r="B707" s="38"/>
      <c r="C707" s="34"/>
      <c r="D707" s="33"/>
      <c r="E707" s="34"/>
      <c r="F707" s="35"/>
      <c r="G707" s="36"/>
      <c r="H707" s="36"/>
      <c r="I707" s="36"/>
      <c r="J707" s="13"/>
    </row>
    <row r="708" ht="15.75" customHeight="1">
      <c r="B708" s="38"/>
      <c r="C708" s="34"/>
      <c r="D708" s="33"/>
      <c r="E708" s="34"/>
      <c r="F708" s="35"/>
      <c r="G708" s="36"/>
      <c r="H708" s="36"/>
      <c r="I708" s="36"/>
      <c r="J708" s="13"/>
    </row>
    <row r="709" ht="15.75" customHeight="1">
      <c r="B709" s="38"/>
      <c r="C709" s="34"/>
      <c r="D709" s="33"/>
      <c r="E709" s="34"/>
      <c r="F709" s="35"/>
      <c r="G709" s="36"/>
      <c r="H709" s="36"/>
      <c r="I709" s="36"/>
      <c r="J709" s="13"/>
    </row>
    <row r="710" ht="15.75" customHeight="1">
      <c r="B710" s="38"/>
      <c r="C710" s="34"/>
      <c r="D710" s="33"/>
      <c r="E710" s="34"/>
      <c r="F710" s="35"/>
      <c r="G710" s="36"/>
      <c r="H710" s="36"/>
      <c r="I710" s="36"/>
      <c r="J710" s="13"/>
    </row>
    <row r="711" ht="15.75" customHeight="1">
      <c r="B711" s="38"/>
      <c r="C711" s="34"/>
      <c r="D711" s="33"/>
      <c r="E711" s="34"/>
      <c r="F711" s="35"/>
      <c r="G711" s="36"/>
      <c r="H711" s="36"/>
      <c r="I711" s="36"/>
      <c r="J711" s="13"/>
    </row>
    <row r="712" ht="15.75" customHeight="1">
      <c r="B712" s="38"/>
      <c r="C712" s="34"/>
      <c r="D712" s="33"/>
      <c r="E712" s="34"/>
      <c r="F712" s="35"/>
      <c r="G712" s="36"/>
      <c r="H712" s="36"/>
      <c r="I712" s="36"/>
      <c r="J712" s="13"/>
    </row>
    <row r="713" ht="15.75" customHeight="1">
      <c r="B713" s="38"/>
      <c r="C713" s="34"/>
      <c r="D713" s="33"/>
      <c r="E713" s="34"/>
      <c r="F713" s="35"/>
      <c r="G713" s="36"/>
      <c r="H713" s="36"/>
      <c r="I713" s="36"/>
      <c r="J713" s="13"/>
    </row>
    <row r="714" ht="15.75" customHeight="1">
      <c r="B714" s="38"/>
      <c r="C714" s="34"/>
      <c r="D714" s="33"/>
      <c r="E714" s="34"/>
      <c r="F714" s="35"/>
      <c r="G714" s="36"/>
      <c r="H714" s="36"/>
      <c r="I714" s="36"/>
      <c r="J714" s="13"/>
    </row>
    <row r="715" ht="15.75" customHeight="1">
      <c r="B715" s="38"/>
      <c r="C715" s="34"/>
      <c r="D715" s="33"/>
      <c r="E715" s="34"/>
      <c r="F715" s="35"/>
      <c r="G715" s="36"/>
      <c r="H715" s="36"/>
      <c r="I715" s="36"/>
      <c r="J715" s="13"/>
    </row>
    <row r="716" ht="15.75" customHeight="1">
      <c r="B716" s="38"/>
      <c r="C716" s="34"/>
      <c r="D716" s="33"/>
      <c r="E716" s="34"/>
      <c r="F716" s="35"/>
      <c r="G716" s="36"/>
      <c r="H716" s="36"/>
      <c r="I716" s="36"/>
      <c r="J716" s="13"/>
    </row>
    <row r="717" ht="15.75" customHeight="1">
      <c r="B717" s="38"/>
      <c r="C717" s="34"/>
      <c r="D717" s="33"/>
      <c r="E717" s="34"/>
      <c r="F717" s="35"/>
      <c r="G717" s="36"/>
      <c r="H717" s="36"/>
      <c r="I717" s="36"/>
      <c r="J717" s="13"/>
    </row>
    <row r="718" ht="15.75" customHeight="1">
      <c r="B718" s="38"/>
      <c r="C718" s="34"/>
      <c r="D718" s="33"/>
      <c r="E718" s="34"/>
      <c r="F718" s="35"/>
      <c r="G718" s="36"/>
      <c r="H718" s="36"/>
      <c r="I718" s="36"/>
      <c r="J718" s="13"/>
    </row>
    <row r="719" ht="15.75" customHeight="1">
      <c r="B719" s="38"/>
      <c r="C719" s="34"/>
      <c r="D719" s="33"/>
      <c r="E719" s="34"/>
      <c r="F719" s="35"/>
      <c r="G719" s="36"/>
      <c r="H719" s="36"/>
      <c r="I719" s="36"/>
      <c r="J719" s="13"/>
    </row>
    <row r="720" ht="15.75" customHeight="1">
      <c r="B720" s="38"/>
      <c r="C720" s="34"/>
      <c r="D720" s="33"/>
      <c r="E720" s="34"/>
      <c r="F720" s="35"/>
      <c r="G720" s="36"/>
      <c r="H720" s="36"/>
      <c r="I720" s="36"/>
      <c r="J720" s="13"/>
    </row>
    <row r="721" ht="15.75" customHeight="1">
      <c r="B721" s="38"/>
      <c r="C721" s="34"/>
      <c r="D721" s="33"/>
      <c r="E721" s="34"/>
      <c r="F721" s="35"/>
      <c r="G721" s="36"/>
      <c r="H721" s="36"/>
      <c r="I721" s="36"/>
      <c r="J721" s="13"/>
    </row>
    <row r="722" ht="15.75" customHeight="1">
      <c r="B722" s="38"/>
      <c r="C722" s="34"/>
      <c r="D722" s="33"/>
      <c r="E722" s="34"/>
      <c r="F722" s="35"/>
      <c r="G722" s="36"/>
      <c r="H722" s="36"/>
      <c r="I722" s="36"/>
      <c r="J722" s="13"/>
    </row>
    <row r="723" ht="15.75" customHeight="1">
      <c r="B723" s="38"/>
      <c r="C723" s="34"/>
      <c r="D723" s="33"/>
      <c r="E723" s="34"/>
      <c r="F723" s="35"/>
      <c r="G723" s="36"/>
      <c r="H723" s="36"/>
      <c r="I723" s="36"/>
      <c r="J723" s="13"/>
    </row>
    <row r="724" ht="15.75" customHeight="1">
      <c r="B724" s="38"/>
      <c r="C724" s="34"/>
      <c r="D724" s="33"/>
      <c r="E724" s="34"/>
      <c r="F724" s="35"/>
      <c r="G724" s="36"/>
      <c r="H724" s="36"/>
      <c r="I724" s="36"/>
      <c r="J724" s="13"/>
    </row>
    <row r="725" ht="15.75" customHeight="1">
      <c r="B725" s="38"/>
      <c r="C725" s="34"/>
      <c r="D725" s="33"/>
      <c r="E725" s="34"/>
      <c r="F725" s="35"/>
      <c r="G725" s="36"/>
      <c r="H725" s="36"/>
      <c r="I725" s="36"/>
      <c r="J725" s="13"/>
    </row>
    <row r="726" ht="15.75" customHeight="1">
      <c r="B726" s="38"/>
      <c r="C726" s="34"/>
      <c r="D726" s="33"/>
      <c r="E726" s="34"/>
      <c r="F726" s="35"/>
      <c r="G726" s="36"/>
      <c r="H726" s="36"/>
      <c r="I726" s="36"/>
      <c r="J726" s="13"/>
    </row>
    <row r="727" ht="15.75" customHeight="1">
      <c r="B727" s="38"/>
      <c r="C727" s="34"/>
      <c r="D727" s="33"/>
      <c r="E727" s="34"/>
      <c r="F727" s="35"/>
      <c r="G727" s="36"/>
      <c r="H727" s="36"/>
      <c r="I727" s="36"/>
      <c r="J727" s="13"/>
    </row>
    <row r="728" ht="15.75" customHeight="1">
      <c r="B728" s="38"/>
      <c r="C728" s="34"/>
      <c r="D728" s="33"/>
      <c r="E728" s="34"/>
      <c r="F728" s="35"/>
      <c r="G728" s="36"/>
      <c r="H728" s="36"/>
      <c r="I728" s="36"/>
      <c r="J728" s="13"/>
    </row>
    <row r="729" ht="15.75" customHeight="1">
      <c r="B729" s="38"/>
      <c r="C729" s="34"/>
      <c r="D729" s="33"/>
      <c r="E729" s="34"/>
      <c r="F729" s="35"/>
      <c r="G729" s="36"/>
      <c r="H729" s="36"/>
      <c r="I729" s="36"/>
      <c r="J729" s="13"/>
    </row>
    <row r="730" ht="15.75" customHeight="1">
      <c r="B730" s="38"/>
      <c r="C730" s="34"/>
      <c r="D730" s="33"/>
      <c r="E730" s="34"/>
      <c r="F730" s="35"/>
      <c r="G730" s="36"/>
      <c r="H730" s="36"/>
      <c r="I730" s="36"/>
      <c r="J730" s="13"/>
    </row>
    <row r="731" ht="15.75" customHeight="1">
      <c r="B731" s="38"/>
      <c r="C731" s="34"/>
      <c r="D731" s="33"/>
      <c r="E731" s="34"/>
      <c r="F731" s="35"/>
      <c r="G731" s="36"/>
      <c r="H731" s="36"/>
      <c r="I731" s="36"/>
      <c r="J731" s="13"/>
    </row>
    <row r="732" ht="15.75" customHeight="1">
      <c r="B732" s="38"/>
      <c r="C732" s="34"/>
      <c r="D732" s="33"/>
      <c r="E732" s="34"/>
      <c r="F732" s="35"/>
      <c r="G732" s="36"/>
      <c r="H732" s="36"/>
      <c r="I732" s="36"/>
      <c r="J732" s="13"/>
    </row>
    <row r="733" ht="15.75" customHeight="1">
      <c r="B733" s="38"/>
      <c r="C733" s="34"/>
      <c r="D733" s="33"/>
      <c r="E733" s="34"/>
      <c r="F733" s="35"/>
      <c r="G733" s="36"/>
      <c r="H733" s="36"/>
      <c r="I733" s="36"/>
      <c r="J733" s="13"/>
    </row>
    <row r="734" ht="15.75" customHeight="1">
      <c r="B734" s="38"/>
      <c r="C734" s="34"/>
      <c r="D734" s="33"/>
      <c r="E734" s="34"/>
      <c r="F734" s="35"/>
      <c r="G734" s="36"/>
      <c r="H734" s="36"/>
      <c r="I734" s="36"/>
      <c r="J734" s="13"/>
    </row>
    <row r="735" ht="15.75" customHeight="1">
      <c r="B735" s="38"/>
      <c r="C735" s="34"/>
      <c r="D735" s="33"/>
      <c r="E735" s="34"/>
      <c r="F735" s="35"/>
      <c r="G735" s="36"/>
      <c r="H735" s="36"/>
      <c r="I735" s="36"/>
      <c r="J735" s="13"/>
    </row>
    <row r="736" ht="15.75" customHeight="1">
      <c r="B736" s="38"/>
      <c r="C736" s="34"/>
      <c r="D736" s="33"/>
      <c r="E736" s="34"/>
      <c r="F736" s="35"/>
      <c r="G736" s="36"/>
      <c r="H736" s="36"/>
      <c r="I736" s="36"/>
      <c r="J736" s="13"/>
    </row>
    <row r="737" ht="15.75" customHeight="1">
      <c r="B737" s="38"/>
      <c r="C737" s="34"/>
      <c r="D737" s="33"/>
      <c r="E737" s="34"/>
      <c r="F737" s="35"/>
      <c r="G737" s="36"/>
      <c r="H737" s="36"/>
      <c r="I737" s="36"/>
      <c r="J737" s="13"/>
    </row>
    <row r="738" ht="15.75" customHeight="1">
      <c r="B738" s="38"/>
      <c r="C738" s="34"/>
      <c r="D738" s="33"/>
      <c r="E738" s="34"/>
      <c r="F738" s="35"/>
      <c r="G738" s="36"/>
      <c r="H738" s="36"/>
      <c r="I738" s="36"/>
      <c r="J738" s="13"/>
    </row>
    <row r="739" ht="15.75" customHeight="1">
      <c r="B739" s="38"/>
      <c r="C739" s="34"/>
      <c r="D739" s="33"/>
      <c r="E739" s="34"/>
      <c r="F739" s="35"/>
      <c r="G739" s="36"/>
      <c r="H739" s="36"/>
      <c r="I739" s="36"/>
      <c r="J739" s="13"/>
    </row>
    <row r="740" ht="15.75" customHeight="1">
      <c r="B740" s="38"/>
      <c r="C740" s="34"/>
      <c r="D740" s="33"/>
      <c r="E740" s="34"/>
      <c r="F740" s="35"/>
      <c r="G740" s="36"/>
      <c r="H740" s="36"/>
      <c r="I740" s="36"/>
      <c r="J740" s="13"/>
    </row>
    <row r="741" ht="15.75" customHeight="1">
      <c r="B741" s="38"/>
      <c r="C741" s="34"/>
      <c r="D741" s="33"/>
      <c r="E741" s="34"/>
      <c r="F741" s="35"/>
      <c r="G741" s="36"/>
      <c r="H741" s="36"/>
      <c r="I741" s="36"/>
      <c r="J741" s="13"/>
    </row>
    <row r="742" ht="15.75" customHeight="1">
      <c r="B742" s="38"/>
      <c r="C742" s="34"/>
      <c r="D742" s="33"/>
      <c r="E742" s="34"/>
      <c r="F742" s="35"/>
      <c r="G742" s="36"/>
      <c r="H742" s="36"/>
      <c r="I742" s="36"/>
      <c r="J742" s="13"/>
    </row>
    <row r="743" ht="15.75" customHeight="1">
      <c r="B743" s="38"/>
      <c r="C743" s="34"/>
      <c r="D743" s="33"/>
      <c r="E743" s="34"/>
      <c r="F743" s="35"/>
      <c r="G743" s="36"/>
      <c r="H743" s="36"/>
      <c r="I743" s="36"/>
      <c r="J743" s="13"/>
    </row>
    <row r="744" ht="15.75" customHeight="1">
      <c r="B744" s="38"/>
      <c r="C744" s="34"/>
      <c r="D744" s="33"/>
      <c r="E744" s="34"/>
      <c r="F744" s="35"/>
      <c r="G744" s="36"/>
      <c r="H744" s="36"/>
      <c r="I744" s="36"/>
      <c r="J744" s="13"/>
    </row>
    <row r="745" ht="15.75" customHeight="1">
      <c r="B745" s="38"/>
      <c r="C745" s="34"/>
      <c r="D745" s="33"/>
      <c r="E745" s="34"/>
      <c r="F745" s="35"/>
      <c r="G745" s="36"/>
      <c r="H745" s="36"/>
      <c r="I745" s="36"/>
      <c r="J745" s="13"/>
    </row>
    <row r="746" ht="15.75" customHeight="1">
      <c r="B746" s="38"/>
      <c r="C746" s="34"/>
      <c r="D746" s="33"/>
      <c r="E746" s="34"/>
      <c r="F746" s="35"/>
      <c r="G746" s="36"/>
      <c r="H746" s="36"/>
      <c r="I746" s="36"/>
      <c r="J746" s="13"/>
    </row>
    <row r="747" ht="15.75" customHeight="1">
      <c r="B747" s="38"/>
      <c r="C747" s="34"/>
      <c r="D747" s="33"/>
      <c r="E747" s="34"/>
      <c r="F747" s="35"/>
      <c r="G747" s="36"/>
      <c r="H747" s="36"/>
      <c r="I747" s="36"/>
      <c r="J747" s="13"/>
    </row>
    <row r="748" ht="15.75" customHeight="1">
      <c r="B748" s="38"/>
      <c r="C748" s="34"/>
      <c r="D748" s="33"/>
      <c r="E748" s="34"/>
      <c r="F748" s="35"/>
      <c r="G748" s="36"/>
      <c r="H748" s="36"/>
      <c r="I748" s="36"/>
      <c r="J748" s="13"/>
    </row>
    <row r="749" ht="15.75" customHeight="1">
      <c r="B749" s="38"/>
      <c r="C749" s="34"/>
      <c r="D749" s="33"/>
      <c r="E749" s="34"/>
      <c r="F749" s="35"/>
      <c r="G749" s="36"/>
      <c r="H749" s="36"/>
      <c r="I749" s="36"/>
      <c r="J749" s="13"/>
    </row>
    <row r="750" ht="15.75" customHeight="1">
      <c r="B750" s="38"/>
      <c r="C750" s="34"/>
      <c r="D750" s="33"/>
      <c r="E750" s="34"/>
      <c r="F750" s="35"/>
      <c r="G750" s="36"/>
      <c r="H750" s="36"/>
      <c r="I750" s="36"/>
      <c r="J750" s="13"/>
    </row>
    <row r="751" ht="15.75" customHeight="1">
      <c r="B751" s="38"/>
      <c r="C751" s="34"/>
      <c r="D751" s="33"/>
      <c r="E751" s="34"/>
      <c r="F751" s="35"/>
      <c r="G751" s="36"/>
      <c r="H751" s="36"/>
      <c r="I751" s="36"/>
      <c r="J751" s="13"/>
    </row>
    <row r="752" ht="15.75" customHeight="1">
      <c r="B752" s="38"/>
      <c r="C752" s="34"/>
      <c r="D752" s="33"/>
      <c r="E752" s="34"/>
      <c r="F752" s="35"/>
      <c r="G752" s="36"/>
      <c r="H752" s="36"/>
      <c r="I752" s="36"/>
      <c r="J752" s="13"/>
    </row>
    <row r="753" ht="15.75" customHeight="1">
      <c r="B753" s="38"/>
      <c r="C753" s="34"/>
      <c r="D753" s="33"/>
      <c r="E753" s="34"/>
      <c r="F753" s="35"/>
      <c r="G753" s="36"/>
      <c r="H753" s="36"/>
      <c r="I753" s="36"/>
      <c r="J753" s="13"/>
    </row>
    <row r="754" ht="15.75" customHeight="1">
      <c r="B754" s="38"/>
      <c r="C754" s="34"/>
      <c r="D754" s="33"/>
      <c r="E754" s="34"/>
      <c r="F754" s="35"/>
      <c r="G754" s="36"/>
      <c r="H754" s="36"/>
      <c r="I754" s="36"/>
      <c r="J754" s="13"/>
    </row>
    <row r="755" ht="15.75" customHeight="1">
      <c r="B755" s="38"/>
      <c r="C755" s="34"/>
      <c r="D755" s="33"/>
      <c r="E755" s="34"/>
      <c r="F755" s="35"/>
      <c r="G755" s="36"/>
      <c r="H755" s="36"/>
      <c r="I755" s="36"/>
      <c r="J755" s="13"/>
    </row>
    <row r="756" ht="15.75" customHeight="1">
      <c r="B756" s="38"/>
      <c r="C756" s="34"/>
      <c r="D756" s="33"/>
      <c r="E756" s="34"/>
      <c r="F756" s="35"/>
      <c r="G756" s="36"/>
      <c r="H756" s="36"/>
      <c r="I756" s="36"/>
      <c r="J756" s="13"/>
    </row>
    <row r="757" ht="15.75" customHeight="1">
      <c r="B757" s="38"/>
      <c r="C757" s="34"/>
      <c r="D757" s="33"/>
      <c r="E757" s="34"/>
      <c r="F757" s="35"/>
      <c r="G757" s="36"/>
      <c r="H757" s="36"/>
      <c r="I757" s="36"/>
      <c r="J757" s="13"/>
    </row>
    <row r="758" ht="15.75" customHeight="1">
      <c r="B758" s="38"/>
      <c r="C758" s="34"/>
      <c r="D758" s="33"/>
      <c r="E758" s="34"/>
      <c r="F758" s="35"/>
      <c r="G758" s="36"/>
      <c r="H758" s="36"/>
      <c r="I758" s="36"/>
      <c r="J758" s="13"/>
    </row>
    <row r="759" ht="15.75" customHeight="1">
      <c r="B759" s="38"/>
      <c r="C759" s="34"/>
      <c r="D759" s="33"/>
      <c r="E759" s="34"/>
      <c r="F759" s="35"/>
      <c r="G759" s="36"/>
      <c r="H759" s="36"/>
      <c r="I759" s="36"/>
      <c r="J759" s="13"/>
    </row>
    <row r="760" ht="15.75" customHeight="1">
      <c r="B760" s="38"/>
      <c r="C760" s="34"/>
      <c r="D760" s="33"/>
      <c r="E760" s="34"/>
      <c r="F760" s="35"/>
      <c r="G760" s="36"/>
      <c r="H760" s="36"/>
      <c r="I760" s="36"/>
      <c r="J760" s="13"/>
    </row>
    <row r="761" ht="15.75" customHeight="1">
      <c r="B761" s="38"/>
      <c r="C761" s="34"/>
      <c r="D761" s="33"/>
      <c r="E761" s="34"/>
      <c r="F761" s="35"/>
      <c r="G761" s="36"/>
      <c r="H761" s="36"/>
      <c r="I761" s="36"/>
      <c r="J761" s="13"/>
    </row>
    <row r="762" ht="15.75" customHeight="1">
      <c r="B762" s="38"/>
      <c r="C762" s="34"/>
      <c r="D762" s="33"/>
      <c r="E762" s="34"/>
      <c r="F762" s="35"/>
      <c r="G762" s="36"/>
      <c r="H762" s="36"/>
      <c r="I762" s="36"/>
      <c r="J762" s="13"/>
    </row>
    <row r="763" ht="15.75" customHeight="1">
      <c r="B763" s="38"/>
      <c r="C763" s="34"/>
      <c r="D763" s="33"/>
      <c r="E763" s="34"/>
      <c r="F763" s="35"/>
      <c r="G763" s="36"/>
      <c r="H763" s="36"/>
      <c r="I763" s="36"/>
      <c r="J763" s="13"/>
    </row>
    <row r="764" ht="15.75" customHeight="1">
      <c r="B764" s="38"/>
      <c r="C764" s="34"/>
      <c r="D764" s="33"/>
      <c r="E764" s="34"/>
      <c r="F764" s="35"/>
      <c r="G764" s="36"/>
      <c r="H764" s="36"/>
      <c r="I764" s="36"/>
      <c r="J764" s="13"/>
    </row>
    <row r="765" ht="15.75" customHeight="1">
      <c r="B765" s="38"/>
      <c r="C765" s="34"/>
      <c r="D765" s="33"/>
      <c r="E765" s="34"/>
      <c r="F765" s="35"/>
      <c r="G765" s="36"/>
      <c r="H765" s="36"/>
      <c r="I765" s="36"/>
      <c r="J765" s="13"/>
    </row>
    <row r="766" ht="15.75" customHeight="1">
      <c r="B766" s="38"/>
      <c r="C766" s="34"/>
      <c r="D766" s="33"/>
      <c r="E766" s="34"/>
      <c r="F766" s="35"/>
      <c r="G766" s="36"/>
      <c r="H766" s="36"/>
      <c r="I766" s="36"/>
      <c r="J766" s="13"/>
    </row>
    <row r="767" ht="15.75" customHeight="1">
      <c r="B767" s="38"/>
      <c r="C767" s="34"/>
      <c r="D767" s="33"/>
      <c r="E767" s="34"/>
      <c r="F767" s="35"/>
      <c r="G767" s="36"/>
      <c r="H767" s="36"/>
      <c r="I767" s="36"/>
      <c r="J767" s="13"/>
    </row>
    <row r="768" ht="15.75" customHeight="1">
      <c r="B768" s="38"/>
      <c r="C768" s="34"/>
      <c r="D768" s="33"/>
      <c r="E768" s="34"/>
      <c r="F768" s="35"/>
      <c r="G768" s="36"/>
      <c r="H768" s="36"/>
      <c r="I768" s="36"/>
      <c r="J768" s="13"/>
    </row>
    <row r="769" ht="15.75" customHeight="1">
      <c r="B769" s="38"/>
      <c r="C769" s="34"/>
      <c r="D769" s="33"/>
      <c r="E769" s="34"/>
      <c r="F769" s="35"/>
      <c r="G769" s="36"/>
      <c r="H769" s="36"/>
      <c r="I769" s="36"/>
      <c r="J769" s="13"/>
    </row>
    <row r="770" ht="15.75" customHeight="1">
      <c r="B770" s="38"/>
      <c r="C770" s="34"/>
      <c r="D770" s="33"/>
      <c r="E770" s="34"/>
      <c r="F770" s="35"/>
      <c r="G770" s="36"/>
      <c r="H770" s="36"/>
      <c r="I770" s="36"/>
      <c r="J770" s="13"/>
    </row>
    <row r="771" ht="15.75" customHeight="1">
      <c r="B771" s="38"/>
      <c r="C771" s="34"/>
      <c r="D771" s="33"/>
      <c r="E771" s="34"/>
      <c r="F771" s="35"/>
      <c r="G771" s="36"/>
      <c r="H771" s="36"/>
      <c r="I771" s="36"/>
      <c r="J771" s="13"/>
    </row>
    <row r="772" ht="15.75" customHeight="1">
      <c r="B772" s="38"/>
      <c r="C772" s="34"/>
      <c r="D772" s="33"/>
      <c r="E772" s="34"/>
      <c r="F772" s="35"/>
      <c r="G772" s="36"/>
      <c r="H772" s="36"/>
      <c r="I772" s="36"/>
      <c r="J772" s="13"/>
    </row>
    <row r="773" ht="15.75" customHeight="1">
      <c r="B773" s="38"/>
      <c r="C773" s="34"/>
      <c r="D773" s="33"/>
      <c r="E773" s="34"/>
      <c r="F773" s="35"/>
      <c r="G773" s="36"/>
      <c r="H773" s="36"/>
      <c r="I773" s="36"/>
      <c r="J773" s="13"/>
    </row>
    <row r="774" ht="15.75" customHeight="1">
      <c r="B774" s="38"/>
      <c r="C774" s="34"/>
      <c r="D774" s="33"/>
      <c r="E774" s="34"/>
      <c r="F774" s="35"/>
      <c r="G774" s="36"/>
      <c r="H774" s="36"/>
      <c r="I774" s="36"/>
      <c r="J774" s="13"/>
    </row>
    <row r="775" ht="15.75" customHeight="1">
      <c r="B775" s="38"/>
      <c r="C775" s="34"/>
      <c r="D775" s="33"/>
      <c r="E775" s="34"/>
      <c r="F775" s="35"/>
      <c r="G775" s="36"/>
      <c r="H775" s="36"/>
      <c r="I775" s="36"/>
      <c r="J775" s="13"/>
    </row>
    <row r="776" ht="15.75" customHeight="1">
      <c r="B776" s="38"/>
      <c r="C776" s="34"/>
      <c r="D776" s="33"/>
      <c r="E776" s="34"/>
      <c r="F776" s="35"/>
      <c r="G776" s="36"/>
      <c r="H776" s="36"/>
      <c r="I776" s="36"/>
      <c r="J776" s="13"/>
    </row>
    <row r="777" ht="15.75" customHeight="1">
      <c r="B777" s="38"/>
      <c r="C777" s="34"/>
      <c r="D777" s="33"/>
      <c r="E777" s="34"/>
      <c r="F777" s="35"/>
      <c r="G777" s="36"/>
      <c r="H777" s="36"/>
      <c r="I777" s="36"/>
      <c r="J777" s="13"/>
    </row>
    <row r="778" ht="15.75" customHeight="1">
      <c r="B778" s="38"/>
      <c r="C778" s="34"/>
      <c r="D778" s="33"/>
      <c r="E778" s="34"/>
      <c r="F778" s="35"/>
      <c r="G778" s="36"/>
      <c r="H778" s="36"/>
      <c r="I778" s="36"/>
      <c r="J778" s="13"/>
    </row>
    <row r="779" ht="15.75" customHeight="1">
      <c r="B779" s="38"/>
      <c r="C779" s="34"/>
      <c r="D779" s="33"/>
      <c r="E779" s="34"/>
      <c r="F779" s="35"/>
      <c r="G779" s="36"/>
      <c r="H779" s="36"/>
      <c r="I779" s="36"/>
      <c r="J779" s="13"/>
    </row>
    <row r="780" ht="15.75" customHeight="1">
      <c r="B780" s="38"/>
      <c r="C780" s="34"/>
      <c r="D780" s="33"/>
      <c r="E780" s="34"/>
      <c r="F780" s="35"/>
      <c r="G780" s="36"/>
      <c r="H780" s="36"/>
      <c r="I780" s="36"/>
      <c r="J780" s="13"/>
    </row>
    <row r="781" ht="15.75" customHeight="1">
      <c r="B781" s="38"/>
      <c r="C781" s="34"/>
      <c r="D781" s="33"/>
      <c r="E781" s="34"/>
      <c r="F781" s="35"/>
      <c r="G781" s="36"/>
      <c r="H781" s="36"/>
      <c r="I781" s="36"/>
      <c r="J781" s="13"/>
    </row>
    <row r="782" ht="15.75" customHeight="1">
      <c r="B782" s="38"/>
      <c r="C782" s="34"/>
      <c r="D782" s="33"/>
      <c r="E782" s="34"/>
      <c r="F782" s="35"/>
      <c r="G782" s="36"/>
      <c r="H782" s="36"/>
      <c r="I782" s="36"/>
      <c r="J782" s="13"/>
    </row>
    <row r="783" ht="15.75" customHeight="1">
      <c r="B783" s="38"/>
      <c r="C783" s="34"/>
      <c r="D783" s="33"/>
      <c r="E783" s="34"/>
      <c r="F783" s="35"/>
      <c r="G783" s="36"/>
      <c r="H783" s="36"/>
      <c r="I783" s="36"/>
      <c r="J783" s="13"/>
    </row>
    <row r="784" ht="15.75" customHeight="1">
      <c r="B784" s="38"/>
      <c r="C784" s="34"/>
      <c r="D784" s="33"/>
      <c r="E784" s="34"/>
      <c r="F784" s="35"/>
      <c r="G784" s="36"/>
      <c r="H784" s="36"/>
      <c r="I784" s="36"/>
      <c r="J784" s="13"/>
    </row>
    <row r="785" ht="15.75" customHeight="1">
      <c r="B785" s="38"/>
      <c r="C785" s="34"/>
      <c r="D785" s="33"/>
      <c r="E785" s="34"/>
      <c r="F785" s="35"/>
      <c r="G785" s="36"/>
      <c r="H785" s="36"/>
      <c r="I785" s="36"/>
      <c r="J785" s="13"/>
    </row>
    <row r="786" ht="15.75" customHeight="1">
      <c r="B786" s="38"/>
      <c r="C786" s="34"/>
      <c r="D786" s="33"/>
      <c r="E786" s="34"/>
      <c r="F786" s="35"/>
      <c r="G786" s="36"/>
      <c r="H786" s="36"/>
      <c r="I786" s="36"/>
      <c r="J786" s="13"/>
    </row>
    <row r="787" ht="15.75" customHeight="1">
      <c r="B787" s="38"/>
      <c r="C787" s="34"/>
      <c r="D787" s="33"/>
      <c r="E787" s="34"/>
      <c r="F787" s="35"/>
      <c r="G787" s="36"/>
      <c r="H787" s="36"/>
      <c r="I787" s="36"/>
      <c r="J787" s="13"/>
    </row>
    <row r="788" ht="15.75" customHeight="1">
      <c r="B788" s="38"/>
      <c r="C788" s="34"/>
      <c r="D788" s="33"/>
      <c r="E788" s="34"/>
      <c r="F788" s="35"/>
      <c r="G788" s="36"/>
      <c r="H788" s="36"/>
      <c r="I788" s="36"/>
      <c r="J788" s="13"/>
    </row>
    <row r="789" ht="15.75" customHeight="1">
      <c r="B789" s="38"/>
      <c r="C789" s="34"/>
      <c r="D789" s="33"/>
      <c r="E789" s="34"/>
      <c r="F789" s="35"/>
      <c r="G789" s="36"/>
      <c r="H789" s="36"/>
      <c r="I789" s="36"/>
      <c r="J789" s="13"/>
    </row>
    <row r="790" ht="15.75" customHeight="1">
      <c r="B790" s="38"/>
      <c r="C790" s="34"/>
      <c r="D790" s="33"/>
      <c r="E790" s="34"/>
      <c r="F790" s="35"/>
      <c r="G790" s="36"/>
      <c r="H790" s="36"/>
      <c r="I790" s="36"/>
      <c r="J790" s="13"/>
    </row>
    <row r="791" ht="15.75" customHeight="1">
      <c r="B791" s="38"/>
      <c r="C791" s="34"/>
      <c r="D791" s="33"/>
      <c r="E791" s="34"/>
      <c r="F791" s="35"/>
      <c r="G791" s="36"/>
      <c r="H791" s="36"/>
      <c r="I791" s="36"/>
      <c r="J791" s="13"/>
    </row>
    <row r="792" ht="15.75" customHeight="1">
      <c r="B792" s="38"/>
      <c r="C792" s="34"/>
      <c r="D792" s="33"/>
      <c r="E792" s="34"/>
      <c r="F792" s="35"/>
      <c r="G792" s="36"/>
      <c r="H792" s="36"/>
      <c r="I792" s="36"/>
      <c r="J792" s="13"/>
    </row>
    <row r="793" ht="15.75" customHeight="1">
      <c r="B793" s="38"/>
      <c r="C793" s="34"/>
      <c r="D793" s="33"/>
      <c r="E793" s="34"/>
      <c r="F793" s="35"/>
      <c r="G793" s="36"/>
      <c r="H793" s="36"/>
      <c r="I793" s="36"/>
      <c r="J793" s="13"/>
    </row>
    <row r="794" ht="15.75" customHeight="1">
      <c r="B794" s="38"/>
      <c r="C794" s="34"/>
      <c r="D794" s="33"/>
      <c r="E794" s="34"/>
      <c r="F794" s="35"/>
      <c r="G794" s="36"/>
      <c r="H794" s="36"/>
      <c r="I794" s="36"/>
      <c r="J794" s="13"/>
    </row>
    <row r="795" ht="15.75" customHeight="1">
      <c r="B795" s="38"/>
      <c r="C795" s="34"/>
      <c r="D795" s="33"/>
      <c r="E795" s="34"/>
      <c r="F795" s="35"/>
      <c r="G795" s="36"/>
      <c r="H795" s="36"/>
      <c r="I795" s="36"/>
      <c r="J795" s="13"/>
    </row>
    <row r="796" ht="15.75" customHeight="1">
      <c r="B796" s="38"/>
      <c r="C796" s="34"/>
      <c r="D796" s="33"/>
      <c r="E796" s="34"/>
      <c r="F796" s="35"/>
      <c r="G796" s="36"/>
      <c r="H796" s="36"/>
      <c r="I796" s="36"/>
      <c r="J796" s="13"/>
    </row>
    <row r="797" ht="15.75" customHeight="1">
      <c r="B797" s="38"/>
      <c r="C797" s="34"/>
      <c r="D797" s="33"/>
      <c r="E797" s="34"/>
      <c r="F797" s="35"/>
      <c r="G797" s="36"/>
      <c r="H797" s="36"/>
      <c r="I797" s="36"/>
      <c r="J797" s="13"/>
    </row>
    <row r="798" ht="15.75" customHeight="1">
      <c r="B798" s="38"/>
      <c r="C798" s="34"/>
      <c r="D798" s="33"/>
      <c r="E798" s="34"/>
      <c r="F798" s="35"/>
      <c r="G798" s="36"/>
      <c r="H798" s="36"/>
      <c r="I798" s="36"/>
      <c r="J798" s="13"/>
    </row>
    <row r="799" ht="15.75" customHeight="1">
      <c r="B799" s="38"/>
      <c r="C799" s="34"/>
      <c r="D799" s="33"/>
      <c r="E799" s="34"/>
      <c r="F799" s="35"/>
      <c r="G799" s="36"/>
      <c r="H799" s="36"/>
      <c r="I799" s="36"/>
      <c r="J799" s="13"/>
    </row>
    <row r="800" ht="15.75" customHeight="1">
      <c r="B800" s="38"/>
      <c r="C800" s="34"/>
      <c r="D800" s="33"/>
      <c r="E800" s="34"/>
      <c r="F800" s="35"/>
      <c r="G800" s="36"/>
      <c r="H800" s="36"/>
      <c r="I800" s="36"/>
      <c r="J800" s="13"/>
    </row>
    <row r="801" ht="15.75" customHeight="1">
      <c r="B801" s="38"/>
      <c r="C801" s="34"/>
      <c r="D801" s="33"/>
      <c r="E801" s="34"/>
      <c r="F801" s="35"/>
      <c r="G801" s="36"/>
      <c r="H801" s="36"/>
      <c r="I801" s="36"/>
      <c r="J801" s="13"/>
    </row>
    <row r="802" ht="15.75" customHeight="1">
      <c r="B802" s="38"/>
      <c r="C802" s="34"/>
      <c r="D802" s="33"/>
      <c r="E802" s="34"/>
      <c r="F802" s="35"/>
      <c r="G802" s="36"/>
      <c r="H802" s="36"/>
      <c r="I802" s="36"/>
      <c r="J802" s="13"/>
    </row>
    <row r="803" ht="15.75" customHeight="1">
      <c r="B803" s="38"/>
      <c r="C803" s="34"/>
      <c r="D803" s="33"/>
      <c r="E803" s="34"/>
      <c r="F803" s="35"/>
      <c r="G803" s="36"/>
      <c r="H803" s="36"/>
      <c r="I803" s="36"/>
      <c r="J803" s="13"/>
    </row>
    <row r="804" ht="15.75" customHeight="1">
      <c r="B804" s="38"/>
      <c r="C804" s="34"/>
      <c r="D804" s="33"/>
      <c r="E804" s="34"/>
      <c r="F804" s="35"/>
      <c r="G804" s="36"/>
      <c r="H804" s="36"/>
      <c r="I804" s="36"/>
      <c r="J804" s="13"/>
    </row>
    <row r="805" ht="15.75" customHeight="1">
      <c r="B805" s="38"/>
      <c r="C805" s="34"/>
      <c r="D805" s="33"/>
      <c r="E805" s="34"/>
      <c r="F805" s="35"/>
      <c r="G805" s="36"/>
      <c r="H805" s="36"/>
      <c r="I805" s="36"/>
      <c r="J805" s="13"/>
    </row>
    <row r="806" ht="15.75" customHeight="1">
      <c r="B806" s="38"/>
      <c r="C806" s="34"/>
      <c r="D806" s="33"/>
      <c r="E806" s="34"/>
      <c r="F806" s="35"/>
      <c r="G806" s="36"/>
      <c r="H806" s="36"/>
      <c r="I806" s="36"/>
      <c r="J806" s="13"/>
    </row>
    <row r="807" ht="15.75" customHeight="1">
      <c r="B807" s="38"/>
      <c r="C807" s="34"/>
      <c r="D807" s="33"/>
      <c r="E807" s="34"/>
      <c r="F807" s="35"/>
      <c r="G807" s="36"/>
      <c r="H807" s="36"/>
      <c r="I807" s="36"/>
      <c r="J807" s="13"/>
    </row>
    <row r="808" ht="15.75" customHeight="1">
      <c r="B808" s="38"/>
      <c r="C808" s="34"/>
      <c r="D808" s="33"/>
      <c r="E808" s="34"/>
      <c r="F808" s="35"/>
      <c r="G808" s="36"/>
      <c r="H808" s="36"/>
      <c r="I808" s="36"/>
      <c r="J808" s="13"/>
    </row>
    <row r="809" ht="15.75" customHeight="1">
      <c r="B809" s="38"/>
      <c r="C809" s="34"/>
      <c r="D809" s="33"/>
      <c r="E809" s="34"/>
      <c r="F809" s="35"/>
      <c r="G809" s="36"/>
      <c r="H809" s="36"/>
      <c r="I809" s="36"/>
      <c r="J809" s="13"/>
    </row>
    <row r="810" ht="15.75" customHeight="1">
      <c r="B810" s="38"/>
      <c r="C810" s="34"/>
      <c r="D810" s="33"/>
      <c r="E810" s="34"/>
      <c r="F810" s="35"/>
      <c r="G810" s="36"/>
      <c r="H810" s="36"/>
      <c r="I810" s="36"/>
      <c r="J810" s="13"/>
    </row>
    <row r="811" ht="15.75" customHeight="1">
      <c r="B811" s="38"/>
      <c r="C811" s="34"/>
      <c r="D811" s="33"/>
      <c r="E811" s="34"/>
      <c r="F811" s="35"/>
      <c r="G811" s="36"/>
      <c r="H811" s="36"/>
      <c r="I811" s="36"/>
      <c r="J811" s="13"/>
    </row>
    <row r="812" ht="15.75" customHeight="1">
      <c r="B812" s="38"/>
      <c r="C812" s="34"/>
      <c r="D812" s="33"/>
      <c r="E812" s="34"/>
      <c r="F812" s="35"/>
      <c r="G812" s="36"/>
      <c r="H812" s="36"/>
      <c r="I812" s="36"/>
      <c r="J812" s="13"/>
    </row>
    <row r="813" ht="15.75" customHeight="1">
      <c r="B813" s="38"/>
      <c r="C813" s="34"/>
      <c r="D813" s="33"/>
      <c r="E813" s="34"/>
      <c r="F813" s="35"/>
      <c r="G813" s="36"/>
      <c r="H813" s="36"/>
      <c r="I813" s="36"/>
      <c r="J813" s="13"/>
    </row>
    <row r="814" ht="15.75" customHeight="1">
      <c r="B814" s="38"/>
      <c r="C814" s="34"/>
      <c r="D814" s="33"/>
      <c r="E814" s="34"/>
      <c r="F814" s="35"/>
      <c r="G814" s="36"/>
      <c r="H814" s="36"/>
      <c r="I814" s="36"/>
      <c r="J814" s="13"/>
    </row>
    <row r="815" ht="15.75" customHeight="1">
      <c r="B815" s="38"/>
      <c r="C815" s="34"/>
      <c r="D815" s="33"/>
      <c r="E815" s="34"/>
      <c r="F815" s="35"/>
      <c r="G815" s="36"/>
      <c r="H815" s="36"/>
      <c r="I815" s="36"/>
      <c r="J815" s="13"/>
    </row>
    <row r="816" ht="15.75" customHeight="1">
      <c r="B816" s="38"/>
      <c r="C816" s="34"/>
      <c r="D816" s="33"/>
      <c r="E816" s="34"/>
      <c r="F816" s="35"/>
      <c r="G816" s="36"/>
      <c r="H816" s="36"/>
      <c r="I816" s="36"/>
      <c r="J816" s="13"/>
    </row>
    <row r="817" ht="15.75" customHeight="1">
      <c r="B817" s="38"/>
      <c r="C817" s="34"/>
      <c r="D817" s="33"/>
      <c r="E817" s="34"/>
      <c r="F817" s="35"/>
      <c r="G817" s="36"/>
      <c r="H817" s="36"/>
      <c r="I817" s="36"/>
      <c r="J817" s="13"/>
    </row>
    <row r="818" ht="15.75" customHeight="1">
      <c r="B818" s="38"/>
      <c r="C818" s="34"/>
      <c r="D818" s="33"/>
      <c r="E818" s="34"/>
      <c r="F818" s="35"/>
      <c r="G818" s="36"/>
      <c r="H818" s="36"/>
      <c r="I818" s="36"/>
      <c r="J818" s="13"/>
    </row>
    <row r="819" ht="15.75" customHeight="1">
      <c r="B819" s="38"/>
      <c r="C819" s="34"/>
      <c r="D819" s="33"/>
      <c r="E819" s="34"/>
      <c r="F819" s="35"/>
      <c r="G819" s="36"/>
      <c r="H819" s="36"/>
      <c r="I819" s="36"/>
      <c r="J819" s="13"/>
    </row>
    <row r="820" ht="15.75" customHeight="1">
      <c r="B820" s="38"/>
      <c r="C820" s="34"/>
      <c r="D820" s="33"/>
      <c r="E820" s="34"/>
      <c r="F820" s="35"/>
      <c r="G820" s="36"/>
      <c r="H820" s="36"/>
      <c r="I820" s="36"/>
      <c r="J820" s="13"/>
    </row>
    <row r="821" ht="15.75" customHeight="1">
      <c r="B821" s="38"/>
      <c r="C821" s="34"/>
      <c r="D821" s="33"/>
      <c r="E821" s="34"/>
      <c r="F821" s="35"/>
      <c r="G821" s="36"/>
      <c r="H821" s="36"/>
      <c r="I821" s="36"/>
      <c r="J821" s="13"/>
    </row>
    <row r="822" ht="15.75" customHeight="1">
      <c r="B822" s="38"/>
      <c r="C822" s="34"/>
      <c r="D822" s="33"/>
      <c r="E822" s="34"/>
      <c r="F822" s="35"/>
      <c r="G822" s="36"/>
      <c r="H822" s="36"/>
      <c r="I822" s="36"/>
      <c r="J822" s="13"/>
    </row>
    <row r="823" ht="15.75" customHeight="1">
      <c r="B823" s="38"/>
      <c r="C823" s="34"/>
      <c r="D823" s="33"/>
      <c r="E823" s="34"/>
      <c r="F823" s="35"/>
      <c r="G823" s="36"/>
      <c r="H823" s="36"/>
      <c r="I823" s="36"/>
      <c r="J823" s="13"/>
    </row>
    <row r="824" ht="15.75" customHeight="1">
      <c r="B824" s="38"/>
      <c r="C824" s="34"/>
      <c r="D824" s="33"/>
      <c r="E824" s="34"/>
      <c r="F824" s="35"/>
      <c r="G824" s="36"/>
      <c r="H824" s="36"/>
      <c r="I824" s="36"/>
      <c r="J824" s="13"/>
    </row>
    <row r="825" ht="15.75" customHeight="1">
      <c r="B825" s="38"/>
      <c r="C825" s="34"/>
      <c r="D825" s="33"/>
      <c r="E825" s="34"/>
      <c r="F825" s="35"/>
      <c r="G825" s="36"/>
      <c r="H825" s="36"/>
      <c r="I825" s="36"/>
      <c r="J825" s="13"/>
    </row>
    <row r="826" ht="15.75" customHeight="1">
      <c r="B826" s="38"/>
      <c r="C826" s="34"/>
      <c r="D826" s="33"/>
      <c r="E826" s="34"/>
      <c r="F826" s="35"/>
      <c r="G826" s="36"/>
      <c r="H826" s="36"/>
      <c r="I826" s="36"/>
      <c r="J826" s="13"/>
    </row>
    <row r="827" ht="15.75" customHeight="1">
      <c r="B827" s="38"/>
      <c r="C827" s="34"/>
      <c r="D827" s="33"/>
      <c r="E827" s="34"/>
      <c r="F827" s="35"/>
      <c r="G827" s="36"/>
      <c r="H827" s="36"/>
      <c r="I827" s="36"/>
      <c r="J827" s="13"/>
    </row>
    <row r="828" ht="15.75" customHeight="1">
      <c r="B828" s="38"/>
      <c r="C828" s="34"/>
      <c r="D828" s="33"/>
      <c r="E828" s="34"/>
      <c r="F828" s="35"/>
      <c r="G828" s="36"/>
      <c r="H828" s="36"/>
      <c r="I828" s="36"/>
      <c r="J828" s="13"/>
    </row>
    <row r="829" ht="15.75" customHeight="1">
      <c r="B829" s="38"/>
      <c r="C829" s="34"/>
      <c r="D829" s="33"/>
      <c r="E829" s="34"/>
      <c r="F829" s="35"/>
      <c r="G829" s="36"/>
      <c r="H829" s="36"/>
      <c r="I829" s="36"/>
      <c r="J829" s="13"/>
    </row>
    <row r="830" ht="15.75" customHeight="1">
      <c r="B830" s="38"/>
      <c r="C830" s="34"/>
      <c r="D830" s="33"/>
      <c r="E830" s="34"/>
      <c r="F830" s="35"/>
      <c r="G830" s="36"/>
      <c r="H830" s="36"/>
      <c r="I830" s="36"/>
      <c r="J830" s="13"/>
    </row>
    <row r="831" ht="15.75" customHeight="1">
      <c r="B831" s="38"/>
      <c r="C831" s="34"/>
      <c r="D831" s="33"/>
      <c r="E831" s="34"/>
      <c r="F831" s="35"/>
      <c r="G831" s="36"/>
      <c r="H831" s="36"/>
      <c r="I831" s="36"/>
      <c r="J831" s="13"/>
    </row>
    <row r="832" ht="15.75" customHeight="1">
      <c r="B832" s="38"/>
      <c r="C832" s="34"/>
      <c r="D832" s="33"/>
      <c r="E832" s="34"/>
      <c r="F832" s="35"/>
      <c r="G832" s="36"/>
      <c r="H832" s="36"/>
      <c r="I832" s="36"/>
      <c r="J832" s="13"/>
    </row>
    <row r="833" ht="15.75" customHeight="1">
      <c r="B833" s="38"/>
      <c r="C833" s="34"/>
      <c r="D833" s="33"/>
      <c r="E833" s="34"/>
      <c r="F833" s="35"/>
      <c r="G833" s="36"/>
      <c r="H833" s="36"/>
      <c r="I833" s="36"/>
      <c r="J833" s="13"/>
    </row>
    <row r="834" ht="15.75" customHeight="1">
      <c r="B834" s="38"/>
      <c r="C834" s="34"/>
      <c r="D834" s="33"/>
      <c r="E834" s="34"/>
      <c r="F834" s="35"/>
      <c r="G834" s="36"/>
      <c r="H834" s="36"/>
      <c r="I834" s="36"/>
      <c r="J834" s="13"/>
    </row>
    <row r="835" ht="15.75" customHeight="1">
      <c r="B835" s="38"/>
      <c r="C835" s="34"/>
      <c r="D835" s="33"/>
      <c r="E835" s="34"/>
      <c r="F835" s="35"/>
      <c r="G835" s="36"/>
      <c r="H835" s="36"/>
      <c r="I835" s="36"/>
      <c r="J835" s="13"/>
    </row>
    <row r="836" ht="15.75" customHeight="1">
      <c r="B836" s="38"/>
      <c r="C836" s="34"/>
      <c r="D836" s="33"/>
      <c r="E836" s="34"/>
      <c r="F836" s="35"/>
      <c r="G836" s="36"/>
      <c r="H836" s="36"/>
      <c r="I836" s="36"/>
      <c r="J836" s="13"/>
    </row>
    <row r="837" ht="15.75" customHeight="1">
      <c r="B837" s="38"/>
      <c r="C837" s="34"/>
      <c r="D837" s="33"/>
      <c r="E837" s="34"/>
      <c r="F837" s="35"/>
      <c r="G837" s="36"/>
      <c r="H837" s="36"/>
      <c r="I837" s="36"/>
      <c r="J837" s="13"/>
    </row>
    <row r="838" ht="15.75" customHeight="1">
      <c r="B838" s="38"/>
      <c r="C838" s="34"/>
      <c r="D838" s="33"/>
      <c r="E838" s="34"/>
      <c r="F838" s="35"/>
      <c r="G838" s="36"/>
      <c r="H838" s="36"/>
      <c r="I838" s="36"/>
      <c r="J838" s="13"/>
    </row>
    <row r="839" ht="15.75" customHeight="1">
      <c r="B839" s="38"/>
      <c r="C839" s="34"/>
      <c r="D839" s="33"/>
      <c r="E839" s="34"/>
      <c r="F839" s="35"/>
      <c r="G839" s="36"/>
      <c r="H839" s="36"/>
      <c r="I839" s="36"/>
      <c r="J839" s="13"/>
    </row>
    <row r="840" ht="15.75" customHeight="1">
      <c r="B840" s="38"/>
      <c r="C840" s="34"/>
      <c r="D840" s="33"/>
      <c r="E840" s="34"/>
      <c r="F840" s="35"/>
      <c r="G840" s="36"/>
      <c r="H840" s="36"/>
      <c r="I840" s="36"/>
      <c r="J840" s="13"/>
    </row>
    <row r="841" ht="15.75" customHeight="1">
      <c r="B841" s="38"/>
      <c r="C841" s="34"/>
      <c r="D841" s="33"/>
      <c r="E841" s="34"/>
      <c r="F841" s="35"/>
      <c r="G841" s="36"/>
      <c r="H841" s="36"/>
      <c r="I841" s="36"/>
      <c r="J841" s="13"/>
    </row>
    <row r="842" ht="15.75" customHeight="1">
      <c r="B842" s="38"/>
      <c r="C842" s="34"/>
      <c r="D842" s="33"/>
      <c r="E842" s="34"/>
      <c r="F842" s="35"/>
      <c r="G842" s="36"/>
      <c r="H842" s="36"/>
      <c r="I842" s="36"/>
      <c r="J842" s="13"/>
    </row>
    <row r="843" ht="15.75" customHeight="1">
      <c r="B843" s="38"/>
      <c r="C843" s="34"/>
      <c r="D843" s="33"/>
      <c r="E843" s="34"/>
      <c r="F843" s="35"/>
      <c r="G843" s="36"/>
      <c r="H843" s="36"/>
      <c r="I843" s="36"/>
      <c r="J843" s="13"/>
    </row>
    <row r="844" ht="15.75" customHeight="1">
      <c r="B844" s="38"/>
      <c r="C844" s="34"/>
      <c r="D844" s="33"/>
      <c r="E844" s="34"/>
      <c r="F844" s="35"/>
      <c r="G844" s="36"/>
      <c r="H844" s="36"/>
      <c r="I844" s="36"/>
      <c r="J844" s="13"/>
    </row>
    <row r="845" ht="15.75" customHeight="1">
      <c r="B845" s="38"/>
      <c r="C845" s="34"/>
      <c r="D845" s="33"/>
      <c r="E845" s="34"/>
      <c r="F845" s="35"/>
      <c r="G845" s="36"/>
      <c r="H845" s="36"/>
      <c r="I845" s="36"/>
      <c r="J845" s="13"/>
    </row>
    <row r="846" ht="15.75" customHeight="1">
      <c r="B846" s="38"/>
      <c r="C846" s="34"/>
      <c r="D846" s="33"/>
      <c r="E846" s="34"/>
      <c r="F846" s="35"/>
      <c r="G846" s="36"/>
      <c r="H846" s="36"/>
      <c r="I846" s="36"/>
      <c r="J846" s="13"/>
    </row>
    <row r="847" ht="15.75" customHeight="1">
      <c r="B847" s="38"/>
      <c r="C847" s="34"/>
      <c r="D847" s="33"/>
      <c r="E847" s="34"/>
      <c r="F847" s="35"/>
      <c r="G847" s="36"/>
      <c r="H847" s="36"/>
      <c r="I847" s="36"/>
      <c r="J847" s="13"/>
    </row>
    <row r="848" ht="15.75" customHeight="1">
      <c r="B848" s="38"/>
      <c r="C848" s="34"/>
      <c r="D848" s="33"/>
      <c r="E848" s="34"/>
      <c r="F848" s="35"/>
      <c r="G848" s="36"/>
      <c r="H848" s="36"/>
      <c r="I848" s="36"/>
      <c r="J848" s="13"/>
    </row>
    <row r="849" ht="15.75" customHeight="1">
      <c r="B849" s="38"/>
      <c r="C849" s="34"/>
      <c r="D849" s="33"/>
      <c r="E849" s="34"/>
      <c r="F849" s="35"/>
      <c r="G849" s="36"/>
      <c r="H849" s="36"/>
      <c r="I849" s="36"/>
      <c r="J849" s="13"/>
    </row>
    <row r="850" ht="15.75" customHeight="1">
      <c r="B850" s="38"/>
      <c r="C850" s="34"/>
      <c r="D850" s="33"/>
      <c r="E850" s="34"/>
      <c r="F850" s="35"/>
      <c r="G850" s="36"/>
      <c r="H850" s="36"/>
      <c r="I850" s="36"/>
      <c r="J850" s="13"/>
    </row>
    <row r="851" ht="15.75" customHeight="1">
      <c r="B851" s="38"/>
      <c r="C851" s="34"/>
      <c r="D851" s="33"/>
      <c r="E851" s="34"/>
      <c r="F851" s="35"/>
      <c r="G851" s="36"/>
      <c r="H851" s="36"/>
      <c r="I851" s="36"/>
      <c r="J851" s="13"/>
    </row>
    <row r="852" ht="15.75" customHeight="1">
      <c r="B852" s="38"/>
      <c r="C852" s="34"/>
      <c r="D852" s="33"/>
      <c r="E852" s="34"/>
      <c r="F852" s="35"/>
      <c r="G852" s="36"/>
      <c r="H852" s="36"/>
      <c r="I852" s="36"/>
      <c r="J852" s="13"/>
    </row>
    <row r="853" ht="15.75" customHeight="1">
      <c r="B853" s="38"/>
      <c r="C853" s="34"/>
      <c r="D853" s="33"/>
      <c r="E853" s="34"/>
      <c r="F853" s="35"/>
      <c r="G853" s="36"/>
      <c r="H853" s="36"/>
      <c r="I853" s="36"/>
      <c r="J853" s="13"/>
    </row>
    <row r="854" ht="15.75" customHeight="1">
      <c r="B854" s="38"/>
      <c r="C854" s="34"/>
      <c r="D854" s="33"/>
      <c r="E854" s="34"/>
      <c r="F854" s="35"/>
      <c r="G854" s="36"/>
      <c r="H854" s="36"/>
      <c r="I854" s="36"/>
      <c r="J854" s="13"/>
    </row>
    <row r="855" ht="15.75" customHeight="1">
      <c r="B855" s="38"/>
      <c r="C855" s="34"/>
      <c r="D855" s="33"/>
      <c r="E855" s="34"/>
      <c r="F855" s="35"/>
      <c r="G855" s="36"/>
      <c r="H855" s="36"/>
      <c r="I855" s="36"/>
      <c r="J855" s="13"/>
    </row>
    <row r="856" ht="15.75" customHeight="1">
      <c r="B856" s="38"/>
      <c r="C856" s="34"/>
      <c r="D856" s="33"/>
      <c r="E856" s="34"/>
      <c r="F856" s="35"/>
      <c r="G856" s="36"/>
      <c r="H856" s="36"/>
      <c r="I856" s="36"/>
      <c r="J856" s="13"/>
    </row>
    <row r="857" ht="15.75" customHeight="1">
      <c r="B857" s="38"/>
      <c r="C857" s="34"/>
      <c r="D857" s="33"/>
      <c r="E857" s="34"/>
      <c r="F857" s="35"/>
      <c r="G857" s="36"/>
      <c r="H857" s="36"/>
      <c r="I857" s="36"/>
      <c r="J857" s="13"/>
    </row>
    <row r="858" ht="15.75" customHeight="1">
      <c r="B858" s="38"/>
      <c r="C858" s="34"/>
      <c r="D858" s="33"/>
      <c r="E858" s="34"/>
      <c r="F858" s="35"/>
      <c r="G858" s="36"/>
      <c r="H858" s="36"/>
      <c r="I858" s="36"/>
      <c r="J858" s="13"/>
    </row>
    <row r="859" ht="15.75" customHeight="1">
      <c r="B859" s="38"/>
      <c r="C859" s="34"/>
      <c r="D859" s="33"/>
      <c r="E859" s="34"/>
      <c r="F859" s="35"/>
      <c r="G859" s="36"/>
      <c r="H859" s="36"/>
      <c r="I859" s="36"/>
      <c r="J859" s="13"/>
    </row>
    <row r="860" ht="15.75" customHeight="1">
      <c r="B860" s="38"/>
      <c r="C860" s="34"/>
      <c r="D860" s="33"/>
      <c r="E860" s="34"/>
      <c r="F860" s="35"/>
      <c r="G860" s="36"/>
      <c r="H860" s="36"/>
      <c r="I860" s="36"/>
      <c r="J860" s="13"/>
    </row>
    <row r="861" ht="15.75" customHeight="1">
      <c r="B861" s="38"/>
      <c r="C861" s="34"/>
      <c r="D861" s="33"/>
      <c r="E861" s="34"/>
      <c r="F861" s="35"/>
      <c r="G861" s="36"/>
      <c r="H861" s="36"/>
      <c r="I861" s="36"/>
      <c r="J861" s="13"/>
    </row>
    <row r="862" ht="15.75" customHeight="1">
      <c r="B862" s="38"/>
      <c r="C862" s="34"/>
      <c r="D862" s="33"/>
      <c r="E862" s="34"/>
      <c r="F862" s="35"/>
      <c r="G862" s="36"/>
      <c r="H862" s="36"/>
      <c r="I862" s="36"/>
      <c r="J862" s="13"/>
    </row>
    <row r="863" ht="15.75" customHeight="1">
      <c r="B863" s="38"/>
      <c r="C863" s="34"/>
      <c r="D863" s="33"/>
      <c r="E863" s="34"/>
      <c r="F863" s="35"/>
      <c r="G863" s="36"/>
      <c r="H863" s="36"/>
      <c r="I863" s="36"/>
      <c r="J863" s="13"/>
    </row>
    <row r="864" ht="15.75" customHeight="1">
      <c r="B864" s="38"/>
      <c r="C864" s="34"/>
      <c r="D864" s="33"/>
      <c r="E864" s="34"/>
      <c r="F864" s="35"/>
      <c r="G864" s="36"/>
      <c r="H864" s="36"/>
      <c r="I864" s="36"/>
      <c r="J864" s="13"/>
    </row>
    <row r="865" ht="15.75" customHeight="1">
      <c r="B865" s="38"/>
      <c r="C865" s="34"/>
      <c r="D865" s="33"/>
      <c r="E865" s="34"/>
      <c r="F865" s="35"/>
      <c r="G865" s="36"/>
      <c r="H865" s="36"/>
      <c r="I865" s="36"/>
      <c r="J865" s="13"/>
    </row>
    <row r="866" ht="15.75" customHeight="1">
      <c r="B866" s="38"/>
      <c r="C866" s="34"/>
      <c r="D866" s="33"/>
      <c r="E866" s="34"/>
      <c r="F866" s="35"/>
      <c r="G866" s="36"/>
      <c r="H866" s="36"/>
      <c r="I866" s="36"/>
      <c r="J866" s="13"/>
    </row>
    <row r="867" ht="15.75" customHeight="1">
      <c r="B867" s="38"/>
      <c r="C867" s="34"/>
      <c r="D867" s="33"/>
      <c r="E867" s="34"/>
      <c r="F867" s="35"/>
      <c r="G867" s="36"/>
      <c r="H867" s="36"/>
      <c r="I867" s="36"/>
      <c r="J867" s="13"/>
    </row>
    <row r="868" ht="15.75" customHeight="1">
      <c r="B868" s="38"/>
      <c r="C868" s="34"/>
      <c r="D868" s="33"/>
      <c r="E868" s="34"/>
      <c r="F868" s="35"/>
      <c r="G868" s="36"/>
      <c r="H868" s="36"/>
      <c r="I868" s="36"/>
      <c r="J868" s="13"/>
    </row>
    <row r="869" ht="15.75" customHeight="1">
      <c r="B869" s="38"/>
      <c r="C869" s="34"/>
      <c r="D869" s="33"/>
      <c r="E869" s="34"/>
      <c r="F869" s="35"/>
      <c r="G869" s="36"/>
      <c r="H869" s="36"/>
      <c r="I869" s="36"/>
      <c r="J869" s="13"/>
    </row>
    <row r="870" ht="15.75" customHeight="1">
      <c r="B870" s="38"/>
      <c r="C870" s="34"/>
      <c r="D870" s="33"/>
      <c r="E870" s="34"/>
      <c r="F870" s="35"/>
      <c r="G870" s="36"/>
      <c r="H870" s="36"/>
      <c r="I870" s="36"/>
      <c r="J870" s="13"/>
    </row>
    <row r="871" ht="15.75" customHeight="1">
      <c r="B871" s="38"/>
      <c r="C871" s="34"/>
      <c r="D871" s="33"/>
      <c r="E871" s="34"/>
      <c r="F871" s="35"/>
      <c r="G871" s="36"/>
      <c r="H871" s="36"/>
      <c r="I871" s="36"/>
      <c r="J871" s="13"/>
    </row>
    <row r="872" ht="15.75" customHeight="1">
      <c r="B872" s="38"/>
      <c r="C872" s="34"/>
      <c r="D872" s="33"/>
      <c r="E872" s="34"/>
      <c r="F872" s="35"/>
      <c r="G872" s="36"/>
      <c r="H872" s="36"/>
      <c r="I872" s="36"/>
      <c r="J872" s="13"/>
    </row>
    <row r="873" ht="15.75" customHeight="1">
      <c r="B873" s="38"/>
      <c r="C873" s="34"/>
      <c r="D873" s="33"/>
      <c r="E873" s="34"/>
      <c r="F873" s="35"/>
      <c r="G873" s="36"/>
      <c r="H873" s="36"/>
      <c r="I873" s="36"/>
      <c r="J873" s="13"/>
    </row>
    <row r="874" ht="15.75" customHeight="1">
      <c r="B874" s="38"/>
      <c r="C874" s="34"/>
      <c r="D874" s="33"/>
      <c r="E874" s="34"/>
      <c r="F874" s="35"/>
      <c r="G874" s="36"/>
      <c r="H874" s="36"/>
      <c r="I874" s="36"/>
      <c r="J874" s="13"/>
    </row>
    <row r="875" ht="15.75" customHeight="1">
      <c r="B875" s="38"/>
      <c r="C875" s="34"/>
      <c r="D875" s="33"/>
      <c r="E875" s="34"/>
      <c r="F875" s="35"/>
      <c r="G875" s="36"/>
      <c r="H875" s="36"/>
      <c r="I875" s="36"/>
      <c r="J875" s="13"/>
    </row>
    <row r="876" ht="15.75" customHeight="1">
      <c r="B876" s="38"/>
      <c r="C876" s="34"/>
      <c r="D876" s="33"/>
      <c r="E876" s="34"/>
      <c r="F876" s="35"/>
      <c r="G876" s="36"/>
      <c r="H876" s="36"/>
      <c r="I876" s="36"/>
      <c r="J876" s="13"/>
    </row>
    <row r="877" ht="15.75" customHeight="1">
      <c r="B877" s="38"/>
      <c r="C877" s="34"/>
      <c r="D877" s="33"/>
      <c r="E877" s="34"/>
      <c r="F877" s="35"/>
      <c r="G877" s="36"/>
      <c r="H877" s="36"/>
      <c r="I877" s="36"/>
      <c r="J877" s="13"/>
    </row>
    <row r="878" ht="15.75" customHeight="1">
      <c r="B878" s="38"/>
      <c r="C878" s="34"/>
      <c r="D878" s="33"/>
      <c r="E878" s="34"/>
      <c r="F878" s="35"/>
      <c r="G878" s="36"/>
      <c r="H878" s="36"/>
      <c r="I878" s="36"/>
      <c r="J878" s="13"/>
    </row>
    <row r="879" ht="15.75" customHeight="1">
      <c r="B879" s="38"/>
      <c r="C879" s="34"/>
      <c r="D879" s="33"/>
      <c r="E879" s="34"/>
      <c r="F879" s="35"/>
      <c r="G879" s="36"/>
      <c r="H879" s="36"/>
      <c r="I879" s="36"/>
      <c r="J879" s="13"/>
    </row>
    <row r="880" ht="15.75" customHeight="1">
      <c r="B880" s="38"/>
      <c r="C880" s="34"/>
      <c r="D880" s="33"/>
      <c r="E880" s="34"/>
      <c r="F880" s="35"/>
      <c r="G880" s="36"/>
      <c r="H880" s="36"/>
      <c r="I880" s="36"/>
      <c r="J880" s="13"/>
    </row>
    <row r="881" ht="15.75" customHeight="1">
      <c r="B881" s="38"/>
      <c r="C881" s="34"/>
      <c r="D881" s="33"/>
      <c r="E881" s="34"/>
      <c r="F881" s="35"/>
      <c r="G881" s="36"/>
      <c r="H881" s="36"/>
      <c r="I881" s="36"/>
      <c r="J881" s="13"/>
    </row>
    <row r="882" ht="15.75" customHeight="1">
      <c r="B882" s="38"/>
      <c r="C882" s="34"/>
      <c r="D882" s="33"/>
      <c r="E882" s="34"/>
      <c r="F882" s="35"/>
      <c r="G882" s="36"/>
      <c r="H882" s="36"/>
      <c r="I882" s="36"/>
      <c r="J882" s="13"/>
    </row>
    <row r="883" ht="15.75" customHeight="1">
      <c r="B883" s="38"/>
      <c r="C883" s="34"/>
      <c r="D883" s="33"/>
      <c r="E883" s="34"/>
      <c r="F883" s="35"/>
      <c r="G883" s="36"/>
      <c r="H883" s="36"/>
      <c r="I883" s="36"/>
      <c r="J883" s="13"/>
    </row>
    <row r="884" ht="15.75" customHeight="1">
      <c r="B884" s="38"/>
      <c r="C884" s="34"/>
      <c r="D884" s="33"/>
      <c r="E884" s="34"/>
      <c r="F884" s="35"/>
      <c r="G884" s="36"/>
      <c r="H884" s="36"/>
      <c r="I884" s="36"/>
      <c r="J884" s="13"/>
    </row>
    <row r="885" ht="15.75" customHeight="1">
      <c r="B885" s="38"/>
      <c r="C885" s="34"/>
      <c r="D885" s="33"/>
      <c r="E885" s="34"/>
      <c r="F885" s="35"/>
      <c r="G885" s="36"/>
      <c r="H885" s="36"/>
      <c r="I885" s="36"/>
      <c r="J885" s="13"/>
    </row>
    <row r="886" ht="15.75" customHeight="1">
      <c r="B886" s="38"/>
      <c r="C886" s="34"/>
      <c r="D886" s="33"/>
      <c r="E886" s="34"/>
      <c r="F886" s="35"/>
      <c r="G886" s="36"/>
      <c r="H886" s="36"/>
      <c r="I886" s="36"/>
      <c r="J886" s="13"/>
    </row>
    <row r="887" ht="15.75" customHeight="1">
      <c r="B887" s="38"/>
      <c r="C887" s="34"/>
      <c r="D887" s="33"/>
      <c r="E887" s="34"/>
      <c r="F887" s="35"/>
      <c r="G887" s="36"/>
      <c r="H887" s="36"/>
      <c r="I887" s="36"/>
      <c r="J887" s="13"/>
    </row>
    <row r="888" ht="15.75" customHeight="1">
      <c r="B888" s="38"/>
      <c r="C888" s="34"/>
      <c r="D888" s="33"/>
      <c r="E888" s="34"/>
      <c r="F888" s="35"/>
      <c r="G888" s="36"/>
      <c r="H888" s="36"/>
      <c r="I888" s="36"/>
      <c r="J888" s="13"/>
    </row>
    <row r="889" ht="15.75" customHeight="1">
      <c r="B889" s="38"/>
      <c r="C889" s="34"/>
      <c r="D889" s="33"/>
      <c r="E889" s="34"/>
      <c r="F889" s="35"/>
      <c r="G889" s="36"/>
      <c r="H889" s="36"/>
      <c r="I889" s="36"/>
      <c r="J889" s="13"/>
    </row>
    <row r="890" ht="15.75" customHeight="1">
      <c r="B890" s="38"/>
      <c r="C890" s="34"/>
      <c r="D890" s="33"/>
      <c r="E890" s="34"/>
      <c r="F890" s="35"/>
      <c r="G890" s="36"/>
      <c r="H890" s="36"/>
      <c r="I890" s="36"/>
      <c r="J890" s="13"/>
    </row>
    <row r="891" ht="15.75" customHeight="1">
      <c r="B891" s="38"/>
      <c r="C891" s="34"/>
      <c r="D891" s="33"/>
      <c r="E891" s="34"/>
      <c r="F891" s="35"/>
      <c r="G891" s="36"/>
      <c r="H891" s="36"/>
      <c r="I891" s="36"/>
      <c r="J891" s="13"/>
    </row>
    <row r="892" ht="15.75" customHeight="1">
      <c r="B892" s="38"/>
      <c r="C892" s="34"/>
      <c r="D892" s="33"/>
      <c r="E892" s="34"/>
      <c r="F892" s="35"/>
      <c r="G892" s="36"/>
      <c r="H892" s="36"/>
      <c r="I892" s="36"/>
      <c r="J892" s="13"/>
    </row>
    <row r="893" ht="15.75" customHeight="1">
      <c r="B893" s="38"/>
      <c r="C893" s="34"/>
      <c r="D893" s="33"/>
      <c r="E893" s="34"/>
      <c r="F893" s="35"/>
      <c r="G893" s="36"/>
      <c r="H893" s="36"/>
      <c r="I893" s="36"/>
      <c r="J893" s="13"/>
    </row>
    <row r="894" ht="15.75" customHeight="1">
      <c r="B894" s="38"/>
      <c r="C894" s="34"/>
      <c r="D894" s="33"/>
      <c r="E894" s="34"/>
      <c r="F894" s="35"/>
      <c r="G894" s="36"/>
      <c r="H894" s="36"/>
      <c r="I894" s="36"/>
      <c r="J894" s="13"/>
    </row>
    <row r="895" ht="15.75" customHeight="1">
      <c r="B895" s="38"/>
      <c r="C895" s="34"/>
      <c r="D895" s="33"/>
      <c r="E895" s="34"/>
      <c r="F895" s="35"/>
      <c r="G895" s="36"/>
      <c r="H895" s="36"/>
      <c r="I895" s="36"/>
      <c r="J895" s="13"/>
    </row>
    <row r="896" ht="15.75" customHeight="1">
      <c r="B896" s="38"/>
      <c r="C896" s="34"/>
      <c r="D896" s="33"/>
      <c r="E896" s="34"/>
      <c r="F896" s="35"/>
      <c r="G896" s="36"/>
      <c r="H896" s="36"/>
      <c r="I896" s="36"/>
      <c r="J896" s="13"/>
    </row>
    <row r="897" ht="15.75" customHeight="1">
      <c r="B897" s="38"/>
      <c r="C897" s="34"/>
      <c r="D897" s="33"/>
      <c r="E897" s="34"/>
      <c r="F897" s="35"/>
      <c r="G897" s="36"/>
      <c r="H897" s="36"/>
      <c r="I897" s="36"/>
      <c r="J897" s="13"/>
    </row>
    <row r="898" ht="15.75" customHeight="1">
      <c r="B898" s="38"/>
      <c r="C898" s="34"/>
      <c r="D898" s="33"/>
      <c r="E898" s="34"/>
      <c r="F898" s="35"/>
      <c r="G898" s="36"/>
      <c r="H898" s="36"/>
      <c r="I898" s="36"/>
      <c r="J898" s="13"/>
    </row>
    <row r="899" ht="15.75" customHeight="1">
      <c r="B899" s="38"/>
      <c r="C899" s="34"/>
      <c r="D899" s="33"/>
      <c r="E899" s="34"/>
      <c r="F899" s="35"/>
      <c r="G899" s="36"/>
      <c r="H899" s="36"/>
      <c r="I899" s="36"/>
      <c r="J899" s="13"/>
    </row>
    <row r="900" ht="15.75" customHeight="1">
      <c r="B900" s="38"/>
      <c r="C900" s="34"/>
      <c r="D900" s="33"/>
      <c r="E900" s="34"/>
      <c r="F900" s="35"/>
      <c r="G900" s="36"/>
      <c r="H900" s="36"/>
      <c r="I900" s="36"/>
      <c r="J900" s="13"/>
    </row>
    <row r="901" ht="15.75" customHeight="1">
      <c r="B901" s="38"/>
      <c r="C901" s="34"/>
      <c r="D901" s="33"/>
      <c r="E901" s="34"/>
      <c r="F901" s="35"/>
      <c r="G901" s="36"/>
      <c r="H901" s="36"/>
      <c r="I901" s="36"/>
      <c r="J901" s="13"/>
    </row>
    <row r="902" ht="15.75" customHeight="1">
      <c r="B902" s="38"/>
      <c r="C902" s="34"/>
      <c r="D902" s="33"/>
      <c r="E902" s="34"/>
      <c r="F902" s="35"/>
      <c r="G902" s="36"/>
      <c r="H902" s="36"/>
      <c r="I902" s="36"/>
      <c r="J902" s="13"/>
    </row>
    <row r="903" ht="15.75" customHeight="1">
      <c r="B903" s="38"/>
      <c r="C903" s="34"/>
      <c r="D903" s="33"/>
      <c r="E903" s="34"/>
      <c r="F903" s="35"/>
      <c r="G903" s="36"/>
      <c r="H903" s="36"/>
      <c r="I903" s="36"/>
      <c r="J903" s="13"/>
    </row>
    <row r="904" ht="15.75" customHeight="1">
      <c r="B904" s="38"/>
      <c r="C904" s="34"/>
      <c r="D904" s="33"/>
      <c r="E904" s="34"/>
      <c r="F904" s="35"/>
      <c r="G904" s="36"/>
      <c r="H904" s="36"/>
      <c r="I904" s="36"/>
      <c r="J904" s="13"/>
    </row>
    <row r="905" ht="15.75" customHeight="1">
      <c r="B905" s="38"/>
      <c r="C905" s="34"/>
      <c r="D905" s="33"/>
      <c r="E905" s="34"/>
      <c r="F905" s="35"/>
      <c r="G905" s="36"/>
      <c r="H905" s="36"/>
      <c r="I905" s="36"/>
      <c r="J905" s="13"/>
    </row>
    <row r="906" ht="15.75" customHeight="1">
      <c r="B906" s="38"/>
      <c r="C906" s="34"/>
      <c r="D906" s="33"/>
      <c r="E906" s="34"/>
      <c r="F906" s="35"/>
      <c r="G906" s="36"/>
      <c r="H906" s="36"/>
      <c r="I906" s="36"/>
      <c r="J906" s="13"/>
    </row>
    <row r="907" ht="15.75" customHeight="1">
      <c r="B907" s="38"/>
      <c r="C907" s="34"/>
      <c r="D907" s="33"/>
      <c r="E907" s="34"/>
      <c r="F907" s="35"/>
      <c r="G907" s="36"/>
      <c r="H907" s="36"/>
      <c r="I907" s="36"/>
      <c r="J907" s="13"/>
    </row>
    <row r="908" ht="15.75" customHeight="1">
      <c r="B908" s="38"/>
      <c r="C908" s="34"/>
      <c r="D908" s="33"/>
      <c r="E908" s="34"/>
      <c r="F908" s="35"/>
      <c r="G908" s="36"/>
      <c r="H908" s="36"/>
      <c r="I908" s="36"/>
      <c r="J908" s="13"/>
    </row>
    <row r="909" ht="15.75" customHeight="1">
      <c r="B909" s="38"/>
      <c r="C909" s="34"/>
      <c r="D909" s="33"/>
      <c r="E909" s="34"/>
      <c r="F909" s="35"/>
      <c r="G909" s="36"/>
      <c r="H909" s="36"/>
      <c r="I909" s="36"/>
      <c r="J909" s="13"/>
    </row>
    <row r="910" ht="15.75" customHeight="1">
      <c r="B910" s="38"/>
      <c r="C910" s="34"/>
      <c r="D910" s="33"/>
      <c r="E910" s="34"/>
      <c r="F910" s="35"/>
      <c r="G910" s="36"/>
      <c r="H910" s="36"/>
      <c r="I910" s="36"/>
      <c r="J910" s="13"/>
    </row>
    <row r="911" ht="15.75" customHeight="1">
      <c r="B911" s="38"/>
      <c r="C911" s="34"/>
      <c r="D911" s="33"/>
      <c r="E911" s="34"/>
      <c r="F911" s="35"/>
      <c r="G911" s="36"/>
      <c r="H911" s="36"/>
      <c r="I911" s="36"/>
      <c r="J911" s="13"/>
    </row>
    <row r="912" ht="15.75" customHeight="1">
      <c r="B912" s="38"/>
      <c r="C912" s="34"/>
      <c r="D912" s="33"/>
      <c r="E912" s="34"/>
      <c r="F912" s="35"/>
      <c r="G912" s="36"/>
      <c r="H912" s="36"/>
      <c r="I912" s="36"/>
      <c r="J912" s="13"/>
    </row>
    <row r="913" ht="15.75" customHeight="1">
      <c r="B913" s="38"/>
      <c r="C913" s="34"/>
      <c r="D913" s="33"/>
      <c r="E913" s="34"/>
      <c r="F913" s="35"/>
      <c r="G913" s="36"/>
      <c r="H913" s="36"/>
      <c r="I913" s="36"/>
      <c r="J913" s="13"/>
    </row>
    <row r="914" ht="15.75" customHeight="1">
      <c r="B914" s="38"/>
      <c r="C914" s="34"/>
      <c r="D914" s="33"/>
      <c r="E914" s="34"/>
      <c r="F914" s="35"/>
      <c r="G914" s="36"/>
      <c r="H914" s="36"/>
      <c r="I914" s="36"/>
      <c r="J914" s="13"/>
    </row>
    <row r="915" ht="15.75" customHeight="1">
      <c r="B915" s="38"/>
      <c r="C915" s="34"/>
      <c r="D915" s="33"/>
      <c r="E915" s="34"/>
      <c r="F915" s="35"/>
      <c r="G915" s="36"/>
      <c r="H915" s="36"/>
      <c r="I915" s="36"/>
      <c r="J915" s="13"/>
    </row>
    <row r="916" ht="15.75" customHeight="1">
      <c r="B916" s="38"/>
      <c r="C916" s="34"/>
      <c r="D916" s="33"/>
      <c r="E916" s="34"/>
      <c r="F916" s="35"/>
      <c r="G916" s="36"/>
      <c r="H916" s="36"/>
      <c r="I916" s="36"/>
      <c r="J916" s="13"/>
    </row>
    <row r="917" ht="15.75" customHeight="1">
      <c r="B917" s="38"/>
      <c r="C917" s="34"/>
      <c r="D917" s="33"/>
      <c r="E917" s="34"/>
      <c r="F917" s="35"/>
      <c r="G917" s="36"/>
      <c r="H917" s="36"/>
      <c r="I917" s="36"/>
      <c r="J917" s="13"/>
    </row>
    <row r="918" ht="15.75" customHeight="1">
      <c r="B918" s="38"/>
      <c r="C918" s="34"/>
      <c r="D918" s="33"/>
      <c r="E918" s="34"/>
      <c r="F918" s="35"/>
      <c r="G918" s="36"/>
      <c r="H918" s="36"/>
      <c r="I918" s="36"/>
      <c r="J918" s="13"/>
    </row>
    <row r="919" ht="15.75" customHeight="1">
      <c r="B919" s="38"/>
      <c r="C919" s="34"/>
      <c r="D919" s="33"/>
      <c r="E919" s="34"/>
      <c r="F919" s="35"/>
      <c r="G919" s="36"/>
      <c r="H919" s="36"/>
      <c r="I919" s="36"/>
      <c r="J919" s="13"/>
    </row>
    <row r="920" ht="15.75" customHeight="1">
      <c r="B920" s="38"/>
      <c r="C920" s="34"/>
      <c r="D920" s="33"/>
      <c r="E920" s="34"/>
      <c r="F920" s="35"/>
      <c r="G920" s="36"/>
      <c r="H920" s="36"/>
      <c r="I920" s="36"/>
      <c r="J920" s="13"/>
    </row>
    <row r="921" ht="15.75" customHeight="1">
      <c r="B921" s="38"/>
      <c r="C921" s="34"/>
      <c r="D921" s="33"/>
      <c r="E921" s="34"/>
      <c r="F921" s="35"/>
      <c r="G921" s="36"/>
      <c r="H921" s="36"/>
      <c r="I921" s="36"/>
      <c r="J921" s="13"/>
    </row>
    <row r="922" ht="15.75" customHeight="1">
      <c r="B922" s="38"/>
      <c r="C922" s="34"/>
      <c r="D922" s="33"/>
      <c r="E922" s="34"/>
      <c r="F922" s="35"/>
      <c r="G922" s="36"/>
      <c r="H922" s="36"/>
      <c r="I922" s="36"/>
      <c r="J922" s="13"/>
    </row>
    <row r="923" ht="15.75" customHeight="1">
      <c r="B923" s="38"/>
      <c r="C923" s="34"/>
      <c r="D923" s="33"/>
      <c r="E923" s="34"/>
      <c r="F923" s="35"/>
      <c r="G923" s="36"/>
      <c r="H923" s="36"/>
      <c r="I923" s="36"/>
      <c r="J923" s="13"/>
    </row>
    <row r="924" ht="15.75" customHeight="1">
      <c r="B924" s="38"/>
      <c r="C924" s="34"/>
      <c r="D924" s="33"/>
      <c r="E924" s="34"/>
      <c r="F924" s="35"/>
      <c r="G924" s="36"/>
      <c r="H924" s="36"/>
      <c r="I924" s="36"/>
      <c r="J924" s="13"/>
    </row>
    <row r="925" ht="15.75" customHeight="1">
      <c r="B925" s="38"/>
      <c r="C925" s="34"/>
      <c r="D925" s="33"/>
      <c r="E925" s="34"/>
      <c r="F925" s="35"/>
      <c r="G925" s="36"/>
      <c r="H925" s="36"/>
      <c r="I925" s="36"/>
      <c r="J925" s="13"/>
    </row>
    <row r="926" ht="15.75" customHeight="1">
      <c r="B926" s="38"/>
      <c r="C926" s="34"/>
      <c r="D926" s="33"/>
      <c r="E926" s="34"/>
      <c r="F926" s="35"/>
      <c r="G926" s="36"/>
      <c r="H926" s="36"/>
      <c r="I926" s="36"/>
      <c r="J926" s="13"/>
    </row>
    <row r="927" ht="15.75" customHeight="1">
      <c r="B927" s="38"/>
      <c r="C927" s="34"/>
      <c r="D927" s="33"/>
      <c r="E927" s="34"/>
      <c r="F927" s="35"/>
      <c r="G927" s="36"/>
      <c r="H927" s="36"/>
      <c r="I927" s="36"/>
      <c r="J927" s="13"/>
    </row>
    <row r="928" ht="15.75" customHeight="1">
      <c r="B928" s="38"/>
      <c r="C928" s="34"/>
      <c r="D928" s="33"/>
      <c r="E928" s="34"/>
      <c r="F928" s="35"/>
      <c r="G928" s="36"/>
      <c r="H928" s="36"/>
      <c r="I928" s="36"/>
      <c r="J928" s="13"/>
    </row>
    <row r="929" ht="15.75" customHeight="1">
      <c r="B929" s="38"/>
      <c r="C929" s="34"/>
      <c r="D929" s="33"/>
      <c r="E929" s="34"/>
      <c r="F929" s="35"/>
      <c r="G929" s="36"/>
      <c r="H929" s="36"/>
      <c r="I929" s="36"/>
      <c r="J929" s="13"/>
    </row>
    <row r="930" ht="15.75" customHeight="1">
      <c r="B930" s="38"/>
      <c r="C930" s="34"/>
      <c r="D930" s="33"/>
      <c r="E930" s="34"/>
      <c r="F930" s="35"/>
      <c r="G930" s="36"/>
      <c r="H930" s="36"/>
      <c r="I930" s="36"/>
      <c r="J930" s="13"/>
    </row>
    <row r="931" ht="15.75" customHeight="1">
      <c r="B931" s="38"/>
      <c r="C931" s="34"/>
      <c r="D931" s="33"/>
      <c r="E931" s="34"/>
      <c r="F931" s="35"/>
      <c r="G931" s="36"/>
      <c r="H931" s="36"/>
      <c r="I931" s="36"/>
      <c r="J931" s="13"/>
    </row>
    <row r="932" ht="15.75" customHeight="1">
      <c r="B932" s="38"/>
      <c r="C932" s="34"/>
      <c r="D932" s="33"/>
      <c r="E932" s="34"/>
      <c r="F932" s="35"/>
      <c r="G932" s="36"/>
      <c r="H932" s="36"/>
      <c r="I932" s="36"/>
      <c r="J932" s="13"/>
    </row>
    <row r="933" ht="15.75" customHeight="1">
      <c r="B933" s="38"/>
      <c r="C933" s="34"/>
      <c r="D933" s="33"/>
      <c r="E933" s="34"/>
      <c r="F933" s="35"/>
      <c r="G933" s="36"/>
      <c r="H933" s="36"/>
      <c r="I933" s="36"/>
      <c r="J933" s="13"/>
    </row>
    <row r="934" ht="15.75" customHeight="1">
      <c r="B934" s="38"/>
      <c r="C934" s="34"/>
      <c r="D934" s="33"/>
      <c r="E934" s="34"/>
      <c r="F934" s="35"/>
      <c r="G934" s="36"/>
      <c r="H934" s="36"/>
      <c r="I934" s="36"/>
      <c r="J934" s="13"/>
    </row>
    <row r="935" ht="15.75" customHeight="1">
      <c r="B935" s="38"/>
      <c r="C935" s="34"/>
      <c r="D935" s="33"/>
      <c r="E935" s="34"/>
      <c r="F935" s="35"/>
      <c r="G935" s="36"/>
      <c r="H935" s="36"/>
      <c r="I935" s="36"/>
      <c r="J935" s="13"/>
    </row>
    <row r="936" ht="15.75" customHeight="1">
      <c r="B936" s="38"/>
      <c r="C936" s="34"/>
      <c r="D936" s="33"/>
      <c r="E936" s="34"/>
      <c r="F936" s="35"/>
      <c r="G936" s="36"/>
      <c r="H936" s="36"/>
      <c r="I936" s="36"/>
      <c r="J936" s="13"/>
    </row>
    <row r="937" ht="15.75" customHeight="1">
      <c r="B937" s="38"/>
      <c r="C937" s="34"/>
      <c r="D937" s="33"/>
      <c r="E937" s="34"/>
      <c r="F937" s="35"/>
      <c r="G937" s="36"/>
      <c r="H937" s="36"/>
      <c r="I937" s="36"/>
      <c r="J937" s="13"/>
    </row>
    <row r="938" ht="15.75" customHeight="1">
      <c r="B938" s="38"/>
      <c r="C938" s="34"/>
      <c r="D938" s="33"/>
      <c r="E938" s="34"/>
      <c r="F938" s="35"/>
      <c r="G938" s="36"/>
      <c r="H938" s="36"/>
      <c r="I938" s="36"/>
      <c r="J938" s="13"/>
    </row>
    <row r="939" ht="15.75" customHeight="1">
      <c r="B939" s="38"/>
      <c r="C939" s="34"/>
      <c r="D939" s="33"/>
      <c r="E939" s="34"/>
      <c r="F939" s="35"/>
      <c r="G939" s="36"/>
      <c r="H939" s="36"/>
      <c r="I939" s="36"/>
      <c r="J939" s="13"/>
    </row>
    <row r="940" ht="15.75" customHeight="1">
      <c r="B940" s="38"/>
      <c r="C940" s="34"/>
      <c r="D940" s="33"/>
      <c r="E940" s="34"/>
      <c r="F940" s="35"/>
      <c r="G940" s="36"/>
      <c r="H940" s="36"/>
      <c r="I940" s="36"/>
      <c r="J940" s="13"/>
    </row>
    <row r="941" ht="15.75" customHeight="1">
      <c r="B941" s="38"/>
      <c r="C941" s="34"/>
      <c r="D941" s="33"/>
      <c r="E941" s="34"/>
      <c r="F941" s="35"/>
      <c r="G941" s="36"/>
      <c r="H941" s="36"/>
      <c r="I941" s="36"/>
      <c r="J941" s="13"/>
    </row>
    <row r="942" ht="15.75" customHeight="1">
      <c r="B942" s="38"/>
      <c r="C942" s="34"/>
      <c r="D942" s="33"/>
      <c r="E942" s="34"/>
      <c r="F942" s="35"/>
      <c r="G942" s="36"/>
      <c r="H942" s="36"/>
      <c r="I942" s="36"/>
      <c r="J942" s="13"/>
    </row>
    <row r="943" ht="15.75" customHeight="1">
      <c r="B943" s="38"/>
      <c r="C943" s="34"/>
      <c r="D943" s="33"/>
      <c r="E943" s="34"/>
      <c r="F943" s="35"/>
      <c r="G943" s="36"/>
      <c r="H943" s="36"/>
      <c r="I943" s="36"/>
      <c r="J943" s="13"/>
    </row>
    <row r="944" ht="15.75" customHeight="1">
      <c r="B944" s="38"/>
      <c r="C944" s="34"/>
      <c r="D944" s="33"/>
      <c r="E944" s="34"/>
      <c r="F944" s="35"/>
      <c r="G944" s="36"/>
      <c r="H944" s="36"/>
      <c r="I944" s="36"/>
      <c r="J944" s="13"/>
    </row>
    <row r="945" ht="15.75" customHeight="1">
      <c r="B945" s="38"/>
      <c r="C945" s="34"/>
      <c r="D945" s="33"/>
      <c r="E945" s="34"/>
      <c r="F945" s="35"/>
      <c r="G945" s="36"/>
      <c r="H945" s="36"/>
      <c r="I945" s="36"/>
      <c r="J945" s="13"/>
    </row>
    <row r="946" ht="15.75" customHeight="1">
      <c r="B946" s="38"/>
      <c r="C946" s="34"/>
      <c r="D946" s="33"/>
      <c r="E946" s="34"/>
      <c r="F946" s="35"/>
      <c r="G946" s="36"/>
      <c r="H946" s="36"/>
      <c r="I946" s="36"/>
      <c r="J946" s="13"/>
    </row>
    <row r="947" ht="15.75" customHeight="1">
      <c r="B947" s="38"/>
      <c r="C947" s="34"/>
      <c r="D947" s="33"/>
      <c r="E947" s="34"/>
      <c r="F947" s="35"/>
      <c r="G947" s="36"/>
      <c r="H947" s="36"/>
      <c r="I947" s="36"/>
      <c r="J947" s="13"/>
    </row>
    <row r="948" ht="15.75" customHeight="1">
      <c r="B948" s="38"/>
      <c r="C948" s="34"/>
      <c r="D948" s="33"/>
      <c r="E948" s="34"/>
      <c r="F948" s="35"/>
      <c r="G948" s="36"/>
      <c r="H948" s="36"/>
      <c r="I948" s="36"/>
      <c r="J948" s="13"/>
    </row>
    <row r="949" ht="15.75" customHeight="1">
      <c r="B949" s="38"/>
      <c r="C949" s="34"/>
      <c r="D949" s="33"/>
      <c r="E949" s="34"/>
      <c r="F949" s="35"/>
      <c r="G949" s="36"/>
      <c r="H949" s="36"/>
      <c r="I949" s="36"/>
      <c r="J949" s="13"/>
    </row>
    <row r="950" ht="15.75" customHeight="1">
      <c r="B950" s="38"/>
      <c r="C950" s="34"/>
      <c r="D950" s="33"/>
      <c r="E950" s="34"/>
      <c r="F950" s="35"/>
      <c r="G950" s="36"/>
      <c r="H950" s="36"/>
      <c r="I950" s="36"/>
      <c r="J950" s="13"/>
    </row>
    <row r="951" ht="15.75" customHeight="1">
      <c r="B951" s="38"/>
      <c r="C951" s="34"/>
      <c r="D951" s="33"/>
      <c r="E951" s="34"/>
      <c r="F951" s="35"/>
      <c r="G951" s="36"/>
      <c r="H951" s="36"/>
      <c r="I951" s="36"/>
      <c r="J951" s="13"/>
    </row>
    <row r="952" ht="15.75" customHeight="1">
      <c r="B952" s="38"/>
      <c r="C952" s="34"/>
      <c r="D952" s="33"/>
      <c r="E952" s="34"/>
      <c r="F952" s="35"/>
      <c r="G952" s="36"/>
      <c r="H952" s="36"/>
      <c r="I952" s="36"/>
      <c r="J952" s="13"/>
    </row>
    <row r="953" ht="15.75" customHeight="1">
      <c r="B953" s="38"/>
      <c r="C953" s="34"/>
      <c r="D953" s="33"/>
      <c r="E953" s="34"/>
      <c r="F953" s="35"/>
      <c r="G953" s="36"/>
      <c r="H953" s="36"/>
      <c r="I953" s="36"/>
      <c r="J953" s="13"/>
    </row>
    <row r="954" ht="15.75" customHeight="1">
      <c r="B954" s="38"/>
      <c r="C954" s="34"/>
      <c r="D954" s="33"/>
      <c r="E954" s="34"/>
      <c r="F954" s="35"/>
      <c r="G954" s="36"/>
      <c r="H954" s="36"/>
      <c r="I954" s="36"/>
      <c r="J954" s="13"/>
    </row>
    <row r="955" ht="15.75" customHeight="1">
      <c r="B955" s="38"/>
      <c r="C955" s="34"/>
      <c r="D955" s="33"/>
      <c r="E955" s="34"/>
      <c r="F955" s="35"/>
      <c r="G955" s="36"/>
      <c r="H955" s="36"/>
      <c r="I955" s="36"/>
      <c r="J955" s="13"/>
    </row>
    <row r="956" ht="15.75" customHeight="1">
      <c r="B956" s="38"/>
      <c r="C956" s="34"/>
      <c r="D956" s="33"/>
      <c r="E956" s="34"/>
      <c r="F956" s="35"/>
      <c r="G956" s="36"/>
      <c r="H956" s="36"/>
      <c r="I956" s="36"/>
      <c r="J956" s="13"/>
    </row>
    <row r="957" ht="15.75" customHeight="1">
      <c r="B957" s="38"/>
      <c r="C957" s="34"/>
      <c r="D957" s="33"/>
      <c r="E957" s="34"/>
      <c r="F957" s="35"/>
      <c r="G957" s="36"/>
      <c r="H957" s="36"/>
      <c r="I957" s="36"/>
      <c r="J957" s="13"/>
    </row>
    <row r="958" ht="15.75" customHeight="1">
      <c r="B958" s="38"/>
      <c r="C958" s="34"/>
      <c r="D958" s="33"/>
      <c r="E958" s="34"/>
      <c r="F958" s="35"/>
      <c r="G958" s="36"/>
      <c r="H958" s="36"/>
      <c r="I958" s="36"/>
      <c r="J958" s="13"/>
    </row>
    <row r="959" ht="15.75" customHeight="1">
      <c r="B959" s="38"/>
      <c r="C959" s="34"/>
      <c r="D959" s="33"/>
      <c r="E959" s="34"/>
      <c r="F959" s="35"/>
      <c r="G959" s="36"/>
      <c r="H959" s="36"/>
      <c r="I959" s="36"/>
      <c r="J959" s="13"/>
    </row>
    <row r="960" ht="15.75" customHeight="1">
      <c r="B960" s="38"/>
      <c r="C960" s="34"/>
      <c r="D960" s="33"/>
      <c r="E960" s="34"/>
      <c r="F960" s="35"/>
      <c r="G960" s="36"/>
      <c r="H960" s="36"/>
      <c r="I960" s="36"/>
      <c r="J960" s="13"/>
    </row>
    <row r="961" ht="15.75" customHeight="1">
      <c r="B961" s="38"/>
      <c r="C961" s="34"/>
      <c r="D961" s="33"/>
      <c r="E961" s="34"/>
      <c r="F961" s="35"/>
      <c r="G961" s="36"/>
      <c r="H961" s="36"/>
      <c r="I961" s="36"/>
      <c r="J961" s="13"/>
    </row>
    <row r="962" ht="15.75" customHeight="1">
      <c r="B962" s="38"/>
      <c r="C962" s="34"/>
      <c r="D962" s="33"/>
      <c r="E962" s="34"/>
      <c r="F962" s="35"/>
      <c r="G962" s="36"/>
      <c r="H962" s="36"/>
      <c r="I962" s="36"/>
      <c r="J962" s="13"/>
    </row>
    <row r="963" ht="15.75" customHeight="1">
      <c r="B963" s="38"/>
      <c r="C963" s="34"/>
      <c r="D963" s="33"/>
      <c r="E963" s="34"/>
      <c r="F963" s="35"/>
      <c r="G963" s="36"/>
      <c r="H963" s="36"/>
      <c r="I963" s="36"/>
      <c r="J963" s="13"/>
    </row>
    <row r="964" ht="15.75" customHeight="1">
      <c r="B964" s="38"/>
      <c r="C964" s="34"/>
      <c r="D964" s="33"/>
      <c r="E964" s="34"/>
      <c r="F964" s="35"/>
      <c r="G964" s="36"/>
      <c r="H964" s="36"/>
      <c r="I964" s="36"/>
      <c r="J964" s="13"/>
    </row>
    <row r="965" ht="15.75" customHeight="1">
      <c r="B965" s="38"/>
      <c r="C965" s="34"/>
      <c r="D965" s="33"/>
      <c r="E965" s="34"/>
      <c r="F965" s="35"/>
      <c r="G965" s="36"/>
      <c r="H965" s="36"/>
      <c r="I965" s="36"/>
      <c r="J965" s="13"/>
    </row>
    <row r="966" ht="15.75" customHeight="1">
      <c r="B966" s="38"/>
      <c r="C966" s="34"/>
      <c r="D966" s="33"/>
      <c r="E966" s="34"/>
      <c r="F966" s="35"/>
      <c r="G966" s="36"/>
      <c r="H966" s="36"/>
      <c r="I966" s="36"/>
      <c r="J966" s="13"/>
    </row>
    <row r="967" ht="15.75" customHeight="1">
      <c r="B967" s="38"/>
      <c r="C967" s="34"/>
      <c r="D967" s="33"/>
      <c r="E967" s="34"/>
      <c r="F967" s="35"/>
      <c r="G967" s="36"/>
      <c r="H967" s="36"/>
      <c r="I967" s="36"/>
      <c r="J967" s="13"/>
    </row>
    <row r="968" ht="15.75" customHeight="1">
      <c r="B968" s="38"/>
      <c r="C968" s="34"/>
      <c r="D968" s="33"/>
      <c r="E968" s="34"/>
      <c r="F968" s="35"/>
      <c r="G968" s="36"/>
      <c r="H968" s="36"/>
      <c r="I968" s="36"/>
      <c r="J968" s="13"/>
    </row>
    <row r="969" ht="15.75" customHeight="1">
      <c r="B969" s="38"/>
      <c r="C969" s="34"/>
      <c r="D969" s="33"/>
      <c r="E969" s="34"/>
      <c r="F969" s="35"/>
      <c r="G969" s="36"/>
      <c r="H969" s="36"/>
      <c r="I969" s="36"/>
      <c r="J969" s="13"/>
    </row>
    <row r="970" ht="15.75" customHeight="1">
      <c r="B970" s="38"/>
      <c r="C970" s="34"/>
      <c r="D970" s="33"/>
      <c r="E970" s="34"/>
      <c r="F970" s="35"/>
      <c r="G970" s="36"/>
      <c r="H970" s="36"/>
      <c r="I970" s="36"/>
      <c r="J970" s="13"/>
    </row>
    <row r="971" ht="15.75" customHeight="1">
      <c r="B971" s="38"/>
      <c r="C971" s="34"/>
      <c r="D971" s="33"/>
      <c r="E971" s="34"/>
      <c r="F971" s="35"/>
      <c r="G971" s="36"/>
      <c r="H971" s="36"/>
      <c r="I971" s="36"/>
      <c r="J971" s="13"/>
    </row>
    <row r="972" ht="15.75" customHeight="1">
      <c r="B972" s="38"/>
      <c r="C972" s="34"/>
      <c r="D972" s="33"/>
      <c r="E972" s="34"/>
      <c r="F972" s="35"/>
      <c r="G972" s="36"/>
      <c r="H972" s="36"/>
      <c r="I972" s="36"/>
      <c r="J972" s="13"/>
    </row>
    <row r="973" ht="15.75" customHeight="1">
      <c r="B973" s="38"/>
      <c r="C973" s="34"/>
      <c r="D973" s="33"/>
      <c r="E973" s="34"/>
      <c r="F973" s="35"/>
      <c r="G973" s="36"/>
      <c r="H973" s="36"/>
      <c r="I973" s="36"/>
      <c r="J973" s="13"/>
    </row>
    <row r="974" ht="15.75" customHeight="1">
      <c r="B974" s="38"/>
      <c r="C974" s="34"/>
      <c r="D974" s="33"/>
      <c r="E974" s="34"/>
      <c r="F974" s="35"/>
      <c r="G974" s="36"/>
      <c r="H974" s="36"/>
      <c r="I974" s="36"/>
      <c r="J974" s="13"/>
    </row>
    <row r="975" ht="15.75" customHeight="1">
      <c r="B975" s="38"/>
      <c r="C975" s="34"/>
      <c r="D975" s="33"/>
      <c r="E975" s="34"/>
      <c r="F975" s="35"/>
      <c r="G975" s="36"/>
      <c r="H975" s="36"/>
      <c r="I975" s="36"/>
      <c r="J975" s="13"/>
    </row>
    <row r="976" ht="15.75" customHeight="1">
      <c r="B976" s="38"/>
      <c r="C976" s="34"/>
      <c r="D976" s="33"/>
      <c r="E976" s="34"/>
      <c r="F976" s="35"/>
      <c r="G976" s="36"/>
      <c r="H976" s="36"/>
      <c r="I976" s="36"/>
      <c r="J976" s="13"/>
    </row>
    <row r="977" ht="15.75" customHeight="1">
      <c r="B977" s="38"/>
      <c r="C977" s="34"/>
      <c r="D977" s="33"/>
      <c r="E977" s="34"/>
      <c r="F977" s="35"/>
      <c r="G977" s="36"/>
      <c r="H977" s="36"/>
      <c r="I977" s="36"/>
      <c r="J977" s="13"/>
    </row>
    <row r="978" ht="15.75" customHeight="1">
      <c r="B978" s="38"/>
      <c r="C978" s="34"/>
      <c r="D978" s="33"/>
      <c r="E978" s="34"/>
      <c r="F978" s="35"/>
      <c r="G978" s="36"/>
      <c r="H978" s="36"/>
      <c r="I978" s="36"/>
      <c r="J978" s="13"/>
    </row>
    <row r="979" ht="15.75" customHeight="1">
      <c r="B979" s="38"/>
      <c r="C979" s="34"/>
      <c r="D979" s="33"/>
      <c r="E979" s="34"/>
      <c r="F979" s="35"/>
      <c r="G979" s="36"/>
      <c r="H979" s="36"/>
      <c r="I979" s="36"/>
      <c r="J979" s="13"/>
    </row>
    <row r="980" ht="15.75" customHeight="1">
      <c r="B980" s="38"/>
      <c r="C980" s="34"/>
      <c r="D980" s="33"/>
      <c r="E980" s="34"/>
      <c r="F980" s="35"/>
      <c r="G980" s="36"/>
      <c r="H980" s="36"/>
      <c r="I980" s="36"/>
      <c r="J980" s="13"/>
    </row>
    <row r="981" ht="15.75" customHeight="1">
      <c r="B981" s="38"/>
      <c r="C981" s="34"/>
      <c r="D981" s="33"/>
      <c r="E981" s="34"/>
      <c r="F981" s="35"/>
      <c r="G981" s="36"/>
      <c r="H981" s="36"/>
      <c r="I981" s="36"/>
      <c r="J981" s="13"/>
    </row>
    <row r="982" ht="15.75" customHeight="1">
      <c r="B982" s="38"/>
      <c r="C982" s="34"/>
      <c r="D982" s="33"/>
      <c r="E982" s="34"/>
      <c r="F982" s="35"/>
      <c r="G982" s="36"/>
      <c r="H982" s="36"/>
      <c r="I982" s="36"/>
      <c r="J982" s="13"/>
    </row>
    <row r="983" ht="15.75" customHeight="1">
      <c r="B983" s="38"/>
      <c r="C983" s="34"/>
      <c r="D983" s="33"/>
      <c r="E983" s="34"/>
      <c r="F983" s="35"/>
      <c r="G983" s="36"/>
      <c r="H983" s="36"/>
      <c r="I983" s="36"/>
      <c r="J983" s="13"/>
    </row>
    <row r="984" ht="15.75" customHeight="1">
      <c r="B984" s="38"/>
      <c r="C984" s="34"/>
      <c r="D984" s="33"/>
      <c r="E984" s="34"/>
      <c r="F984" s="35"/>
      <c r="G984" s="36"/>
      <c r="H984" s="36"/>
      <c r="I984" s="36"/>
      <c r="J984" s="13"/>
    </row>
    <row r="985" ht="15.75" customHeight="1">
      <c r="B985" s="38"/>
      <c r="C985" s="34"/>
      <c r="D985" s="33"/>
      <c r="E985" s="34"/>
      <c r="F985" s="35"/>
      <c r="G985" s="36"/>
      <c r="H985" s="36"/>
      <c r="I985" s="36"/>
      <c r="J985" s="13"/>
    </row>
    <row r="986" ht="15.75" customHeight="1">
      <c r="B986" s="38"/>
      <c r="C986" s="34"/>
      <c r="D986" s="33"/>
      <c r="E986" s="34"/>
      <c r="F986" s="35"/>
      <c r="G986" s="36"/>
      <c r="H986" s="36"/>
      <c r="I986" s="36"/>
      <c r="J986" s="13"/>
    </row>
    <row r="987" ht="15.75" customHeight="1">
      <c r="B987" s="38"/>
      <c r="C987" s="34"/>
      <c r="D987" s="33"/>
      <c r="E987" s="34"/>
      <c r="F987" s="35"/>
      <c r="G987" s="36"/>
      <c r="H987" s="36"/>
      <c r="I987" s="36"/>
      <c r="J987" s="13"/>
    </row>
    <row r="988" ht="15.75" customHeight="1">
      <c r="B988" s="38"/>
      <c r="C988" s="34"/>
      <c r="D988" s="33"/>
      <c r="E988" s="34"/>
      <c r="F988" s="35"/>
      <c r="G988" s="36"/>
      <c r="H988" s="36"/>
      <c r="I988" s="36"/>
      <c r="J988" s="13"/>
    </row>
    <row r="989" ht="15.75" customHeight="1">
      <c r="B989" s="38"/>
      <c r="C989" s="34"/>
      <c r="D989" s="33"/>
      <c r="E989" s="34"/>
      <c r="F989" s="35"/>
      <c r="G989" s="36"/>
      <c r="H989" s="36"/>
      <c r="I989" s="36"/>
      <c r="J989" s="13"/>
    </row>
    <row r="990" ht="15.75" customHeight="1">
      <c r="B990" s="38"/>
      <c r="C990" s="34"/>
      <c r="D990" s="33"/>
      <c r="E990" s="34"/>
      <c r="F990" s="35"/>
      <c r="G990" s="36"/>
      <c r="H990" s="36"/>
      <c r="I990" s="36"/>
      <c r="J990" s="13"/>
    </row>
    <row r="991" ht="15.75" customHeight="1">
      <c r="B991" s="38"/>
      <c r="C991" s="34"/>
      <c r="D991" s="33"/>
      <c r="E991" s="34"/>
      <c r="F991" s="35"/>
      <c r="G991" s="36"/>
      <c r="H991" s="36"/>
      <c r="I991" s="36"/>
      <c r="J991" s="13"/>
    </row>
  </sheetData>
  <autoFilter ref="$A$1:$J$47"/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0"/>
  <cols>
    <col customWidth="1" min="1" max="1" width="11.67"/>
    <col customWidth="1" min="2" max="3" width="10.78"/>
    <col customWidth="1" min="4" max="4" width="10.11"/>
    <col customWidth="1" min="5" max="5" width="10.22"/>
    <col customWidth="1" min="6" max="6" width="8.56"/>
    <col customWidth="1" min="7" max="7" width="8.89"/>
    <col customWidth="1" min="8" max="8" width="10.22"/>
    <col customWidth="1" min="9" max="9" width="9.33"/>
    <col customWidth="1" min="10" max="10" width="6.89"/>
    <col customWidth="1" min="11" max="11" width="7.33"/>
    <col customWidth="1" min="12" max="12" width="7.78"/>
    <col customWidth="1" min="13" max="13" width="10.78"/>
    <col customWidth="1" min="14" max="14" width="9.89"/>
    <col customWidth="1" min="15" max="15" width="9.56"/>
    <col customWidth="1" min="16" max="16" width="25.11"/>
    <col customWidth="1" min="17" max="31" width="10.44"/>
  </cols>
  <sheetData>
    <row r="1" ht="15.75" customHeight="1">
      <c r="A1" s="39" t="s">
        <v>0</v>
      </c>
      <c r="B1" s="40" t="s">
        <v>1</v>
      </c>
      <c r="C1" s="41" t="s">
        <v>2</v>
      </c>
      <c r="D1" s="40" t="s">
        <v>59</v>
      </c>
      <c r="E1" s="42" t="s">
        <v>60</v>
      </c>
      <c r="F1" s="43" t="s">
        <v>61</v>
      </c>
      <c r="G1" s="40" t="s">
        <v>62</v>
      </c>
      <c r="H1" s="42" t="s">
        <v>63</v>
      </c>
      <c r="I1" s="44" t="s">
        <v>64</v>
      </c>
      <c r="J1" s="44" t="s">
        <v>65</v>
      </c>
      <c r="K1" s="44" t="s">
        <v>66</v>
      </c>
      <c r="L1" s="43" t="s">
        <v>67</v>
      </c>
      <c r="M1" s="45" t="s">
        <v>68</v>
      </c>
      <c r="N1" s="44" t="s">
        <v>7</v>
      </c>
      <c r="O1" s="44" t="s">
        <v>8</v>
      </c>
      <c r="P1" s="46" t="s">
        <v>9</v>
      </c>
    </row>
    <row r="2" ht="15.75" customHeight="1">
      <c r="A2" s="47" t="s">
        <v>69</v>
      </c>
      <c r="B2" s="48">
        <v>45009.0</v>
      </c>
      <c r="C2" s="49" t="s">
        <v>70</v>
      </c>
      <c r="D2" s="48">
        <v>45427.0</v>
      </c>
      <c r="E2" s="50">
        <v>0.5069444444444444</v>
      </c>
      <c r="F2" s="51">
        <v>41.0</v>
      </c>
      <c r="G2" s="48">
        <v>45428.0</v>
      </c>
      <c r="H2" s="50">
        <v>0.6458333333333334</v>
      </c>
      <c r="I2" s="52">
        <v>41.0</v>
      </c>
      <c r="J2" s="53">
        <v>0.0</v>
      </c>
      <c r="K2" s="53">
        <v>0.0</v>
      </c>
      <c r="L2" s="51" t="s">
        <v>71</v>
      </c>
      <c r="M2" s="54" t="str">
        <f t="shared" ref="M2:M3" si="1">IF(L2="&lt; 1","&lt; 10",IF(L2="&gt; 2419.6","&gt; 24196",L2*10))</f>
        <v>&lt; 10</v>
      </c>
      <c r="N2" s="55" t="s">
        <v>12</v>
      </c>
      <c r="O2" s="55" t="s">
        <v>13</v>
      </c>
      <c r="P2" s="56" t="s">
        <v>72</v>
      </c>
      <c r="Q2" s="57"/>
    </row>
    <row r="3" ht="15.75" customHeight="1">
      <c r="A3" s="47" t="s">
        <v>73</v>
      </c>
      <c r="B3" s="48">
        <v>45010.0</v>
      </c>
      <c r="C3" s="49" t="s">
        <v>70</v>
      </c>
      <c r="D3" s="48">
        <v>45427.0</v>
      </c>
      <c r="E3" s="50">
        <v>0.5076388888888889</v>
      </c>
      <c r="F3" s="51">
        <v>41.0</v>
      </c>
      <c r="G3" s="48">
        <v>45428.0</v>
      </c>
      <c r="H3" s="50">
        <v>0.6458333333333334</v>
      </c>
      <c r="I3" s="52">
        <v>41.0</v>
      </c>
      <c r="J3" s="53">
        <v>0.0</v>
      </c>
      <c r="K3" s="53">
        <v>0.0</v>
      </c>
      <c r="L3" s="51" t="s">
        <v>71</v>
      </c>
      <c r="M3" s="54" t="str">
        <f t="shared" si="1"/>
        <v>&lt; 10</v>
      </c>
      <c r="N3" s="55" t="s">
        <v>12</v>
      </c>
      <c r="O3" s="55" t="s">
        <v>13</v>
      </c>
      <c r="P3" s="58"/>
      <c r="Q3" s="57"/>
    </row>
    <row r="4" ht="15.75" customHeight="1">
      <c r="A4" s="59" t="s">
        <v>74</v>
      </c>
      <c r="B4" s="48">
        <v>45011.0</v>
      </c>
      <c r="C4" s="49" t="s">
        <v>70</v>
      </c>
      <c r="D4" s="48">
        <v>45427.0</v>
      </c>
      <c r="E4" s="50">
        <v>0.5923611111111111</v>
      </c>
      <c r="F4" s="51">
        <v>41.0</v>
      </c>
      <c r="G4" s="48">
        <v>45428.0</v>
      </c>
      <c r="H4" s="50">
        <v>0.6458333333333334</v>
      </c>
      <c r="I4" s="52">
        <v>41.0</v>
      </c>
      <c r="J4" s="53">
        <v>46.0</v>
      </c>
      <c r="K4" s="53">
        <v>48.0</v>
      </c>
      <c r="L4" s="51">
        <v>533.5</v>
      </c>
      <c r="M4" s="54">
        <f>L4*10</f>
        <v>5335</v>
      </c>
      <c r="N4" s="55" t="s">
        <v>12</v>
      </c>
      <c r="O4" s="55" t="s">
        <v>13</v>
      </c>
      <c r="P4" s="58"/>
      <c r="Q4" s="57"/>
    </row>
    <row r="5" ht="15.75" customHeight="1">
      <c r="A5" s="60" t="s">
        <v>75</v>
      </c>
      <c r="B5" s="48">
        <v>45011.0</v>
      </c>
      <c r="C5" s="49" t="s">
        <v>70</v>
      </c>
      <c r="D5" s="48">
        <v>45009.0</v>
      </c>
      <c r="E5" s="50">
        <v>0.5055555555555555</v>
      </c>
      <c r="F5" s="51">
        <v>41.0</v>
      </c>
      <c r="G5" s="48">
        <v>45428.0</v>
      </c>
      <c r="H5" s="50">
        <v>0.6458333333333334</v>
      </c>
      <c r="I5" s="52">
        <v>41.0</v>
      </c>
      <c r="J5" s="53">
        <v>0.0</v>
      </c>
      <c r="K5" s="53">
        <v>0.0</v>
      </c>
      <c r="L5" s="51" t="s">
        <v>71</v>
      </c>
      <c r="M5" s="54" t="str">
        <f>IF(L5="&lt; 1","&lt; 10",IF(L5="&gt; 2419.6","&gt; 24196",L5*10))</f>
        <v>&lt; 10</v>
      </c>
      <c r="N5" s="55" t="s">
        <v>12</v>
      </c>
      <c r="O5" s="55" t="s">
        <v>13</v>
      </c>
      <c r="P5" s="61"/>
      <c r="Q5" s="57"/>
    </row>
    <row r="6" ht="15.75" customHeight="1">
      <c r="A6" s="60" t="s">
        <v>76</v>
      </c>
      <c r="B6" s="62">
        <v>45531.0</v>
      </c>
      <c r="C6" s="63">
        <v>0.31875</v>
      </c>
      <c r="D6" s="62">
        <v>45531.0</v>
      </c>
      <c r="E6" s="64">
        <v>0.5256944444444445</v>
      </c>
      <c r="F6" s="51">
        <v>41.0</v>
      </c>
      <c r="G6" s="65">
        <v>45532.0</v>
      </c>
      <c r="H6" s="50">
        <v>0.5854166666666667</v>
      </c>
      <c r="I6" s="52">
        <v>41.0</v>
      </c>
      <c r="J6" s="66">
        <v>2.0</v>
      </c>
      <c r="K6" s="66">
        <v>1.0</v>
      </c>
      <c r="L6" s="67">
        <v>3.0</v>
      </c>
      <c r="M6" s="54">
        <f>L6*10</f>
        <v>30</v>
      </c>
      <c r="N6" s="55" t="s">
        <v>12</v>
      </c>
      <c r="O6" s="55" t="s">
        <v>77</v>
      </c>
      <c r="P6" s="55"/>
      <c r="Q6" s="57"/>
    </row>
    <row r="7" ht="15.75" customHeight="1">
      <c r="A7" s="68" t="s">
        <v>78</v>
      </c>
      <c r="B7" s="62">
        <v>45531.0</v>
      </c>
      <c r="C7" s="63">
        <v>0.33055555555555555</v>
      </c>
      <c r="D7" s="62">
        <v>45531.0</v>
      </c>
      <c r="E7" s="64">
        <v>0.5291666666666667</v>
      </c>
      <c r="F7" s="51">
        <v>41.0</v>
      </c>
      <c r="G7" s="65">
        <v>45532.0</v>
      </c>
      <c r="H7" s="50">
        <v>0.5881944444444445</v>
      </c>
      <c r="I7" s="52">
        <v>41.0</v>
      </c>
      <c r="J7" s="66">
        <v>3.0</v>
      </c>
      <c r="K7" s="66">
        <v>0.0</v>
      </c>
      <c r="L7" s="67">
        <v>3.1</v>
      </c>
      <c r="M7" s="54">
        <f t="shared" ref="M7:M51" si="2">IF(L7="&lt; 1","&lt; 10",IF(L7="&gt; 2419.6","&gt; 24196",L7*10))</f>
        <v>31</v>
      </c>
      <c r="N7" s="55" t="s">
        <v>12</v>
      </c>
      <c r="O7" s="55" t="s">
        <v>77</v>
      </c>
      <c r="P7" s="55"/>
      <c r="Q7" s="57"/>
    </row>
    <row r="8" ht="15.75" customHeight="1">
      <c r="A8" s="69" t="s">
        <v>79</v>
      </c>
      <c r="B8" s="62">
        <v>45531.0</v>
      </c>
      <c r="C8" s="63">
        <v>0.34375</v>
      </c>
      <c r="D8" s="62">
        <v>45531.0</v>
      </c>
      <c r="E8" s="64">
        <v>0.5368055555555555</v>
      </c>
      <c r="F8" s="51">
        <v>41.0</v>
      </c>
      <c r="G8" s="65">
        <v>45532.0</v>
      </c>
      <c r="H8" s="50">
        <v>0.5895833333333333</v>
      </c>
      <c r="I8" s="52">
        <v>41.0</v>
      </c>
      <c r="J8" s="53">
        <v>0.0</v>
      </c>
      <c r="K8" s="53">
        <v>0.0</v>
      </c>
      <c r="L8" s="51" t="s">
        <v>71</v>
      </c>
      <c r="M8" s="54" t="str">
        <f t="shared" si="2"/>
        <v>&lt; 10</v>
      </c>
      <c r="N8" s="55" t="s">
        <v>12</v>
      </c>
      <c r="O8" s="55" t="s">
        <v>77</v>
      </c>
      <c r="P8" s="55"/>
      <c r="Q8" s="57"/>
    </row>
    <row r="9" ht="15.75" customHeight="1">
      <c r="A9" s="69" t="s">
        <v>80</v>
      </c>
      <c r="B9" s="62">
        <v>45531.0</v>
      </c>
      <c r="C9" s="63">
        <v>0.3819444444444444</v>
      </c>
      <c r="D9" s="62">
        <v>45531.0</v>
      </c>
      <c r="E9" s="64">
        <v>0.5347222222222222</v>
      </c>
      <c r="F9" s="51">
        <v>41.0</v>
      </c>
      <c r="G9" s="65">
        <v>45532.0</v>
      </c>
      <c r="H9" s="50">
        <v>0.5833333333333334</v>
      </c>
      <c r="I9" s="52">
        <v>41.0</v>
      </c>
      <c r="J9" s="66">
        <v>5.0</v>
      </c>
      <c r="K9" s="66">
        <v>0.0</v>
      </c>
      <c r="L9" s="67">
        <v>5.2</v>
      </c>
      <c r="M9" s="54">
        <f t="shared" si="2"/>
        <v>52</v>
      </c>
      <c r="N9" s="55" t="s">
        <v>12</v>
      </c>
      <c r="O9" s="55" t="s">
        <v>77</v>
      </c>
      <c r="P9" s="55"/>
      <c r="Q9" s="57"/>
    </row>
    <row r="10" ht="15.75" customHeight="1">
      <c r="A10" s="69" t="s">
        <v>81</v>
      </c>
      <c r="B10" s="62">
        <v>45531.0</v>
      </c>
      <c r="C10" s="63">
        <v>0.3923611111111111</v>
      </c>
      <c r="D10" s="62">
        <v>45531.0</v>
      </c>
      <c r="E10" s="64">
        <v>0.5395833333333333</v>
      </c>
      <c r="F10" s="51">
        <v>41.0</v>
      </c>
      <c r="G10" s="65">
        <v>45532.0</v>
      </c>
      <c r="H10" s="50">
        <v>0.5951388888888889</v>
      </c>
      <c r="I10" s="52">
        <v>41.0</v>
      </c>
      <c r="J10" s="66">
        <v>3.0</v>
      </c>
      <c r="K10" s="66">
        <v>1.0</v>
      </c>
      <c r="L10" s="67">
        <v>4.1</v>
      </c>
      <c r="M10" s="54">
        <f t="shared" si="2"/>
        <v>41</v>
      </c>
      <c r="N10" s="55" t="s">
        <v>12</v>
      </c>
      <c r="O10" s="55" t="s">
        <v>77</v>
      </c>
      <c r="P10" s="55"/>
      <c r="Q10" s="57"/>
    </row>
    <row r="11" ht="16.5" customHeight="1">
      <c r="A11" s="70" t="s">
        <v>82</v>
      </c>
      <c r="B11" s="62">
        <v>45531.0</v>
      </c>
      <c r="C11" s="63">
        <v>0.4027777777777778</v>
      </c>
      <c r="D11" s="62">
        <v>45531.0</v>
      </c>
      <c r="E11" s="64">
        <v>0.5416666666666666</v>
      </c>
      <c r="F11" s="51">
        <v>41.0</v>
      </c>
      <c r="G11" s="65">
        <v>45532.0</v>
      </c>
      <c r="H11" s="50">
        <v>0.6041666666666666</v>
      </c>
      <c r="I11" s="52">
        <v>41.0</v>
      </c>
      <c r="J11" s="53">
        <v>0.0</v>
      </c>
      <c r="K11" s="53">
        <v>0.0</v>
      </c>
      <c r="L11" s="51" t="s">
        <v>71</v>
      </c>
      <c r="M11" s="54" t="str">
        <f t="shared" si="2"/>
        <v>&lt; 10</v>
      </c>
      <c r="N11" s="55" t="s">
        <v>12</v>
      </c>
      <c r="O11" s="55" t="s">
        <v>77</v>
      </c>
      <c r="P11" s="55"/>
      <c r="Q11" s="57"/>
    </row>
    <row r="12" ht="15.75" customHeight="1">
      <c r="A12" s="69" t="s">
        <v>83</v>
      </c>
      <c r="B12" s="62">
        <v>45531.0</v>
      </c>
      <c r="C12" s="63">
        <v>0.4284722222222222</v>
      </c>
      <c r="D12" s="62">
        <v>45531.0</v>
      </c>
      <c r="E12" s="64">
        <v>0.5444444444444444</v>
      </c>
      <c r="F12" s="51">
        <v>41.0</v>
      </c>
      <c r="G12" s="65">
        <v>45532.0</v>
      </c>
      <c r="H12" s="50">
        <v>0.5979166666666667</v>
      </c>
      <c r="I12" s="52">
        <v>41.0</v>
      </c>
      <c r="J12" s="66">
        <v>2.0</v>
      </c>
      <c r="K12" s="66">
        <v>0.0</v>
      </c>
      <c r="L12" s="67">
        <v>2.0</v>
      </c>
      <c r="M12" s="54">
        <f t="shared" si="2"/>
        <v>20</v>
      </c>
      <c r="N12" s="55" t="s">
        <v>12</v>
      </c>
      <c r="O12" s="71" t="s">
        <v>13</v>
      </c>
      <c r="P12" s="55"/>
      <c r="Q12" s="57"/>
    </row>
    <row r="13" ht="15.75" customHeight="1">
      <c r="A13" s="69" t="s">
        <v>84</v>
      </c>
      <c r="B13" s="62">
        <v>45531.0</v>
      </c>
      <c r="C13" s="63">
        <v>0.43819444444444444</v>
      </c>
      <c r="D13" s="62">
        <v>45531.0</v>
      </c>
      <c r="E13" s="64">
        <v>0.5458333333333333</v>
      </c>
      <c r="F13" s="51">
        <v>41.0</v>
      </c>
      <c r="G13" s="65">
        <v>45532.0</v>
      </c>
      <c r="H13" s="50">
        <v>0.58125</v>
      </c>
      <c r="I13" s="52">
        <v>41.0</v>
      </c>
      <c r="J13" s="66">
        <v>1.0</v>
      </c>
      <c r="K13" s="66">
        <v>0.0</v>
      </c>
      <c r="L13" s="67">
        <v>1.0</v>
      </c>
      <c r="M13" s="54">
        <f t="shared" si="2"/>
        <v>10</v>
      </c>
      <c r="N13" s="55" t="s">
        <v>12</v>
      </c>
      <c r="O13" s="71" t="s">
        <v>13</v>
      </c>
      <c r="P13" s="55"/>
      <c r="Q13" s="57"/>
    </row>
    <row r="14" ht="15.75" customHeight="1">
      <c r="A14" s="69" t="s">
        <v>85</v>
      </c>
      <c r="B14" s="65">
        <v>45532.0</v>
      </c>
      <c r="C14" s="72">
        <v>0.29305555555555557</v>
      </c>
      <c r="D14" s="65">
        <v>45532.0</v>
      </c>
      <c r="E14" s="64">
        <v>0.42430555555555555</v>
      </c>
      <c r="F14" s="51">
        <v>41.0</v>
      </c>
      <c r="G14" s="65">
        <v>45533.0</v>
      </c>
      <c r="H14" s="50">
        <v>0.5055555555555555</v>
      </c>
      <c r="I14" s="52">
        <v>41.0</v>
      </c>
      <c r="J14" s="66">
        <v>1.0</v>
      </c>
      <c r="K14" s="66">
        <v>0.0</v>
      </c>
      <c r="L14" s="67">
        <v>1.0</v>
      </c>
      <c r="M14" s="54">
        <f t="shared" si="2"/>
        <v>10</v>
      </c>
      <c r="N14" s="55" t="s">
        <v>12</v>
      </c>
      <c r="O14" s="71" t="s">
        <v>13</v>
      </c>
      <c r="P14" s="55"/>
      <c r="Q14" s="57"/>
    </row>
    <row r="15" ht="15.75" customHeight="1">
      <c r="A15" s="69" t="s">
        <v>86</v>
      </c>
      <c r="B15" s="65">
        <v>45532.0</v>
      </c>
      <c r="C15" s="72">
        <v>0.3076388888888889</v>
      </c>
      <c r="D15" s="65">
        <v>45532.0</v>
      </c>
      <c r="E15" s="64">
        <v>0.42777777777777776</v>
      </c>
      <c r="F15" s="51">
        <v>41.0</v>
      </c>
      <c r="G15" s="65">
        <v>45533.0</v>
      </c>
      <c r="H15" s="50">
        <v>0.5090277777777777</v>
      </c>
      <c r="I15" s="52">
        <v>41.0</v>
      </c>
      <c r="J15" s="53">
        <v>0.0</v>
      </c>
      <c r="K15" s="53">
        <v>0.0</v>
      </c>
      <c r="L15" s="51" t="s">
        <v>71</v>
      </c>
      <c r="M15" s="54" t="str">
        <f t="shared" si="2"/>
        <v>&lt; 10</v>
      </c>
      <c r="N15" s="55" t="s">
        <v>12</v>
      </c>
      <c r="O15" s="71" t="s">
        <v>13</v>
      </c>
      <c r="P15" s="55"/>
      <c r="Q15" s="57"/>
    </row>
    <row r="16" ht="15.75" customHeight="1">
      <c r="A16" s="69" t="s">
        <v>87</v>
      </c>
      <c r="B16" s="65">
        <v>45532.0</v>
      </c>
      <c r="C16" s="72">
        <v>0.3298611111111111</v>
      </c>
      <c r="D16" s="65">
        <v>45532.0</v>
      </c>
      <c r="E16" s="64">
        <v>0.42986111111111114</v>
      </c>
      <c r="F16" s="51">
        <v>41.0</v>
      </c>
      <c r="G16" s="65">
        <v>45533.0</v>
      </c>
      <c r="H16" s="50">
        <v>0.5125</v>
      </c>
      <c r="I16" s="52">
        <v>41.0</v>
      </c>
      <c r="J16" s="66">
        <v>5.0</v>
      </c>
      <c r="K16" s="66">
        <v>1.0</v>
      </c>
      <c r="L16" s="67">
        <v>6.3</v>
      </c>
      <c r="M16" s="54">
        <f t="shared" si="2"/>
        <v>63</v>
      </c>
      <c r="N16" s="55" t="s">
        <v>12</v>
      </c>
      <c r="O16" s="71" t="s">
        <v>13</v>
      </c>
      <c r="P16" s="55"/>
      <c r="Q16" s="57"/>
    </row>
    <row r="17" ht="15.75" customHeight="1">
      <c r="A17" s="69" t="s">
        <v>88</v>
      </c>
      <c r="B17" s="65">
        <v>45532.0</v>
      </c>
      <c r="C17" s="72">
        <v>0.3402777777777778</v>
      </c>
      <c r="D17" s="65">
        <v>45532.0</v>
      </c>
      <c r="E17" s="64">
        <v>0.43194444444444446</v>
      </c>
      <c r="F17" s="51">
        <v>41.0</v>
      </c>
      <c r="G17" s="65">
        <v>45533.0</v>
      </c>
      <c r="H17" s="50">
        <v>0.5145833333333333</v>
      </c>
      <c r="I17" s="52">
        <v>41.0</v>
      </c>
      <c r="J17" s="66">
        <v>1.0</v>
      </c>
      <c r="K17" s="66">
        <v>0.0</v>
      </c>
      <c r="L17" s="67">
        <v>1.0</v>
      </c>
      <c r="M17" s="54">
        <f t="shared" si="2"/>
        <v>10</v>
      </c>
      <c r="N17" s="55" t="s">
        <v>12</v>
      </c>
      <c r="O17" s="71" t="s">
        <v>13</v>
      </c>
      <c r="P17" s="55"/>
      <c r="Q17" s="24"/>
      <c r="R17" s="24"/>
      <c r="S17" s="24"/>
      <c r="T17" s="24"/>
      <c r="U17" s="24"/>
      <c r="V17" s="24"/>
      <c r="W17" s="24"/>
      <c r="X17" s="24"/>
      <c r="Y17" s="24"/>
      <c r="Z17" s="24"/>
      <c r="AA17" s="24"/>
      <c r="AB17" s="24"/>
      <c r="AC17" s="24"/>
      <c r="AD17" s="24"/>
      <c r="AE17" s="24"/>
    </row>
    <row r="18" ht="15.75" customHeight="1">
      <c r="A18" s="69" t="s">
        <v>89</v>
      </c>
      <c r="B18" s="65">
        <v>45532.0</v>
      </c>
      <c r="C18" s="72">
        <v>0.35625</v>
      </c>
      <c r="D18" s="65">
        <v>45532.0</v>
      </c>
      <c r="E18" s="63">
        <v>0.4340277777777778</v>
      </c>
      <c r="F18" s="51">
        <v>41.0</v>
      </c>
      <c r="G18" s="65">
        <v>45533.0</v>
      </c>
      <c r="H18" s="49">
        <v>0.51875</v>
      </c>
      <c r="I18" s="52">
        <v>41.0</v>
      </c>
      <c r="J18" s="66">
        <v>3.0</v>
      </c>
      <c r="K18" s="66">
        <v>0.0</v>
      </c>
      <c r="L18" s="67">
        <v>3.1</v>
      </c>
      <c r="M18" s="54">
        <f t="shared" si="2"/>
        <v>31</v>
      </c>
      <c r="N18" s="55" t="s">
        <v>12</v>
      </c>
      <c r="O18" s="71" t="s">
        <v>13</v>
      </c>
      <c r="P18" s="55"/>
      <c r="Q18" s="24"/>
      <c r="R18" s="24"/>
      <c r="S18" s="24"/>
      <c r="T18" s="24"/>
      <c r="U18" s="24"/>
      <c r="V18" s="24"/>
      <c r="W18" s="24"/>
      <c r="X18" s="24"/>
      <c r="Y18" s="24"/>
      <c r="Z18" s="24"/>
      <c r="AA18" s="24"/>
      <c r="AB18" s="24"/>
      <c r="AC18" s="24"/>
      <c r="AD18" s="24"/>
      <c r="AE18" s="24"/>
    </row>
    <row r="19" ht="15.75" customHeight="1">
      <c r="A19" s="69" t="s">
        <v>90</v>
      </c>
      <c r="B19" s="65">
        <v>45532.0</v>
      </c>
      <c r="C19" s="72">
        <v>0.36736111111111114</v>
      </c>
      <c r="D19" s="65">
        <v>45532.0</v>
      </c>
      <c r="E19" s="63">
        <v>0.43680555555555556</v>
      </c>
      <c r="F19" s="51">
        <v>41.0</v>
      </c>
      <c r="G19" s="65">
        <v>45533.0</v>
      </c>
      <c r="H19" s="49">
        <v>0.49722222222222223</v>
      </c>
      <c r="I19" s="52">
        <v>41.0</v>
      </c>
      <c r="J19" s="66">
        <v>1.0</v>
      </c>
      <c r="K19" s="66">
        <v>0.0</v>
      </c>
      <c r="L19" s="67">
        <v>1.0</v>
      </c>
      <c r="M19" s="54">
        <f t="shared" si="2"/>
        <v>10</v>
      </c>
      <c r="N19" s="55" t="s">
        <v>12</v>
      </c>
      <c r="O19" s="71" t="s">
        <v>13</v>
      </c>
      <c r="P19" s="55"/>
      <c r="Q19" s="57"/>
      <c r="R19" s="57"/>
      <c r="S19" s="57"/>
      <c r="T19" s="57"/>
      <c r="U19" s="57"/>
      <c r="V19" s="57"/>
      <c r="W19" s="57"/>
      <c r="X19" s="57"/>
      <c r="Y19" s="57"/>
      <c r="Z19" s="57"/>
      <c r="AA19" s="57"/>
      <c r="AB19" s="57"/>
      <c r="AC19" s="57"/>
      <c r="AD19" s="57"/>
      <c r="AE19" s="57"/>
    </row>
    <row r="20" ht="15.75" customHeight="1">
      <c r="A20" s="69" t="s">
        <v>91</v>
      </c>
      <c r="B20" s="65">
        <v>45532.0</v>
      </c>
      <c r="C20" s="72">
        <v>0.38472222222222224</v>
      </c>
      <c r="D20" s="65">
        <v>45532.0</v>
      </c>
      <c r="E20" s="63">
        <v>0.43819444444444444</v>
      </c>
      <c r="F20" s="51">
        <v>41.0</v>
      </c>
      <c r="G20" s="65">
        <v>45533.0</v>
      </c>
      <c r="H20" s="49">
        <v>0.5</v>
      </c>
      <c r="I20" s="52">
        <v>41.0</v>
      </c>
      <c r="J20" s="66">
        <v>1.0</v>
      </c>
      <c r="K20" s="66">
        <v>0.0</v>
      </c>
      <c r="L20" s="67">
        <v>1.0</v>
      </c>
      <c r="M20" s="54">
        <f t="shared" si="2"/>
        <v>10</v>
      </c>
      <c r="N20" s="55" t="s">
        <v>12</v>
      </c>
      <c r="O20" s="71" t="s">
        <v>13</v>
      </c>
      <c r="P20" s="55"/>
      <c r="Q20" s="57"/>
      <c r="R20" s="57"/>
      <c r="S20" s="57"/>
      <c r="T20" s="57"/>
      <c r="U20" s="57"/>
      <c r="V20" s="57"/>
      <c r="W20" s="57"/>
      <c r="X20" s="57"/>
      <c r="Y20" s="57"/>
      <c r="Z20" s="57"/>
      <c r="AA20" s="57"/>
      <c r="AB20" s="57"/>
      <c r="AC20" s="57"/>
      <c r="AD20" s="57"/>
      <c r="AE20" s="57"/>
    </row>
    <row r="21" ht="15.75" customHeight="1">
      <c r="A21" s="69" t="s">
        <v>92</v>
      </c>
      <c r="B21" s="65">
        <v>45532.0</v>
      </c>
      <c r="C21" s="72">
        <v>0.3923611111111111</v>
      </c>
      <c r="D21" s="65">
        <v>45532.0</v>
      </c>
      <c r="E21" s="63">
        <v>0.44027777777777777</v>
      </c>
      <c r="F21" s="51">
        <v>41.0</v>
      </c>
      <c r="G21" s="65">
        <v>45533.0</v>
      </c>
      <c r="H21" s="49">
        <v>0.5027777777777778</v>
      </c>
      <c r="I21" s="52">
        <v>41.0</v>
      </c>
      <c r="J21" s="53">
        <v>0.0</v>
      </c>
      <c r="K21" s="53">
        <v>0.0</v>
      </c>
      <c r="L21" s="51" t="s">
        <v>71</v>
      </c>
      <c r="M21" s="54" t="str">
        <f t="shared" si="2"/>
        <v>&lt; 10</v>
      </c>
      <c r="N21" s="55" t="s">
        <v>12</v>
      </c>
      <c r="O21" s="71" t="s">
        <v>13</v>
      </c>
      <c r="P21" s="55"/>
      <c r="Q21" s="57"/>
      <c r="R21" s="57"/>
      <c r="S21" s="57"/>
      <c r="T21" s="57"/>
      <c r="U21" s="57"/>
      <c r="V21" s="57"/>
      <c r="W21" s="57"/>
      <c r="X21" s="57"/>
      <c r="Y21" s="57"/>
      <c r="Z21" s="57"/>
      <c r="AA21" s="57"/>
      <c r="AB21" s="57"/>
      <c r="AC21" s="57"/>
      <c r="AD21" s="57"/>
      <c r="AE21" s="57"/>
    </row>
    <row r="22" ht="15.75" customHeight="1">
      <c r="A22" s="69" t="s">
        <v>93</v>
      </c>
      <c r="B22" s="62">
        <v>45542.0</v>
      </c>
      <c r="C22" s="73">
        <v>0.4583333333333333</v>
      </c>
      <c r="D22" s="62">
        <v>45542.0</v>
      </c>
      <c r="E22" s="64">
        <v>0.7284722222222222</v>
      </c>
      <c r="F22" s="51">
        <v>41.0</v>
      </c>
      <c r="G22" s="62">
        <v>45543.0</v>
      </c>
      <c r="H22" s="64">
        <v>0.7284722222222222</v>
      </c>
      <c r="I22" s="52">
        <v>41.0</v>
      </c>
      <c r="J22" s="66">
        <v>3.0</v>
      </c>
      <c r="K22" s="66">
        <v>0.0</v>
      </c>
      <c r="L22" s="67">
        <v>3.1</v>
      </c>
      <c r="M22" s="54">
        <f t="shared" si="2"/>
        <v>31</v>
      </c>
      <c r="N22" s="55" t="s">
        <v>12</v>
      </c>
      <c r="O22" s="71" t="s">
        <v>94</v>
      </c>
      <c r="P22" s="55"/>
      <c r="Q22" s="57"/>
      <c r="R22" s="57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</row>
    <row r="23" ht="15.75" customHeight="1">
      <c r="A23" s="74" t="s">
        <v>95</v>
      </c>
      <c r="B23" s="62">
        <v>45542.0</v>
      </c>
      <c r="C23" s="75">
        <v>0.4951388888888889</v>
      </c>
      <c r="D23" s="62">
        <v>45542.0</v>
      </c>
      <c r="E23" s="64">
        <v>0.7284722222222222</v>
      </c>
      <c r="F23" s="51">
        <v>41.0</v>
      </c>
      <c r="G23" s="62">
        <v>45543.0</v>
      </c>
      <c r="H23" s="64">
        <v>0.7284722222222222</v>
      </c>
      <c r="I23" s="52">
        <v>41.0</v>
      </c>
      <c r="J23" s="66">
        <v>0.0</v>
      </c>
      <c r="K23" s="66">
        <v>0.0</v>
      </c>
      <c r="L23" s="51" t="s">
        <v>71</v>
      </c>
      <c r="M23" s="54" t="str">
        <f t="shared" si="2"/>
        <v>&lt; 10</v>
      </c>
      <c r="N23" s="55" t="s">
        <v>12</v>
      </c>
      <c r="O23" s="71" t="s">
        <v>94</v>
      </c>
      <c r="P23" s="55"/>
      <c r="Q23" s="57"/>
      <c r="R23" s="57"/>
      <c r="S23" s="57"/>
      <c r="T23" s="57"/>
      <c r="U23" s="57"/>
      <c r="V23" s="57"/>
      <c r="W23" s="57"/>
      <c r="X23" s="57"/>
      <c r="Y23" s="57"/>
      <c r="Z23" s="57"/>
      <c r="AA23" s="57"/>
      <c r="AB23" s="57"/>
      <c r="AC23" s="57"/>
      <c r="AD23" s="57"/>
      <c r="AE23" s="57"/>
    </row>
    <row r="24" ht="15.75" customHeight="1">
      <c r="A24" s="74" t="s">
        <v>96</v>
      </c>
      <c r="B24" s="62">
        <v>45542.0</v>
      </c>
      <c r="C24" s="75">
        <v>0.5611111111111111</v>
      </c>
      <c r="D24" s="62">
        <v>45542.0</v>
      </c>
      <c r="E24" s="64">
        <v>0.7284722222222222</v>
      </c>
      <c r="F24" s="51">
        <v>41.0</v>
      </c>
      <c r="G24" s="62">
        <v>45543.0</v>
      </c>
      <c r="H24" s="64">
        <v>0.7284722222222222</v>
      </c>
      <c r="I24" s="52">
        <v>41.0</v>
      </c>
      <c r="J24" s="66">
        <v>0.0</v>
      </c>
      <c r="K24" s="66">
        <v>1.0</v>
      </c>
      <c r="L24" s="67">
        <v>1.0</v>
      </c>
      <c r="M24" s="54">
        <f t="shared" si="2"/>
        <v>10</v>
      </c>
      <c r="N24" s="55" t="s">
        <v>12</v>
      </c>
      <c r="O24" s="71" t="s">
        <v>94</v>
      </c>
      <c r="P24" s="55"/>
      <c r="Q24" s="57"/>
      <c r="R24" s="57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</row>
    <row r="25" ht="15.75" customHeight="1">
      <c r="A25" s="76" t="s">
        <v>97</v>
      </c>
      <c r="B25" s="62">
        <v>45543.0</v>
      </c>
      <c r="C25" s="63">
        <v>0.3402777777777778</v>
      </c>
      <c r="D25" s="62">
        <v>45543.0</v>
      </c>
      <c r="E25" s="77">
        <v>0.5618055555555556</v>
      </c>
      <c r="F25" s="51">
        <v>41.0</v>
      </c>
      <c r="G25" s="62">
        <v>45544.0</v>
      </c>
      <c r="H25" s="77">
        <v>0.5618055555555556</v>
      </c>
      <c r="I25" s="52">
        <v>41.0</v>
      </c>
      <c r="J25" s="66">
        <v>7.0</v>
      </c>
      <c r="K25" s="66">
        <v>0.0</v>
      </c>
      <c r="L25" s="67">
        <v>7.5</v>
      </c>
      <c r="M25" s="54">
        <f t="shared" si="2"/>
        <v>75</v>
      </c>
      <c r="N25" s="55" t="s">
        <v>12</v>
      </c>
      <c r="O25" s="71" t="s">
        <v>98</v>
      </c>
      <c r="P25" s="55"/>
      <c r="Q25" s="57"/>
      <c r="R25" s="57"/>
      <c r="S25" s="57"/>
      <c r="T25" s="57"/>
      <c r="U25" s="57"/>
      <c r="V25" s="57"/>
      <c r="W25" s="57"/>
      <c r="X25" s="57"/>
      <c r="Y25" s="57"/>
      <c r="Z25" s="57"/>
      <c r="AA25" s="57"/>
      <c r="AB25" s="57"/>
      <c r="AC25" s="57"/>
      <c r="AD25" s="57"/>
      <c r="AE25" s="57"/>
    </row>
    <row r="26" ht="15.75" customHeight="1">
      <c r="A26" s="76" t="s">
        <v>99</v>
      </c>
      <c r="B26" s="62">
        <v>45543.0</v>
      </c>
      <c r="C26" s="9">
        <v>0.36666666666666664</v>
      </c>
      <c r="D26" s="62">
        <v>45543.0</v>
      </c>
      <c r="E26" s="77">
        <v>0.5618055555555556</v>
      </c>
      <c r="F26" s="51">
        <v>41.0</v>
      </c>
      <c r="G26" s="62">
        <v>45544.0</v>
      </c>
      <c r="H26" s="77">
        <v>0.5618055555555556</v>
      </c>
      <c r="I26" s="52">
        <v>41.0</v>
      </c>
      <c r="J26" s="66">
        <v>4.0</v>
      </c>
      <c r="K26" s="66">
        <v>0.0</v>
      </c>
      <c r="L26" s="67">
        <v>4.1</v>
      </c>
      <c r="M26" s="54">
        <f t="shared" si="2"/>
        <v>41</v>
      </c>
      <c r="N26" s="55" t="s">
        <v>12</v>
      </c>
      <c r="O26" s="71" t="s">
        <v>98</v>
      </c>
      <c r="P26" s="55"/>
      <c r="Q26" s="57"/>
      <c r="R26" s="57"/>
      <c r="S26" s="57"/>
      <c r="T26" s="57"/>
      <c r="U26" s="57"/>
      <c r="V26" s="57"/>
      <c r="W26" s="57"/>
      <c r="X26" s="57"/>
      <c r="Y26" s="57"/>
      <c r="Z26" s="57"/>
      <c r="AA26" s="57"/>
      <c r="AB26" s="57"/>
      <c r="AC26" s="57"/>
      <c r="AD26" s="57"/>
      <c r="AE26" s="57"/>
    </row>
    <row r="27" ht="15.75" customHeight="1">
      <c r="A27" s="76" t="s">
        <v>100</v>
      </c>
      <c r="B27" s="62">
        <v>45543.0</v>
      </c>
      <c r="C27" s="78">
        <v>0.4041666666666667</v>
      </c>
      <c r="D27" s="62">
        <v>45543.0</v>
      </c>
      <c r="E27" s="77">
        <v>0.5618055555555556</v>
      </c>
      <c r="F27" s="51">
        <v>41.0</v>
      </c>
      <c r="G27" s="62">
        <v>45544.0</v>
      </c>
      <c r="H27" s="77">
        <v>0.5618055555555556</v>
      </c>
      <c r="I27" s="52">
        <v>41.0</v>
      </c>
      <c r="J27" s="66">
        <v>1.0</v>
      </c>
      <c r="K27" s="66">
        <v>0.0</v>
      </c>
      <c r="L27" s="67">
        <v>1.0</v>
      </c>
      <c r="M27" s="54">
        <f t="shared" si="2"/>
        <v>10</v>
      </c>
      <c r="N27" s="55" t="s">
        <v>12</v>
      </c>
      <c r="O27" s="71" t="s">
        <v>98</v>
      </c>
      <c r="P27" s="55"/>
      <c r="Q27" s="57"/>
      <c r="R27" s="57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</row>
    <row r="28" ht="15.75" customHeight="1">
      <c r="A28" s="76" t="s">
        <v>101</v>
      </c>
      <c r="B28" s="62">
        <v>45543.0</v>
      </c>
      <c r="C28" s="72">
        <v>0.4513888888888889</v>
      </c>
      <c r="D28" s="62">
        <v>45543.0</v>
      </c>
      <c r="E28" s="77">
        <v>0.5618055555555556</v>
      </c>
      <c r="F28" s="51">
        <v>41.0</v>
      </c>
      <c r="G28" s="62">
        <v>45544.0</v>
      </c>
      <c r="H28" s="77">
        <v>0.5618055555555556</v>
      </c>
      <c r="I28" s="52">
        <v>41.0</v>
      </c>
      <c r="J28" s="66">
        <v>0.0</v>
      </c>
      <c r="K28" s="66">
        <v>0.0</v>
      </c>
      <c r="L28" s="51" t="s">
        <v>71</v>
      </c>
      <c r="M28" s="54" t="str">
        <f t="shared" si="2"/>
        <v>&lt; 10</v>
      </c>
      <c r="N28" s="55" t="s">
        <v>12</v>
      </c>
      <c r="O28" s="71" t="s">
        <v>98</v>
      </c>
      <c r="P28" s="55"/>
      <c r="Q28" s="57"/>
      <c r="R28" s="57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</row>
    <row r="29" ht="15.75" customHeight="1">
      <c r="A29" s="76" t="s">
        <v>102</v>
      </c>
      <c r="B29" s="62">
        <v>45543.0</v>
      </c>
      <c r="C29" s="79">
        <v>0.47152777777777777</v>
      </c>
      <c r="D29" s="62">
        <v>45543.0</v>
      </c>
      <c r="E29" s="77">
        <v>0.5618055555555556</v>
      </c>
      <c r="F29" s="51">
        <v>41.0</v>
      </c>
      <c r="G29" s="62">
        <v>45544.0</v>
      </c>
      <c r="H29" s="77">
        <v>0.5618055555555556</v>
      </c>
      <c r="I29" s="52">
        <v>41.0</v>
      </c>
      <c r="J29" s="66">
        <v>12.0</v>
      </c>
      <c r="K29" s="66">
        <v>2.0</v>
      </c>
      <c r="L29" s="67">
        <v>15.8</v>
      </c>
      <c r="M29" s="54">
        <f t="shared" si="2"/>
        <v>158</v>
      </c>
      <c r="N29" s="55" t="s">
        <v>12</v>
      </c>
      <c r="O29" s="71" t="s">
        <v>98</v>
      </c>
      <c r="P29" s="55"/>
      <c r="Q29" s="80"/>
      <c r="R29" s="24"/>
      <c r="S29" s="24"/>
      <c r="T29" s="24"/>
      <c r="U29" s="24"/>
      <c r="V29" s="24"/>
      <c r="W29" s="24"/>
      <c r="X29" s="24"/>
      <c r="Y29" s="24"/>
      <c r="Z29" s="24"/>
      <c r="AA29" s="24"/>
      <c r="AB29" s="24"/>
      <c r="AC29" s="24"/>
      <c r="AD29" s="24"/>
      <c r="AE29" s="24"/>
    </row>
    <row r="30" ht="15.75" customHeight="1">
      <c r="A30" s="76" t="s">
        <v>103</v>
      </c>
      <c r="B30" s="62">
        <v>45543.0</v>
      </c>
      <c r="C30" s="79">
        <v>0.5013888888888889</v>
      </c>
      <c r="D30" s="62">
        <v>45543.0</v>
      </c>
      <c r="E30" s="77">
        <v>0.5618055555555556</v>
      </c>
      <c r="F30" s="51">
        <v>41.0</v>
      </c>
      <c r="G30" s="62">
        <v>45544.0</v>
      </c>
      <c r="H30" s="77">
        <v>0.5618055555555556</v>
      </c>
      <c r="I30" s="52">
        <v>41.0</v>
      </c>
      <c r="J30" s="66">
        <v>7.0</v>
      </c>
      <c r="K30" s="66">
        <v>0.0</v>
      </c>
      <c r="L30" s="67">
        <v>7.5</v>
      </c>
      <c r="M30" s="54">
        <f t="shared" si="2"/>
        <v>75</v>
      </c>
      <c r="N30" s="55" t="s">
        <v>12</v>
      </c>
      <c r="O30" s="71" t="s">
        <v>98</v>
      </c>
      <c r="P30" s="55"/>
      <c r="Q30" s="80"/>
      <c r="R30" s="24"/>
      <c r="S30" s="24"/>
      <c r="T30" s="24"/>
      <c r="U30" s="24"/>
      <c r="V30" s="24"/>
      <c r="W30" s="24"/>
      <c r="X30" s="24"/>
      <c r="Y30" s="24"/>
      <c r="Z30" s="24"/>
      <c r="AA30" s="24"/>
      <c r="AB30" s="24"/>
      <c r="AC30" s="24"/>
      <c r="AD30" s="24"/>
      <c r="AE30" s="24"/>
    </row>
    <row r="31" ht="15.75" customHeight="1">
      <c r="A31" s="76" t="s">
        <v>104</v>
      </c>
      <c r="B31" s="27">
        <v>45545.0</v>
      </c>
      <c r="C31" s="81">
        <v>0.30972222222222223</v>
      </c>
      <c r="D31" s="27">
        <v>45545.0</v>
      </c>
      <c r="E31" s="82">
        <v>0.525</v>
      </c>
      <c r="F31" s="51">
        <v>41.0</v>
      </c>
      <c r="G31" s="62">
        <v>45546.0</v>
      </c>
      <c r="H31" s="82">
        <v>0.525</v>
      </c>
      <c r="I31" s="52">
        <v>41.0</v>
      </c>
      <c r="J31" s="53">
        <v>0.0</v>
      </c>
      <c r="K31" s="53">
        <v>0.0</v>
      </c>
      <c r="L31" s="51" t="s">
        <v>71</v>
      </c>
      <c r="M31" s="54" t="str">
        <f t="shared" si="2"/>
        <v>&lt; 10</v>
      </c>
      <c r="N31" s="55" t="s">
        <v>12</v>
      </c>
      <c r="O31" s="71" t="s">
        <v>13</v>
      </c>
      <c r="P31" s="55"/>
      <c r="Q31" s="80"/>
      <c r="R31" s="24"/>
      <c r="S31" s="24"/>
      <c r="T31" s="24"/>
      <c r="U31" s="24"/>
      <c r="V31" s="24"/>
      <c r="W31" s="24"/>
      <c r="X31" s="24"/>
      <c r="Y31" s="24"/>
      <c r="Z31" s="24"/>
      <c r="AA31" s="24"/>
      <c r="AB31" s="24"/>
      <c r="AC31" s="24"/>
      <c r="AD31" s="24"/>
      <c r="AE31" s="24"/>
    </row>
    <row r="32" ht="15.75" customHeight="1">
      <c r="A32" s="76" t="s">
        <v>105</v>
      </c>
      <c r="B32" s="27">
        <v>45545.0</v>
      </c>
      <c r="C32" s="81">
        <v>0.3277777777777778</v>
      </c>
      <c r="D32" s="27">
        <v>45545.0</v>
      </c>
      <c r="E32" s="82">
        <v>0.5291666666666667</v>
      </c>
      <c r="F32" s="51">
        <v>41.0</v>
      </c>
      <c r="G32" s="62">
        <v>45546.0</v>
      </c>
      <c r="H32" s="82">
        <v>0.5291666666666667</v>
      </c>
      <c r="I32" s="52">
        <v>41.0</v>
      </c>
      <c r="J32" s="53">
        <v>0.0</v>
      </c>
      <c r="K32" s="53">
        <v>0.0</v>
      </c>
      <c r="L32" s="51" t="s">
        <v>71</v>
      </c>
      <c r="M32" s="54" t="str">
        <f t="shared" si="2"/>
        <v>&lt; 10</v>
      </c>
      <c r="N32" s="55" t="s">
        <v>12</v>
      </c>
      <c r="O32" s="71" t="s">
        <v>13</v>
      </c>
      <c r="P32" s="55"/>
      <c r="Q32" s="83"/>
      <c r="R32" s="84"/>
      <c r="S32" s="84"/>
      <c r="T32" s="84"/>
      <c r="U32" s="84"/>
      <c r="V32" s="84"/>
      <c r="W32" s="84"/>
      <c r="X32" s="84"/>
      <c r="Y32" s="84"/>
      <c r="Z32" s="84"/>
      <c r="AA32" s="84"/>
      <c r="AB32" s="84"/>
      <c r="AC32" s="84"/>
      <c r="AD32" s="84"/>
      <c r="AE32" s="84"/>
    </row>
    <row r="33" ht="15.75" customHeight="1">
      <c r="A33" s="76" t="s">
        <v>106</v>
      </c>
      <c r="B33" s="27">
        <v>45545.0</v>
      </c>
      <c r="C33" s="81">
        <v>0.3416666666666667</v>
      </c>
      <c r="D33" s="27">
        <v>45545.0</v>
      </c>
      <c r="E33" s="82">
        <v>0.53125</v>
      </c>
      <c r="F33" s="51">
        <v>41.0</v>
      </c>
      <c r="G33" s="62">
        <v>45546.0</v>
      </c>
      <c r="H33" s="82">
        <v>0.53125</v>
      </c>
      <c r="I33" s="52">
        <v>41.0</v>
      </c>
      <c r="J33" s="53">
        <v>0.0</v>
      </c>
      <c r="K33" s="53">
        <v>0.0</v>
      </c>
      <c r="L33" s="51" t="s">
        <v>71</v>
      </c>
      <c r="M33" s="54" t="str">
        <f t="shared" si="2"/>
        <v>&lt; 10</v>
      </c>
      <c r="N33" s="55" t="s">
        <v>12</v>
      </c>
      <c r="O33" s="71" t="s">
        <v>13</v>
      </c>
      <c r="P33" s="85"/>
      <c r="Q33" s="83"/>
      <c r="R33" s="84"/>
      <c r="S33" s="84"/>
      <c r="T33" s="84"/>
      <c r="U33" s="84"/>
      <c r="V33" s="84"/>
      <c r="W33" s="84"/>
      <c r="X33" s="84"/>
      <c r="Y33" s="84"/>
      <c r="Z33" s="84"/>
      <c r="AA33" s="84"/>
      <c r="AB33" s="84"/>
      <c r="AC33" s="84"/>
      <c r="AD33" s="84"/>
      <c r="AE33" s="84"/>
    </row>
    <row r="34" ht="15.75" customHeight="1">
      <c r="A34" s="76" t="s">
        <v>107</v>
      </c>
      <c r="B34" s="27">
        <v>45545.0</v>
      </c>
      <c r="C34" s="81">
        <v>0.3576388888888889</v>
      </c>
      <c r="D34" s="27">
        <v>45545.0</v>
      </c>
      <c r="E34" s="82">
        <v>0.5347222222222222</v>
      </c>
      <c r="F34" s="51">
        <v>41.0</v>
      </c>
      <c r="G34" s="62">
        <v>45546.0</v>
      </c>
      <c r="H34" s="82">
        <v>0.5347222222222222</v>
      </c>
      <c r="I34" s="52">
        <v>41.0</v>
      </c>
      <c r="J34" s="53">
        <v>0.0</v>
      </c>
      <c r="K34" s="53">
        <v>0.0</v>
      </c>
      <c r="L34" s="51" t="s">
        <v>71</v>
      </c>
      <c r="M34" s="54" t="str">
        <f t="shared" si="2"/>
        <v>&lt; 10</v>
      </c>
      <c r="N34" s="55" t="s">
        <v>12</v>
      </c>
      <c r="O34" s="71" t="s">
        <v>13</v>
      </c>
      <c r="P34" s="85"/>
      <c r="Q34" s="83"/>
      <c r="R34" s="84"/>
      <c r="S34" s="84"/>
      <c r="T34" s="84"/>
      <c r="U34" s="84"/>
      <c r="V34" s="84"/>
      <c r="W34" s="84"/>
      <c r="X34" s="84"/>
      <c r="Y34" s="84"/>
      <c r="Z34" s="84"/>
      <c r="AA34" s="84"/>
      <c r="AB34" s="84"/>
      <c r="AC34" s="84"/>
      <c r="AD34" s="84"/>
      <c r="AE34" s="84"/>
    </row>
    <row r="35" ht="15.75" customHeight="1">
      <c r="A35" s="76" t="s">
        <v>108</v>
      </c>
      <c r="B35" s="27">
        <v>45545.0</v>
      </c>
      <c r="C35" s="81">
        <v>0.3770833333333333</v>
      </c>
      <c r="D35" s="27">
        <v>45545.0</v>
      </c>
      <c r="E35" s="82">
        <v>0.5381944444444444</v>
      </c>
      <c r="F35" s="51">
        <v>41.0</v>
      </c>
      <c r="G35" s="62">
        <v>45546.0</v>
      </c>
      <c r="H35" s="82">
        <v>0.5381944444444444</v>
      </c>
      <c r="I35" s="52">
        <v>41.0</v>
      </c>
      <c r="J35" s="53">
        <v>0.0</v>
      </c>
      <c r="K35" s="53">
        <v>0.0</v>
      </c>
      <c r="L35" s="51" t="s">
        <v>71</v>
      </c>
      <c r="M35" s="54" t="str">
        <f t="shared" si="2"/>
        <v>&lt; 10</v>
      </c>
      <c r="N35" s="55" t="s">
        <v>12</v>
      </c>
      <c r="O35" s="71" t="s">
        <v>13</v>
      </c>
      <c r="P35" s="85"/>
      <c r="Q35" s="83"/>
      <c r="R35" s="84"/>
      <c r="S35" s="84"/>
      <c r="T35" s="84"/>
      <c r="U35" s="84"/>
      <c r="V35" s="84"/>
      <c r="W35" s="84"/>
      <c r="X35" s="84"/>
      <c r="Y35" s="84"/>
      <c r="Z35" s="84"/>
      <c r="AA35" s="84"/>
      <c r="AB35" s="84"/>
      <c r="AC35" s="84"/>
      <c r="AD35" s="84"/>
      <c r="AE35" s="84"/>
    </row>
    <row r="36" ht="15.75" customHeight="1">
      <c r="A36" s="76" t="s">
        <v>109</v>
      </c>
      <c r="B36" s="27">
        <v>45545.0</v>
      </c>
      <c r="C36" s="81">
        <v>0.3486111111111111</v>
      </c>
      <c r="D36" s="27">
        <v>45545.0</v>
      </c>
      <c r="E36" s="82">
        <v>0.5395833333333333</v>
      </c>
      <c r="F36" s="51">
        <v>41.0</v>
      </c>
      <c r="G36" s="62">
        <v>45546.0</v>
      </c>
      <c r="H36" s="82">
        <v>0.5395833333333333</v>
      </c>
      <c r="I36" s="52">
        <v>41.0</v>
      </c>
      <c r="J36" s="53">
        <v>0.0</v>
      </c>
      <c r="K36" s="53">
        <v>0.0</v>
      </c>
      <c r="L36" s="51" t="s">
        <v>71</v>
      </c>
      <c r="M36" s="54" t="str">
        <f t="shared" si="2"/>
        <v>&lt; 10</v>
      </c>
      <c r="N36" s="55" t="s">
        <v>12</v>
      </c>
      <c r="O36" s="71" t="s">
        <v>13</v>
      </c>
      <c r="P36" s="85"/>
      <c r="Q36" s="83"/>
      <c r="R36" s="84"/>
      <c r="S36" s="84"/>
      <c r="T36" s="84"/>
      <c r="U36" s="84"/>
      <c r="V36" s="84"/>
      <c r="W36" s="84"/>
      <c r="X36" s="84"/>
      <c r="Y36" s="84"/>
      <c r="Z36" s="84"/>
      <c r="AA36" s="84"/>
      <c r="AB36" s="84"/>
      <c r="AC36" s="84"/>
      <c r="AD36" s="84"/>
      <c r="AE36" s="84"/>
    </row>
    <row r="37" ht="15.75" customHeight="1">
      <c r="A37" s="76" t="s">
        <v>110</v>
      </c>
      <c r="B37" s="27">
        <v>45545.0</v>
      </c>
      <c r="C37" s="81">
        <v>0.41388888888888886</v>
      </c>
      <c r="D37" s="27">
        <v>45545.0</v>
      </c>
      <c r="E37" s="82">
        <v>0.5416666666666666</v>
      </c>
      <c r="F37" s="51">
        <v>41.0</v>
      </c>
      <c r="G37" s="62">
        <v>45546.0</v>
      </c>
      <c r="H37" s="82">
        <v>0.5416666666666666</v>
      </c>
      <c r="I37" s="52">
        <v>41.0</v>
      </c>
      <c r="J37" s="66">
        <v>23.0</v>
      </c>
      <c r="K37" s="66">
        <v>3.0</v>
      </c>
      <c r="L37" s="67">
        <v>32.7</v>
      </c>
      <c r="M37" s="54">
        <f t="shared" si="2"/>
        <v>327</v>
      </c>
      <c r="N37" s="55" t="s">
        <v>12</v>
      </c>
      <c r="O37" s="71" t="s">
        <v>13</v>
      </c>
      <c r="P37" s="85"/>
      <c r="Q37" s="83"/>
      <c r="R37" s="84"/>
      <c r="S37" s="84"/>
      <c r="T37" s="84"/>
      <c r="U37" s="84"/>
      <c r="V37" s="84"/>
      <c r="W37" s="84"/>
      <c r="X37" s="84"/>
      <c r="Y37" s="84"/>
      <c r="Z37" s="84"/>
      <c r="AA37" s="84"/>
      <c r="AB37" s="84"/>
      <c r="AC37" s="84"/>
      <c r="AD37" s="84"/>
      <c r="AE37" s="84"/>
    </row>
    <row r="38" ht="15.75" customHeight="1">
      <c r="A38" s="76" t="s">
        <v>111</v>
      </c>
      <c r="B38" s="27">
        <v>45545.0</v>
      </c>
      <c r="C38" s="81">
        <v>0.4479166666666667</v>
      </c>
      <c r="D38" s="27">
        <v>45545.0</v>
      </c>
      <c r="E38" s="82">
        <v>0.5430555555555555</v>
      </c>
      <c r="F38" s="51">
        <v>41.0</v>
      </c>
      <c r="G38" s="62">
        <v>45546.0</v>
      </c>
      <c r="H38" s="82">
        <v>0.5430555555555555</v>
      </c>
      <c r="I38" s="52">
        <v>41.0</v>
      </c>
      <c r="J38" s="53">
        <v>0.0</v>
      </c>
      <c r="K38" s="53">
        <v>0.0</v>
      </c>
      <c r="L38" s="51" t="s">
        <v>71</v>
      </c>
      <c r="M38" s="54" t="str">
        <f t="shared" si="2"/>
        <v>&lt; 10</v>
      </c>
      <c r="N38" s="55" t="s">
        <v>12</v>
      </c>
      <c r="O38" s="71" t="s">
        <v>13</v>
      </c>
      <c r="P38" s="85"/>
      <c r="Q38" s="83"/>
      <c r="R38" s="84"/>
      <c r="S38" s="84"/>
      <c r="T38" s="84"/>
      <c r="U38" s="84"/>
      <c r="V38" s="84"/>
      <c r="W38" s="84"/>
      <c r="X38" s="84"/>
      <c r="Y38" s="84"/>
      <c r="Z38" s="84"/>
      <c r="AA38" s="84"/>
      <c r="AB38" s="84"/>
      <c r="AC38" s="84"/>
      <c r="AD38" s="84"/>
      <c r="AE38" s="84"/>
    </row>
    <row r="39" ht="15.75" customHeight="1">
      <c r="A39" s="69" t="s">
        <v>112</v>
      </c>
      <c r="B39" s="27">
        <v>45545.0</v>
      </c>
      <c r="C39" s="81">
        <v>0.47847222222222224</v>
      </c>
      <c r="D39" s="27">
        <v>45545.0</v>
      </c>
      <c r="E39" s="64">
        <v>0.5451388888888888</v>
      </c>
      <c r="F39" s="51">
        <v>41.0</v>
      </c>
      <c r="G39" s="62">
        <v>45546.0</v>
      </c>
      <c r="H39" s="64">
        <v>0.5451388888888888</v>
      </c>
      <c r="I39" s="52">
        <v>41.0</v>
      </c>
      <c r="J39" s="53">
        <v>0.0</v>
      </c>
      <c r="K39" s="53">
        <v>0.0</v>
      </c>
      <c r="L39" s="51" t="s">
        <v>71</v>
      </c>
      <c r="M39" s="54" t="str">
        <f t="shared" si="2"/>
        <v>&lt; 10</v>
      </c>
      <c r="N39" s="55" t="s">
        <v>12</v>
      </c>
      <c r="O39" s="71" t="s">
        <v>13</v>
      </c>
      <c r="P39" s="85"/>
      <c r="Q39" s="83"/>
      <c r="R39" s="84"/>
      <c r="S39" s="84"/>
      <c r="T39" s="84"/>
      <c r="U39" s="84"/>
      <c r="V39" s="84"/>
      <c r="W39" s="84"/>
      <c r="X39" s="84"/>
      <c r="Y39" s="84"/>
      <c r="Z39" s="84"/>
      <c r="AA39" s="84"/>
      <c r="AB39" s="84"/>
      <c r="AC39" s="84"/>
      <c r="AD39" s="84"/>
      <c r="AE39" s="84"/>
    </row>
    <row r="40" ht="15.75" customHeight="1">
      <c r="A40" s="69" t="s">
        <v>113</v>
      </c>
      <c r="B40" s="62">
        <v>45547.0</v>
      </c>
      <c r="C40" s="81">
        <v>0.3576388888888889</v>
      </c>
      <c r="D40" s="62">
        <v>45547.0</v>
      </c>
      <c r="E40" s="64">
        <v>0.5430555555555555</v>
      </c>
      <c r="F40" s="51">
        <v>41.0</v>
      </c>
      <c r="G40" s="62">
        <v>45548.0</v>
      </c>
      <c r="H40" s="64">
        <v>0.5430555555555555</v>
      </c>
      <c r="I40" s="52">
        <v>41.0</v>
      </c>
      <c r="J40" s="53">
        <v>0.0</v>
      </c>
      <c r="K40" s="53">
        <v>0.0</v>
      </c>
      <c r="L40" s="51" t="s">
        <v>71</v>
      </c>
      <c r="M40" s="54" t="str">
        <f t="shared" si="2"/>
        <v>&lt; 10</v>
      </c>
      <c r="N40" s="55" t="s">
        <v>12</v>
      </c>
      <c r="O40" s="71" t="s">
        <v>77</v>
      </c>
      <c r="P40" s="85"/>
      <c r="Q40" s="83"/>
      <c r="R40" s="84"/>
      <c r="S40" s="84"/>
      <c r="T40" s="84"/>
      <c r="U40" s="84"/>
      <c r="V40" s="84"/>
      <c r="W40" s="84"/>
      <c r="X40" s="84"/>
      <c r="Y40" s="84"/>
      <c r="Z40" s="84"/>
      <c r="AA40" s="84"/>
      <c r="AB40" s="84"/>
      <c r="AC40" s="84"/>
      <c r="AD40" s="84"/>
      <c r="AE40" s="84"/>
    </row>
    <row r="41" ht="15.75" customHeight="1">
      <c r="A41" s="69" t="s">
        <v>114</v>
      </c>
      <c r="B41" s="62">
        <v>45547.0</v>
      </c>
      <c r="C41" s="63">
        <v>0.3715277777777778</v>
      </c>
      <c r="D41" s="62">
        <v>45547.0</v>
      </c>
      <c r="E41" s="64">
        <v>0.5576388888888889</v>
      </c>
      <c r="F41" s="51">
        <v>41.0</v>
      </c>
      <c r="G41" s="62">
        <v>45548.0</v>
      </c>
      <c r="H41" s="64">
        <v>0.5576388888888889</v>
      </c>
      <c r="I41" s="52">
        <v>41.0</v>
      </c>
      <c r="J41" s="53">
        <v>0.0</v>
      </c>
      <c r="K41" s="53">
        <v>0.0</v>
      </c>
      <c r="L41" s="51" t="s">
        <v>71</v>
      </c>
      <c r="M41" s="54" t="str">
        <f t="shared" si="2"/>
        <v>&lt; 10</v>
      </c>
      <c r="N41" s="55" t="s">
        <v>12</v>
      </c>
      <c r="O41" s="71" t="s">
        <v>77</v>
      </c>
      <c r="P41" s="85"/>
      <c r="Q41" s="83"/>
      <c r="R41" s="84"/>
      <c r="S41" s="84"/>
      <c r="T41" s="84"/>
      <c r="U41" s="84"/>
      <c r="V41" s="84"/>
      <c r="W41" s="84"/>
      <c r="X41" s="84"/>
      <c r="Y41" s="84"/>
      <c r="Z41" s="84"/>
      <c r="AA41" s="84"/>
      <c r="AB41" s="84"/>
      <c r="AC41" s="84"/>
      <c r="AD41" s="84"/>
      <c r="AE41" s="84"/>
    </row>
    <row r="42" ht="15.75" customHeight="1">
      <c r="A42" s="69" t="s">
        <v>115</v>
      </c>
      <c r="B42" s="62">
        <v>45547.0</v>
      </c>
      <c r="C42" s="63">
        <v>0.4131944444444444</v>
      </c>
      <c r="D42" s="62">
        <v>45547.0</v>
      </c>
      <c r="E42" s="64">
        <v>0.55</v>
      </c>
      <c r="F42" s="51">
        <v>41.0</v>
      </c>
      <c r="G42" s="62">
        <v>45548.0</v>
      </c>
      <c r="H42" s="64">
        <v>0.55</v>
      </c>
      <c r="I42" s="52">
        <v>41.0</v>
      </c>
      <c r="J42" s="53">
        <v>0.0</v>
      </c>
      <c r="K42" s="53">
        <v>0.0</v>
      </c>
      <c r="L42" s="51" t="s">
        <v>71</v>
      </c>
      <c r="M42" s="54" t="str">
        <f t="shared" si="2"/>
        <v>&lt; 10</v>
      </c>
      <c r="N42" s="55" t="s">
        <v>12</v>
      </c>
      <c r="O42" s="71" t="s">
        <v>77</v>
      </c>
      <c r="P42" s="85"/>
      <c r="Q42" s="83"/>
      <c r="R42" s="84"/>
      <c r="S42" s="84"/>
      <c r="T42" s="84"/>
      <c r="U42" s="84"/>
      <c r="V42" s="84"/>
      <c r="W42" s="84"/>
      <c r="X42" s="84"/>
      <c r="Y42" s="84"/>
      <c r="Z42" s="84"/>
      <c r="AA42" s="84"/>
      <c r="AB42" s="84"/>
      <c r="AC42" s="84"/>
      <c r="AD42" s="84"/>
      <c r="AE42" s="84"/>
    </row>
    <row r="43" ht="15.75" customHeight="1">
      <c r="A43" s="69" t="s">
        <v>116</v>
      </c>
      <c r="B43" s="62">
        <v>45547.0</v>
      </c>
      <c r="C43" s="63">
        <v>0.4340277777777778</v>
      </c>
      <c r="D43" s="62">
        <v>45547.0</v>
      </c>
      <c r="E43" s="64">
        <v>0.5645833333333333</v>
      </c>
      <c r="F43" s="51">
        <v>41.0</v>
      </c>
      <c r="G43" s="62">
        <v>45548.0</v>
      </c>
      <c r="H43" s="64">
        <v>0.5645833333333333</v>
      </c>
      <c r="I43" s="52">
        <v>41.0</v>
      </c>
      <c r="J43" s="53">
        <v>0.0</v>
      </c>
      <c r="K43" s="53">
        <v>0.0</v>
      </c>
      <c r="L43" s="51" t="s">
        <v>71</v>
      </c>
      <c r="M43" s="54" t="str">
        <f t="shared" si="2"/>
        <v>&lt; 10</v>
      </c>
      <c r="N43" s="55" t="s">
        <v>12</v>
      </c>
      <c r="O43" s="71" t="s">
        <v>77</v>
      </c>
      <c r="P43" s="85"/>
      <c r="Q43" s="83"/>
      <c r="R43" s="84"/>
      <c r="S43" s="84"/>
      <c r="T43" s="84"/>
      <c r="U43" s="84"/>
      <c r="V43" s="84"/>
      <c r="W43" s="84"/>
      <c r="X43" s="84"/>
      <c r="Y43" s="84"/>
      <c r="Z43" s="84"/>
      <c r="AA43" s="84"/>
      <c r="AB43" s="84"/>
      <c r="AC43" s="84"/>
      <c r="AD43" s="84"/>
      <c r="AE43" s="84"/>
    </row>
    <row r="44" ht="15.75" customHeight="1">
      <c r="A44" s="69" t="s">
        <v>117</v>
      </c>
      <c r="B44" s="62">
        <v>45547.0</v>
      </c>
      <c r="C44" s="63">
        <v>0.46041666666666664</v>
      </c>
      <c r="D44" s="62">
        <v>45547.0</v>
      </c>
      <c r="E44" s="64">
        <v>0.5555555555555556</v>
      </c>
      <c r="F44" s="51">
        <v>41.0</v>
      </c>
      <c r="G44" s="62">
        <v>45548.0</v>
      </c>
      <c r="H44" s="64">
        <v>0.5555555555555556</v>
      </c>
      <c r="I44" s="52">
        <v>41.0</v>
      </c>
      <c r="J44" s="53">
        <v>0.0</v>
      </c>
      <c r="K44" s="53">
        <v>0.0</v>
      </c>
      <c r="L44" s="51" t="s">
        <v>71</v>
      </c>
      <c r="M44" s="54" t="str">
        <f t="shared" si="2"/>
        <v>&lt; 10</v>
      </c>
      <c r="N44" s="55" t="s">
        <v>12</v>
      </c>
      <c r="O44" s="71" t="s">
        <v>77</v>
      </c>
      <c r="P44" s="85"/>
      <c r="Q44" s="57"/>
    </row>
    <row r="45" ht="15.75" customHeight="1">
      <c r="A45" s="69" t="s">
        <v>118</v>
      </c>
      <c r="B45" s="62">
        <v>45547.0</v>
      </c>
      <c r="C45" s="81">
        <v>0.475</v>
      </c>
      <c r="D45" s="62">
        <v>45547.0</v>
      </c>
      <c r="E45" s="64">
        <v>0.5708333333333333</v>
      </c>
      <c r="F45" s="51">
        <v>41.0</v>
      </c>
      <c r="G45" s="62">
        <v>45548.0</v>
      </c>
      <c r="H45" s="64">
        <v>0.5708333333333333</v>
      </c>
      <c r="I45" s="52">
        <v>41.0</v>
      </c>
      <c r="J45" s="53">
        <v>0.0</v>
      </c>
      <c r="K45" s="53">
        <v>0.0</v>
      </c>
      <c r="L45" s="51" t="s">
        <v>71</v>
      </c>
      <c r="M45" s="54" t="str">
        <f t="shared" si="2"/>
        <v>&lt; 10</v>
      </c>
      <c r="N45" s="55" t="s">
        <v>12</v>
      </c>
      <c r="O45" s="71" t="s">
        <v>77</v>
      </c>
      <c r="P45" s="85"/>
      <c r="Q45" s="57"/>
    </row>
    <row r="46" ht="15.75" customHeight="1">
      <c r="A46" s="69" t="s">
        <v>119</v>
      </c>
      <c r="B46" s="62">
        <v>45547.0</v>
      </c>
      <c r="C46" s="81">
        <v>0.48541666666666666</v>
      </c>
      <c r="D46" s="62">
        <v>45547.0</v>
      </c>
      <c r="E46" s="64">
        <v>0.5659722222222222</v>
      </c>
      <c r="F46" s="51">
        <v>41.0</v>
      </c>
      <c r="G46" s="62">
        <v>45548.0</v>
      </c>
      <c r="H46" s="64">
        <v>0.5659722222222222</v>
      </c>
      <c r="I46" s="52">
        <v>41.0</v>
      </c>
      <c r="J46" s="53">
        <v>0.0</v>
      </c>
      <c r="K46" s="53">
        <v>0.0</v>
      </c>
      <c r="L46" s="51" t="s">
        <v>71</v>
      </c>
      <c r="M46" s="54" t="str">
        <f t="shared" si="2"/>
        <v>&lt; 10</v>
      </c>
      <c r="N46" s="55" t="s">
        <v>12</v>
      </c>
      <c r="O46" s="71" t="s">
        <v>77</v>
      </c>
      <c r="P46" s="85"/>
      <c r="Q46" s="57"/>
    </row>
    <row r="47" ht="15.75" customHeight="1">
      <c r="A47" s="69" t="s">
        <v>120</v>
      </c>
      <c r="B47" s="62">
        <v>45547.0</v>
      </c>
      <c r="C47" s="81">
        <v>0.49444444444444446</v>
      </c>
      <c r="D47" s="62">
        <v>45547.0</v>
      </c>
      <c r="E47" s="64">
        <v>0.56875</v>
      </c>
      <c r="F47" s="51">
        <v>41.0</v>
      </c>
      <c r="G47" s="62">
        <v>45548.0</v>
      </c>
      <c r="H47" s="64">
        <v>0.56875</v>
      </c>
      <c r="I47" s="52">
        <v>41.0</v>
      </c>
      <c r="J47" s="53">
        <v>0.0</v>
      </c>
      <c r="K47" s="53">
        <v>0.0</v>
      </c>
      <c r="L47" s="51" t="s">
        <v>71</v>
      </c>
      <c r="M47" s="54" t="str">
        <f t="shared" si="2"/>
        <v>&lt; 10</v>
      </c>
      <c r="N47" s="55" t="s">
        <v>12</v>
      </c>
      <c r="O47" s="71" t="s">
        <v>77</v>
      </c>
      <c r="P47" s="85"/>
      <c r="Q47" s="57"/>
    </row>
    <row r="48" ht="15.75" customHeight="1">
      <c r="A48" s="69" t="s">
        <v>121</v>
      </c>
      <c r="B48" s="86">
        <v>45551.0</v>
      </c>
      <c r="C48" s="63">
        <v>0.26944444444444443</v>
      </c>
      <c r="D48" s="86">
        <v>45551.0</v>
      </c>
      <c r="E48" s="63">
        <v>0.5506944444444445</v>
      </c>
      <c r="F48" s="51">
        <v>41.0</v>
      </c>
      <c r="G48" s="86">
        <v>45552.0</v>
      </c>
      <c r="H48" s="63">
        <v>0.5506944444444445</v>
      </c>
      <c r="I48" s="52">
        <v>41.0</v>
      </c>
      <c r="J48" s="53">
        <v>0.0</v>
      </c>
      <c r="K48" s="53">
        <v>0.0</v>
      </c>
      <c r="L48" s="51" t="s">
        <v>71</v>
      </c>
      <c r="M48" s="54" t="str">
        <f t="shared" si="2"/>
        <v>&lt; 10</v>
      </c>
      <c r="N48" s="55" t="s">
        <v>12</v>
      </c>
      <c r="O48" s="71" t="s">
        <v>13</v>
      </c>
      <c r="P48" s="87" t="s">
        <v>122</v>
      </c>
      <c r="Q48" s="57"/>
    </row>
    <row r="49" ht="15.75" customHeight="1">
      <c r="A49" s="69" t="s">
        <v>123</v>
      </c>
      <c r="B49" s="86">
        <v>45551.0</v>
      </c>
      <c r="C49" s="63">
        <v>0.2777777777777778</v>
      </c>
      <c r="D49" s="86">
        <v>45551.0</v>
      </c>
      <c r="E49" s="88">
        <v>0.5520833333333334</v>
      </c>
      <c r="F49" s="51">
        <v>41.0</v>
      </c>
      <c r="G49" s="86">
        <v>45552.0</v>
      </c>
      <c r="H49" s="88">
        <v>0.5520833333333334</v>
      </c>
      <c r="I49" s="52">
        <v>41.0</v>
      </c>
      <c r="J49" s="53">
        <v>0.0</v>
      </c>
      <c r="K49" s="53">
        <v>0.0</v>
      </c>
      <c r="L49" s="51" t="s">
        <v>71</v>
      </c>
      <c r="M49" s="54" t="str">
        <f t="shared" si="2"/>
        <v>&lt; 10</v>
      </c>
      <c r="N49" s="55" t="s">
        <v>12</v>
      </c>
      <c r="O49" s="71" t="s">
        <v>13</v>
      </c>
      <c r="P49" s="87" t="s">
        <v>124</v>
      </c>
      <c r="Q49" s="57"/>
    </row>
    <row r="50" ht="15.75" customHeight="1">
      <c r="A50" s="69" t="s">
        <v>125</v>
      </c>
      <c r="B50" s="86">
        <v>45551.0</v>
      </c>
      <c r="C50" s="63">
        <v>0.3923611111111111</v>
      </c>
      <c r="D50" s="86">
        <v>45551.0</v>
      </c>
      <c r="E50" s="88">
        <v>0.5534722222222223</v>
      </c>
      <c r="F50" s="51">
        <v>41.0</v>
      </c>
      <c r="G50" s="86">
        <v>45552.0</v>
      </c>
      <c r="H50" s="88">
        <v>0.5534722222222223</v>
      </c>
      <c r="I50" s="52">
        <v>41.0</v>
      </c>
      <c r="J50" s="53">
        <v>0.0</v>
      </c>
      <c r="K50" s="53">
        <v>0.0</v>
      </c>
      <c r="L50" s="51" t="s">
        <v>71</v>
      </c>
      <c r="M50" s="54" t="str">
        <f t="shared" si="2"/>
        <v>&lt; 10</v>
      </c>
      <c r="N50" s="55" t="s">
        <v>12</v>
      </c>
      <c r="O50" s="71" t="s">
        <v>13</v>
      </c>
      <c r="P50" s="85"/>
      <c r="Q50" s="57"/>
    </row>
    <row r="51" ht="15.75" customHeight="1">
      <c r="A51" s="69" t="s">
        <v>126</v>
      </c>
      <c r="B51" s="86">
        <v>45551.0</v>
      </c>
      <c r="C51" s="89">
        <v>0.4027777777777778</v>
      </c>
      <c r="D51" s="86">
        <v>45551.0</v>
      </c>
      <c r="E51" s="88">
        <v>0.5548611111111111</v>
      </c>
      <c r="F51" s="51">
        <v>41.0</v>
      </c>
      <c r="G51" s="86">
        <v>45552.0</v>
      </c>
      <c r="H51" s="88">
        <v>0.5548611111111111</v>
      </c>
      <c r="I51" s="52">
        <v>41.0</v>
      </c>
      <c r="J51" s="53">
        <v>0.0</v>
      </c>
      <c r="K51" s="53">
        <v>0.0</v>
      </c>
      <c r="L51" s="51" t="s">
        <v>71</v>
      </c>
      <c r="M51" s="54" t="str">
        <f t="shared" si="2"/>
        <v>&lt; 10</v>
      </c>
      <c r="N51" s="55" t="s">
        <v>12</v>
      </c>
      <c r="O51" s="71" t="s">
        <v>13</v>
      </c>
      <c r="P51" s="85"/>
      <c r="Q51" s="57"/>
    </row>
    <row r="52" ht="15.75" customHeight="1">
      <c r="A52" s="90"/>
      <c r="B52" s="91"/>
      <c r="C52" s="92"/>
      <c r="D52" s="91"/>
      <c r="E52" s="93"/>
      <c r="F52" s="94"/>
      <c r="G52" s="91"/>
      <c r="H52" s="93"/>
      <c r="I52" s="95"/>
      <c r="J52" s="95"/>
      <c r="K52" s="95"/>
      <c r="L52" s="94"/>
      <c r="M52" s="96"/>
      <c r="N52" s="95"/>
      <c r="O52" s="95"/>
      <c r="P52" s="95"/>
    </row>
    <row r="53" ht="15.75" customHeight="1">
      <c r="A53" s="90"/>
      <c r="B53" s="91"/>
      <c r="C53" s="92"/>
      <c r="D53" s="91"/>
      <c r="E53" s="93"/>
      <c r="F53" s="94"/>
      <c r="G53" s="91"/>
      <c r="H53" s="93"/>
      <c r="I53" s="95"/>
      <c r="J53" s="95"/>
      <c r="K53" s="95"/>
      <c r="L53" s="94"/>
      <c r="M53" s="96"/>
      <c r="N53" s="95"/>
      <c r="O53" s="95"/>
      <c r="P53" s="95"/>
    </row>
    <row r="54" ht="15.75" customHeight="1">
      <c r="A54" s="90"/>
      <c r="B54" s="91"/>
      <c r="C54" s="92"/>
      <c r="D54" s="91"/>
      <c r="E54" s="93"/>
      <c r="F54" s="94"/>
      <c r="G54" s="91"/>
      <c r="H54" s="93"/>
      <c r="I54" s="95"/>
      <c r="J54" s="95"/>
      <c r="K54" s="95"/>
      <c r="L54" s="94"/>
      <c r="M54" s="96"/>
      <c r="N54" s="95"/>
      <c r="O54" s="95"/>
      <c r="P54" s="95"/>
    </row>
    <row r="55" ht="15.75" customHeight="1">
      <c r="A55" s="90"/>
      <c r="B55" s="91"/>
      <c r="C55" s="92"/>
      <c r="D55" s="91"/>
      <c r="E55" s="93"/>
      <c r="F55" s="94"/>
      <c r="G55" s="91"/>
      <c r="H55" s="93"/>
      <c r="I55" s="95"/>
      <c r="J55" s="95"/>
      <c r="K55" s="95"/>
      <c r="L55" s="94"/>
      <c r="M55" s="96"/>
      <c r="N55" s="95"/>
      <c r="O55" s="95"/>
      <c r="P55" s="95"/>
    </row>
    <row r="56" ht="15.75" customHeight="1">
      <c r="A56" s="90"/>
      <c r="B56" s="91"/>
      <c r="C56" s="92"/>
      <c r="D56" s="91"/>
      <c r="E56" s="93"/>
      <c r="F56" s="94"/>
      <c r="G56" s="91"/>
      <c r="H56" s="93"/>
      <c r="I56" s="95"/>
      <c r="J56" s="95"/>
      <c r="K56" s="95"/>
      <c r="L56" s="94"/>
      <c r="M56" s="96"/>
      <c r="N56" s="95"/>
      <c r="O56" s="95"/>
      <c r="P56" s="95"/>
    </row>
    <row r="57" ht="15.75" customHeight="1">
      <c r="A57" s="90"/>
      <c r="B57" s="91"/>
      <c r="C57" s="92"/>
      <c r="D57" s="91"/>
      <c r="E57" s="93"/>
      <c r="F57" s="94"/>
      <c r="G57" s="91"/>
      <c r="H57" s="93"/>
      <c r="I57" s="95"/>
      <c r="J57" s="95"/>
      <c r="K57" s="95"/>
      <c r="L57" s="94"/>
      <c r="M57" s="96"/>
      <c r="N57" s="95"/>
      <c r="O57" s="95"/>
      <c r="P57" s="95"/>
    </row>
    <row r="58" ht="15.75" customHeight="1">
      <c r="A58" s="90"/>
      <c r="B58" s="91"/>
      <c r="C58" s="92"/>
      <c r="D58" s="91"/>
      <c r="E58" s="93"/>
      <c r="F58" s="94"/>
      <c r="G58" s="91"/>
      <c r="H58" s="93"/>
      <c r="I58" s="95"/>
      <c r="J58" s="95"/>
      <c r="K58" s="95"/>
      <c r="L58" s="94"/>
      <c r="M58" s="96"/>
      <c r="N58" s="95"/>
      <c r="O58" s="95"/>
      <c r="P58" s="95"/>
    </row>
    <row r="59" ht="15.75" customHeight="1">
      <c r="A59" s="90"/>
      <c r="B59" s="91"/>
      <c r="C59" s="92"/>
      <c r="D59" s="91"/>
      <c r="E59" s="93"/>
      <c r="F59" s="94"/>
      <c r="G59" s="91"/>
      <c r="H59" s="93"/>
      <c r="I59" s="95"/>
      <c r="J59" s="95"/>
      <c r="K59" s="95"/>
      <c r="L59" s="94"/>
      <c r="M59" s="96"/>
      <c r="N59" s="95"/>
      <c r="O59" s="95"/>
      <c r="P59" s="95"/>
    </row>
    <row r="60" ht="15.75" customHeight="1">
      <c r="A60" s="90"/>
      <c r="B60" s="91"/>
      <c r="C60" s="92"/>
      <c r="D60" s="91"/>
      <c r="E60" s="93"/>
      <c r="F60" s="94"/>
      <c r="G60" s="91"/>
      <c r="H60" s="93"/>
      <c r="I60" s="95"/>
      <c r="J60" s="95"/>
      <c r="K60" s="95"/>
      <c r="L60" s="94"/>
      <c r="M60" s="96"/>
      <c r="N60" s="95"/>
      <c r="O60" s="95"/>
      <c r="P60" s="95"/>
    </row>
    <row r="61" ht="15.75" customHeight="1">
      <c r="A61" s="90"/>
      <c r="B61" s="91"/>
      <c r="C61" s="92"/>
      <c r="D61" s="91"/>
      <c r="E61" s="93"/>
      <c r="F61" s="94"/>
      <c r="G61" s="91"/>
      <c r="H61" s="93"/>
      <c r="I61" s="95"/>
      <c r="J61" s="95"/>
      <c r="K61" s="95"/>
      <c r="L61" s="94"/>
      <c r="M61" s="96"/>
      <c r="N61" s="95"/>
      <c r="O61" s="95"/>
      <c r="P61" s="95"/>
    </row>
    <row r="62" ht="15.75" customHeight="1">
      <c r="A62" s="90"/>
      <c r="B62" s="91"/>
      <c r="C62" s="92"/>
      <c r="D62" s="91"/>
      <c r="E62" s="93"/>
      <c r="F62" s="94"/>
      <c r="G62" s="91"/>
      <c r="H62" s="93"/>
      <c r="I62" s="95"/>
      <c r="J62" s="95"/>
      <c r="K62" s="95"/>
      <c r="L62" s="94"/>
      <c r="M62" s="96"/>
      <c r="N62" s="95"/>
      <c r="O62" s="95"/>
      <c r="P62" s="95"/>
    </row>
    <row r="63" ht="15.75" customHeight="1">
      <c r="A63" s="90"/>
      <c r="B63" s="91"/>
      <c r="C63" s="92"/>
      <c r="D63" s="91"/>
      <c r="E63" s="93"/>
      <c r="F63" s="94"/>
      <c r="G63" s="91"/>
      <c r="H63" s="93"/>
      <c r="I63" s="95"/>
      <c r="J63" s="95"/>
      <c r="K63" s="95"/>
      <c r="L63" s="94"/>
      <c r="M63" s="96"/>
      <c r="N63" s="95"/>
      <c r="O63" s="95"/>
      <c r="P63" s="95"/>
    </row>
    <row r="64" ht="15.75" customHeight="1">
      <c r="A64" s="90"/>
      <c r="B64" s="91"/>
      <c r="C64" s="92"/>
      <c r="D64" s="91"/>
      <c r="E64" s="93"/>
      <c r="F64" s="94"/>
      <c r="G64" s="91"/>
      <c r="H64" s="93"/>
      <c r="I64" s="95"/>
      <c r="J64" s="95"/>
      <c r="K64" s="95"/>
      <c r="L64" s="94"/>
      <c r="M64" s="96"/>
      <c r="N64" s="95"/>
      <c r="O64" s="95"/>
      <c r="P64" s="95"/>
    </row>
    <row r="65" ht="15.75" customHeight="1">
      <c r="A65" s="90"/>
      <c r="B65" s="91"/>
      <c r="C65" s="92"/>
      <c r="D65" s="91"/>
      <c r="E65" s="93"/>
      <c r="F65" s="94"/>
      <c r="G65" s="91"/>
      <c r="H65" s="93"/>
      <c r="I65" s="95"/>
      <c r="J65" s="95"/>
      <c r="K65" s="95"/>
      <c r="L65" s="94"/>
      <c r="M65" s="96"/>
      <c r="N65" s="95"/>
      <c r="O65" s="95"/>
      <c r="P65" s="95"/>
    </row>
    <row r="66" ht="15.75" customHeight="1">
      <c r="A66" s="90"/>
      <c r="B66" s="91"/>
      <c r="C66" s="92"/>
      <c r="D66" s="91"/>
      <c r="E66" s="93"/>
      <c r="F66" s="94"/>
      <c r="G66" s="91"/>
      <c r="H66" s="93"/>
      <c r="I66" s="95"/>
      <c r="J66" s="95"/>
      <c r="K66" s="95"/>
      <c r="L66" s="94"/>
      <c r="M66" s="96"/>
      <c r="N66" s="95"/>
      <c r="O66" s="95"/>
      <c r="P66" s="95"/>
    </row>
    <row r="67" ht="15.75" customHeight="1">
      <c r="A67" s="90"/>
      <c r="B67" s="91"/>
      <c r="C67" s="92"/>
      <c r="D67" s="91"/>
      <c r="E67" s="93"/>
      <c r="F67" s="94"/>
      <c r="G67" s="91"/>
      <c r="H67" s="93"/>
      <c r="I67" s="95"/>
      <c r="J67" s="95"/>
      <c r="K67" s="95"/>
      <c r="L67" s="94"/>
      <c r="M67" s="96"/>
      <c r="N67" s="95"/>
      <c r="O67" s="95"/>
      <c r="P67" s="95"/>
    </row>
    <row r="68" ht="15.75" customHeight="1">
      <c r="A68" s="90"/>
      <c r="B68" s="91"/>
      <c r="C68" s="92"/>
      <c r="D68" s="91"/>
      <c r="E68" s="93"/>
      <c r="F68" s="94"/>
      <c r="G68" s="91"/>
      <c r="H68" s="93"/>
      <c r="I68" s="95"/>
      <c r="J68" s="95"/>
      <c r="K68" s="95"/>
      <c r="L68" s="94"/>
      <c r="M68" s="96"/>
      <c r="N68" s="95"/>
      <c r="O68" s="95"/>
      <c r="P68" s="95"/>
    </row>
    <row r="69" ht="15.75" customHeight="1">
      <c r="A69" s="90"/>
      <c r="B69" s="91"/>
      <c r="C69" s="92"/>
      <c r="D69" s="91"/>
      <c r="E69" s="93"/>
      <c r="F69" s="94"/>
      <c r="G69" s="91"/>
      <c r="H69" s="93"/>
      <c r="I69" s="95"/>
      <c r="J69" s="95"/>
      <c r="K69" s="95"/>
      <c r="L69" s="94"/>
      <c r="M69" s="96"/>
      <c r="N69" s="95"/>
      <c r="O69" s="95"/>
      <c r="P69" s="95"/>
    </row>
    <row r="70" ht="15.75" customHeight="1">
      <c r="A70" s="90"/>
      <c r="B70" s="91"/>
      <c r="C70" s="92"/>
      <c r="D70" s="91"/>
      <c r="E70" s="93"/>
      <c r="F70" s="94"/>
      <c r="G70" s="91"/>
      <c r="H70" s="93"/>
      <c r="I70" s="95"/>
      <c r="J70" s="95"/>
      <c r="K70" s="95"/>
      <c r="L70" s="94"/>
      <c r="M70" s="96"/>
      <c r="N70" s="95"/>
      <c r="O70" s="95"/>
      <c r="P70" s="95"/>
    </row>
    <row r="71" ht="15.75" customHeight="1">
      <c r="A71" s="90"/>
      <c r="B71" s="91"/>
      <c r="C71" s="92"/>
      <c r="D71" s="91"/>
      <c r="E71" s="93"/>
      <c r="F71" s="94"/>
      <c r="G71" s="91"/>
      <c r="H71" s="93"/>
      <c r="I71" s="95"/>
      <c r="J71" s="95"/>
      <c r="K71" s="95"/>
      <c r="L71" s="94"/>
      <c r="M71" s="96"/>
      <c r="N71" s="95"/>
      <c r="O71" s="95"/>
      <c r="P71" s="95"/>
    </row>
    <row r="72" ht="15.75" customHeight="1">
      <c r="A72" s="90"/>
      <c r="B72" s="91"/>
      <c r="C72" s="92"/>
      <c r="D72" s="91"/>
      <c r="E72" s="93"/>
      <c r="F72" s="94"/>
      <c r="G72" s="91"/>
      <c r="H72" s="93"/>
      <c r="I72" s="95"/>
      <c r="J72" s="95"/>
      <c r="K72" s="95"/>
      <c r="L72" s="94"/>
      <c r="M72" s="96"/>
      <c r="N72" s="95"/>
      <c r="O72" s="95"/>
      <c r="P72" s="95"/>
    </row>
    <row r="73" ht="15.75" customHeight="1">
      <c r="A73" s="90"/>
      <c r="B73" s="91"/>
      <c r="C73" s="92"/>
      <c r="D73" s="91"/>
      <c r="E73" s="93"/>
      <c r="F73" s="94"/>
      <c r="G73" s="91"/>
      <c r="H73" s="93"/>
      <c r="I73" s="95"/>
      <c r="J73" s="95"/>
      <c r="K73" s="95"/>
      <c r="L73" s="94"/>
      <c r="M73" s="96"/>
      <c r="N73" s="95"/>
      <c r="O73" s="95"/>
      <c r="P73" s="95"/>
    </row>
    <row r="74" ht="15.75" customHeight="1">
      <c r="A74" s="90"/>
      <c r="B74" s="91"/>
      <c r="C74" s="92"/>
      <c r="D74" s="91"/>
      <c r="E74" s="93"/>
      <c r="F74" s="94"/>
      <c r="G74" s="91"/>
      <c r="H74" s="93"/>
      <c r="I74" s="95"/>
      <c r="J74" s="95"/>
      <c r="K74" s="95"/>
      <c r="L74" s="94"/>
      <c r="M74" s="96"/>
      <c r="N74" s="95"/>
      <c r="O74" s="95"/>
      <c r="P74" s="95"/>
    </row>
    <row r="75" ht="15.75" customHeight="1">
      <c r="A75" s="90"/>
      <c r="B75" s="91"/>
      <c r="C75" s="92"/>
      <c r="D75" s="91"/>
      <c r="E75" s="93"/>
      <c r="F75" s="94"/>
      <c r="G75" s="91"/>
      <c r="H75" s="93"/>
      <c r="I75" s="95"/>
      <c r="J75" s="95"/>
      <c r="K75" s="95"/>
      <c r="L75" s="94"/>
      <c r="M75" s="96"/>
      <c r="N75" s="95"/>
      <c r="O75" s="95"/>
      <c r="P75" s="95"/>
    </row>
    <row r="76" ht="15.75" customHeight="1">
      <c r="A76" s="90"/>
      <c r="B76" s="91"/>
      <c r="C76" s="92"/>
      <c r="D76" s="91"/>
      <c r="E76" s="93"/>
      <c r="F76" s="94"/>
      <c r="G76" s="91"/>
      <c r="H76" s="93"/>
      <c r="I76" s="95"/>
      <c r="J76" s="95"/>
      <c r="K76" s="95"/>
      <c r="L76" s="94"/>
      <c r="M76" s="96"/>
      <c r="N76" s="95"/>
      <c r="O76" s="95"/>
      <c r="P76" s="95"/>
    </row>
    <row r="77" ht="15.75" customHeight="1">
      <c r="A77" s="90"/>
      <c r="B77" s="91"/>
      <c r="C77" s="92"/>
      <c r="D77" s="91"/>
      <c r="E77" s="93"/>
      <c r="F77" s="94"/>
      <c r="G77" s="91"/>
      <c r="H77" s="93"/>
      <c r="I77" s="95"/>
      <c r="J77" s="95"/>
      <c r="K77" s="95"/>
      <c r="L77" s="94"/>
      <c r="M77" s="96"/>
      <c r="N77" s="95"/>
      <c r="O77" s="95"/>
      <c r="P77" s="95"/>
    </row>
    <row r="78" ht="15.75" customHeight="1">
      <c r="A78" s="90"/>
      <c r="B78" s="91"/>
      <c r="C78" s="92"/>
      <c r="D78" s="91"/>
      <c r="E78" s="93"/>
      <c r="F78" s="94"/>
      <c r="G78" s="91"/>
      <c r="H78" s="93"/>
      <c r="I78" s="95"/>
      <c r="J78" s="95"/>
      <c r="K78" s="95"/>
      <c r="L78" s="94"/>
      <c r="M78" s="96"/>
      <c r="N78" s="95"/>
      <c r="O78" s="95"/>
      <c r="P78" s="95"/>
    </row>
    <row r="79" ht="15.75" customHeight="1">
      <c r="A79" s="90"/>
      <c r="B79" s="91"/>
      <c r="C79" s="92"/>
      <c r="D79" s="91"/>
      <c r="E79" s="93"/>
      <c r="F79" s="94"/>
      <c r="G79" s="91"/>
      <c r="H79" s="93"/>
      <c r="I79" s="95"/>
      <c r="J79" s="95"/>
      <c r="K79" s="95"/>
      <c r="L79" s="94"/>
      <c r="M79" s="96"/>
      <c r="N79" s="95"/>
      <c r="O79" s="95"/>
      <c r="P79" s="95"/>
    </row>
    <row r="80" ht="15.75" customHeight="1">
      <c r="A80" s="90"/>
      <c r="B80" s="91"/>
      <c r="C80" s="92"/>
      <c r="D80" s="91"/>
      <c r="E80" s="93"/>
      <c r="F80" s="94"/>
      <c r="G80" s="91"/>
      <c r="H80" s="93"/>
      <c r="I80" s="95"/>
      <c r="J80" s="95"/>
      <c r="K80" s="95"/>
      <c r="L80" s="94"/>
      <c r="M80" s="96"/>
      <c r="N80" s="95"/>
      <c r="O80" s="95"/>
      <c r="P80" s="95"/>
    </row>
    <row r="81" ht="15.75" customHeight="1">
      <c r="A81" s="90"/>
      <c r="B81" s="91"/>
      <c r="C81" s="92"/>
      <c r="D81" s="91"/>
      <c r="E81" s="93"/>
      <c r="F81" s="94"/>
      <c r="G81" s="91"/>
      <c r="H81" s="93"/>
      <c r="I81" s="95"/>
      <c r="J81" s="95"/>
      <c r="K81" s="95"/>
      <c r="L81" s="94"/>
      <c r="M81" s="96"/>
      <c r="N81" s="95"/>
      <c r="O81" s="95"/>
      <c r="P81" s="95"/>
    </row>
    <row r="82" ht="15.75" customHeight="1">
      <c r="A82" s="90"/>
      <c r="B82" s="91"/>
      <c r="C82" s="92"/>
      <c r="D82" s="91"/>
      <c r="E82" s="93"/>
      <c r="F82" s="94"/>
      <c r="G82" s="91"/>
      <c r="H82" s="93"/>
      <c r="I82" s="95"/>
      <c r="J82" s="95"/>
      <c r="K82" s="95"/>
      <c r="L82" s="94"/>
      <c r="M82" s="96"/>
      <c r="N82" s="95"/>
      <c r="O82" s="95"/>
      <c r="P82" s="95"/>
    </row>
    <row r="83" ht="15.75" customHeight="1">
      <c r="A83" s="90"/>
      <c r="B83" s="91"/>
      <c r="C83" s="92"/>
      <c r="D83" s="91"/>
      <c r="E83" s="93"/>
      <c r="F83" s="94"/>
      <c r="G83" s="91"/>
      <c r="H83" s="93"/>
      <c r="I83" s="95"/>
      <c r="J83" s="95"/>
      <c r="K83" s="95"/>
      <c r="L83" s="94"/>
      <c r="M83" s="96"/>
      <c r="N83" s="95"/>
      <c r="O83" s="95"/>
      <c r="P83" s="95"/>
    </row>
    <row r="84" ht="15.75" customHeight="1">
      <c r="A84" s="90"/>
      <c r="B84" s="91"/>
      <c r="C84" s="92"/>
      <c r="D84" s="91"/>
      <c r="E84" s="93"/>
      <c r="F84" s="94"/>
      <c r="G84" s="91"/>
      <c r="H84" s="93"/>
      <c r="I84" s="95"/>
      <c r="J84" s="95"/>
      <c r="K84" s="95"/>
      <c r="L84" s="94"/>
      <c r="M84" s="96"/>
      <c r="N84" s="95"/>
      <c r="O84" s="95"/>
      <c r="P84" s="95"/>
    </row>
    <row r="85" ht="15.75" customHeight="1">
      <c r="A85" s="90"/>
      <c r="B85" s="91"/>
      <c r="C85" s="92"/>
      <c r="D85" s="91"/>
      <c r="E85" s="93"/>
      <c r="F85" s="94"/>
      <c r="G85" s="91"/>
      <c r="H85" s="93"/>
      <c r="I85" s="95"/>
      <c r="J85" s="95"/>
      <c r="K85" s="95"/>
      <c r="L85" s="94"/>
      <c r="M85" s="96"/>
      <c r="N85" s="95"/>
      <c r="O85" s="95"/>
      <c r="P85" s="95"/>
    </row>
    <row r="86" ht="15.75" customHeight="1">
      <c r="A86" s="90"/>
      <c r="B86" s="91"/>
      <c r="C86" s="92"/>
      <c r="D86" s="91"/>
      <c r="E86" s="93"/>
      <c r="F86" s="94"/>
      <c r="G86" s="91"/>
      <c r="H86" s="93"/>
      <c r="I86" s="95"/>
      <c r="J86" s="95"/>
      <c r="K86" s="95"/>
      <c r="L86" s="94"/>
      <c r="M86" s="96"/>
      <c r="N86" s="95"/>
      <c r="O86" s="95"/>
      <c r="P86" s="95"/>
    </row>
    <row r="87" ht="15.75" customHeight="1">
      <c r="A87" s="90"/>
      <c r="B87" s="91"/>
      <c r="C87" s="92"/>
      <c r="D87" s="91"/>
      <c r="E87" s="93"/>
      <c r="F87" s="94"/>
      <c r="G87" s="91"/>
      <c r="H87" s="93"/>
      <c r="I87" s="95"/>
      <c r="J87" s="95"/>
      <c r="K87" s="95"/>
      <c r="L87" s="94"/>
      <c r="M87" s="96"/>
      <c r="N87" s="95"/>
      <c r="O87" s="95"/>
      <c r="P87" s="95"/>
    </row>
    <row r="88" ht="15.75" customHeight="1">
      <c r="A88" s="90"/>
      <c r="B88" s="91"/>
      <c r="C88" s="92"/>
      <c r="D88" s="91"/>
      <c r="E88" s="93"/>
      <c r="F88" s="94"/>
      <c r="G88" s="91"/>
      <c r="H88" s="93"/>
      <c r="I88" s="95"/>
      <c r="J88" s="95"/>
      <c r="K88" s="95"/>
      <c r="L88" s="94"/>
      <c r="M88" s="96"/>
      <c r="N88" s="95"/>
      <c r="O88" s="95"/>
      <c r="P88" s="95"/>
    </row>
    <row r="89" ht="15.75" customHeight="1">
      <c r="A89" s="90"/>
      <c r="B89" s="91"/>
      <c r="C89" s="92"/>
      <c r="D89" s="91"/>
      <c r="E89" s="93"/>
      <c r="F89" s="94"/>
      <c r="G89" s="91"/>
      <c r="H89" s="93"/>
      <c r="I89" s="95"/>
      <c r="J89" s="95"/>
      <c r="K89" s="95"/>
      <c r="L89" s="94"/>
      <c r="M89" s="96"/>
      <c r="N89" s="95"/>
      <c r="O89" s="95"/>
      <c r="P89" s="95"/>
    </row>
    <row r="90" ht="15.75" customHeight="1">
      <c r="A90" s="90"/>
      <c r="B90" s="91"/>
      <c r="C90" s="92"/>
      <c r="D90" s="91"/>
      <c r="E90" s="93"/>
      <c r="F90" s="94"/>
      <c r="G90" s="91"/>
      <c r="H90" s="93"/>
      <c r="I90" s="95"/>
      <c r="J90" s="95"/>
      <c r="K90" s="95"/>
      <c r="L90" s="94"/>
      <c r="M90" s="96"/>
      <c r="N90" s="95"/>
      <c r="O90" s="95"/>
      <c r="P90" s="95"/>
    </row>
    <row r="91" ht="15.75" customHeight="1">
      <c r="A91" s="90"/>
      <c r="B91" s="91"/>
      <c r="C91" s="92"/>
      <c r="D91" s="91"/>
      <c r="E91" s="93"/>
      <c r="F91" s="94"/>
      <c r="G91" s="91"/>
      <c r="H91" s="93"/>
      <c r="I91" s="95"/>
      <c r="J91" s="95"/>
      <c r="K91" s="95"/>
      <c r="L91" s="94"/>
      <c r="M91" s="96"/>
      <c r="N91" s="95"/>
      <c r="O91" s="95"/>
      <c r="P91" s="95"/>
    </row>
    <row r="92" ht="15.75" customHeight="1">
      <c r="A92" s="90"/>
      <c r="B92" s="91"/>
      <c r="C92" s="92"/>
      <c r="D92" s="91"/>
      <c r="E92" s="93"/>
      <c r="F92" s="94"/>
      <c r="G92" s="91"/>
      <c r="H92" s="93"/>
      <c r="I92" s="95"/>
      <c r="J92" s="95"/>
      <c r="K92" s="95"/>
      <c r="L92" s="94"/>
      <c r="M92" s="96"/>
      <c r="N92" s="95"/>
      <c r="O92" s="95"/>
      <c r="P92" s="95"/>
    </row>
    <row r="93" ht="15.75" customHeight="1">
      <c r="A93" s="90"/>
      <c r="B93" s="91"/>
      <c r="C93" s="92"/>
      <c r="D93" s="91"/>
      <c r="E93" s="93"/>
      <c r="F93" s="94"/>
      <c r="G93" s="91"/>
      <c r="H93" s="93"/>
      <c r="I93" s="95"/>
      <c r="J93" s="95"/>
      <c r="K93" s="95"/>
      <c r="L93" s="94"/>
      <c r="M93" s="96"/>
      <c r="N93" s="95"/>
      <c r="O93" s="95"/>
      <c r="P93" s="95"/>
    </row>
    <row r="94" ht="15.75" customHeight="1">
      <c r="A94" s="90"/>
      <c r="B94" s="91"/>
      <c r="C94" s="92"/>
      <c r="D94" s="91"/>
      <c r="E94" s="93"/>
      <c r="F94" s="94"/>
      <c r="G94" s="91"/>
      <c r="H94" s="93"/>
      <c r="I94" s="95"/>
      <c r="J94" s="95"/>
      <c r="K94" s="95"/>
      <c r="L94" s="94"/>
      <c r="M94" s="96"/>
      <c r="N94" s="95"/>
      <c r="O94" s="95"/>
      <c r="P94" s="95"/>
    </row>
    <row r="95" ht="15.75" customHeight="1">
      <c r="A95" s="90"/>
      <c r="B95" s="91"/>
      <c r="C95" s="92"/>
      <c r="D95" s="91"/>
      <c r="E95" s="93"/>
      <c r="F95" s="94"/>
      <c r="G95" s="91"/>
      <c r="H95" s="93"/>
      <c r="I95" s="95"/>
      <c r="J95" s="95"/>
      <c r="K95" s="95"/>
      <c r="L95" s="94"/>
      <c r="M95" s="96"/>
      <c r="N95" s="95"/>
      <c r="O95" s="95"/>
      <c r="P95" s="95"/>
    </row>
    <row r="96" ht="15.75" customHeight="1">
      <c r="A96" s="90"/>
      <c r="B96" s="91"/>
      <c r="C96" s="92"/>
      <c r="D96" s="91"/>
      <c r="E96" s="93"/>
      <c r="F96" s="94"/>
      <c r="G96" s="91"/>
      <c r="H96" s="93"/>
      <c r="I96" s="95"/>
      <c r="J96" s="95"/>
      <c r="K96" s="95"/>
      <c r="L96" s="94"/>
      <c r="M96" s="96"/>
      <c r="N96" s="95"/>
      <c r="O96" s="95"/>
      <c r="P96" s="95"/>
    </row>
    <row r="97" ht="15.75" customHeight="1">
      <c r="A97" s="90"/>
      <c r="B97" s="91"/>
      <c r="C97" s="92"/>
      <c r="D97" s="91"/>
      <c r="E97" s="93"/>
      <c r="F97" s="94"/>
      <c r="G97" s="91"/>
      <c r="H97" s="93"/>
      <c r="I97" s="95"/>
      <c r="J97" s="95"/>
      <c r="K97" s="95"/>
      <c r="L97" s="94"/>
      <c r="M97" s="96"/>
      <c r="N97" s="95"/>
      <c r="O97" s="95"/>
      <c r="P97" s="95"/>
    </row>
    <row r="98" ht="15.75" customHeight="1">
      <c r="A98" s="90"/>
      <c r="B98" s="91"/>
      <c r="C98" s="92"/>
      <c r="D98" s="91"/>
      <c r="E98" s="93"/>
      <c r="F98" s="94"/>
      <c r="G98" s="91"/>
      <c r="H98" s="93"/>
      <c r="I98" s="95"/>
      <c r="J98" s="95"/>
      <c r="K98" s="95"/>
      <c r="L98" s="94"/>
      <c r="M98" s="96"/>
      <c r="N98" s="95"/>
      <c r="O98" s="95"/>
      <c r="P98" s="95"/>
    </row>
    <row r="99" ht="15.75" customHeight="1">
      <c r="A99" s="90"/>
      <c r="B99" s="91"/>
      <c r="C99" s="92"/>
      <c r="D99" s="91"/>
      <c r="E99" s="93"/>
      <c r="F99" s="94"/>
      <c r="G99" s="91"/>
      <c r="H99" s="93"/>
      <c r="I99" s="95"/>
      <c r="J99" s="95"/>
      <c r="K99" s="95"/>
      <c r="L99" s="94"/>
      <c r="M99" s="96"/>
      <c r="N99" s="95"/>
      <c r="O99" s="95"/>
      <c r="P99" s="95"/>
    </row>
    <row r="100" ht="15.75" customHeight="1">
      <c r="A100" s="90"/>
      <c r="B100" s="91"/>
      <c r="C100" s="92"/>
      <c r="D100" s="91"/>
      <c r="E100" s="93"/>
      <c r="F100" s="94"/>
      <c r="G100" s="91"/>
      <c r="H100" s="93"/>
      <c r="I100" s="95"/>
      <c r="J100" s="95"/>
      <c r="K100" s="95"/>
      <c r="L100" s="94"/>
      <c r="M100" s="96"/>
      <c r="N100" s="95"/>
      <c r="O100" s="95"/>
      <c r="P100" s="95"/>
    </row>
    <row r="101" ht="15.75" customHeight="1">
      <c r="A101" s="90"/>
      <c r="B101" s="91"/>
      <c r="C101" s="92"/>
      <c r="D101" s="91"/>
      <c r="E101" s="93"/>
      <c r="F101" s="94"/>
      <c r="G101" s="91"/>
      <c r="H101" s="93"/>
      <c r="I101" s="95"/>
      <c r="J101" s="95"/>
      <c r="K101" s="95"/>
      <c r="L101" s="94"/>
      <c r="M101" s="96"/>
      <c r="N101" s="95"/>
      <c r="O101" s="95"/>
      <c r="P101" s="95"/>
    </row>
    <row r="102" ht="15.75" customHeight="1">
      <c r="A102" s="90"/>
      <c r="B102" s="91"/>
      <c r="C102" s="92"/>
      <c r="D102" s="91"/>
      <c r="E102" s="93"/>
      <c r="F102" s="94"/>
      <c r="G102" s="91"/>
      <c r="H102" s="93"/>
      <c r="I102" s="95"/>
      <c r="J102" s="95"/>
      <c r="K102" s="95"/>
      <c r="L102" s="94"/>
      <c r="M102" s="96"/>
      <c r="N102" s="95"/>
      <c r="O102" s="95"/>
      <c r="P102" s="95"/>
    </row>
    <row r="103" ht="15.75" customHeight="1">
      <c r="A103" s="90"/>
      <c r="B103" s="91"/>
      <c r="C103" s="92"/>
      <c r="D103" s="91"/>
      <c r="E103" s="93"/>
      <c r="F103" s="94"/>
      <c r="G103" s="91"/>
      <c r="H103" s="93"/>
      <c r="I103" s="95"/>
      <c r="J103" s="95"/>
      <c r="K103" s="95"/>
      <c r="L103" s="94"/>
      <c r="M103" s="96"/>
      <c r="N103" s="95"/>
      <c r="O103" s="95"/>
      <c r="P103" s="95"/>
    </row>
    <row r="104" ht="15.75" customHeight="1">
      <c r="A104" s="90"/>
      <c r="B104" s="91"/>
      <c r="C104" s="92"/>
      <c r="D104" s="91"/>
      <c r="E104" s="93"/>
      <c r="F104" s="94"/>
      <c r="G104" s="91"/>
      <c r="H104" s="93"/>
      <c r="I104" s="95"/>
      <c r="J104" s="95"/>
      <c r="K104" s="95"/>
      <c r="L104" s="94"/>
      <c r="M104" s="96"/>
      <c r="N104" s="95"/>
      <c r="O104" s="95"/>
      <c r="P104" s="95"/>
    </row>
    <row r="105" ht="15.75" customHeight="1">
      <c r="A105" s="90"/>
      <c r="B105" s="91"/>
      <c r="C105" s="92"/>
      <c r="D105" s="91"/>
      <c r="E105" s="93"/>
      <c r="F105" s="94"/>
      <c r="G105" s="91"/>
      <c r="H105" s="93"/>
      <c r="I105" s="95"/>
      <c r="J105" s="95"/>
      <c r="K105" s="95"/>
      <c r="L105" s="94"/>
      <c r="M105" s="96"/>
      <c r="N105" s="95"/>
      <c r="O105" s="95"/>
      <c r="P105" s="95"/>
    </row>
    <row r="106" ht="15.75" customHeight="1">
      <c r="A106" s="90"/>
      <c r="B106" s="91"/>
      <c r="C106" s="92"/>
      <c r="D106" s="91"/>
      <c r="E106" s="93"/>
      <c r="F106" s="94"/>
      <c r="G106" s="91"/>
      <c r="H106" s="93"/>
      <c r="I106" s="95"/>
      <c r="J106" s="95"/>
      <c r="K106" s="95"/>
      <c r="L106" s="94"/>
      <c r="M106" s="96"/>
      <c r="N106" s="95"/>
      <c r="O106" s="95"/>
      <c r="P106" s="95"/>
    </row>
    <row r="107" ht="15.75" customHeight="1">
      <c r="A107" s="90"/>
      <c r="B107" s="91"/>
      <c r="C107" s="92"/>
      <c r="D107" s="91"/>
      <c r="E107" s="93"/>
      <c r="F107" s="94"/>
      <c r="G107" s="91"/>
      <c r="H107" s="93"/>
      <c r="I107" s="95"/>
      <c r="J107" s="95"/>
      <c r="K107" s="95"/>
      <c r="L107" s="94"/>
      <c r="M107" s="96"/>
      <c r="N107" s="95"/>
      <c r="O107" s="95"/>
      <c r="P107" s="95"/>
    </row>
    <row r="108" ht="15.75" customHeight="1">
      <c r="A108" s="90"/>
      <c r="B108" s="91"/>
      <c r="C108" s="92"/>
      <c r="D108" s="91"/>
      <c r="E108" s="93"/>
      <c r="F108" s="94"/>
      <c r="G108" s="91"/>
      <c r="H108" s="93"/>
      <c r="I108" s="95"/>
      <c r="J108" s="95"/>
      <c r="K108" s="95"/>
      <c r="L108" s="94"/>
      <c r="M108" s="96"/>
      <c r="N108" s="95"/>
      <c r="O108" s="95"/>
      <c r="P108" s="95"/>
    </row>
    <row r="109" ht="15.75" customHeight="1">
      <c r="A109" s="90"/>
      <c r="B109" s="91"/>
      <c r="C109" s="92"/>
      <c r="D109" s="91"/>
      <c r="E109" s="93"/>
      <c r="F109" s="94"/>
      <c r="G109" s="91"/>
      <c r="H109" s="93"/>
      <c r="I109" s="95"/>
      <c r="J109" s="95"/>
      <c r="K109" s="95"/>
      <c r="L109" s="94"/>
      <c r="M109" s="96"/>
      <c r="N109" s="95"/>
      <c r="O109" s="95"/>
      <c r="P109" s="95"/>
    </row>
    <row r="110" ht="15.75" customHeight="1">
      <c r="A110" s="90"/>
      <c r="B110" s="91"/>
      <c r="C110" s="92"/>
      <c r="D110" s="91"/>
      <c r="E110" s="93"/>
      <c r="F110" s="94"/>
      <c r="G110" s="91"/>
      <c r="H110" s="93"/>
      <c r="I110" s="95"/>
      <c r="J110" s="95"/>
      <c r="K110" s="95"/>
      <c r="L110" s="94"/>
      <c r="M110" s="96"/>
      <c r="N110" s="95"/>
      <c r="O110" s="95"/>
      <c r="P110" s="95"/>
    </row>
    <row r="111" ht="15.75" customHeight="1">
      <c r="A111" s="90"/>
      <c r="B111" s="91"/>
      <c r="C111" s="92"/>
      <c r="D111" s="91"/>
      <c r="E111" s="93"/>
      <c r="F111" s="94"/>
      <c r="G111" s="91"/>
      <c r="H111" s="93"/>
      <c r="I111" s="95"/>
      <c r="J111" s="95"/>
      <c r="K111" s="95"/>
      <c r="L111" s="94"/>
      <c r="M111" s="96"/>
      <c r="N111" s="95"/>
      <c r="O111" s="95"/>
      <c r="P111" s="95"/>
    </row>
    <row r="112" ht="15.75" customHeight="1">
      <c r="A112" s="90"/>
      <c r="B112" s="91"/>
      <c r="C112" s="92"/>
      <c r="D112" s="91"/>
      <c r="E112" s="93"/>
      <c r="F112" s="94"/>
      <c r="G112" s="91"/>
      <c r="H112" s="93"/>
      <c r="I112" s="95"/>
      <c r="J112" s="95"/>
      <c r="K112" s="95"/>
      <c r="L112" s="94"/>
      <c r="M112" s="96"/>
      <c r="N112" s="95"/>
      <c r="O112" s="95"/>
      <c r="P112" s="95"/>
    </row>
    <row r="113" ht="15.75" customHeight="1">
      <c r="A113" s="90"/>
      <c r="B113" s="91"/>
      <c r="C113" s="92"/>
      <c r="D113" s="91"/>
      <c r="E113" s="93"/>
      <c r="F113" s="94"/>
      <c r="G113" s="91"/>
      <c r="H113" s="93"/>
      <c r="I113" s="95"/>
      <c r="J113" s="95"/>
      <c r="K113" s="95"/>
      <c r="L113" s="94"/>
      <c r="M113" s="96"/>
      <c r="N113" s="95"/>
      <c r="O113" s="95"/>
      <c r="P113" s="95"/>
    </row>
    <row r="114" ht="15.75" customHeight="1">
      <c r="A114" s="90"/>
      <c r="B114" s="91"/>
      <c r="C114" s="92"/>
      <c r="D114" s="91"/>
      <c r="E114" s="93"/>
      <c r="F114" s="94"/>
      <c r="G114" s="91"/>
      <c r="H114" s="93"/>
      <c r="I114" s="95"/>
      <c r="J114" s="95"/>
      <c r="K114" s="95"/>
      <c r="L114" s="94"/>
      <c r="M114" s="96"/>
      <c r="N114" s="95"/>
      <c r="O114" s="95"/>
      <c r="P114" s="95"/>
    </row>
    <row r="115" ht="15.75" customHeight="1">
      <c r="A115" s="90"/>
      <c r="B115" s="91"/>
      <c r="C115" s="92"/>
      <c r="D115" s="91"/>
      <c r="E115" s="93"/>
      <c r="F115" s="94"/>
      <c r="G115" s="91"/>
      <c r="H115" s="93"/>
      <c r="I115" s="95"/>
      <c r="J115" s="95"/>
      <c r="K115" s="95"/>
      <c r="L115" s="94"/>
      <c r="M115" s="96"/>
      <c r="N115" s="95"/>
      <c r="O115" s="95"/>
      <c r="P115" s="95"/>
    </row>
    <row r="116" ht="15.75" customHeight="1">
      <c r="A116" s="90"/>
      <c r="B116" s="91"/>
      <c r="C116" s="92"/>
      <c r="D116" s="91"/>
      <c r="E116" s="93"/>
      <c r="F116" s="94"/>
      <c r="G116" s="91"/>
      <c r="H116" s="93"/>
      <c r="I116" s="95"/>
      <c r="J116" s="95"/>
      <c r="K116" s="95"/>
      <c r="L116" s="94"/>
      <c r="M116" s="96"/>
      <c r="N116" s="95"/>
      <c r="O116" s="95"/>
      <c r="P116" s="95"/>
    </row>
    <row r="117" ht="15.75" customHeight="1">
      <c r="A117" s="90"/>
      <c r="B117" s="91"/>
      <c r="C117" s="92"/>
      <c r="D117" s="91"/>
      <c r="E117" s="93"/>
      <c r="F117" s="94"/>
      <c r="G117" s="91"/>
      <c r="H117" s="93"/>
      <c r="I117" s="95"/>
      <c r="J117" s="95"/>
      <c r="K117" s="95"/>
      <c r="L117" s="94"/>
      <c r="M117" s="96"/>
      <c r="N117" s="95"/>
      <c r="O117" s="95"/>
      <c r="P117" s="95"/>
    </row>
    <row r="118" ht="15.75" customHeight="1">
      <c r="A118" s="90"/>
      <c r="B118" s="91"/>
      <c r="C118" s="92"/>
      <c r="D118" s="91"/>
      <c r="E118" s="93"/>
      <c r="F118" s="94"/>
      <c r="G118" s="91"/>
      <c r="H118" s="93"/>
      <c r="I118" s="95"/>
      <c r="J118" s="95"/>
      <c r="K118" s="95"/>
      <c r="L118" s="94"/>
      <c r="M118" s="96"/>
      <c r="N118" s="95"/>
      <c r="O118" s="95"/>
      <c r="P118" s="95"/>
    </row>
    <row r="119" ht="15.75" customHeight="1">
      <c r="A119" s="90"/>
      <c r="B119" s="91"/>
      <c r="C119" s="92"/>
      <c r="D119" s="91"/>
      <c r="E119" s="93"/>
      <c r="F119" s="94"/>
      <c r="G119" s="91"/>
      <c r="H119" s="93"/>
      <c r="I119" s="95"/>
      <c r="J119" s="95"/>
      <c r="K119" s="95"/>
      <c r="L119" s="94"/>
      <c r="M119" s="96"/>
      <c r="N119" s="95"/>
      <c r="O119" s="95"/>
      <c r="P119" s="95"/>
    </row>
    <row r="120" ht="15.75" customHeight="1">
      <c r="A120" s="90"/>
      <c r="B120" s="91"/>
      <c r="C120" s="92"/>
      <c r="D120" s="91"/>
      <c r="E120" s="93"/>
      <c r="F120" s="94"/>
      <c r="G120" s="91"/>
      <c r="H120" s="93"/>
      <c r="I120" s="95"/>
      <c r="J120" s="95"/>
      <c r="K120" s="95"/>
      <c r="L120" s="94"/>
      <c r="M120" s="96"/>
      <c r="N120" s="95"/>
      <c r="O120" s="95"/>
      <c r="P120" s="95"/>
    </row>
    <row r="121" ht="15.75" customHeight="1">
      <c r="A121" s="90"/>
      <c r="B121" s="91"/>
      <c r="C121" s="92"/>
      <c r="D121" s="91"/>
      <c r="E121" s="93"/>
      <c r="F121" s="94"/>
      <c r="G121" s="91"/>
      <c r="H121" s="93"/>
      <c r="I121" s="95"/>
      <c r="J121" s="95"/>
      <c r="K121" s="95"/>
      <c r="L121" s="94"/>
      <c r="M121" s="96"/>
      <c r="N121" s="95"/>
      <c r="O121" s="95"/>
      <c r="P121" s="95"/>
    </row>
    <row r="122" ht="15.75" customHeight="1">
      <c r="A122" s="90"/>
      <c r="B122" s="91"/>
      <c r="C122" s="92"/>
      <c r="D122" s="91"/>
      <c r="E122" s="93"/>
      <c r="F122" s="94"/>
      <c r="G122" s="91"/>
      <c r="H122" s="93"/>
      <c r="I122" s="95"/>
      <c r="J122" s="95"/>
      <c r="K122" s="95"/>
      <c r="L122" s="94"/>
      <c r="M122" s="96"/>
      <c r="N122" s="95"/>
      <c r="O122" s="95"/>
      <c r="P122" s="95"/>
    </row>
    <row r="123" ht="15.75" customHeight="1">
      <c r="A123" s="90"/>
      <c r="B123" s="91"/>
      <c r="C123" s="92"/>
      <c r="D123" s="91"/>
      <c r="E123" s="93"/>
      <c r="F123" s="94"/>
      <c r="G123" s="91"/>
      <c r="H123" s="93"/>
      <c r="I123" s="95"/>
      <c r="J123" s="95"/>
      <c r="K123" s="95"/>
      <c r="L123" s="94"/>
      <c r="M123" s="96"/>
      <c r="N123" s="95"/>
      <c r="O123" s="95"/>
      <c r="P123" s="95"/>
    </row>
    <row r="124" ht="15.75" customHeight="1">
      <c r="A124" s="90"/>
      <c r="B124" s="91"/>
      <c r="C124" s="92"/>
      <c r="D124" s="91"/>
      <c r="E124" s="93"/>
      <c r="F124" s="94"/>
      <c r="G124" s="91"/>
      <c r="H124" s="93"/>
      <c r="I124" s="95"/>
      <c r="J124" s="95"/>
      <c r="K124" s="95"/>
      <c r="L124" s="94"/>
      <c r="M124" s="96"/>
      <c r="N124" s="95"/>
      <c r="O124" s="95"/>
      <c r="P124" s="95"/>
    </row>
    <row r="125" ht="15.75" customHeight="1">
      <c r="A125" s="90"/>
      <c r="B125" s="91"/>
      <c r="C125" s="92"/>
      <c r="D125" s="91"/>
      <c r="E125" s="93"/>
      <c r="F125" s="94"/>
      <c r="G125" s="91"/>
      <c r="H125" s="93"/>
      <c r="I125" s="95"/>
      <c r="J125" s="95"/>
      <c r="K125" s="95"/>
      <c r="L125" s="94"/>
      <c r="M125" s="96"/>
      <c r="N125" s="95"/>
      <c r="O125" s="95"/>
      <c r="P125" s="95"/>
    </row>
    <row r="126" ht="15.75" customHeight="1">
      <c r="A126" s="90"/>
      <c r="B126" s="91"/>
      <c r="C126" s="92"/>
      <c r="D126" s="91"/>
      <c r="E126" s="93"/>
      <c r="F126" s="94"/>
      <c r="G126" s="91"/>
      <c r="H126" s="93"/>
      <c r="I126" s="95"/>
      <c r="J126" s="95"/>
      <c r="K126" s="95"/>
      <c r="L126" s="94"/>
      <c r="M126" s="96"/>
      <c r="N126" s="95"/>
      <c r="O126" s="95"/>
      <c r="P126" s="95"/>
    </row>
    <row r="127" ht="15.75" customHeight="1">
      <c r="A127" s="90"/>
      <c r="B127" s="91"/>
      <c r="C127" s="92"/>
      <c r="D127" s="91"/>
      <c r="E127" s="93"/>
      <c r="F127" s="94"/>
      <c r="G127" s="91"/>
      <c r="H127" s="93"/>
      <c r="I127" s="95"/>
      <c r="J127" s="95"/>
      <c r="K127" s="95"/>
      <c r="L127" s="94"/>
      <c r="M127" s="96"/>
      <c r="N127" s="95"/>
      <c r="O127" s="95"/>
      <c r="P127" s="95"/>
    </row>
    <row r="128" ht="15.75" customHeight="1">
      <c r="A128" s="90"/>
      <c r="B128" s="91"/>
      <c r="C128" s="92"/>
      <c r="D128" s="91"/>
      <c r="E128" s="93"/>
      <c r="F128" s="94"/>
      <c r="G128" s="91"/>
      <c r="H128" s="93"/>
      <c r="I128" s="95"/>
      <c r="J128" s="95"/>
      <c r="K128" s="95"/>
      <c r="L128" s="94"/>
      <c r="M128" s="96"/>
      <c r="N128" s="95"/>
      <c r="O128" s="95"/>
      <c r="P128" s="95"/>
    </row>
    <row r="129" ht="15.75" customHeight="1">
      <c r="A129" s="90"/>
      <c r="B129" s="91"/>
      <c r="C129" s="92"/>
      <c r="D129" s="91"/>
      <c r="E129" s="93"/>
      <c r="F129" s="94"/>
      <c r="G129" s="91"/>
      <c r="H129" s="93"/>
      <c r="I129" s="95"/>
      <c r="J129" s="95"/>
      <c r="K129" s="95"/>
      <c r="L129" s="94"/>
      <c r="M129" s="96"/>
      <c r="N129" s="95"/>
      <c r="O129" s="95"/>
      <c r="P129" s="95"/>
    </row>
    <row r="130" ht="15.75" customHeight="1">
      <c r="A130" s="90"/>
      <c r="B130" s="91"/>
      <c r="C130" s="92"/>
      <c r="D130" s="91"/>
      <c r="E130" s="93"/>
      <c r="F130" s="94"/>
      <c r="G130" s="91"/>
      <c r="H130" s="93"/>
      <c r="I130" s="95"/>
      <c r="J130" s="95"/>
      <c r="K130" s="95"/>
      <c r="L130" s="94"/>
      <c r="M130" s="96"/>
      <c r="N130" s="95"/>
      <c r="O130" s="95"/>
      <c r="P130" s="95"/>
    </row>
    <row r="131" ht="15.75" customHeight="1">
      <c r="A131" s="90"/>
      <c r="B131" s="91"/>
      <c r="C131" s="92"/>
      <c r="D131" s="91"/>
      <c r="E131" s="93"/>
      <c r="F131" s="94"/>
      <c r="G131" s="91"/>
      <c r="H131" s="93"/>
      <c r="I131" s="95"/>
      <c r="J131" s="95"/>
      <c r="K131" s="95"/>
      <c r="L131" s="94"/>
      <c r="M131" s="96"/>
      <c r="N131" s="95"/>
      <c r="O131" s="95"/>
      <c r="P131" s="95"/>
    </row>
    <row r="132" ht="15.75" customHeight="1">
      <c r="A132" s="90"/>
      <c r="B132" s="91"/>
      <c r="C132" s="92"/>
      <c r="D132" s="91"/>
      <c r="E132" s="93"/>
      <c r="F132" s="94"/>
      <c r="G132" s="91"/>
      <c r="H132" s="93"/>
      <c r="I132" s="95"/>
      <c r="J132" s="95"/>
      <c r="K132" s="95"/>
      <c r="L132" s="94"/>
      <c r="M132" s="96"/>
      <c r="N132" s="95"/>
      <c r="O132" s="95"/>
      <c r="P132" s="95"/>
    </row>
    <row r="133" ht="15.75" customHeight="1">
      <c r="A133" s="90"/>
      <c r="B133" s="91"/>
      <c r="C133" s="92"/>
      <c r="D133" s="91"/>
      <c r="E133" s="93"/>
      <c r="F133" s="94"/>
      <c r="G133" s="91"/>
      <c r="H133" s="93"/>
      <c r="I133" s="95"/>
      <c r="J133" s="95"/>
      <c r="K133" s="95"/>
      <c r="L133" s="94"/>
      <c r="M133" s="96"/>
      <c r="N133" s="95"/>
      <c r="O133" s="95"/>
      <c r="P133" s="95"/>
    </row>
    <row r="134" ht="15.75" customHeight="1">
      <c r="A134" s="90"/>
      <c r="B134" s="91"/>
      <c r="C134" s="92"/>
      <c r="D134" s="91"/>
      <c r="E134" s="93"/>
      <c r="F134" s="94"/>
      <c r="G134" s="91"/>
      <c r="H134" s="93"/>
      <c r="I134" s="95"/>
      <c r="J134" s="95"/>
      <c r="K134" s="95"/>
      <c r="L134" s="94"/>
      <c r="M134" s="96"/>
      <c r="N134" s="95"/>
      <c r="O134" s="95"/>
      <c r="P134" s="95"/>
    </row>
    <row r="135" ht="15.75" customHeight="1">
      <c r="A135" s="90"/>
      <c r="B135" s="91"/>
      <c r="C135" s="92"/>
      <c r="D135" s="91"/>
      <c r="E135" s="93"/>
      <c r="F135" s="94"/>
      <c r="G135" s="91"/>
      <c r="H135" s="93"/>
      <c r="I135" s="95"/>
      <c r="J135" s="95"/>
      <c r="K135" s="95"/>
      <c r="L135" s="94"/>
      <c r="M135" s="96"/>
      <c r="N135" s="95"/>
      <c r="O135" s="95"/>
      <c r="P135" s="95"/>
    </row>
    <row r="136" ht="15.75" customHeight="1">
      <c r="A136" s="90"/>
      <c r="B136" s="91"/>
      <c r="C136" s="92"/>
      <c r="D136" s="91"/>
      <c r="E136" s="93"/>
      <c r="F136" s="94"/>
      <c r="G136" s="91"/>
      <c r="H136" s="93"/>
      <c r="I136" s="95"/>
      <c r="J136" s="95"/>
      <c r="K136" s="95"/>
      <c r="L136" s="94"/>
      <c r="M136" s="96"/>
      <c r="N136" s="95"/>
      <c r="O136" s="95"/>
      <c r="P136" s="95"/>
    </row>
    <row r="137" ht="15.75" customHeight="1">
      <c r="A137" s="90"/>
      <c r="B137" s="91"/>
      <c r="C137" s="92"/>
      <c r="D137" s="91"/>
      <c r="E137" s="93"/>
      <c r="F137" s="94"/>
      <c r="G137" s="91"/>
      <c r="H137" s="93"/>
      <c r="I137" s="95"/>
      <c r="J137" s="95"/>
      <c r="K137" s="95"/>
      <c r="L137" s="94"/>
      <c r="M137" s="96"/>
      <c r="N137" s="95"/>
      <c r="O137" s="95"/>
      <c r="P137" s="95"/>
    </row>
    <row r="138" ht="15.75" customHeight="1">
      <c r="A138" s="90"/>
      <c r="B138" s="91"/>
      <c r="C138" s="92"/>
      <c r="D138" s="91"/>
      <c r="E138" s="93"/>
      <c r="F138" s="94"/>
      <c r="G138" s="91"/>
      <c r="H138" s="93"/>
      <c r="I138" s="95"/>
      <c r="J138" s="95"/>
      <c r="K138" s="95"/>
      <c r="L138" s="94"/>
      <c r="M138" s="96"/>
      <c r="N138" s="95"/>
      <c r="O138" s="95"/>
      <c r="P138" s="95"/>
    </row>
    <row r="139" ht="15.75" customHeight="1">
      <c r="A139" s="90"/>
      <c r="B139" s="91"/>
      <c r="C139" s="92"/>
      <c r="D139" s="91"/>
      <c r="E139" s="93"/>
      <c r="F139" s="94"/>
      <c r="G139" s="91"/>
      <c r="H139" s="93"/>
      <c r="I139" s="95"/>
      <c r="J139" s="95"/>
      <c r="K139" s="95"/>
      <c r="L139" s="94"/>
      <c r="M139" s="96"/>
      <c r="N139" s="95"/>
      <c r="O139" s="95"/>
      <c r="P139" s="95"/>
    </row>
    <row r="140" ht="15.75" customHeight="1">
      <c r="A140" s="90"/>
      <c r="B140" s="91"/>
      <c r="C140" s="92"/>
      <c r="D140" s="91"/>
      <c r="E140" s="93"/>
      <c r="F140" s="94"/>
      <c r="G140" s="91"/>
      <c r="H140" s="93"/>
      <c r="I140" s="95"/>
      <c r="J140" s="95"/>
      <c r="K140" s="95"/>
      <c r="L140" s="94"/>
      <c r="M140" s="96"/>
      <c r="N140" s="95"/>
      <c r="O140" s="95"/>
      <c r="P140" s="95"/>
    </row>
    <row r="141" ht="15.75" customHeight="1">
      <c r="A141" s="90"/>
      <c r="B141" s="91"/>
      <c r="C141" s="92"/>
      <c r="D141" s="91"/>
      <c r="E141" s="93"/>
      <c r="F141" s="94"/>
      <c r="G141" s="91"/>
      <c r="H141" s="93"/>
      <c r="I141" s="95"/>
      <c r="J141" s="95"/>
      <c r="K141" s="95"/>
      <c r="L141" s="94"/>
      <c r="M141" s="96"/>
      <c r="N141" s="95"/>
      <c r="O141" s="95"/>
      <c r="P141" s="95"/>
    </row>
    <row r="142" ht="15.75" customHeight="1">
      <c r="A142" s="90"/>
      <c r="B142" s="91"/>
      <c r="C142" s="92"/>
      <c r="D142" s="91"/>
      <c r="E142" s="93"/>
      <c r="F142" s="94"/>
      <c r="G142" s="91"/>
      <c r="H142" s="93"/>
      <c r="I142" s="95"/>
      <c r="J142" s="95"/>
      <c r="K142" s="95"/>
      <c r="L142" s="94"/>
      <c r="M142" s="96"/>
      <c r="N142" s="95"/>
      <c r="O142" s="95"/>
      <c r="P142" s="95"/>
    </row>
    <row r="143" ht="15.75" customHeight="1">
      <c r="A143" s="90"/>
      <c r="B143" s="91"/>
      <c r="C143" s="92"/>
      <c r="D143" s="91"/>
      <c r="E143" s="93"/>
      <c r="F143" s="94"/>
      <c r="G143" s="91"/>
      <c r="H143" s="93"/>
      <c r="I143" s="95"/>
      <c r="J143" s="95"/>
      <c r="K143" s="95"/>
      <c r="L143" s="94"/>
      <c r="M143" s="96"/>
      <c r="N143" s="95"/>
      <c r="O143" s="95"/>
      <c r="P143" s="95"/>
    </row>
    <row r="144" ht="15.75" customHeight="1">
      <c r="A144" s="90"/>
      <c r="B144" s="91"/>
      <c r="C144" s="92"/>
      <c r="D144" s="91"/>
      <c r="E144" s="93"/>
      <c r="F144" s="94"/>
      <c r="G144" s="91"/>
      <c r="H144" s="93"/>
      <c r="I144" s="95"/>
      <c r="J144" s="95"/>
      <c r="K144" s="95"/>
      <c r="L144" s="94"/>
      <c r="M144" s="96"/>
      <c r="N144" s="95"/>
      <c r="O144" s="95"/>
      <c r="P144" s="95"/>
    </row>
    <row r="145" ht="15.75" customHeight="1">
      <c r="A145" s="90"/>
      <c r="B145" s="91"/>
      <c r="C145" s="92"/>
      <c r="D145" s="91"/>
      <c r="E145" s="93"/>
      <c r="F145" s="94"/>
      <c r="G145" s="91"/>
      <c r="H145" s="93"/>
      <c r="I145" s="95"/>
      <c r="J145" s="95"/>
      <c r="K145" s="95"/>
      <c r="L145" s="94"/>
      <c r="M145" s="96"/>
      <c r="N145" s="95"/>
      <c r="O145" s="95"/>
      <c r="P145" s="95"/>
    </row>
    <row r="146" ht="15.75" customHeight="1">
      <c r="A146" s="90"/>
      <c r="B146" s="91"/>
      <c r="C146" s="92"/>
      <c r="D146" s="91"/>
      <c r="E146" s="93"/>
      <c r="F146" s="94"/>
      <c r="G146" s="91"/>
      <c r="H146" s="93"/>
      <c r="I146" s="95"/>
      <c r="J146" s="95"/>
      <c r="K146" s="95"/>
      <c r="L146" s="94"/>
      <c r="M146" s="96"/>
      <c r="N146" s="95"/>
      <c r="O146" s="95"/>
      <c r="P146" s="95"/>
    </row>
    <row r="147" ht="15.75" customHeight="1">
      <c r="A147" s="90"/>
      <c r="B147" s="91"/>
      <c r="C147" s="92"/>
      <c r="D147" s="91"/>
      <c r="E147" s="93"/>
      <c r="F147" s="94"/>
      <c r="G147" s="91"/>
      <c r="H147" s="93"/>
      <c r="I147" s="95"/>
      <c r="J147" s="95"/>
      <c r="K147" s="95"/>
      <c r="L147" s="94"/>
      <c r="M147" s="96"/>
      <c r="N147" s="95"/>
      <c r="O147" s="95"/>
      <c r="P147" s="95"/>
    </row>
    <row r="148" ht="15.75" customHeight="1">
      <c r="A148" s="90"/>
      <c r="B148" s="91"/>
      <c r="C148" s="92"/>
      <c r="D148" s="91"/>
      <c r="E148" s="93"/>
      <c r="F148" s="94"/>
      <c r="G148" s="91"/>
      <c r="H148" s="93"/>
      <c r="I148" s="95"/>
      <c r="J148" s="95"/>
      <c r="K148" s="95"/>
      <c r="L148" s="94"/>
      <c r="M148" s="96"/>
      <c r="N148" s="95"/>
      <c r="O148" s="95"/>
      <c r="P148" s="95"/>
    </row>
    <row r="149" ht="15.75" customHeight="1">
      <c r="A149" s="90"/>
      <c r="B149" s="91"/>
      <c r="C149" s="92"/>
      <c r="D149" s="91"/>
      <c r="E149" s="93"/>
      <c r="F149" s="94"/>
      <c r="G149" s="91"/>
      <c r="H149" s="93"/>
      <c r="I149" s="95"/>
      <c r="J149" s="95"/>
      <c r="K149" s="95"/>
      <c r="L149" s="94"/>
      <c r="M149" s="96"/>
      <c r="N149" s="95"/>
      <c r="O149" s="95"/>
      <c r="P149" s="95"/>
    </row>
    <row r="150" ht="15.75" customHeight="1">
      <c r="A150" s="90"/>
      <c r="B150" s="91"/>
      <c r="C150" s="92"/>
      <c r="D150" s="91"/>
      <c r="E150" s="93"/>
      <c r="F150" s="94"/>
      <c r="G150" s="91"/>
      <c r="H150" s="93"/>
      <c r="I150" s="95"/>
      <c r="J150" s="95"/>
      <c r="K150" s="95"/>
      <c r="L150" s="94"/>
      <c r="M150" s="96"/>
      <c r="N150" s="95"/>
      <c r="O150" s="95"/>
      <c r="P150" s="95"/>
    </row>
    <row r="151" ht="15.75" customHeight="1">
      <c r="A151" s="90"/>
      <c r="B151" s="91"/>
      <c r="C151" s="92"/>
      <c r="D151" s="91"/>
      <c r="E151" s="93"/>
      <c r="F151" s="94"/>
      <c r="G151" s="91"/>
      <c r="H151" s="93"/>
      <c r="I151" s="95"/>
      <c r="J151" s="95"/>
      <c r="K151" s="95"/>
      <c r="L151" s="94"/>
      <c r="M151" s="96"/>
      <c r="N151" s="95"/>
      <c r="O151" s="95"/>
      <c r="P151" s="95"/>
    </row>
    <row r="152" ht="15.75" customHeight="1">
      <c r="A152" s="90"/>
      <c r="B152" s="91"/>
      <c r="C152" s="92"/>
      <c r="D152" s="91"/>
      <c r="E152" s="93"/>
      <c r="F152" s="94"/>
      <c r="G152" s="91"/>
      <c r="H152" s="93"/>
      <c r="I152" s="95"/>
      <c r="J152" s="95"/>
      <c r="K152" s="95"/>
      <c r="L152" s="94"/>
      <c r="M152" s="96"/>
      <c r="N152" s="95"/>
      <c r="O152" s="95"/>
      <c r="P152" s="95"/>
    </row>
    <row r="153" ht="15.75" customHeight="1">
      <c r="A153" s="90"/>
      <c r="B153" s="91"/>
      <c r="C153" s="92"/>
      <c r="D153" s="91"/>
      <c r="E153" s="93"/>
      <c r="F153" s="94"/>
      <c r="G153" s="91"/>
      <c r="H153" s="93"/>
      <c r="I153" s="95"/>
      <c r="J153" s="95"/>
      <c r="K153" s="95"/>
      <c r="L153" s="94"/>
      <c r="M153" s="96"/>
      <c r="N153" s="95"/>
      <c r="O153" s="95"/>
      <c r="P153" s="95"/>
    </row>
    <row r="154" ht="15.75" customHeight="1">
      <c r="A154" s="90"/>
      <c r="B154" s="91"/>
      <c r="C154" s="92"/>
      <c r="D154" s="91"/>
      <c r="E154" s="93"/>
      <c r="F154" s="94"/>
      <c r="G154" s="91"/>
      <c r="H154" s="93"/>
      <c r="I154" s="95"/>
      <c r="J154" s="95"/>
      <c r="K154" s="95"/>
      <c r="L154" s="94"/>
      <c r="M154" s="96"/>
      <c r="N154" s="95"/>
      <c r="O154" s="95"/>
      <c r="P154" s="95"/>
    </row>
    <row r="155" ht="15.75" customHeight="1">
      <c r="A155" s="90"/>
      <c r="B155" s="91"/>
      <c r="C155" s="92"/>
      <c r="D155" s="91"/>
      <c r="E155" s="93"/>
      <c r="F155" s="94"/>
      <c r="G155" s="91"/>
      <c r="H155" s="93"/>
      <c r="I155" s="95"/>
      <c r="J155" s="95"/>
      <c r="K155" s="95"/>
      <c r="L155" s="94"/>
      <c r="M155" s="96"/>
      <c r="N155" s="95"/>
      <c r="O155" s="95"/>
      <c r="P155" s="95"/>
    </row>
    <row r="156" ht="15.75" customHeight="1">
      <c r="A156" s="90"/>
      <c r="B156" s="91"/>
      <c r="C156" s="92"/>
      <c r="D156" s="91"/>
      <c r="E156" s="93"/>
      <c r="F156" s="94"/>
      <c r="G156" s="91"/>
      <c r="H156" s="93"/>
      <c r="I156" s="95"/>
      <c r="J156" s="95"/>
      <c r="K156" s="95"/>
      <c r="L156" s="94"/>
      <c r="M156" s="96"/>
      <c r="N156" s="95"/>
      <c r="O156" s="95"/>
      <c r="P156" s="95"/>
    </row>
    <row r="157" ht="15.75" customHeight="1">
      <c r="A157" s="90"/>
      <c r="B157" s="91"/>
      <c r="C157" s="92"/>
      <c r="D157" s="91"/>
      <c r="E157" s="93"/>
      <c r="F157" s="94"/>
      <c r="G157" s="91"/>
      <c r="H157" s="93"/>
      <c r="I157" s="95"/>
      <c r="J157" s="95"/>
      <c r="K157" s="95"/>
      <c r="L157" s="94"/>
      <c r="M157" s="96"/>
      <c r="N157" s="95"/>
      <c r="O157" s="95"/>
      <c r="P157" s="95"/>
    </row>
    <row r="158" ht="15.75" customHeight="1">
      <c r="A158" s="90"/>
      <c r="B158" s="91"/>
      <c r="C158" s="92"/>
      <c r="D158" s="91"/>
      <c r="E158" s="93"/>
      <c r="F158" s="94"/>
      <c r="G158" s="91"/>
      <c r="H158" s="93"/>
      <c r="I158" s="95"/>
      <c r="J158" s="95"/>
      <c r="K158" s="95"/>
      <c r="L158" s="94"/>
      <c r="M158" s="96"/>
      <c r="N158" s="95"/>
      <c r="O158" s="95"/>
      <c r="P158" s="95"/>
    </row>
    <row r="159" ht="15.75" customHeight="1">
      <c r="A159" s="90"/>
      <c r="B159" s="91"/>
      <c r="C159" s="92"/>
      <c r="D159" s="91"/>
      <c r="E159" s="93"/>
      <c r="F159" s="94"/>
      <c r="G159" s="91"/>
      <c r="H159" s="93"/>
      <c r="I159" s="95"/>
      <c r="J159" s="95"/>
      <c r="K159" s="95"/>
      <c r="L159" s="94"/>
      <c r="M159" s="96"/>
      <c r="N159" s="95"/>
      <c r="O159" s="95"/>
      <c r="P159" s="95"/>
    </row>
    <row r="160" ht="15.75" customHeight="1">
      <c r="A160" s="90"/>
      <c r="B160" s="91"/>
      <c r="C160" s="92"/>
      <c r="D160" s="91"/>
      <c r="E160" s="93"/>
      <c r="F160" s="94"/>
      <c r="G160" s="91"/>
      <c r="H160" s="93"/>
      <c r="I160" s="95"/>
      <c r="J160" s="95"/>
      <c r="K160" s="95"/>
      <c r="L160" s="94"/>
      <c r="M160" s="96"/>
      <c r="N160" s="95"/>
      <c r="O160" s="95"/>
      <c r="P160" s="95"/>
    </row>
    <row r="161" ht="15.75" customHeight="1">
      <c r="A161" s="90"/>
      <c r="B161" s="91"/>
      <c r="C161" s="92"/>
      <c r="D161" s="91"/>
      <c r="E161" s="93"/>
      <c r="F161" s="94"/>
      <c r="G161" s="91"/>
      <c r="H161" s="93"/>
      <c r="I161" s="95"/>
      <c r="J161" s="95"/>
      <c r="K161" s="95"/>
      <c r="L161" s="94"/>
      <c r="M161" s="96"/>
      <c r="N161" s="95"/>
      <c r="O161" s="95"/>
      <c r="P161" s="95"/>
    </row>
    <row r="162" ht="15.75" customHeight="1">
      <c r="A162" s="90"/>
      <c r="B162" s="91"/>
      <c r="C162" s="92"/>
      <c r="D162" s="91"/>
      <c r="E162" s="93"/>
      <c r="F162" s="94"/>
      <c r="G162" s="91"/>
      <c r="H162" s="93"/>
      <c r="I162" s="95"/>
      <c r="J162" s="95"/>
      <c r="K162" s="95"/>
      <c r="L162" s="94"/>
      <c r="M162" s="96"/>
      <c r="N162" s="95"/>
      <c r="O162" s="95"/>
      <c r="P162" s="95"/>
    </row>
    <row r="163" ht="15.75" customHeight="1">
      <c r="A163" s="90"/>
      <c r="B163" s="91"/>
      <c r="C163" s="92"/>
      <c r="D163" s="91"/>
      <c r="E163" s="93"/>
      <c r="F163" s="94"/>
      <c r="G163" s="91"/>
      <c r="H163" s="93"/>
      <c r="I163" s="95"/>
      <c r="J163" s="95"/>
      <c r="K163" s="95"/>
      <c r="L163" s="94"/>
      <c r="M163" s="96"/>
      <c r="N163" s="95"/>
      <c r="O163" s="95"/>
      <c r="P163" s="95"/>
    </row>
    <row r="164" ht="15.75" customHeight="1">
      <c r="A164" s="90"/>
      <c r="B164" s="91"/>
      <c r="C164" s="92"/>
      <c r="D164" s="91"/>
      <c r="E164" s="93"/>
      <c r="F164" s="94"/>
      <c r="G164" s="91"/>
      <c r="H164" s="93"/>
      <c r="I164" s="95"/>
      <c r="J164" s="95"/>
      <c r="K164" s="95"/>
      <c r="L164" s="94"/>
      <c r="M164" s="96"/>
      <c r="N164" s="95"/>
      <c r="O164" s="95"/>
      <c r="P164" s="95"/>
    </row>
    <row r="165" ht="15.75" customHeight="1">
      <c r="A165" s="90"/>
      <c r="B165" s="91"/>
      <c r="C165" s="92"/>
      <c r="D165" s="91"/>
      <c r="E165" s="93"/>
      <c r="F165" s="94"/>
      <c r="G165" s="91"/>
      <c r="H165" s="93"/>
      <c r="I165" s="95"/>
      <c r="J165" s="95"/>
      <c r="K165" s="95"/>
      <c r="L165" s="94"/>
      <c r="M165" s="96"/>
      <c r="N165" s="95"/>
      <c r="O165" s="95"/>
      <c r="P165" s="95"/>
    </row>
    <row r="166" ht="15.75" customHeight="1">
      <c r="A166" s="90"/>
      <c r="B166" s="91"/>
      <c r="C166" s="92"/>
      <c r="D166" s="91"/>
      <c r="E166" s="93"/>
      <c r="F166" s="94"/>
      <c r="G166" s="91"/>
      <c r="H166" s="93"/>
      <c r="I166" s="95"/>
      <c r="J166" s="95"/>
      <c r="K166" s="95"/>
      <c r="L166" s="94"/>
      <c r="M166" s="96"/>
      <c r="N166" s="95"/>
      <c r="O166" s="95"/>
      <c r="P166" s="95"/>
    </row>
    <row r="167" ht="15.75" customHeight="1">
      <c r="A167" s="90"/>
      <c r="B167" s="91"/>
      <c r="C167" s="92"/>
      <c r="D167" s="91"/>
      <c r="E167" s="93"/>
      <c r="F167" s="94"/>
      <c r="G167" s="91"/>
      <c r="H167" s="93"/>
      <c r="I167" s="95"/>
      <c r="J167" s="95"/>
      <c r="K167" s="95"/>
      <c r="L167" s="94"/>
      <c r="M167" s="96"/>
      <c r="N167" s="95"/>
      <c r="O167" s="95"/>
      <c r="P167" s="95"/>
    </row>
    <row r="168" ht="15.75" customHeight="1">
      <c r="A168" s="90"/>
      <c r="B168" s="91"/>
      <c r="C168" s="92"/>
      <c r="D168" s="91"/>
      <c r="E168" s="93"/>
      <c r="F168" s="94"/>
      <c r="G168" s="91"/>
      <c r="H168" s="93"/>
      <c r="I168" s="95"/>
      <c r="J168" s="95"/>
      <c r="K168" s="95"/>
      <c r="L168" s="94"/>
      <c r="M168" s="96"/>
      <c r="N168" s="95"/>
      <c r="O168" s="95"/>
      <c r="P168" s="95"/>
    </row>
    <row r="169" ht="15.75" customHeight="1">
      <c r="A169" s="90"/>
      <c r="B169" s="91"/>
      <c r="C169" s="92"/>
      <c r="D169" s="91"/>
      <c r="E169" s="93"/>
      <c r="F169" s="94"/>
      <c r="G169" s="91"/>
      <c r="H169" s="93"/>
      <c r="I169" s="95"/>
      <c r="J169" s="95"/>
      <c r="K169" s="95"/>
      <c r="L169" s="94"/>
      <c r="M169" s="96"/>
      <c r="N169" s="95"/>
      <c r="O169" s="95"/>
      <c r="P169" s="95"/>
    </row>
    <row r="170" ht="15.75" customHeight="1">
      <c r="A170" s="90"/>
      <c r="B170" s="91"/>
      <c r="C170" s="92"/>
      <c r="D170" s="91"/>
      <c r="E170" s="93"/>
      <c r="F170" s="94"/>
      <c r="G170" s="91"/>
      <c r="H170" s="93"/>
      <c r="I170" s="95"/>
      <c r="J170" s="95"/>
      <c r="K170" s="95"/>
      <c r="L170" s="94"/>
      <c r="M170" s="96"/>
      <c r="N170" s="95"/>
      <c r="O170" s="95"/>
      <c r="P170" s="95"/>
    </row>
    <row r="171" ht="15.75" customHeight="1">
      <c r="A171" s="90"/>
      <c r="B171" s="91"/>
      <c r="C171" s="92"/>
      <c r="D171" s="91"/>
      <c r="E171" s="93"/>
      <c r="F171" s="94"/>
      <c r="G171" s="91"/>
      <c r="H171" s="93"/>
      <c r="I171" s="95"/>
      <c r="J171" s="95"/>
      <c r="K171" s="95"/>
      <c r="L171" s="94"/>
      <c r="M171" s="96"/>
      <c r="N171" s="95"/>
      <c r="O171" s="95"/>
      <c r="P171" s="95"/>
    </row>
    <row r="172" ht="15.75" customHeight="1">
      <c r="A172" s="90"/>
      <c r="B172" s="91"/>
      <c r="C172" s="92"/>
      <c r="D172" s="91"/>
      <c r="E172" s="93"/>
      <c r="F172" s="94"/>
      <c r="G172" s="91"/>
      <c r="H172" s="93"/>
      <c r="I172" s="95"/>
      <c r="J172" s="95"/>
      <c r="K172" s="95"/>
      <c r="L172" s="94"/>
      <c r="M172" s="96"/>
      <c r="N172" s="95"/>
      <c r="O172" s="95"/>
      <c r="P172" s="95"/>
    </row>
    <row r="173" ht="15.75" customHeight="1">
      <c r="A173" s="90"/>
      <c r="B173" s="91"/>
      <c r="C173" s="92"/>
      <c r="D173" s="91"/>
      <c r="E173" s="93"/>
      <c r="F173" s="94"/>
      <c r="G173" s="91"/>
      <c r="H173" s="93"/>
      <c r="I173" s="95"/>
      <c r="J173" s="95"/>
      <c r="K173" s="95"/>
      <c r="L173" s="94"/>
      <c r="M173" s="96"/>
      <c r="N173" s="95"/>
      <c r="O173" s="95"/>
      <c r="P173" s="95"/>
    </row>
    <row r="174" ht="15.75" customHeight="1">
      <c r="A174" s="90"/>
      <c r="B174" s="91"/>
      <c r="C174" s="92"/>
      <c r="D174" s="91"/>
      <c r="E174" s="93"/>
      <c r="F174" s="94"/>
      <c r="G174" s="91"/>
      <c r="H174" s="93"/>
      <c r="I174" s="95"/>
      <c r="J174" s="95"/>
      <c r="K174" s="95"/>
      <c r="L174" s="94"/>
      <c r="M174" s="96"/>
      <c r="N174" s="95"/>
      <c r="O174" s="95"/>
      <c r="P174" s="95"/>
    </row>
    <row r="175" ht="15.75" customHeight="1">
      <c r="A175" s="90"/>
      <c r="B175" s="91"/>
      <c r="C175" s="92"/>
      <c r="D175" s="91"/>
      <c r="E175" s="93"/>
      <c r="F175" s="94"/>
      <c r="G175" s="91"/>
      <c r="H175" s="93"/>
      <c r="I175" s="95"/>
      <c r="J175" s="95"/>
      <c r="K175" s="95"/>
      <c r="L175" s="94"/>
      <c r="M175" s="96"/>
      <c r="N175" s="95"/>
      <c r="O175" s="95"/>
      <c r="P175" s="95"/>
    </row>
    <row r="176" ht="15.75" customHeight="1">
      <c r="A176" s="90"/>
      <c r="B176" s="91"/>
      <c r="C176" s="92"/>
      <c r="D176" s="91"/>
      <c r="E176" s="93"/>
      <c r="F176" s="94"/>
      <c r="G176" s="91"/>
      <c r="H176" s="93"/>
      <c r="I176" s="95"/>
      <c r="J176" s="95"/>
      <c r="K176" s="95"/>
      <c r="L176" s="94"/>
      <c r="M176" s="96"/>
      <c r="N176" s="95"/>
      <c r="O176" s="95"/>
      <c r="P176" s="95"/>
    </row>
    <row r="177" ht="15.75" customHeight="1">
      <c r="A177" s="90"/>
      <c r="B177" s="91"/>
      <c r="C177" s="92"/>
      <c r="D177" s="91"/>
      <c r="E177" s="93"/>
      <c r="F177" s="94"/>
      <c r="G177" s="91"/>
      <c r="H177" s="93"/>
      <c r="I177" s="95"/>
      <c r="J177" s="95"/>
      <c r="K177" s="95"/>
      <c r="L177" s="94"/>
      <c r="M177" s="96"/>
      <c r="N177" s="95"/>
      <c r="O177" s="95"/>
      <c r="P177" s="95"/>
    </row>
    <row r="178" ht="15.75" customHeight="1">
      <c r="A178" s="90"/>
      <c r="B178" s="91"/>
      <c r="C178" s="92"/>
      <c r="D178" s="91"/>
      <c r="E178" s="93"/>
      <c r="F178" s="94"/>
      <c r="G178" s="91"/>
      <c r="H178" s="93"/>
      <c r="I178" s="95"/>
      <c r="J178" s="95"/>
      <c r="K178" s="95"/>
      <c r="L178" s="94"/>
      <c r="M178" s="96"/>
      <c r="N178" s="95"/>
      <c r="O178" s="95"/>
      <c r="P178" s="95"/>
    </row>
    <row r="179" ht="15.75" customHeight="1">
      <c r="A179" s="90"/>
      <c r="B179" s="91"/>
      <c r="C179" s="92"/>
      <c r="D179" s="91"/>
      <c r="E179" s="93"/>
      <c r="F179" s="94"/>
      <c r="G179" s="91"/>
      <c r="H179" s="93"/>
      <c r="I179" s="95"/>
      <c r="J179" s="95"/>
      <c r="K179" s="95"/>
      <c r="L179" s="94"/>
      <c r="M179" s="96"/>
      <c r="N179" s="95"/>
      <c r="O179" s="95"/>
      <c r="P179" s="95"/>
    </row>
    <row r="180" ht="15.75" customHeight="1">
      <c r="A180" s="90"/>
      <c r="B180" s="91"/>
      <c r="C180" s="92"/>
      <c r="D180" s="91"/>
      <c r="E180" s="93"/>
      <c r="F180" s="94"/>
      <c r="G180" s="91"/>
      <c r="H180" s="93"/>
      <c r="I180" s="95"/>
      <c r="J180" s="95"/>
      <c r="K180" s="95"/>
      <c r="L180" s="94"/>
      <c r="M180" s="96"/>
      <c r="N180" s="95"/>
      <c r="O180" s="95"/>
      <c r="P180" s="95"/>
    </row>
    <row r="181" ht="15.75" customHeight="1">
      <c r="A181" s="90"/>
      <c r="B181" s="91"/>
      <c r="C181" s="92"/>
      <c r="D181" s="91"/>
      <c r="E181" s="93"/>
      <c r="F181" s="94"/>
      <c r="G181" s="91"/>
      <c r="H181" s="93"/>
      <c r="I181" s="95"/>
      <c r="J181" s="95"/>
      <c r="K181" s="95"/>
      <c r="L181" s="94"/>
      <c r="M181" s="96"/>
      <c r="N181" s="95"/>
      <c r="O181" s="95"/>
      <c r="P181" s="95"/>
    </row>
    <row r="182" ht="15.75" customHeight="1">
      <c r="A182" s="90"/>
      <c r="B182" s="91"/>
      <c r="C182" s="92"/>
      <c r="D182" s="91"/>
      <c r="E182" s="93"/>
      <c r="F182" s="94"/>
      <c r="G182" s="91"/>
      <c r="H182" s="93"/>
      <c r="I182" s="95"/>
      <c r="J182" s="95"/>
      <c r="K182" s="95"/>
      <c r="L182" s="94"/>
      <c r="M182" s="96"/>
      <c r="N182" s="95"/>
      <c r="O182" s="95"/>
      <c r="P182" s="95"/>
    </row>
    <row r="183" ht="15.75" customHeight="1">
      <c r="A183" s="90"/>
      <c r="B183" s="91"/>
      <c r="C183" s="92"/>
      <c r="D183" s="91"/>
      <c r="E183" s="93"/>
      <c r="F183" s="94"/>
      <c r="G183" s="91"/>
      <c r="H183" s="93"/>
      <c r="I183" s="95"/>
      <c r="J183" s="95"/>
      <c r="K183" s="95"/>
      <c r="L183" s="94"/>
      <c r="M183" s="96"/>
      <c r="N183" s="95"/>
      <c r="O183" s="95"/>
      <c r="P183" s="95"/>
    </row>
    <row r="184" ht="15.75" customHeight="1">
      <c r="A184" s="90"/>
      <c r="B184" s="91"/>
      <c r="C184" s="92"/>
      <c r="D184" s="91"/>
      <c r="E184" s="93"/>
      <c r="F184" s="94"/>
      <c r="G184" s="91"/>
      <c r="H184" s="93"/>
      <c r="I184" s="95"/>
      <c r="J184" s="95"/>
      <c r="K184" s="95"/>
      <c r="L184" s="94"/>
      <c r="M184" s="96"/>
      <c r="N184" s="95"/>
      <c r="O184" s="95"/>
      <c r="P184" s="95"/>
    </row>
    <row r="185" ht="15.75" customHeight="1">
      <c r="A185" s="90"/>
      <c r="B185" s="91"/>
      <c r="C185" s="92"/>
      <c r="D185" s="91"/>
      <c r="E185" s="93"/>
      <c r="F185" s="94"/>
      <c r="G185" s="91"/>
      <c r="H185" s="93"/>
      <c r="I185" s="95"/>
      <c r="J185" s="95"/>
      <c r="K185" s="95"/>
      <c r="L185" s="94"/>
      <c r="M185" s="96"/>
      <c r="N185" s="95"/>
      <c r="O185" s="95"/>
      <c r="P185" s="95"/>
    </row>
    <row r="186" ht="15.75" customHeight="1">
      <c r="A186" s="90"/>
      <c r="B186" s="91"/>
      <c r="C186" s="92"/>
      <c r="D186" s="91"/>
      <c r="E186" s="93"/>
      <c r="F186" s="94"/>
      <c r="G186" s="91"/>
      <c r="H186" s="93"/>
      <c r="I186" s="95"/>
      <c r="J186" s="95"/>
      <c r="K186" s="95"/>
      <c r="L186" s="94"/>
      <c r="M186" s="96"/>
      <c r="N186" s="95"/>
      <c r="O186" s="95"/>
      <c r="P186" s="95"/>
    </row>
    <row r="187" ht="15.75" customHeight="1">
      <c r="A187" s="90"/>
      <c r="B187" s="91"/>
      <c r="C187" s="92"/>
      <c r="D187" s="91"/>
      <c r="E187" s="93"/>
      <c r="F187" s="94"/>
      <c r="G187" s="91"/>
      <c r="H187" s="93"/>
      <c r="I187" s="95"/>
      <c r="J187" s="95"/>
      <c r="K187" s="95"/>
      <c r="L187" s="94"/>
      <c r="M187" s="96"/>
      <c r="N187" s="95"/>
      <c r="O187" s="95"/>
      <c r="P187" s="95"/>
    </row>
    <row r="188" ht="15.75" customHeight="1">
      <c r="A188" s="90"/>
      <c r="B188" s="91"/>
      <c r="C188" s="92"/>
      <c r="D188" s="91"/>
      <c r="E188" s="93"/>
      <c r="F188" s="94"/>
      <c r="G188" s="91"/>
      <c r="H188" s="93"/>
      <c r="I188" s="95"/>
      <c r="J188" s="95"/>
      <c r="K188" s="95"/>
      <c r="L188" s="94"/>
      <c r="M188" s="96"/>
      <c r="N188" s="95"/>
      <c r="O188" s="95"/>
      <c r="P188" s="95"/>
    </row>
    <row r="189" ht="15.75" customHeight="1">
      <c r="A189" s="90"/>
      <c r="B189" s="91"/>
      <c r="C189" s="92"/>
      <c r="D189" s="91"/>
      <c r="E189" s="93"/>
      <c r="F189" s="94"/>
      <c r="G189" s="91"/>
      <c r="H189" s="93"/>
      <c r="I189" s="95"/>
      <c r="J189" s="95"/>
      <c r="K189" s="95"/>
      <c r="L189" s="94"/>
      <c r="M189" s="96"/>
      <c r="N189" s="95"/>
      <c r="O189" s="95"/>
      <c r="P189" s="95"/>
    </row>
    <row r="190" ht="15.75" customHeight="1">
      <c r="A190" s="90"/>
      <c r="B190" s="91"/>
      <c r="C190" s="92"/>
      <c r="D190" s="91"/>
      <c r="E190" s="93"/>
      <c r="F190" s="94"/>
      <c r="G190" s="91"/>
      <c r="H190" s="93"/>
      <c r="I190" s="95"/>
      <c r="J190" s="95"/>
      <c r="K190" s="95"/>
      <c r="L190" s="94"/>
      <c r="M190" s="96"/>
      <c r="N190" s="95"/>
      <c r="O190" s="95"/>
      <c r="P190" s="95"/>
    </row>
    <row r="191" ht="15.75" customHeight="1">
      <c r="A191" s="90"/>
      <c r="B191" s="91"/>
      <c r="C191" s="92"/>
      <c r="D191" s="91"/>
      <c r="E191" s="93"/>
      <c r="F191" s="94"/>
      <c r="G191" s="91"/>
      <c r="H191" s="93"/>
      <c r="I191" s="95"/>
      <c r="J191" s="95"/>
      <c r="K191" s="95"/>
      <c r="L191" s="94"/>
      <c r="M191" s="96"/>
      <c r="N191" s="95"/>
      <c r="O191" s="95"/>
      <c r="P191" s="95"/>
    </row>
    <row r="192" ht="15.75" customHeight="1">
      <c r="A192" s="90"/>
      <c r="B192" s="91"/>
      <c r="C192" s="92"/>
      <c r="D192" s="91"/>
      <c r="E192" s="93"/>
      <c r="F192" s="94"/>
      <c r="G192" s="91"/>
      <c r="H192" s="93"/>
      <c r="I192" s="95"/>
      <c r="J192" s="95"/>
      <c r="K192" s="95"/>
      <c r="L192" s="94"/>
      <c r="M192" s="96"/>
      <c r="N192" s="95"/>
      <c r="O192" s="95"/>
      <c r="P192" s="95"/>
    </row>
    <row r="193" ht="15.75" customHeight="1">
      <c r="A193" s="90"/>
      <c r="B193" s="91"/>
      <c r="C193" s="92"/>
      <c r="D193" s="91"/>
      <c r="E193" s="93"/>
      <c r="F193" s="94"/>
      <c r="G193" s="91"/>
      <c r="H193" s="93"/>
      <c r="I193" s="95"/>
      <c r="J193" s="95"/>
      <c r="K193" s="95"/>
      <c r="L193" s="94"/>
      <c r="M193" s="96"/>
      <c r="N193" s="95"/>
      <c r="O193" s="95"/>
      <c r="P193" s="95"/>
    </row>
    <row r="194" ht="15.75" customHeight="1">
      <c r="A194" s="90"/>
      <c r="B194" s="91"/>
      <c r="C194" s="92"/>
      <c r="D194" s="91"/>
      <c r="E194" s="93"/>
      <c r="F194" s="94"/>
      <c r="G194" s="91"/>
      <c r="H194" s="93"/>
      <c r="I194" s="95"/>
      <c r="J194" s="95"/>
      <c r="K194" s="95"/>
      <c r="L194" s="94"/>
      <c r="M194" s="96"/>
      <c r="N194" s="95"/>
      <c r="O194" s="95"/>
      <c r="P194" s="95"/>
    </row>
    <row r="195" ht="15.75" customHeight="1">
      <c r="A195" s="90"/>
      <c r="B195" s="91"/>
      <c r="C195" s="92"/>
      <c r="D195" s="91"/>
      <c r="E195" s="93"/>
      <c r="F195" s="94"/>
      <c r="G195" s="91"/>
      <c r="H195" s="93"/>
      <c r="I195" s="95"/>
      <c r="J195" s="95"/>
      <c r="K195" s="95"/>
      <c r="L195" s="94"/>
      <c r="M195" s="96"/>
      <c r="N195" s="95"/>
      <c r="O195" s="95"/>
      <c r="P195" s="95"/>
    </row>
    <row r="196" ht="15.75" customHeight="1">
      <c r="A196" s="90"/>
      <c r="B196" s="91"/>
      <c r="C196" s="92"/>
      <c r="D196" s="91"/>
      <c r="E196" s="93"/>
      <c r="F196" s="94"/>
      <c r="G196" s="91"/>
      <c r="H196" s="93"/>
      <c r="I196" s="95"/>
      <c r="J196" s="95"/>
      <c r="K196" s="95"/>
      <c r="L196" s="94"/>
      <c r="M196" s="96"/>
      <c r="N196" s="95"/>
      <c r="O196" s="95"/>
      <c r="P196" s="95"/>
    </row>
    <row r="197" ht="15.75" customHeight="1">
      <c r="A197" s="90"/>
      <c r="B197" s="91"/>
      <c r="C197" s="92"/>
      <c r="D197" s="91"/>
      <c r="E197" s="93"/>
      <c r="F197" s="94"/>
      <c r="G197" s="91"/>
      <c r="H197" s="93"/>
      <c r="I197" s="95"/>
      <c r="J197" s="95"/>
      <c r="K197" s="95"/>
      <c r="L197" s="94"/>
      <c r="M197" s="96"/>
      <c r="N197" s="95"/>
      <c r="O197" s="95"/>
      <c r="P197" s="95"/>
    </row>
    <row r="198" ht="15.75" customHeight="1">
      <c r="A198" s="90"/>
      <c r="B198" s="91"/>
      <c r="C198" s="92"/>
      <c r="D198" s="91"/>
      <c r="E198" s="93"/>
      <c r="F198" s="94"/>
      <c r="G198" s="91"/>
      <c r="H198" s="93"/>
      <c r="I198" s="95"/>
      <c r="J198" s="95"/>
      <c r="K198" s="95"/>
      <c r="L198" s="94"/>
      <c r="M198" s="96"/>
      <c r="N198" s="95"/>
      <c r="O198" s="95"/>
      <c r="P198" s="95"/>
    </row>
    <row r="199" ht="15.75" customHeight="1">
      <c r="A199" s="90"/>
      <c r="B199" s="91"/>
      <c r="C199" s="92"/>
      <c r="D199" s="91"/>
      <c r="E199" s="93"/>
      <c r="F199" s="94"/>
      <c r="G199" s="91"/>
      <c r="H199" s="93"/>
      <c r="I199" s="95"/>
      <c r="J199" s="95"/>
      <c r="K199" s="95"/>
      <c r="L199" s="94"/>
      <c r="M199" s="96"/>
      <c r="N199" s="95"/>
      <c r="O199" s="95"/>
      <c r="P199" s="95"/>
    </row>
    <row r="200" ht="15.75" customHeight="1">
      <c r="A200" s="90"/>
      <c r="B200" s="91"/>
      <c r="C200" s="92"/>
      <c r="D200" s="91"/>
      <c r="E200" s="93"/>
      <c r="F200" s="94"/>
      <c r="G200" s="91"/>
      <c r="H200" s="93"/>
      <c r="I200" s="95"/>
      <c r="J200" s="95"/>
      <c r="K200" s="95"/>
      <c r="L200" s="94"/>
      <c r="M200" s="96"/>
      <c r="N200" s="95"/>
      <c r="O200" s="95"/>
      <c r="P200" s="95"/>
    </row>
    <row r="201" ht="15.75" customHeight="1">
      <c r="A201" s="90"/>
      <c r="B201" s="91"/>
      <c r="C201" s="92"/>
      <c r="D201" s="91"/>
      <c r="E201" s="93"/>
      <c r="F201" s="94"/>
      <c r="G201" s="91"/>
      <c r="H201" s="93"/>
      <c r="I201" s="95"/>
      <c r="J201" s="95"/>
      <c r="K201" s="95"/>
      <c r="L201" s="94"/>
      <c r="M201" s="96"/>
      <c r="N201" s="95"/>
      <c r="O201" s="95"/>
      <c r="P201" s="95"/>
    </row>
    <row r="202" ht="15.75" customHeight="1">
      <c r="A202" s="90"/>
      <c r="B202" s="91"/>
      <c r="C202" s="92"/>
      <c r="D202" s="91"/>
      <c r="E202" s="93"/>
      <c r="F202" s="94"/>
      <c r="G202" s="91"/>
      <c r="H202" s="93"/>
      <c r="I202" s="95"/>
      <c r="J202" s="95"/>
      <c r="K202" s="95"/>
      <c r="L202" s="94"/>
      <c r="M202" s="96"/>
      <c r="N202" s="95"/>
      <c r="O202" s="95"/>
      <c r="P202" s="95"/>
    </row>
    <row r="203" ht="15.75" customHeight="1">
      <c r="A203" s="90"/>
      <c r="B203" s="91"/>
      <c r="C203" s="92"/>
      <c r="D203" s="91"/>
      <c r="E203" s="93"/>
      <c r="F203" s="94"/>
      <c r="G203" s="91"/>
      <c r="H203" s="93"/>
      <c r="I203" s="95"/>
      <c r="J203" s="95"/>
      <c r="K203" s="95"/>
      <c r="L203" s="94"/>
      <c r="M203" s="96"/>
      <c r="N203" s="95"/>
      <c r="O203" s="95"/>
      <c r="P203" s="95"/>
    </row>
    <row r="204" ht="15.75" customHeight="1">
      <c r="A204" s="90"/>
      <c r="B204" s="91"/>
      <c r="C204" s="92"/>
      <c r="D204" s="91"/>
      <c r="E204" s="93"/>
      <c r="F204" s="94"/>
      <c r="G204" s="91"/>
      <c r="H204" s="93"/>
      <c r="I204" s="95"/>
      <c r="J204" s="95"/>
      <c r="K204" s="95"/>
      <c r="L204" s="94"/>
      <c r="M204" s="96"/>
      <c r="N204" s="95"/>
      <c r="O204" s="95"/>
      <c r="P204" s="95"/>
    </row>
    <row r="205" ht="15.75" customHeight="1">
      <c r="A205" s="90"/>
      <c r="B205" s="91"/>
      <c r="C205" s="92"/>
      <c r="D205" s="91"/>
      <c r="E205" s="93"/>
      <c r="F205" s="94"/>
      <c r="G205" s="91"/>
      <c r="H205" s="93"/>
      <c r="I205" s="95"/>
      <c r="J205" s="95"/>
      <c r="K205" s="95"/>
      <c r="L205" s="94"/>
      <c r="M205" s="96"/>
      <c r="N205" s="95"/>
      <c r="O205" s="95"/>
      <c r="P205" s="95"/>
    </row>
    <row r="206" ht="15.75" customHeight="1">
      <c r="A206" s="90"/>
      <c r="B206" s="91"/>
      <c r="C206" s="92"/>
      <c r="D206" s="91"/>
      <c r="E206" s="93"/>
      <c r="F206" s="94"/>
      <c r="G206" s="91"/>
      <c r="H206" s="93"/>
      <c r="I206" s="95"/>
      <c r="J206" s="95"/>
      <c r="K206" s="95"/>
      <c r="L206" s="94"/>
      <c r="M206" s="96"/>
      <c r="N206" s="95"/>
      <c r="O206" s="95"/>
      <c r="P206" s="95"/>
    </row>
    <row r="207" ht="15.75" customHeight="1">
      <c r="A207" s="90"/>
      <c r="B207" s="91"/>
      <c r="C207" s="92"/>
      <c r="D207" s="91"/>
      <c r="E207" s="93"/>
      <c r="F207" s="94"/>
      <c r="G207" s="91"/>
      <c r="H207" s="93"/>
      <c r="I207" s="95"/>
      <c r="J207" s="95"/>
      <c r="K207" s="95"/>
      <c r="L207" s="94"/>
      <c r="M207" s="96"/>
      <c r="N207" s="95"/>
      <c r="O207" s="95"/>
      <c r="P207" s="95"/>
    </row>
    <row r="208" ht="15.75" customHeight="1">
      <c r="A208" s="90"/>
      <c r="B208" s="91"/>
      <c r="C208" s="92"/>
      <c r="D208" s="91"/>
      <c r="E208" s="93"/>
      <c r="F208" s="94"/>
      <c r="G208" s="91"/>
      <c r="H208" s="93"/>
      <c r="I208" s="95"/>
      <c r="J208" s="95"/>
      <c r="K208" s="95"/>
      <c r="L208" s="94"/>
      <c r="M208" s="96"/>
      <c r="N208" s="95"/>
      <c r="O208" s="95"/>
      <c r="P208" s="95"/>
    </row>
    <row r="209" ht="15.75" customHeight="1">
      <c r="A209" s="90"/>
      <c r="B209" s="91"/>
      <c r="C209" s="92"/>
      <c r="D209" s="91"/>
      <c r="E209" s="93"/>
      <c r="F209" s="94"/>
      <c r="G209" s="91"/>
      <c r="H209" s="93"/>
      <c r="I209" s="95"/>
      <c r="J209" s="95"/>
      <c r="K209" s="95"/>
      <c r="L209" s="94"/>
      <c r="M209" s="96"/>
      <c r="N209" s="95"/>
      <c r="O209" s="95"/>
      <c r="P209" s="95"/>
    </row>
    <row r="210" ht="15.75" customHeight="1">
      <c r="A210" s="90"/>
      <c r="B210" s="91"/>
      <c r="C210" s="92"/>
      <c r="D210" s="91"/>
      <c r="E210" s="93"/>
      <c r="F210" s="94"/>
      <c r="G210" s="91"/>
      <c r="H210" s="93"/>
      <c r="I210" s="95"/>
      <c r="J210" s="95"/>
      <c r="K210" s="95"/>
      <c r="L210" s="94"/>
      <c r="M210" s="96"/>
      <c r="N210" s="95"/>
      <c r="O210" s="95"/>
      <c r="P210" s="95"/>
    </row>
    <row r="211" ht="15.75" customHeight="1">
      <c r="A211" s="90"/>
      <c r="B211" s="91"/>
      <c r="C211" s="92"/>
      <c r="D211" s="91"/>
      <c r="E211" s="93"/>
      <c r="F211" s="94"/>
      <c r="G211" s="91"/>
      <c r="H211" s="93"/>
      <c r="I211" s="95"/>
      <c r="J211" s="95"/>
      <c r="K211" s="95"/>
      <c r="L211" s="94"/>
      <c r="M211" s="96"/>
      <c r="N211" s="95"/>
      <c r="O211" s="95"/>
      <c r="P211" s="95"/>
    </row>
    <row r="212" ht="15.75" customHeight="1">
      <c r="A212" s="90"/>
      <c r="B212" s="91"/>
      <c r="C212" s="92"/>
      <c r="D212" s="91"/>
      <c r="E212" s="93"/>
      <c r="F212" s="94"/>
      <c r="G212" s="91"/>
      <c r="H212" s="93"/>
      <c r="I212" s="95"/>
      <c r="J212" s="95"/>
      <c r="K212" s="95"/>
      <c r="L212" s="94"/>
      <c r="M212" s="96"/>
      <c r="N212" s="95"/>
      <c r="O212" s="95"/>
      <c r="P212" s="95"/>
    </row>
    <row r="213" ht="15.75" customHeight="1">
      <c r="A213" s="90"/>
      <c r="B213" s="91"/>
      <c r="C213" s="92"/>
      <c r="D213" s="91"/>
      <c r="E213" s="93"/>
      <c r="F213" s="94"/>
      <c r="G213" s="91"/>
      <c r="H213" s="93"/>
      <c r="I213" s="95"/>
      <c r="J213" s="95"/>
      <c r="K213" s="95"/>
      <c r="L213" s="94"/>
      <c r="M213" s="96"/>
      <c r="N213" s="95"/>
      <c r="O213" s="95"/>
      <c r="P213" s="95"/>
    </row>
    <row r="214" ht="15.75" customHeight="1">
      <c r="A214" s="90"/>
      <c r="B214" s="91"/>
      <c r="C214" s="92"/>
      <c r="D214" s="91"/>
      <c r="E214" s="93"/>
      <c r="F214" s="94"/>
      <c r="G214" s="91"/>
      <c r="H214" s="93"/>
      <c r="I214" s="95"/>
      <c r="J214" s="95"/>
      <c r="K214" s="95"/>
      <c r="L214" s="94"/>
      <c r="M214" s="96"/>
      <c r="N214" s="95"/>
      <c r="O214" s="95"/>
      <c r="P214" s="95"/>
    </row>
    <row r="215" ht="15.75" customHeight="1">
      <c r="A215" s="90"/>
      <c r="B215" s="91"/>
      <c r="C215" s="92"/>
      <c r="D215" s="91"/>
      <c r="E215" s="93"/>
      <c r="F215" s="94"/>
      <c r="G215" s="91"/>
      <c r="H215" s="93"/>
      <c r="I215" s="95"/>
      <c r="J215" s="95"/>
      <c r="K215" s="95"/>
      <c r="L215" s="94"/>
      <c r="M215" s="96"/>
      <c r="N215" s="95"/>
      <c r="O215" s="95"/>
      <c r="P215" s="95"/>
    </row>
    <row r="216" ht="15.75" customHeight="1">
      <c r="A216" s="90"/>
      <c r="B216" s="91"/>
      <c r="C216" s="92"/>
      <c r="D216" s="91"/>
      <c r="E216" s="93"/>
      <c r="F216" s="94"/>
      <c r="G216" s="91"/>
      <c r="H216" s="93"/>
      <c r="I216" s="95"/>
      <c r="J216" s="95"/>
      <c r="K216" s="95"/>
      <c r="L216" s="94"/>
      <c r="M216" s="96"/>
      <c r="N216" s="95"/>
      <c r="O216" s="95"/>
      <c r="P216" s="95"/>
    </row>
    <row r="217" ht="15.75" customHeight="1">
      <c r="A217" s="90"/>
      <c r="B217" s="91"/>
      <c r="C217" s="92"/>
      <c r="D217" s="91"/>
      <c r="E217" s="93"/>
      <c r="F217" s="94"/>
      <c r="G217" s="91"/>
      <c r="H217" s="93"/>
      <c r="I217" s="95"/>
      <c r="J217" s="95"/>
      <c r="K217" s="95"/>
      <c r="L217" s="94"/>
      <c r="M217" s="96"/>
      <c r="N217" s="95"/>
      <c r="O217" s="95"/>
      <c r="P217" s="95"/>
    </row>
    <row r="218" ht="15.75" customHeight="1">
      <c r="A218" s="90"/>
      <c r="B218" s="91"/>
      <c r="C218" s="92"/>
      <c r="D218" s="91"/>
      <c r="E218" s="93"/>
      <c r="F218" s="94"/>
      <c r="G218" s="91"/>
      <c r="H218" s="93"/>
      <c r="I218" s="95"/>
      <c r="J218" s="95"/>
      <c r="K218" s="95"/>
      <c r="L218" s="94"/>
      <c r="M218" s="96"/>
      <c r="N218" s="95"/>
      <c r="O218" s="95"/>
      <c r="P218" s="95"/>
    </row>
    <row r="219" ht="15.75" customHeight="1">
      <c r="A219" s="90"/>
      <c r="B219" s="91"/>
      <c r="C219" s="92"/>
      <c r="D219" s="91"/>
      <c r="E219" s="93"/>
      <c r="F219" s="94"/>
      <c r="G219" s="91"/>
      <c r="H219" s="93"/>
      <c r="I219" s="95"/>
      <c r="J219" s="95"/>
      <c r="K219" s="95"/>
      <c r="L219" s="94"/>
      <c r="M219" s="96"/>
      <c r="N219" s="95"/>
      <c r="O219" s="95"/>
      <c r="P219" s="95"/>
    </row>
    <row r="220" ht="15.75" customHeight="1">
      <c r="A220" s="90"/>
      <c r="B220" s="91"/>
      <c r="C220" s="92"/>
      <c r="D220" s="91"/>
      <c r="E220" s="93"/>
      <c r="F220" s="94"/>
      <c r="G220" s="91"/>
      <c r="H220" s="93"/>
      <c r="I220" s="95"/>
      <c r="J220" s="95"/>
      <c r="K220" s="95"/>
      <c r="L220" s="94"/>
      <c r="M220" s="96"/>
      <c r="N220" s="95"/>
      <c r="O220" s="95"/>
      <c r="P220" s="95"/>
    </row>
    <row r="221" ht="15.75" customHeight="1">
      <c r="A221" s="90"/>
      <c r="B221" s="91"/>
      <c r="C221" s="92"/>
      <c r="D221" s="91"/>
      <c r="E221" s="93"/>
      <c r="F221" s="94"/>
      <c r="G221" s="91"/>
      <c r="H221" s="93"/>
      <c r="I221" s="95"/>
      <c r="J221" s="95"/>
      <c r="K221" s="95"/>
      <c r="L221" s="94"/>
      <c r="M221" s="96"/>
      <c r="N221" s="95"/>
      <c r="O221" s="95"/>
      <c r="P221" s="95"/>
    </row>
    <row r="222" ht="15.75" customHeight="1">
      <c r="A222" s="90"/>
      <c r="B222" s="91"/>
      <c r="C222" s="92"/>
      <c r="D222" s="91"/>
      <c r="E222" s="93"/>
      <c r="F222" s="94"/>
      <c r="G222" s="91"/>
      <c r="H222" s="93"/>
      <c r="I222" s="95"/>
      <c r="J222" s="95"/>
      <c r="K222" s="95"/>
      <c r="L222" s="94"/>
      <c r="M222" s="96"/>
      <c r="N222" s="95"/>
      <c r="O222" s="95"/>
      <c r="P222" s="95"/>
    </row>
    <row r="223" ht="15.75" customHeight="1">
      <c r="A223" s="90"/>
      <c r="B223" s="91"/>
      <c r="C223" s="92"/>
      <c r="D223" s="91"/>
      <c r="E223" s="93"/>
      <c r="F223" s="94"/>
      <c r="G223" s="91"/>
      <c r="H223" s="93"/>
      <c r="I223" s="95"/>
      <c r="J223" s="95"/>
      <c r="K223" s="95"/>
      <c r="L223" s="94"/>
      <c r="M223" s="96"/>
      <c r="N223" s="95"/>
      <c r="O223" s="95"/>
      <c r="P223" s="95"/>
    </row>
    <row r="224" ht="15.75" customHeight="1">
      <c r="A224" s="90"/>
      <c r="B224" s="91"/>
      <c r="C224" s="92"/>
      <c r="D224" s="91"/>
      <c r="E224" s="93"/>
      <c r="F224" s="94"/>
      <c r="G224" s="91"/>
      <c r="H224" s="93"/>
      <c r="I224" s="95"/>
      <c r="J224" s="95"/>
      <c r="K224" s="95"/>
      <c r="L224" s="94"/>
      <c r="M224" s="96"/>
      <c r="N224" s="95"/>
      <c r="O224" s="95"/>
      <c r="P224" s="95"/>
    </row>
    <row r="225" ht="15.75" customHeight="1">
      <c r="A225" s="90"/>
      <c r="B225" s="91"/>
      <c r="C225" s="92"/>
      <c r="D225" s="91"/>
      <c r="E225" s="93"/>
      <c r="F225" s="94"/>
      <c r="G225" s="91"/>
      <c r="H225" s="93"/>
      <c r="I225" s="95"/>
      <c r="J225" s="95"/>
      <c r="K225" s="95"/>
      <c r="L225" s="94"/>
      <c r="M225" s="96"/>
      <c r="N225" s="95"/>
      <c r="O225" s="95"/>
      <c r="P225" s="95"/>
    </row>
    <row r="226" ht="15.75" customHeight="1">
      <c r="A226" s="90"/>
      <c r="B226" s="91"/>
      <c r="C226" s="92"/>
      <c r="D226" s="91"/>
      <c r="E226" s="93"/>
      <c r="F226" s="94"/>
      <c r="G226" s="91"/>
      <c r="H226" s="93"/>
      <c r="I226" s="95"/>
      <c r="J226" s="95"/>
      <c r="K226" s="95"/>
      <c r="L226" s="94"/>
      <c r="M226" s="96"/>
      <c r="N226" s="95"/>
      <c r="O226" s="95"/>
      <c r="P226" s="95"/>
    </row>
    <row r="227" ht="15.75" customHeight="1">
      <c r="A227" s="90"/>
      <c r="B227" s="91"/>
      <c r="C227" s="92"/>
      <c r="D227" s="91"/>
      <c r="E227" s="93"/>
      <c r="F227" s="94"/>
      <c r="G227" s="91"/>
      <c r="H227" s="93"/>
      <c r="I227" s="95"/>
      <c r="J227" s="95"/>
      <c r="K227" s="95"/>
      <c r="L227" s="94"/>
      <c r="M227" s="96"/>
      <c r="N227" s="95"/>
      <c r="O227" s="95"/>
      <c r="P227" s="95"/>
    </row>
    <row r="228" ht="15.75" customHeight="1">
      <c r="A228" s="90"/>
      <c r="B228" s="91"/>
      <c r="C228" s="92"/>
      <c r="D228" s="91"/>
      <c r="E228" s="93"/>
      <c r="F228" s="94"/>
      <c r="G228" s="91"/>
      <c r="H228" s="93"/>
      <c r="I228" s="95"/>
      <c r="J228" s="95"/>
      <c r="K228" s="95"/>
      <c r="L228" s="94"/>
      <c r="M228" s="96"/>
      <c r="N228" s="95"/>
      <c r="O228" s="95"/>
      <c r="P228" s="95"/>
    </row>
    <row r="229" ht="15.75" customHeight="1">
      <c r="A229" s="90"/>
      <c r="B229" s="91"/>
      <c r="C229" s="92"/>
      <c r="D229" s="91"/>
      <c r="E229" s="93"/>
      <c r="F229" s="94"/>
      <c r="G229" s="91"/>
      <c r="H229" s="93"/>
      <c r="I229" s="95"/>
      <c r="J229" s="95"/>
      <c r="K229" s="95"/>
      <c r="L229" s="94"/>
      <c r="M229" s="96"/>
      <c r="N229" s="95"/>
      <c r="O229" s="95"/>
      <c r="P229" s="95"/>
    </row>
    <row r="230" ht="15.75" customHeight="1">
      <c r="A230" s="90"/>
      <c r="B230" s="91"/>
      <c r="C230" s="92"/>
      <c r="D230" s="91"/>
      <c r="E230" s="93"/>
      <c r="F230" s="94"/>
      <c r="G230" s="91"/>
      <c r="H230" s="93"/>
      <c r="I230" s="95"/>
      <c r="J230" s="95"/>
      <c r="K230" s="95"/>
      <c r="L230" s="94"/>
      <c r="M230" s="96"/>
      <c r="N230" s="95"/>
      <c r="O230" s="95"/>
      <c r="P230" s="95"/>
    </row>
    <row r="231" ht="15.75" customHeight="1">
      <c r="A231" s="90"/>
      <c r="B231" s="91"/>
      <c r="C231" s="92"/>
      <c r="D231" s="91"/>
      <c r="E231" s="93"/>
      <c r="F231" s="94"/>
      <c r="G231" s="91"/>
      <c r="H231" s="93"/>
      <c r="I231" s="95"/>
      <c r="J231" s="95"/>
      <c r="K231" s="95"/>
      <c r="L231" s="94"/>
      <c r="M231" s="96"/>
      <c r="N231" s="95"/>
      <c r="O231" s="95"/>
      <c r="P231" s="95"/>
    </row>
    <row r="232" ht="15.75" customHeight="1">
      <c r="A232" s="90"/>
      <c r="B232" s="91"/>
      <c r="C232" s="92"/>
      <c r="D232" s="91"/>
      <c r="E232" s="93"/>
      <c r="F232" s="94"/>
      <c r="G232" s="91"/>
      <c r="H232" s="93"/>
      <c r="I232" s="95"/>
      <c r="J232" s="95"/>
      <c r="K232" s="95"/>
      <c r="L232" s="94"/>
      <c r="M232" s="96"/>
      <c r="N232" s="95"/>
      <c r="O232" s="95"/>
      <c r="P232" s="95"/>
    </row>
    <row r="233" ht="15.75" customHeight="1">
      <c r="A233" s="90"/>
      <c r="B233" s="91"/>
      <c r="C233" s="92"/>
      <c r="D233" s="91"/>
      <c r="E233" s="93"/>
      <c r="F233" s="94"/>
      <c r="G233" s="91"/>
      <c r="H233" s="93"/>
      <c r="I233" s="95"/>
      <c r="J233" s="95"/>
      <c r="K233" s="95"/>
      <c r="L233" s="94"/>
      <c r="M233" s="96"/>
      <c r="N233" s="95"/>
      <c r="O233" s="95"/>
      <c r="P233" s="95"/>
    </row>
    <row r="234" ht="15.75" customHeight="1">
      <c r="A234" s="90"/>
      <c r="B234" s="91"/>
      <c r="C234" s="92"/>
      <c r="D234" s="91"/>
      <c r="E234" s="93"/>
      <c r="F234" s="94"/>
      <c r="G234" s="91"/>
      <c r="H234" s="93"/>
      <c r="I234" s="95"/>
      <c r="J234" s="95"/>
      <c r="K234" s="95"/>
      <c r="L234" s="94"/>
      <c r="M234" s="96"/>
      <c r="N234" s="95"/>
      <c r="O234" s="95"/>
      <c r="P234" s="95"/>
    </row>
    <row r="235" ht="15.75" customHeight="1">
      <c r="A235" s="90"/>
      <c r="B235" s="91"/>
      <c r="C235" s="92"/>
      <c r="D235" s="91"/>
      <c r="E235" s="93"/>
      <c r="F235" s="94"/>
      <c r="G235" s="91"/>
      <c r="H235" s="93"/>
      <c r="I235" s="95"/>
      <c r="J235" s="95"/>
      <c r="K235" s="95"/>
      <c r="L235" s="94"/>
      <c r="M235" s="96"/>
      <c r="N235" s="95"/>
      <c r="O235" s="95"/>
      <c r="P235" s="95"/>
    </row>
    <row r="236" ht="15.75" customHeight="1">
      <c r="A236" s="90"/>
      <c r="B236" s="91"/>
      <c r="C236" s="92"/>
      <c r="D236" s="91"/>
      <c r="E236" s="93"/>
      <c r="F236" s="94"/>
      <c r="G236" s="91"/>
      <c r="H236" s="93"/>
      <c r="I236" s="95"/>
      <c r="J236" s="95"/>
      <c r="K236" s="95"/>
      <c r="L236" s="94"/>
      <c r="M236" s="96"/>
      <c r="N236" s="95"/>
      <c r="O236" s="95"/>
      <c r="P236" s="95"/>
    </row>
    <row r="237" ht="15.75" customHeight="1">
      <c r="A237" s="90"/>
      <c r="B237" s="91"/>
      <c r="C237" s="92"/>
      <c r="D237" s="91"/>
      <c r="E237" s="93"/>
      <c r="F237" s="94"/>
      <c r="G237" s="91"/>
      <c r="H237" s="93"/>
      <c r="I237" s="95"/>
      <c r="J237" s="95"/>
      <c r="K237" s="95"/>
      <c r="L237" s="94"/>
      <c r="M237" s="96"/>
      <c r="N237" s="95"/>
      <c r="O237" s="95"/>
      <c r="P237" s="95"/>
    </row>
    <row r="238" ht="15.75" customHeight="1">
      <c r="A238" s="90"/>
      <c r="B238" s="91"/>
      <c r="C238" s="92"/>
      <c r="D238" s="91"/>
      <c r="E238" s="93"/>
      <c r="F238" s="94"/>
      <c r="G238" s="91"/>
      <c r="H238" s="93"/>
      <c r="I238" s="95"/>
      <c r="J238" s="95"/>
      <c r="K238" s="95"/>
      <c r="L238" s="94"/>
      <c r="M238" s="96"/>
      <c r="N238" s="95"/>
      <c r="O238" s="95"/>
      <c r="P238" s="95"/>
    </row>
    <row r="239" ht="15.75" customHeight="1">
      <c r="A239" s="90"/>
      <c r="B239" s="91"/>
      <c r="C239" s="92"/>
      <c r="D239" s="91"/>
      <c r="E239" s="93"/>
      <c r="F239" s="94"/>
      <c r="G239" s="91"/>
      <c r="H239" s="93"/>
      <c r="I239" s="95"/>
      <c r="J239" s="95"/>
      <c r="K239" s="95"/>
      <c r="L239" s="94"/>
      <c r="M239" s="96"/>
      <c r="N239" s="95"/>
      <c r="O239" s="95"/>
      <c r="P239" s="95"/>
    </row>
    <row r="240" ht="15.75" customHeight="1">
      <c r="A240" s="90"/>
      <c r="B240" s="91"/>
      <c r="C240" s="92"/>
      <c r="D240" s="91"/>
      <c r="E240" s="93"/>
      <c r="F240" s="94"/>
      <c r="G240" s="91"/>
      <c r="H240" s="93"/>
      <c r="I240" s="95"/>
      <c r="J240" s="95"/>
      <c r="K240" s="95"/>
      <c r="L240" s="94"/>
      <c r="M240" s="96"/>
      <c r="N240" s="95"/>
      <c r="O240" s="95"/>
      <c r="P240" s="95"/>
    </row>
    <row r="241" ht="15.75" customHeight="1">
      <c r="A241" s="90"/>
      <c r="B241" s="91"/>
      <c r="C241" s="92"/>
      <c r="D241" s="91"/>
      <c r="E241" s="93"/>
      <c r="F241" s="94"/>
      <c r="G241" s="91"/>
      <c r="H241" s="93"/>
      <c r="I241" s="95"/>
      <c r="J241" s="95"/>
      <c r="K241" s="95"/>
      <c r="L241" s="94"/>
      <c r="M241" s="96"/>
      <c r="N241" s="95"/>
      <c r="O241" s="95"/>
      <c r="P241" s="95"/>
    </row>
    <row r="242" ht="15.75" customHeight="1">
      <c r="A242" s="90"/>
      <c r="B242" s="91"/>
      <c r="C242" s="92"/>
      <c r="D242" s="91"/>
      <c r="E242" s="93"/>
      <c r="F242" s="94"/>
      <c r="G242" s="91"/>
      <c r="H242" s="93"/>
      <c r="I242" s="95"/>
      <c r="J242" s="95"/>
      <c r="K242" s="95"/>
      <c r="L242" s="94"/>
      <c r="M242" s="96"/>
      <c r="N242" s="95"/>
      <c r="O242" s="95"/>
      <c r="P242" s="95"/>
    </row>
    <row r="243" ht="15.75" customHeight="1">
      <c r="A243" s="90"/>
      <c r="B243" s="91"/>
      <c r="C243" s="92"/>
      <c r="D243" s="91"/>
      <c r="E243" s="93"/>
      <c r="F243" s="94"/>
      <c r="G243" s="91"/>
      <c r="H243" s="93"/>
      <c r="I243" s="95"/>
      <c r="J243" s="95"/>
      <c r="K243" s="95"/>
      <c r="L243" s="94"/>
      <c r="M243" s="96"/>
      <c r="N243" s="95"/>
      <c r="O243" s="95"/>
      <c r="P243" s="95"/>
    </row>
    <row r="244" ht="15.75" customHeight="1">
      <c r="A244" s="90"/>
      <c r="B244" s="91"/>
      <c r="C244" s="92"/>
      <c r="D244" s="91"/>
      <c r="E244" s="93"/>
      <c r="F244" s="94"/>
      <c r="G244" s="91"/>
      <c r="H244" s="93"/>
      <c r="I244" s="95"/>
      <c r="J244" s="95"/>
      <c r="K244" s="95"/>
      <c r="L244" s="94"/>
      <c r="M244" s="96"/>
      <c r="N244" s="95"/>
      <c r="O244" s="95"/>
      <c r="P244" s="95"/>
    </row>
    <row r="245" ht="15.75" customHeight="1">
      <c r="A245" s="90"/>
      <c r="B245" s="91"/>
      <c r="C245" s="92"/>
      <c r="D245" s="91"/>
      <c r="E245" s="93"/>
      <c r="F245" s="94"/>
      <c r="G245" s="91"/>
      <c r="H245" s="93"/>
      <c r="I245" s="95"/>
      <c r="J245" s="95"/>
      <c r="K245" s="95"/>
      <c r="L245" s="94"/>
      <c r="M245" s="96"/>
      <c r="N245" s="95"/>
      <c r="O245" s="95"/>
      <c r="P245" s="95"/>
    </row>
    <row r="246" ht="15.75" customHeight="1">
      <c r="A246" s="90"/>
      <c r="B246" s="91"/>
      <c r="C246" s="92"/>
      <c r="D246" s="91"/>
      <c r="E246" s="93"/>
      <c r="F246" s="94"/>
      <c r="G246" s="91"/>
      <c r="H246" s="93"/>
      <c r="I246" s="95"/>
      <c r="J246" s="95"/>
      <c r="K246" s="95"/>
      <c r="L246" s="94"/>
      <c r="M246" s="96"/>
      <c r="N246" s="95"/>
      <c r="O246" s="95"/>
      <c r="P246" s="95"/>
    </row>
    <row r="247" ht="15.75" customHeight="1">
      <c r="A247" s="90"/>
      <c r="B247" s="91"/>
      <c r="C247" s="92"/>
      <c r="D247" s="91"/>
      <c r="E247" s="93"/>
      <c r="F247" s="94"/>
      <c r="G247" s="91"/>
      <c r="H247" s="93"/>
      <c r="I247" s="95"/>
      <c r="J247" s="95"/>
      <c r="K247" s="95"/>
      <c r="L247" s="94"/>
      <c r="M247" s="96"/>
      <c r="N247" s="95"/>
      <c r="O247" s="95"/>
      <c r="P247" s="95"/>
    </row>
    <row r="248" ht="15.75" customHeight="1">
      <c r="A248" s="90"/>
      <c r="B248" s="91"/>
      <c r="C248" s="92"/>
      <c r="D248" s="91"/>
      <c r="E248" s="93"/>
      <c r="F248" s="94"/>
      <c r="G248" s="91"/>
      <c r="H248" s="93"/>
      <c r="I248" s="95"/>
      <c r="J248" s="95"/>
      <c r="K248" s="95"/>
      <c r="L248" s="94"/>
      <c r="M248" s="96"/>
      <c r="N248" s="95"/>
      <c r="O248" s="95"/>
      <c r="P248" s="95"/>
    </row>
    <row r="249" ht="15.75" customHeight="1">
      <c r="A249" s="90"/>
      <c r="B249" s="91"/>
      <c r="C249" s="92"/>
      <c r="D249" s="91"/>
      <c r="E249" s="93"/>
      <c r="F249" s="94"/>
      <c r="G249" s="91"/>
      <c r="H249" s="93"/>
      <c r="I249" s="95"/>
      <c r="J249" s="95"/>
      <c r="K249" s="95"/>
      <c r="L249" s="94"/>
      <c r="M249" s="96"/>
      <c r="N249" s="95"/>
      <c r="O249" s="95"/>
      <c r="P249" s="95"/>
    </row>
    <row r="250" ht="15.75" customHeight="1">
      <c r="A250" s="90"/>
      <c r="B250" s="91"/>
      <c r="C250" s="92"/>
      <c r="D250" s="91"/>
      <c r="E250" s="93"/>
      <c r="F250" s="94"/>
      <c r="G250" s="91"/>
      <c r="H250" s="93"/>
      <c r="I250" s="95"/>
      <c r="J250" s="95"/>
      <c r="K250" s="95"/>
      <c r="L250" s="94"/>
      <c r="M250" s="96"/>
      <c r="N250" s="95"/>
      <c r="O250" s="95"/>
      <c r="P250" s="95"/>
    </row>
    <row r="251" ht="15.75" customHeight="1">
      <c r="A251" s="90"/>
      <c r="B251" s="91"/>
      <c r="C251" s="92"/>
      <c r="D251" s="91"/>
      <c r="E251" s="93"/>
      <c r="F251" s="94"/>
      <c r="G251" s="91"/>
      <c r="H251" s="93"/>
      <c r="I251" s="95"/>
      <c r="J251" s="95"/>
      <c r="K251" s="95"/>
      <c r="L251" s="94"/>
      <c r="M251" s="96"/>
      <c r="N251" s="95"/>
      <c r="O251" s="95"/>
      <c r="P251" s="95"/>
    </row>
    <row r="252" ht="15.75" customHeight="1">
      <c r="A252" s="90"/>
      <c r="B252" s="91"/>
      <c r="C252" s="92"/>
      <c r="D252" s="91"/>
      <c r="E252" s="93"/>
      <c r="F252" s="94"/>
      <c r="G252" s="91"/>
      <c r="H252" s="93"/>
      <c r="I252" s="95"/>
      <c r="J252" s="95"/>
      <c r="K252" s="95"/>
      <c r="L252" s="94"/>
      <c r="M252" s="96"/>
      <c r="N252" s="95"/>
      <c r="O252" s="95"/>
      <c r="P252" s="95"/>
    </row>
    <row r="253" ht="15.75" customHeight="1">
      <c r="A253" s="90"/>
      <c r="B253" s="91"/>
      <c r="C253" s="92"/>
      <c r="D253" s="91"/>
      <c r="E253" s="93"/>
      <c r="F253" s="94"/>
      <c r="G253" s="91"/>
      <c r="H253" s="93"/>
      <c r="I253" s="95"/>
      <c r="J253" s="95"/>
      <c r="K253" s="95"/>
      <c r="L253" s="94"/>
      <c r="M253" s="96"/>
      <c r="N253" s="95"/>
      <c r="O253" s="95"/>
      <c r="P253" s="95"/>
    </row>
    <row r="254" ht="15.75" customHeight="1">
      <c r="A254" s="90"/>
      <c r="B254" s="91"/>
      <c r="C254" s="92"/>
      <c r="D254" s="91"/>
      <c r="E254" s="93"/>
      <c r="F254" s="94"/>
      <c r="G254" s="91"/>
      <c r="H254" s="93"/>
      <c r="I254" s="95"/>
      <c r="J254" s="95"/>
      <c r="K254" s="95"/>
      <c r="L254" s="94"/>
      <c r="M254" s="96"/>
      <c r="N254" s="95"/>
      <c r="O254" s="95"/>
      <c r="P254" s="95"/>
    </row>
    <row r="255" ht="15.75" customHeight="1">
      <c r="A255" s="90"/>
      <c r="B255" s="91"/>
      <c r="C255" s="92"/>
      <c r="D255" s="91"/>
      <c r="E255" s="93"/>
      <c r="F255" s="94"/>
      <c r="G255" s="91"/>
      <c r="H255" s="93"/>
      <c r="I255" s="95"/>
      <c r="J255" s="95"/>
      <c r="K255" s="95"/>
      <c r="L255" s="94"/>
      <c r="M255" s="96"/>
      <c r="N255" s="95"/>
      <c r="O255" s="95"/>
      <c r="P255" s="95"/>
    </row>
    <row r="256" ht="15.75" customHeight="1">
      <c r="A256" s="90"/>
      <c r="B256" s="91"/>
      <c r="C256" s="92"/>
      <c r="D256" s="91"/>
      <c r="E256" s="93"/>
      <c r="F256" s="94"/>
      <c r="G256" s="91"/>
      <c r="H256" s="93"/>
      <c r="I256" s="95"/>
      <c r="J256" s="95"/>
      <c r="K256" s="95"/>
      <c r="L256" s="94"/>
      <c r="M256" s="96"/>
      <c r="N256" s="95"/>
      <c r="O256" s="95"/>
      <c r="P256" s="95"/>
    </row>
    <row r="257" ht="15.75" customHeight="1">
      <c r="A257" s="90"/>
      <c r="B257" s="91"/>
      <c r="C257" s="92"/>
      <c r="D257" s="91"/>
      <c r="E257" s="93"/>
      <c r="F257" s="94"/>
      <c r="G257" s="91"/>
      <c r="H257" s="93"/>
      <c r="I257" s="95"/>
      <c r="J257" s="95"/>
      <c r="K257" s="95"/>
      <c r="L257" s="94"/>
      <c r="M257" s="96"/>
      <c r="N257" s="95"/>
      <c r="O257" s="95"/>
      <c r="P257" s="95"/>
    </row>
    <row r="258" ht="15.75" customHeight="1">
      <c r="A258" s="90"/>
      <c r="B258" s="91"/>
      <c r="C258" s="92"/>
      <c r="D258" s="91"/>
      <c r="E258" s="93"/>
      <c r="F258" s="94"/>
      <c r="G258" s="91"/>
      <c r="H258" s="93"/>
      <c r="I258" s="95"/>
      <c r="J258" s="95"/>
      <c r="K258" s="95"/>
      <c r="L258" s="94"/>
      <c r="M258" s="96"/>
      <c r="N258" s="95"/>
      <c r="O258" s="95"/>
      <c r="P258" s="95"/>
    </row>
    <row r="259" ht="15.75" customHeight="1">
      <c r="A259" s="90"/>
      <c r="B259" s="91"/>
      <c r="C259" s="92"/>
      <c r="D259" s="91"/>
      <c r="E259" s="93"/>
      <c r="F259" s="94"/>
      <c r="G259" s="91"/>
      <c r="H259" s="93"/>
      <c r="I259" s="95"/>
      <c r="J259" s="95"/>
      <c r="K259" s="95"/>
      <c r="L259" s="94"/>
      <c r="M259" s="96"/>
      <c r="N259" s="95"/>
      <c r="O259" s="95"/>
      <c r="P259" s="95"/>
    </row>
    <row r="260" ht="15.75" customHeight="1">
      <c r="A260" s="90"/>
      <c r="B260" s="91"/>
      <c r="C260" s="92"/>
      <c r="D260" s="91"/>
      <c r="E260" s="93"/>
      <c r="F260" s="94"/>
      <c r="G260" s="91"/>
      <c r="H260" s="93"/>
      <c r="I260" s="95"/>
      <c r="J260" s="95"/>
      <c r="K260" s="95"/>
      <c r="L260" s="94"/>
      <c r="M260" s="96"/>
      <c r="N260" s="95"/>
      <c r="O260" s="95"/>
      <c r="P260" s="95"/>
    </row>
    <row r="261" ht="15.75" customHeight="1">
      <c r="A261" s="90"/>
      <c r="B261" s="91"/>
      <c r="C261" s="92"/>
      <c r="D261" s="91"/>
      <c r="E261" s="93"/>
      <c r="F261" s="94"/>
      <c r="G261" s="91"/>
      <c r="H261" s="93"/>
      <c r="I261" s="95"/>
      <c r="J261" s="95"/>
      <c r="K261" s="95"/>
      <c r="L261" s="94"/>
      <c r="M261" s="96"/>
      <c r="N261" s="95"/>
      <c r="O261" s="95"/>
      <c r="P261" s="95"/>
    </row>
    <row r="262" ht="15.75" customHeight="1">
      <c r="A262" s="90"/>
      <c r="B262" s="91"/>
      <c r="C262" s="92"/>
      <c r="D262" s="91"/>
      <c r="E262" s="93"/>
      <c r="F262" s="94"/>
      <c r="G262" s="91"/>
      <c r="H262" s="93"/>
      <c r="I262" s="95"/>
      <c r="J262" s="95"/>
      <c r="K262" s="95"/>
      <c r="L262" s="94"/>
      <c r="M262" s="96"/>
      <c r="N262" s="95"/>
      <c r="O262" s="95"/>
      <c r="P262" s="95"/>
    </row>
    <row r="263" ht="15.75" customHeight="1">
      <c r="A263" s="90"/>
      <c r="B263" s="91"/>
      <c r="C263" s="92"/>
      <c r="D263" s="91"/>
      <c r="E263" s="93"/>
      <c r="F263" s="94"/>
      <c r="G263" s="91"/>
      <c r="H263" s="93"/>
      <c r="I263" s="95"/>
      <c r="J263" s="95"/>
      <c r="K263" s="95"/>
      <c r="L263" s="94"/>
      <c r="M263" s="96"/>
      <c r="N263" s="95"/>
      <c r="O263" s="95"/>
      <c r="P263" s="95"/>
    </row>
    <row r="264" ht="15.75" customHeight="1">
      <c r="A264" s="90"/>
      <c r="B264" s="91"/>
      <c r="C264" s="92"/>
      <c r="D264" s="91"/>
      <c r="E264" s="93"/>
      <c r="F264" s="94"/>
      <c r="G264" s="91"/>
      <c r="H264" s="93"/>
      <c r="I264" s="95"/>
      <c r="J264" s="95"/>
      <c r="K264" s="95"/>
      <c r="L264" s="94"/>
      <c r="M264" s="96"/>
      <c r="N264" s="95"/>
      <c r="O264" s="95"/>
      <c r="P264" s="95"/>
    </row>
    <row r="265" ht="15.75" customHeight="1">
      <c r="A265" s="90"/>
      <c r="B265" s="91"/>
      <c r="C265" s="92"/>
      <c r="D265" s="91"/>
      <c r="E265" s="93"/>
      <c r="F265" s="94"/>
      <c r="G265" s="91"/>
      <c r="H265" s="93"/>
      <c r="I265" s="95"/>
      <c r="J265" s="95"/>
      <c r="K265" s="95"/>
      <c r="L265" s="94"/>
      <c r="M265" s="96"/>
      <c r="N265" s="95"/>
      <c r="O265" s="95"/>
      <c r="P265" s="95"/>
    </row>
    <row r="266" ht="15.75" customHeight="1">
      <c r="A266" s="90"/>
      <c r="B266" s="91"/>
      <c r="C266" s="92"/>
      <c r="D266" s="91"/>
      <c r="E266" s="93"/>
      <c r="F266" s="94"/>
      <c r="G266" s="91"/>
      <c r="H266" s="93"/>
      <c r="I266" s="95"/>
      <c r="J266" s="95"/>
      <c r="K266" s="95"/>
      <c r="L266" s="94"/>
      <c r="M266" s="96"/>
      <c r="N266" s="95"/>
      <c r="O266" s="95"/>
      <c r="P266" s="95"/>
    </row>
    <row r="267" ht="15.75" customHeight="1">
      <c r="A267" s="90"/>
      <c r="B267" s="91"/>
      <c r="C267" s="92"/>
      <c r="D267" s="91"/>
      <c r="E267" s="93"/>
      <c r="F267" s="94"/>
      <c r="G267" s="91"/>
      <c r="H267" s="93"/>
      <c r="I267" s="95"/>
      <c r="J267" s="95"/>
      <c r="K267" s="95"/>
      <c r="L267" s="94"/>
      <c r="M267" s="96"/>
      <c r="N267" s="95"/>
      <c r="O267" s="95"/>
      <c r="P267" s="95"/>
    </row>
    <row r="268" ht="15.75" customHeight="1">
      <c r="A268" s="90"/>
      <c r="B268" s="91"/>
      <c r="C268" s="92"/>
      <c r="D268" s="91"/>
      <c r="E268" s="93"/>
      <c r="F268" s="94"/>
      <c r="G268" s="91"/>
      <c r="H268" s="93"/>
      <c r="I268" s="95"/>
      <c r="J268" s="95"/>
      <c r="K268" s="95"/>
      <c r="L268" s="94"/>
      <c r="M268" s="96"/>
      <c r="N268" s="95"/>
      <c r="O268" s="95"/>
      <c r="P268" s="95"/>
    </row>
    <row r="269" ht="15.75" customHeight="1">
      <c r="A269" s="90"/>
      <c r="B269" s="91"/>
      <c r="C269" s="92"/>
      <c r="D269" s="91"/>
      <c r="E269" s="93"/>
      <c r="F269" s="94"/>
      <c r="G269" s="91"/>
      <c r="H269" s="93"/>
      <c r="I269" s="95"/>
      <c r="J269" s="95"/>
      <c r="K269" s="95"/>
      <c r="L269" s="94"/>
      <c r="M269" s="96"/>
      <c r="N269" s="95"/>
      <c r="O269" s="95"/>
      <c r="P269" s="95"/>
    </row>
    <row r="270" ht="15.75" customHeight="1">
      <c r="A270" s="90"/>
      <c r="B270" s="91"/>
      <c r="C270" s="92"/>
      <c r="D270" s="91"/>
      <c r="E270" s="93"/>
      <c r="F270" s="94"/>
      <c r="G270" s="91"/>
      <c r="H270" s="93"/>
      <c r="I270" s="95"/>
      <c r="J270" s="95"/>
      <c r="K270" s="95"/>
      <c r="L270" s="94"/>
      <c r="M270" s="96"/>
      <c r="N270" s="95"/>
      <c r="O270" s="95"/>
      <c r="P270" s="95"/>
    </row>
    <row r="271" ht="15.75" customHeight="1">
      <c r="A271" s="90"/>
      <c r="B271" s="91"/>
      <c r="C271" s="92"/>
      <c r="D271" s="91"/>
      <c r="E271" s="93"/>
      <c r="F271" s="94"/>
      <c r="G271" s="91"/>
      <c r="H271" s="93"/>
      <c r="I271" s="95"/>
      <c r="J271" s="95"/>
      <c r="K271" s="95"/>
      <c r="L271" s="94"/>
      <c r="M271" s="96"/>
      <c r="N271" s="95"/>
      <c r="O271" s="95"/>
      <c r="P271" s="95"/>
    </row>
    <row r="272" ht="15.75" customHeight="1">
      <c r="A272" s="90"/>
      <c r="B272" s="91"/>
      <c r="C272" s="92"/>
      <c r="D272" s="91"/>
      <c r="E272" s="93"/>
      <c r="F272" s="94"/>
      <c r="G272" s="91"/>
      <c r="H272" s="93"/>
      <c r="I272" s="95"/>
      <c r="J272" s="95"/>
      <c r="K272" s="95"/>
      <c r="L272" s="94"/>
      <c r="M272" s="96"/>
      <c r="N272" s="95"/>
      <c r="O272" s="95"/>
      <c r="P272" s="95"/>
    </row>
    <row r="273" ht="15.75" customHeight="1">
      <c r="A273" s="90"/>
      <c r="B273" s="91"/>
      <c r="C273" s="92"/>
      <c r="D273" s="91"/>
      <c r="E273" s="93"/>
      <c r="F273" s="94"/>
      <c r="G273" s="91"/>
      <c r="H273" s="93"/>
      <c r="I273" s="95"/>
      <c r="J273" s="95"/>
      <c r="K273" s="95"/>
      <c r="L273" s="94"/>
      <c r="M273" s="96"/>
      <c r="N273" s="95"/>
      <c r="O273" s="95"/>
      <c r="P273" s="95"/>
    </row>
    <row r="274" ht="15.75" customHeight="1">
      <c r="A274" s="90"/>
      <c r="B274" s="91"/>
      <c r="C274" s="92"/>
      <c r="D274" s="91"/>
      <c r="E274" s="93"/>
      <c r="F274" s="94"/>
      <c r="G274" s="91"/>
      <c r="H274" s="93"/>
      <c r="I274" s="95"/>
      <c r="J274" s="95"/>
      <c r="K274" s="95"/>
      <c r="L274" s="94"/>
      <c r="M274" s="96"/>
      <c r="N274" s="95"/>
      <c r="O274" s="95"/>
      <c r="P274" s="95"/>
    </row>
    <row r="275" ht="15.75" customHeight="1">
      <c r="A275" s="90"/>
      <c r="B275" s="91"/>
      <c r="C275" s="92"/>
      <c r="D275" s="91"/>
      <c r="E275" s="93"/>
      <c r="F275" s="94"/>
      <c r="G275" s="91"/>
      <c r="H275" s="93"/>
      <c r="I275" s="95"/>
      <c r="J275" s="95"/>
      <c r="K275" s="95"/>
      <c r="L275" s="94"/>
      <c r="M275" s="96"/>
      <c r="N275" s="95"/>
      <c r="O275" s="95"/>
      <c r="P275" s="95"/>
    </row>
    <row r="276" ht="15.75" customHeight="1">
      <c r="A276" s="90"/>
      <c r="B276" s="91"/>
      <c r="C276" s="92"/>
      <c r="D276" s="91"/>
      <c r="E276" s="93"/>
      <c r="F276" s="94"/>
      <c r="G276" s="91"/>
      <c r="H276" s="93"/>
      <c r="I276" s="95"/>
      <c r="J276" s="95"/>
      <c r="K276" s="95"/>
      <c r="L276" s="94"/>
      <c r="M276" s="96"/>
      <c r="N276" s="95"/>
      <c r="O276" s="95"/>
      <c r="P276" s="95"/>
    </row>
    <row r="277" ht="15.75" customHeight="1">
      <c r="A277" s="90"/>
      <c r="B277" s="91"/>
      <c r="C277" s="92"/>
      <c r="D277" s="91"/>
      <c r="E277" s="93"/>
      <c r="F277" s="94"/>
      <c r="G277" s="91"/>
      <c r="H277" s="93"/>
      <c r="I277" s="95"/>
      <c r="J277" s="95"/>
      <c r="K277" s="95"/>
      <c r="L277" s="94"/>
      <c r="M277" s="96"/>
      <c r="N277" s="95"/>
      <c r="O277" s="95"/>
      <c r="P277" s="95"/>
    </row>
    <row r="278" ht="15.75" customHeight="1">
      <c r="A278" s="90"/>
      <c r="B278" s="91"/>
      <c r="C278" s="92"/>
      <c r="D278" s="91"/>
      <c r="E278" s="93"/>
      <c r="F278" s="94"/>
      <c r="G278" s="91"/>
      <c r="H278" s="93"/>
      <c r="I278" s="95"/>
      <c r="J278" s="95"/>
      <c r="K278" s="95"/>
      <c r="L278" s="94"/>
      <c r="M278" s="96"/>
      <c r="N278" s="95"/>
      <c r="O278" s="95"/>
      <c r="P278" s="95"/>
    </row>
    <row r="279" ht="15.75" customHeight="1">
      <c r="A279" s="90"/>
      <c r="B279" s="91"/>
      <c r="C279" s="92"/>
      <c r="D279" s="91"/>
      <c r="E279" s="93"/>
      <c r="F279" s="94"/>
      <c r="G279" s="91"/>
      <c r="H279" s="93"/>
      <c r="I279" s="95"/>
      <c r="J279" s="95"/>
      <c r="K279" s="95"/>
      <c r="L279" s="94"/>
      <c r="M279" s="96"/>
      <c r="N279" s="95"/>
      <c r="O279" s="95"/>
      <c r="P279" s="95"/>
    </row>
    <row r="280" ht="15.75" customHeight="1">
      <c r="A280" s="90"/>
      <c r="B280" s="91"/>
      <c r="C280" s="92"/>
      <c r="D280" s="91"/>
      <c r="E280" s="93"/>
      <c r="F280" s="94"/>
      <c r="G280" s="91"/>
      <c r="H280" s="93"/>
      <c r="I280" s="95"/>
      <c r="J280" s="95"/>
      <c r="K280" s="95"/>
      <c r="L280" s="94"/>
      <c r="M280" s="96"/>
      <c r="N280" s="95"/>
      <c r="O280" s="95"/>
      <c r="P280" s="95"/>
    </row>
    <row r="281" ht="15.75" customHeight="1">
      <c r="A281" s="90"/>
      <c r="B281" s="91"/>
      <c r="C281" s="92"/>
      <c r="D281" s="91"/>
      <c r="E281" s="93"/>
      <c r="F281" s="94"/>
      <c r="G281" s="91"/>
      <c r="H281" s="93"/>
      <c r="I281" s="95"/>
      <c r="J281" s="95"/>
      <c r="K281" s="95"/>
      <c r="L281" s="94"/>
      <c r="M281" s="96"/>
      <c r="N281" s="95"/>
      <c r="O281" s="95"/>
      <c r="P281" s="95"/>
    </row>
    <row r="282" ht="15.75" customHeight="1">
      <c r="A282" s="90"/>
      <c r="B282" s="91"/>
      <c r="C282" s="92"/>
      <c r="D282" s="91"/>
      <c r="E282" s="93"/>
      <c r="F282" s="94"/>
      <c r="G282" s="91"/>
      <c r="H282" s="93"/>
      <c r="I282" s="95"/>
      <c r="J282" s="95"/>
      <c r="K282" s="95"/>
      <c r="L282" s="94"/>
      <c r="M282" s="96"/>
      <c r="N282" s="95"/>
      <c r="O282" s="95"/>
      <c r="P282" s="95"/>
    </row>
    <row r="283" ht="15.75" customHeight="1">
      <c r="A283" s="90"/>
      <c r="B283" s="91"/>
      <c r="C283" s="92"/>
      <c r="D283" s="91"/>
      <c r="E283" s="93"/>
      <c r="F283" s="94"/>
      <c r="G283" s="91"/>
      <c r="H283" s="93"/>
      <c r="I283" s="95"/>
      <c r="J283" s="95"/>
      <c r="K283" s="95"/>
      <c r="L283" s="94"/>
      <c r="M283" s="96"/>
      <c r="N283" s="95"/>
      <c r="O283" s="95"/>
      <c r="P283" s="95"/>
    </row>
    <row r="284" ht="15.75" customHeight="1">
      <c r="A284" s="90"/>
      <c r="B284" s="91"/>
      <c r="C284" s="92"/>
      <c r="D284" s="91"/>
      <c r="E284" s="93"/>
      <c r="F284" s="94"/>
      <c r="G284" s="91"/>
      <c r="H284" s="93"/>
      <c r="I284" s="95"/>
      <c r="J284" s="95"/>
      <c r="K284" s="95"/>
      <c r="L284" s="94"/>
      <c r="M284" s="96"/>
      <c r="N284" s="95"/>
      <c r="O284" s="95"/>
      <c r="P284" s="95"/>
    </row>
    <row r="285" ht="15.75" customHeight="1">
      <c r="A285" s="90"/>
      <c r="B285" s="91"/>
      <c r="C285" s="92"/>
      <c r="D285" s="91"/>
      <c r="E285" s="93"/>
      <c r="F285" s="94"/>
      <c r="G285" s="91"/>
      <c r="H285" s="93"/>
      <c r="I285" s="95"/>
      <c r="J285" s="95"/>
      <c r="K285" s="95"/>
      <c r="L285" s="94"/>
      <c r="M285" s="96"/>
      <c r="N285" s="95"/>
      <c r="O285" s="95"/>
      <c r="P285" s="95"/>
    </row>
    <row r="286" ht="15.75" customHeight="1">
      <c r="A286" s="90"/>
      <c r="B286" s="91"/>
      <c r="C286" s="92"/>
      <c r="D286" s="91"/>
      <c r="E286" s="93"/>
      <c r="F286" s="94"/>
      <c r="G286" s="91"/>
      <c r="H286" s="93"/>
      <c r="I286" s="95"/>
      <c r="J286" s="95"/>
      <c r="K286" s="95"/>
      <c r="L286" s="94"/>
      <c r="M286" s="96"/>
      <c r="N286" s="95"/>
      <c r="O286" s="95"/>
      <c r="P286" s="95"/>
    </row>
    <row r="287" ht="15.75" customHeight="1">
      <c r="A287" s="90"/>
      <c r="B287" s="91"/>
      <c r="C287" s="92"/>
      <c r="D287" s="91"/>
      <c r="E287" s="93"/>
      <c r="F287" s="94"/>
      <c r="G287" s="91"/>
      <c r="H287" s="93"/>
      <c r="I287" s="95"/>
      <c r="J287" s="95"/>
      <c r="K287" s="95"/>
      <c r="L287" s="94"/>
      <c r="M287" s="96"/>
      <c r="N287" s="95"/>
      <c r="O287" s="95"/>
      <c r="P287" s="95"/>
    </row>
    <row r="288" ht="15.75" customHeight="1">
      <c r="A288" s="90"/>
      <c r="B288" s="91"/>
      <c r="C288" s="92"/>
      <c r="D288" s="91"/>
      <c r="E288" s="93"/>
      <c r="F288" s="94"/>
      <c r="G288" s="91"/>
      <c r="H288" s="93"/>
      <c r="I288" s="95"/>
      <c r="J288" s="95"/>
      <c r="K288" s="95"/>
      <c r="L288" s="94"/>
      <c r="M288" s="96"/>
      <c r="N288" s="95"/>
      <c r="O288" s="95"/>
      <c r="P288" s="95"/>
    </row>
    <row r="289" ht="15.75" customHeight="1">
      <c r="A289" s="90"/>
      <c r="B289" s="91"/>
      <c r="C289" s="92"/>
      <c r="D289" s="91"/>
      <c r="E289" s="93"/>
      <c r="F289" s="94"/>
      <c r="G289" s="91"/>
      <c r="H289" s="93"/>
      <c r="I289" s="95"/>
      <c r="J289" s="95"/>
      <c r="K289" s="95"/>
      <c r="L289" s="94"/>
      <c r="M289" s="96"/>
      <c r="N289" s="95"/>
      <c r="O289" s="95"/>
      <c r="P289" s="95"/>
    </row>
    <row r="290" ht="15.75" customHeight="1">
      <c r="A290" s="90"/>
      <c r="B290" s="91"/>
      <c r="C290" s="92"/>
      <c r="D290" s="91"/>
      <c r="E290" s="93"/>
      <c r="F290" s="94"/>
      <c r="G290" s="91"/>
      <c r="H290" s="93"/>
      <c r="I290" s="95"/>
      <c r="J290" s="95"/>
      <c r="K290" s="95"/>
      <c r="L290" s="94"/>
      <c r="M290" s="96"/>
      <c r="N290" s="95"/>
      <c r="O290" s="95"/>
      <c r="P290" s="95"/>
    </row>
    <row r="291" ht="15.75" customHeight="1">
      <c r="A291" s="90"/>
      <c r="B291" s="91"/>
      <c r="C291" s="92"/>
      <c r="D291" s="91"/>
      <c r="E291" s="93"/>
      <c r="F291" s="94"/>
      <c r="G291" s="91"/>
      <c r="H291" s="93"/>
      <c r="I291" s="95"/>
      <c r="J291" s="95"/>
      <c r="K291" s="95"/>
      <c r="L291" s="94"/>
      <c r="M291" s="96"/>
      <c r="N291" s="95"/>
      <c r="O291" s="95"/>
      <c r="P291" s="95"/>
    </row>
    <row r="292" ht="15.75" customHeight="1">
      <c r="A292" s="90"/>
      <c r="B292" s="91"/>
      <c r="C292" s="92"/>
      <c r="D292" s="91"/>
      <c r="E292" s="93"/>
      <c r="F292" s="94"/>
      <c r="G292" s="91"/>
      <c r="H292" s="93"/>
      <c r="I292" s="95"/>
      <c r="J292" s="95"/>
      <c r="K292" s="95"/>
      <c r="L292" s="94"/>
      <c r="M292" s="96"/>
      <c r="N292" s="95"/>
      <c r="O292" s="95"/>
      <c r="P292" s="95"/>
    </row>
    <row r="293" ht="15.75" customHeight="1">
      <c r="A293" s="90"/>
      <c r="B293" s="91"/>
      <c r="C293" s="92"/>
      <c r="D293" s="91"/>
      <c r="E293" s="93"/>
      <c r="F293" s="94"/>
      <c r="G293" s="91"/>
      <c r="H293" s="93"/>
      <c r="I293" s="95"/>
      <c r="J293" s="95"/>
      <c r="K293" s="95"/>
      <c r="L293" s="94"/>
      <c r="M293" s="96"/>
      <c r="N293" s="95"/>
      <c r="O293" s="95"/>
      <c r="P293" s="95"/>
    </row>
    <row r="294" ht="15.75" customHeight="1">
      <c r="A294" s="90"/>
      <c r="B294" s="91"/>
      <c r="C294" s="92"/>
      <c r="D294" s="91"/>
      <c r="E294" s="93"/>
      <c r="F294" s="94"/>
      <c r="G294" s="91"/>
      <c r="H294" s="93"/>
      <c r="I294" s="95"/>
      <c r="J294" s="95"/>
      <c r="K294" s="95"/>
      <c r="L294" s="94"/>
      <c r="M294" s="96"/>
      <c r="N294" s="95"/>
      <c r="O294" s="95"/>
      <c r="P294" s="95"/>
    </row>
    <row r="295" ht="15.75" customHeight="1">
      <c r="A295" s="90"/>
      <c r="B295" s="91"/>
      <c r="C295" s="92"/>
      <c r="D295" s="91"/>
      <c r="E295" s="93"/>
      <c r="F295" s="94"/>
      <c r="G295" s="91"/>
      <c r="H295" s="93"/>
      <c r="I295" s="95"/>
      <c r="J295" s="95"/>
      <c r="K295" s="95"/>
      <c r="L295" s="94"/>
      <c r="M295" s="96"/>
      <c r="N295" s="95"/>
      <c r="O295" s="95"/>
      <c r="P295" s="95"/>
    </row>
    <row r="296" ht="15.75" customHeight="1">
      <c r="A296" s="90"/>
      <c r="B296" s="91"/>
      <c r="C296" s="92"/>
      <c r="D296" s="91"/>
      <c r="E296" s="93"/>
      <c r="F296" s="94"/>
      <c r="G296" s="91"/>
      <c r="H296" s="93"/>
      <c r="I296" s="95"/>
      <c r="J296" s="95"/>
      <c r="K296" s="95"/>
      <c r="L296" s="94"/>
      <c r="M296" s="96"/>
      <c r="N296" s="95"/>
      <c r="O296" s="95"/>
      <c r="P296" s="95"/>
    </row>
    <row r="297" ht="15.75" customHeight="1">
      <c r="A297" s="90"/>
      <c r="B297" s="91"/>
      <c r="C297" s="92"/>
      <c r="D297" s="91"/>
      <c r="E297" s="93"/>
      <c r="F297" s="94"/>
      <c r="G297" s="91"/>
      <c r="H297" s="93"/>
      <c r="I297" s="95"/>
      <c r="J297" s="95"/>
      <c r="K297" s="95"/>
      <c r="L297" s="94"/>
      <c r="M297" s="96"/>
      <c r="N297" s="95"/>
      <c r="O297" s="95"/>
      <c r="P297" s="95"/>
    </row>
    <row r="298" ht="15.75" customHeight="1">
      <c r="A298" s="90"/>
      <c r="B298" s="91"/>
      <c r="C298" s="92"/>
      <c r="D298" s="91"/>
      <c r="E298" s="93"/>
      <c r="F298" s="94"/>
      <c r="G298" s="91"/>
      <c r="H298" s="93"/>
      <c r="I298" s="95"/>
      <c r="J298" s="95"/>
      <c r="K298" s="95"/>
      <c r="L298" s="94"/>
      <c r="M298" s="96"/>
      <c r="N298" s="95"/>
      <c r="O298" s="95"/>
      <c r="P298" s="95"/>
    </row>
    <row r="299" ht="15.75" customHeight="1">
      <c r="A299" s="90"/>
      <c r="B299" s="91"/>
      <c r="C299" s="92"/>
      <c r="D299" s="91"/>
      <c r="E299" s="93"/>
      <c r="F299" s="94"/>
      <c r="G299" s="91"/>
      <c r="H299" s="93"/>
      <c r="I299" s="95"/>
      <c r="J299" s="95"/>
      <c r="K299" s="95"/>
      <c r="L299" s="94"/>
      <c r="M299" s="96"/>
      <c r="N299" s="95"/>
      <c r="O299" s="95"/>
      <c r="P299" s="95"/>
    </row>
    <row r="300" ht="15.75" customHeight="1">
      <c r="A300" s="90"/>
      <c r="B300" s="91"/>
      <c r="C300" s="92"/>
      <c r="D300" s="91"/>
      <c r="E300" s="93"/>
      <c r="F300" s="94"/>
      <c r="G300" s="91"/>
      <c r="H300" s="93"/>
      <c r="I300" s="95"/>
      <c r="J300" s="95"/>
      <c r="K300" s="95"/>
      <c r="L300" s="94"/>
      <c r="M300" s="96"/>
      <c r="N300" s="95"/>
      <c r="O300" s="95"/>
      <c r="P300" s="95"/>
    </row>
    <row r="301" ht="15.75" customHeight="1">
      <c r="A301" s="90"/>
      <c r="B301" s="91"/>
      <c r="C301" s="92"/>
      <c r="D301" s="91"/>
      <c r="E301" s="93"/>
      <c r="F301" s="94"/>
      <c r="G301" s="91"/>
      <c r="H301" s="93"/>
      <c r="I301" s="95"/>
      <c r="J301" s="95"/>
      <c r="K301" s="95"/>
      <c r="L301" s="94"/>
      <c r="M301" s="96"/>
      <c r="N301" s="95"/>
      <c r="O301" s="95"/>
      <c r="P301" s="95"/>
    </row>
    <row r="302" ht="15.75" customHeight="1">
      <c r="A302" s="90"/>
      <c r="B302" s="91"/>
      <c r="C302" s="92"/>
      <c r="D302" s="91"/>
      <c r="E302" s="93"/>
      <c r="F302" s="94"/>
      <c r="G302" s="91"/>
      <c r="H302" s="93"/>
      <c r="I302" s="95"/>
      <c r="J302" s="95"/>
      <c r="K302" s="95"/>
      <c r="L302" s="94"/>
      <c r="M302" s="96"/>
      <c r="N302" s="95"/>
      <c r="O302" s="95"/>
      <c r="P302" s="95"/>
    </row>
    <row r="303" ht="15.75" customHeight="1">
      <c r="A303" s="90"/>
      <c r="B303" s="91"/>
      <c r="C303" s="92"/>
      <c r="D303" s="91"/>
      <c r="E303" s="93"/>
      <c r="F303" s="94"/>
      <c r="G303" s="91"/>
      <c r="H303" s="93"/>
      <c r="I303" s="95"/>
      <c r="J303" s="95"/>
      <c r="K303" s="95"/>
      <c r="L303" s="94"/>
      <c r="M303" s="96"/>
      <c r="N303" s="95"/>
      <c r="O303" s="95"/>
      <c r="P303" s="95"/>
    </row>
    <row r="304" ht="15.75" customHeight="1">
      <c r="A304" s="90"/>
      <c r="B304" s="91"/>
      <c r="C304" s="92"/>
      <c r="D304" s="91"/>
      <c r="E304" s="93"/>
      <c r="F304" s="94"/>
      <c r="G304" s="91"/>
      <c r="H304" s="93"/>
      <c r="I304" s="95"/>
      <c r="J304" s="95"/>
      <c r="K304" s="95"/>
      <c r="L304" s="94"/>
      <c r="M304" s="96"/>
      <c r="N304" s="95"/>
      <c r="O304" s="95"/>
      <c r="P304" s="95"/>
    </row>
    <row r="305" ht="15.75" customHeight="1">
      <c r="A305" s="90"/>
      <c r="B305" s="91"/>
      <c r="C305" s="92"/>
      <c r="D305" s="91"/>
      <c r="E305" s="93"/>
      <c r="F305" s="94"/>
      <c r="G305" s="91"/>
      <c r="H305" s="93"/>
      <c r="I305" s="95"/>
      <c r="J305" s="95"/>
      <c r="K305" s="95"/>
      <c r="L305" s="94"/>
      <c r="M305" s="96"/>
      <c r="N305" s="95"/>
      <c r="O305" s="95"/>
      <c r="P305" s="95"/>
    </row>
    <row r="306" ht="15.75" customHeight="1">
      <c r="A306" s="90"/>
      <c r="B306" s="91"/>
      <c r="C306" s="92"/>
      <c r="D306" s="91"/>
      <c r="E306" s="93"/>
      <c r="F306" s="94"/>
      <c r="G306" s="91"/>
      <c r="H306" s="93"/>
      <c r="I306" s="95"/>
      <c r="J306" s="95"/>
      <c r="K306" s="95"/>
      <c r="L306" s="94"/>
      <c r="M306" s="96"/>
      <c r="N306" s="95"/>
      <c r="O306" s="95"/>
      <c r="P306" s="95"/>
    </row>
    <row r="307" ht="15.75" customHeight="1">
      <c r="A307" s="90"/>
      <c r="B307" s="91"/>
      <c r="C307" s="92"/>
      <c r="D307" s="91"/>
      <c r="E307" s="93"/>
      <c r="F307" s="94"/>
      <c r="G307" s="91"/>
      <c r="H307" s="93"/>
      <c r="I307" s="95"/>
      <c r="J307" s="95"/>
      <c r="K307" s="95"/>
      <c r="L307" s="94"/>
      <c r="M307" s="96"/>
      <c r="N307" s="95"/>
      <c r="O307" s="95"/>
      <c r="P307" s="95"/>
    </row>
    <row r="308" ht="15.75" customHeight="1">
      <c r="A308" s="90"/>
      <c r="B308" s="91"/>
      <c r="C308" s="92"/>
      <c r="D308" s="91"/>
      <c r="E308" s="93"/>
      <c r="F308" s="94"/>
      <c r="G308" s="91"/>
      <c r="H308" s="93"/>
      <c r="I308" s="95"/>
      <c r="J308" s="95"/>
      <c r="K308" s="95"/>
      <c r="L308" s="94"/>
      <c r="M308" s="96"/>
      <c r="N308" s="95"/>
      <c r="O308" s="95"/>
      <c r="P308" s="95"/>
    </row>
    <row r="309" ht="15.75" customHeight="1">
      <c r="A309" s="90"/>
      <c r="B309" s="91"/>
      <c r="C309" s="92"/>
      <c r="D309" s="91"/>
      <c r="E309" s="93"/>
      <c r="F309" s="94"/>
      <c r="G309" s="91"/>
      <c r="H309" s="93"/>
      <c r="I309" s="95"/>
      <c r="J309" s="95"/>
      <c r="K309" s="95"/>
      <c r="L309" s="94"/>
      <c r="M309" s="96"/>
      <c r="N309" s="95"/>
      <c r="O309" s="95"/>
      <c r="P309" s="95"/>
    </row>
    <row r="310" ht="15.75" customHeight="1">
      <c r="A310" s="90"/>
      <c r="B310" s="91"/>
      <c r="C310" s="92"/>
      <c r="D310" s="91"/>
      <c r="E310" s="93"/>
      <c r="F310" s="94"/>
      <c r="G310" s="91"/>
      <c r="H310" s="93"/>
      <c r="I310" s="95"/>
      <c r="J310" s="95"/>
      <c r="K310" s="95"/>
      <c r="L310" s="94"/>
      <c r="M310" s="96"/>
      <c r="N310" s="95"/>
      <c r="O310" s="95"/>
      <c r="P310" s="95"/>
    </row>
    <row r="311" ht="15.75" customHeight="1">
      <c r="A311" s="90"/>
      <c r="B311" s="91"/>
      <c r="C311" s="92"/>
      <c r="D311" s="91"/>
      <c r="E311" s="93"/>
      <c r="F311" s="94"/>
      <c r="G311" s="91"/>
      <c r="H311" s="93"/>
      <c r="I311" s="95"/>
      <c r="J311" s="95"/>
      <c r="K311" s="95"/>
      <c r="L311" s="94"/>
      <c r="M311" s="96"/>
      <c r="N311" s="95"/>
      <c r="O311" s="95"/>
      <c r="P311" s="95"/>
    </row>
    <row r="312" ht="15.75" customHeight="1">
      <c r="A312" s="90"/>
      <c r="B312" s="91"/>
      <c r="C312" s="92"/>
      <c r="D312" s="91"/>
      <c r="E312" s="93"/>
      <c r="F312" s="94"/>
      <c r="G312" s="91"/>
      <c r="H312" s="93"/>
      <c r="I312" s="95"/>
      <c r="J312" s="95"/>
      <c r="K312" s="95"/>
      <c r="L312" s="94"/>
      <c r="M312" s="96"/>
      <c r="N312" s="95"/>
      <c r="O312" s="95"/>
      <c r="P312" s="95"/>
    </row>
    <row r="313" ht="15.75" customHeight="1">
      <c r="A313" s="90"/>
      <c r="B313" s="91"/>
      <c r="C313" s="92"/>
      <c r="D313" s="91"/>
      <c r="E313" s="93"/>
      <c r="F313" s="94"/>
      <c r="G313" s="91"/>
      <c r="H313" s="93"/>
      <c r="I313" s="95"/>
      <c r="J313" s="95"/>
      <c r="K313" s="95"/>
      <c r="L313" s="94"/>
      <c r="M313" s="96"/>
      <c r="N313" s="95"/>
      <c r="O313" s="95"/>
      <c r="P313" s="95"/>
    </row>
    <row r="314" ht="15.75" customHeight="1">
      <c r="A314" s="90"/>
      <c r="B314" s="91"/>
      <c r="C314" s="92"/>
      <c r="D314" s="91"/>
      <c r="E314" s="93"/>
      <c r="F314" s="94"/>
      <c r="G314" s="91"/>
      <c r="H314" s="93"/>
      <c r="I314" s="95"/>
      <c r="J314" s="95"/>
      <c r="K314" s="95"/>
      <c r="L314" s="94"/>
      <c r="M314" s="96"/>
      <c r="N314" s="95"/>
      <c r="O314" s="95"/>
      <c r="P314" s="95"/>
    </row>
    <row r="315" ht="15.75" customHeight="1">
      <c r="A315" s="90"/>
      <c r="B315" s="91"/>
      <c r="C315" s="92"/>
      <c r="D315" s="91"/>
      <c r="E315" s="93"/>
      <c r="F315" s="94"/>
      <c r="G315" s="91"/>
      <c r="H315" s="93"/>
      <c r="I315" s="95"/>
      <c r="J315" s="95"/>
      <c r="K315" s="95"/>
      <c r="L315" s="94"/>
      <c r="M315" s="96"/>
      <c r="N315" s="95"/>
      <c r="O315" s="95"/>
      <c r="P315" s="95"/>
    </row>
    <row r="316" ht="15.75" customHeight="1">
      <c r="A316" s="90"/>
      <c r="B316" s="91"/>
      <c r="C316" s="92"/>
      <c r="D316" s="91"/>
      <c r="E316" s="93"/>
      <c r="F316" s="94"/>
      <c r="G316" s="91"/>
      <c r="H316" s="93"/>
      <c r="I316" s="95"/>
      <c r="J316" s="95"/>
      <c r="K316" s="95"/>
      <c r="L316" s="94"/>
      <c r="M316" s="96"/>
      <c r="N316" s="95"/>
      <c r="O316" s="95"/>
      <c r="P316" s="95"/>
    </row>
    <row r="317" ht="15.75" customHeight="1">
      <c r="A317" s="90"/>
      <c r="B317" s="91"/>
      <c r="C317" s="92"/>
      <c r="D317" s="91"/>
      <c r="E317" s="93"/>
      <c r="F317" s="94"/>
      <c r="G317" s="91"/>
      <c r="H317" s="93"/>
      <c r="I317" s="95"/>
      <c r="J317" s="95"/>
      <c r="K317" s="95"/>
      <c r="L317" s="94"/>
      <c r="M317" s="96"/>
      <c r="N317" s="95"/>
      <c r="O317" s="95"/>
      <c r="P317" s="95"/>
    </row>
    <row r="318" ht="15.75" customHeight="1">
      <c r="A318" s="90"/>
      <c r="B318" s="91"/>
      <c r="C318" s="92"/>
      <c r="D318" s="91"/>
      <c r="E318" s="93"/>
      <c r="F318" s="94"/>
      <c r="G318" s="91"/>
      <c r="H318" s="93"/>
      <c r="I318" s="95"/>
      <c r="J318" s="95"/>
      <c r="K318" s="95"/>
      <c r="L318" s="94"/>
      <c r="M318" s="96"/>
      <c r="N318" s="95"/>
      <c r="O318" s="95"/>
      <c r="P318" s="95"/>
    </row>
    <row r="319" ht="15.75" customHeight="1">
      <c r="A319" s="90"/>
      <c r="B319" s="91"/>
      <c r="C319" s="92"/>
      <c r="D319" s="91"/>
      <c r="E319" s="93"/>
      <c r="F319" s="94"/>
      <c r="G319" s="91"/>
      <c r="H319" s="93"/>
      <c r="I319" s="95"/>
      <c r="J319" s="95"/>
      <c r="K319" s="95"/>
      <c r="L319" s="94"/>
      <c r="M319" s="96"/>
      <c r="N319" s="95"/>
      <c r="O319" s="95"/>
      <c r="P319" s="95"/>
    </row>
    <row r="320" ht="15.75" customHeight="1">
      <c r="A320" s="90"/>
      <c r="B320" s="91"/>
      <c r="C320" s="92"/>
      <c r="D320" s="91"/>
      <c r="E320" s="93"/>
      <c r="F320" s="94"/>
      <c r="G320" s="91"/>
      <c r="H320" s="93"/>
      <c r="I320" s="95"/>
      <c r="J320" s="95"/>
      <c r="K320" s="95"/>
      <c r="L320" s="94"/>
      <c r="M320" s="96"/>
      <c r="N320" s="95"/>
      <c r="O320" s="95"/>
      <c r="P320" s="95"/>
    </row>
    <row r="321" ht="15.75" customHeight="1">
      <c r="A321" s="90"/>
      <c r="B321" s="91"/>
      <c r="C321" s="92"/>
      <c r="D321" s="91"/>
      <c r="E321" s="93"/>
      <c r="F321" s="94"/>
      <c r="G321" s="91"/>
      <c r="H321" s="93"/>
      <c r="I321" s="95"/>
      <c r="J321" s="95"/>
      <c r="K321" s="95"/>
      <c r="L321" s="94"/>
      <c r="M321" s="96"/>
      <c r="N321" s="95"/>
      <c r="O321" s="95"/>
      <c r="P321" s="95"/>
    </row>
    <row r="322" ht="15.75" customHeight="1">
      <c r="A322" s="90"/>
      <c r="B322" s="91"/>
      <c r="C322" s="92"/>
      <c r="D322" s="91"/>
      <c r="E322" s="93"/>
      <c r="F322" s="94"/>
      <c r="G322" s="91"/>
      <c r="H322" s="93"/>
      <c r="I322" s="95"/>
      <c r="J322" s="95"/>
      <c r="K322" s="95"/>
      <c r="L322" s="94"/>
      <c r="M322" s="96"/>
      <c r="N322" s="95"/>
      <c r="O322" s="95"/>
      <c r="P322" s="95"/>
    </row>
    <row r="323" ht="15.75" customHeight="1">
      <c r="A323" s="90"/>
      <c r="B323" s="91"/>
      <c r="C323" s="92"/>
      <c r="D323" s="91"/>
      <c r="E323" s="93"/>
      <c r="F323" s="94"/>
      <c r="G323" s="91"/>
      <c r="H323" s="93"/>
      <c r="I323" s="95"/>
      <c r="J323" s="95"/>
      <c r="K323" s="95"/>
      <c r="L323" s="94"/>
      <c r="M323" s="96"/>
      <c r="N323" s="95"/>
      <c r="O323" s="95"/>
      <c r="P323" s="95"/>
    </row>
    <row r="324" ht="15.75" customHeight="1">
      <c r="A324" s="90"/>
      <c r="B324" s="91"/>
      <c r="C324" s="92"/>
      <c r="D324" s="91"/>
      <c r="E324" s="93"/>
      <c r="F324" s="94"/>
      <c r="G324" s="91"/>
      <c r="H324" s="93"/>
      <c r="I324" s="95"/>
      <c r="J324" s="95"/>
      <c r="K324" s="95"/>
      <c r="L324" s="94"/>
      <c r="M324" s="96"/>
      <c r="N324" s="95"/>
      <c r="O324" s="95"/>
      <c r="P324" s="95"/>
    </row>
    <row r="325" ht="15.75" customHeight="1">
      <c r="A325" s="90"/>
      <c r="B325" s="91"/>
      <c r="C325" s="92"/>
      <c r="D325" s="91"/>
      <c r="E325" s="93"/>
      <c r="F325" s="94"/>
      <c r="G325" s="91"/>
      <c r="H325" s="93"/>
      <c r="I325" s="95"/>
      <c r="J325" s="95"/>
      <c r="K325" s="95"/>
      <c r="L325" s="94"/>
      <c r="M325" s="96"/>
      <c r="N325" s="95"/>
      <c r="O325" s="95"/>
      <c r="P325" s="95"/>
    </row>
    <row r="326" ht="15.75" customHeight="1">
      <c r="A326" s="90"/>
      <c r="B326" s="91"/>
      <c r="C326" s="92"/>
      <c r="D326" s="91"/>
      <c r="E326" s="93"/>
      <c r="F326" s="94"/>
      <c r="G326" s="91"/>
      <c r="H326" s="93"/>
      <c r="I326" s="95"/>
      <c r="J326" s="95"/>
      <c r="K326" s="95"/>
      <c r="L326" s="94"/>
      <c r="M326" s="96"/>
      <c r="N326" s="95"/>
      <c r="O326" s="95"/>
      <c r="P326" s="95"/>
    </row>
    <row r="327" ht="15.75" customHeight="1">
      <c r="A327" s="90"/>
      <c r="B327" s="91"/>
      <c r="C327" s="92"/>
      <c r="D327" s="91"/>
      <c r="E327" s="93"/>
      <c r="F327" s="94"/>
      <c r="G327" s="91"/>
      <c r="H327" s="93"/>
      <c r="I327" s="95"/>
      <c r="J327" s="95"/>
      <c r="K327" s="95"/>
      <c r="L327" s="94"/>
      <c r="M327" s="96"/>
      <c r="N327" s="95"/>
      <c r="O327" s="95"/>
      <c r="P327" s="95"/>
    </row>
    <row r="328" ht="15.75" customHeight="1">
      <c r="A328" s="90"/>
      <c r="B328" s="91"/>
      <c r="C328" s="92"/>
      <c r="D328" s="91"/>
      <c r="E328" s="93"/>
      <c r="F328" s="94"/>
      <c r="G328" s="91"/>
      <c r="H328" s="93"/>
      <c r="I328" s="95"/>
      <c r="J328" s="95"/>
      <c r="K328" s="95"/>
      <c r="L328" s="94"/>
      <c r="M328" s="96"/>
      <c r="N328" s="95"/>
      <c r="O328" s="95"/>
      <c r="P328" s="95"/>
    </row>
    <row r="329" ht="15.75" customHeight="1">
      <c r="A329" s="90"/>
      <c r="B329" s="91"/>
      <c r="C329" s="92"/>
      <c r="D329" s="91"/>
      <c r="E329" s="93"/>
      <c r="F329" s="94"/>
      <c r="G329" s="91"/>
      <c r="H329" s="93"/>
      <c r="I329" s="95"/>
      <c r="J329" s="95"/>
      <c r="K329" s="95"/>
      <c r="L329" s="94"/>
      <c r="M329" s="96"/>
      <c r="N329" s="95"/>
      <c r="O329" s="95"/>
      <c r="P329" s="95"/>
    </row>
    <row r="330" ht="15.75" customHeight="1">
      <c r="A330" s="90"/>
      <c r="B330" s="91"/>
      <c r="C330" s="92"/>
      <c r="D330" s="91"/>
      <c r="E330" s="93"/>
      <c r="F330" s="94"/>
      <c r="G330" s="91"/>
      <c r="H330" s="93"/>
      <c r="I330" s="95"/>
      <c r="J330" s="95"/>
      <c r="K330" s="95"/>
      <c r="L330" s="94"/>
      <c r="M330" s="96"/>
      <c r="N330" s="95"/>
      <c r="O330" s="95"/>
      <c r="P330" s="95"/>
    </row>
    <row r="331" ht="15.75" customHeight="1">
      <c r="A331" s="90"/>
      <c r="B331" s="91"/>
      <c r="C331" s="92"/>
      <c r="D331" s="91"/>
      <c r="E331" s="93"/>
      <c r="F331" s="94"/>
      <c r="G331" s="91"/>
      <c r="H331" s="93"/>
      <c r="I331" s="95"/>
      <c r="J331" s="95"/>
      <c r="K331" s="95"/>
      <c r="L331" s="94"/>
      <c r="M331" s="96"/>
      <c r="N331" s="95"/>
      <c r="O331" s="95"/>
      <c r="P331" s="95"/>
    </row>
    <row r="332" ht="15.75" customHeight="1">
      <c r="A332" s="90"/>
      <c r="B332" s="91"/>
      <c r="C332" s="92"/>
      <c r="D332" s="91"/>
      <c r="E332" s="93"/>
      <c r="F332" s="94"/>
      <c r="G332" s="91"/>
      <c r="H332" s="93"/>
      <c r="I332" s="95"/>
      <c r="J332" s="95"/>
      <c r="K332" s="95"/>
      <c r="L332" s="94"/>
      <c r="M332" s="96"/>
      <c r="N332" s="95"/>
      <c r="O332" s="95"/>
      <c r="P332" s="95"/>
    </row>
    <row r="333" ht="15.75" customHeight="1">
      <c r="A333" s="90"/>
      <c r="B333" s="91"/>
      <c r="C333" s="92"/>
      <c r="D333" s="91"/>
      <c r="E333" s="93"/>
      <c r="F333" s="94"/>
      <c r="G333" s="91"/>
      <c r="H333" s="93"/>
      <c r="I333" s="95"/>
      <c r="J333" s="95"/>
      <c r="K333" s="95"/>
      <c r="L333" s="94"/>
      <c r="M333" s="96"/>
      <c r="N333" s="95"/>
      <c r="O333" s="95"/>
      <c r="P333" s="95"/>
    </row>
    <row r="334" ht="15.75" customHeight="1">
      <c r="A334" s="90"/>
      <c r="B334" s="91"/>
      <c r="C334" s="92"/>
      <c r="D334" s="91"/>
      <c r="E334" s="93"/>
      <c r="F334" s="94"/>
      <c r="G334" s="91"/>
      <c r="H334" s="93"/>
      <c r="I334" s="95"/>
      <c r="J334" s="95"/>
      <c r="K334" s="95"/>
      <c r="L334" s="94"/>
      <c r="M334" s="96"/>
      <c r="N334" s="95"/>
      <c r="O334" s="95"/>
      <c r="P334" s="95"/>
    </row>
    <row r="335" ht="15.75" customHeight="1">
      <c r="A335" s="90"/>
      <c r="B335" s="91"/>
      <c r="C335" s="92"/>
      <c r="D335" s="91"/>
      <c r="E335" s="93"/>
      <c r="F335" s="94"/>
      <c r="G335" s="91"/>
      <c r="H335" s="93"/>
      <c r="I335" s="95"/>
      <c r="J335" s="95"/>
      <c r="K335" s="95"/>
      <c r="L335" s="94"/>
      <c r="M335" s="96"/>
      <c r="N335" s="95"/>
      <c r="O335" s="95"/>
      <c r="P335" s="95"/>
    </row>
    <row r="336" ht="15.75" customHeight="1">
      <c r="A336" s="90"/>
      <c r="B336" s="91"/>
      <c r="C336" s="92"/>
      <c r="D336" s="91"/>
      <c r="E336" s="93"/>
      <c r="F336" s="94"/>
      <c r="G336" s="91"/>
      <c r="H336" s="93"/>
      <c r="I336" s="95"/>
      <c r="J336" s="95"/>
      <c r="K336" s="95"/>
      <c r="L336" s="94"/>
      <c r="M336" s="96"/>
      <c r="N336" s="95"/>
      <c r="O336" s="95"/>
      <c r="P336" s="95"/>
    </row>
    <row r="337" ht="15.75" customHeight="1">
      <c r="A337" s="90"/>
      <c r="B337" s="91"/>
      <c r="C337" s="92"/>
      <c r="D337" s="91"/>
      <c r="E337" s="93"/>
      <c r="F337" s="94"/>
      <c r="G337" s="91"/>
      <c r="H337" s="93"/>
      <c r="I337" s="95"/>
      <c r="J337" s="95"/>
      <c r="K337" s="95"/>
      <c r="L337" s="94"/>
      <c r="M337" s="96"/>
      <c r="N337" s="95"/>
      <c r="O337" s="95"/>
      <c r="P337" s="95"/>
    </row>
    <row r="338" ht="15.75" customHeight="1">
      <c r="A338" s="90"/>
      <c r="B338" s="91"/>
      <c r="C338" s="92"/>
      <c r="D338" s="91"/>
      <c r="E338" s="93"/>
      <c r="F338" s="94"/>
      <c r="G338" s="91"/>
      <c r="H338" s="93"/>
      <c r="I338" s="95"/>
      <c r="J338" s="95"/>
      <c r="K338" s="95"/>
      <c r="L338" s="94"/>
      <c r="M338" s="96"/>
      <c r="N338" s="95"/>
      <c r="O338" s="95"/>
      <c r="P338" s="95"/>
    </row>
    <row r="339" ht="15.75" customHeight="1">
      <c r="A339" s="90"/>
      <c r="B339" s="91"/>
      <c r="C339" s="92"/>
      <c r="D339" s="91"/>
      <c r="E339" s="93"/>
      <c r="F339" s="94"/>
      <c r="G339" s="91"/>
      <c r="H339" s="93"/>
      <c r="I339" s="95"/>
      <c r="J339" s="95"/>
      <c r="K339" s="95"/>
      <c r="L339" s="94"/>
      <c r="M339" s="96"/>
      <c r="N339" s="95"/>
      <c r="O339" s="95"/>
      <c r="P339" s="95"/>
    </row>
    <row r="340" ht="15.75" customHeight="1">
      <c r="A340" s="90"/>
      <c r="B340" s="91"/>
      <c r="C340" s="92"/>
      <c r="D340" s="91"/>
      <c r="E340" s="93"/>
      <c r="F340" s="94"/>
      <c r="G340" s="91"/>
      <c r="H340" s="93"/>
      <c r="I340" s="95"/>
      <c r="J340" s="95"/>
      <c r="K340" s="95"/>
      <c r="L340" s="94"/>
      <c r="M340" s="96"/>
      <c r="N340" s="95"/>
      <c r="O340" s="95"/>
      <c r="P340" s="95"/>
    </row>
    <row r="341" ht="15.75" customHeight="1">
      <c r="A341" s="90"/>
      <c r="B341" s="91"/>
      <c r="C341" s="92"/>
      <c r="D341" s="91"/>
      <c r="E341" s="93"/>
      <c r="F341" s="94"/>
      <c r="G341" s="91"/>
      <c r="H341" s="93"/>
      <c r="I341" s="95"/>
      <c r="J341" s="95"/>
      <c r="K341" s="95"/>
      <c r="L341" s="94"/>
      <c r="M341" s="96"/>
      <c r="N341" s="95"/>
      <c r="O341" s="95"/>
      <c r="P341" s="95"/>
    </row>
    <row r="342" ht="15.75" customHeight="1">
      <c r="A342" s="90"/>
      <c r="B342" s="91"/>
      <c r="C342" s="92"/>
      <c r="D342" s="91"/>
      <c r="E342" s="93"/>
      <c r="F342" s="94"/>
      <c r="G342" s="91"/>
      <c r="H342" s="93"/>
      <c r="I342" s="95"/>
      <c r="J342" s="95"/>
      <c r="K342" s="95"/>
      <c r="L342" s="94"/>
      <c r="M342" s="96"/>
      <c r="N342" s="95"/>
      <c r="O342" s="95"/>
      <c r="P342" s="95"/>
    </row>
    <row r="343" ht="15.75" customHeight="1">
      <c r="A343" s="90"/>
      <c r="B343" s="91"/>
      <c r="C343" s="92"/>
      <c r="D343" s="91"/>
      <c r="E343" s="93"/>
      <c r="F343" s="94"/>
      <c r="G343" s="91"/>
      <c r="H343" s="93"/>
      <c r="I343" s="95"/>
      <c r="J343" s="95"/>
      <c r="K343" s="95"/>
      <c r="L343" s="94"/>
      <c r="M343" s="96"/>
      <c r="N343" s="95"/>
      <c r="O343" s="95"/>
      <c r="P343" s="95"/>
    </row>
    <row r="344" ht="15.75" customHeight="1">
      <c r="A344" s="90"/>
      <c r="B344" s="91"/>
      <c r="C344" s="92"/>
      <c r="D344" s="91"/>
      <c r="E344" s="93"/>
      <c r="F344" s="94"/>
      <c r="G344" s="91"/>
      <c r="H344" s="93"/>
      <c r="I344" s="95"/>
      <c r="J344" s="95"/>
      <c r="K344" s="95"/>
      <c r="L344" s="94"/>
      <c r="M344" s="96"/>
      <c r="N344" s="95"/>
      <c r="O344" s="95"/>
      <c r="P344" s="95"/>
    </row>
    <row r="345" ht="15.75" customHeight="1">
      <c r="A345" s="90"/>
      <c r="B345" s="91"/>
      <c r="C345" s="92"/>
      <c r="D345" s="91"/>
      <c r="E345" s="93"/>
      <c r="F345" s="94"/>
      <c r="G345" s="91"/>
      <c r="H345" s="93"/>
      <c r="I345" s="95"/>
      <c r="J345" s="95"/>
      <c r="K345" s="95"/>
      <c r="L345" s="94"/>
      <c r="M345" s="96"/>
      <c r="N345" s="95"/>
      <c r="O345" s="95"/>
      <c r="P345" s="95"/>
    </row>
    <row r="346" ht="15.75" customHeight="1">
      <c r="A346" s="90"/>
      <c r="B346" s="91"/>
      <c r="C346" s="92"/>
      <c r="D346" s="91"/>
      <c r="E346" s="93"/>
      <c r="F346" s="94"/>
      <c r="G346" s="91"/>
      <c r="H346" s="93"/>
      <c r="I346" s="95"/>
      <c r="J346" s="95"/>
      <c r="K346" s="95"/>
      <c r="L346" s="94"/>
      <c r="M346" s="96"/>
      <c r="N346" s="95"/>
      <c r="O346" s="95"/>
      <c r="P346" s="95"/>
    </row>
    <row r="347" ht="15.75" customHeight="1">
      <c r="A347" s="90"/>
      <c r="B347" s="91"/>
      <c r="C347" s="92"/>
      <c r="D347" s="91"/>
      <c r="E347" s="93"/>
      <c r="F347" s="94"/>
      <c r="G347" s="91"/>
      <c r="H347" s="93"/>
      <c r="I347" s="95"/>
      <c r="J347" s="95"/>
      <c r="K347" s="95"/>
      <c r="L347" s="94"/>
      <c r="M347" s="96"/>
      <c r="N347" s="95"/>
      <c r="O347" s="95"/>
      <c r="P347" s="95"/>
    </row>
    <row r="348" ht="15.75" customHeight="1">
      <c r="A348" s="90"/>
      <c r="B348" s="91"/>
      <c r="C348" s="92"/>
      <c r="D348" s="91"/>
      <c r="E348" s="93"/>
      <c r="F348" s="94"/>
      <c r="G348" s="91"/>
      <c r="H348" s="93"/>
      <c r="I348" s="95"/>
      <c r="J348" s="95"/>
      <c r="K348" s="95"/>
      <c r="L348" s="94"/>
      <c r="M348" s="96"/>
      <c r="N348" s="95"/>
      <c r="O348" s="95"/>
      <c r="P348" s="95"/>
    </row>
    <row r="349" ht="15.75" customHeight="1">
      <c r="A349" s="90"/>
      <c r="B349" s="91"/>
      <c r="C349" s="92"/>
      <c r="D349" s="91"/>
      <c r="E349" s="93"/>
      <c r="F349" s="94"/>
      <c r="G349" s="91"/>
      <c r="H349" s="93"/>
      <c r="I349" s="95"/>
      <c r="J349" s="95"/>
      <c r="K349" s="95"/>
      <c r="L349" s="94"/>
      <c r="M349" s="96"/>
      <c r="N349" s="95"/>
      <c r="O349" s="95"/>
      <c r="P349" s="95"/>
    </row>
    <row r="350" ht="15.75" customHeight="1">
      <c r="A350" s="90"/>
      <c r="B350" s="91"/>
      <c r="C350" s="92"/>
      <c r="D350" s="91"/>
      <c r="E350" s="93"/>
      <c r="F350" s="94"/>
      <c r="G350" s="91"/>
      <c r="H350" s="93"/>
      <c r="I350" s="95"/>
      <c r="J350" s="95"/>
      <c r="K350" s="95"/>
      <c r="L350" s="94"/>
      <c r="M350" s="96"/>
      <c r="N350" s="95"/>
      <c r="O350" s="95"/>
      <c r="P350" s="95"/>
    </row>
    <row r="351" ht="15.75" customHeight="1">
      <c r="A351" s="90"/>
      <c r="B351" s="91"/>
      <c r="C351" s="92"/>
      <c r="D351" s="91"/>
      <c r="E351" s="93"/>
      <c r="F351" s="94"/>
      <c r="G351" s="91"/>
      <c r="H351" s="93"/>
      <c r="I351" s="95"/>
      <c r="J351" s="95"/>
      <c r="K351" s="95"/>
      <c r="L351" s="94"/>
      <c r="M351" s="96"/>
      <c r="N351" s="95"/>
      <c r="O351" s="95"/>
      <c r="P351" s="95"/>
    </row>
    <row r="352" ht="15.75" customHeight="1">
      <c r="A352" s="90"/>
      <c r="B352" s="91"/>
      <c r="C352" s="92"/>
      <c r="D352" s="91"/>
      <c r="E352" s="93"/>
      <c r="F352" s="94"/>
      <c r="G352" s="91"/>
      <c r="H352" s="93"/>
      <c r="I352" s="95"/>
      <c r="J352" s="95"/>
      <c r="K352" s="95"/>
      <c r="L352" s="94"/>
      <c r="M352" s="96"/>
      <c r="N352" s="95"/>
      <c r="O352" s="95"/>
      <c r="P352" s="95"/>
    </row>
    <row r="353" ht="15.75" customHeight="1">
      <c r="A353" s="90"/>
      <c r="B353" s="91"/>
      <c r="C353" s="92"/>
      <c r="D353" s="91"/>
      <c r="E353" s="93"/>
      <c r="F353" s="94"/>
      <c r="G353" s="91"/>
      <c r="H353" s="93"/>
      <c r="I353" s="95"/>
      <c r="J353" s="95"/>
      <c r="K353" s="95"/>
      <c r="L353" s="94"/>
      <c r="M353" s="96"/>
      <c r="N353" s="95"/>
      <c r="O353" s="95"/>
      <c r="P353" s="95"/>
    </row>
    <row r="354" ht="15.75" customHeight="1">
      <c r="A354" s="90"/>
      <c r="B354" s="91"/>
      <c r="C354" s="92"/>
      <c r="D354" s="91"/>
      <c r="E354" s="93"/>
      <c r="F354" s="94"/>
      <c r="G354" s="91"/>
      <c r="H354" s="93"/>
      <c r="I354" s="95"/>
      <c r="J354" s="95"/>
      <c r="K354" s="95"/>
      <c r="L354" s="94"/>
      <c r="M354" s="96"/>
      <c r="N354" s="95"/>
      <c r="O354" s="95"/>
      <c r="P354" s="95"/>
    </row>
    <row r="355" ht="15.75" customHeight="1">
      <c r="A355" s="90"/>
      <c r="B355" s="91"/>
      <c r="C355" s="92"/>
      <c r="D355" s="91"/>
      <c r="E355" s="93"/>
      <c r="F355" s="94"/>
      <c r="G355" s="91"/>
      <c r="H355" s="93"/>
      <c r="I355" s="95"/>
      <c r="J355" s="95"/>
      <c r="K355" s="95"/>
      <c r="L355" s="94"/>
      <c r="M355" s="96"/>
      <c r="N355" s="95"/>
      <c r="O355" s="95"/>
      <c r="P355" s="95"/>
    </row>
    <row r="356" ht="15.75" customHeight="1">
      <c r="A356" s="90"/>
      <c r="B356" s="91"/>
      <c r="C356" s="92"/>
      <c r="D356" s="91"/>
      <c r="E356" s="93"/>
      <c r="F356" s="94"/>
      <c r="G356" s="91"/>
      <c r="H356" s="93"/>
      <c r="I356" s="95"/>
      <c r="J356" s="95"/>
      <c r="K356" s="95"/>
      <c r="L356" s="94"/>
      <c r="M356" s="96"/>
      <c r="N356" s="95"/>
      <c r="O356" s="95"/>
      <c r="P356" s="95"/>
    </row>
    <row r="357" ht="15.75" customHeight="1">
      <c r="A357" s="90"/>
      <c r="B357" s="91"/>
      <c r="C357" s="92"/>
      <c r="D357" s="91"/>
      <c r="E357" s="93"/>
      <c r="F357" s="94"/>
      <c r="G357" s="91"/>
      <c r="H357" s="93"/>
      <c r="I357" s="95"/>
      <c r="J357" s="95"/>
      <c r="K357" s="95"/>
      <c r="L357" s="94"/>
      <c r="M357" s="96"/>
      <c r="N357" s="95"/>
      <c r="O357" s="95"/>
      <c r="P357" s="95"/>
    </row>
    <row r="358" ht="15.75" customHeight="1">
      <c r="A358" s="90"/>
      <c r="B358" s="91"/>
      <c r="C358" s="92"/>
      <c r="D358" s="91"/>
      <c r="E358" s="93"/>
      <c r="F358" s="94"/>
      <c r="G358" s="91"/>
      <c r="H358" s="93"/>
      <c r="I358" s="95"/>
      <c r="J358" s="95"/>
      <c r="K358" s="95"/>
      <c r="L358" s="94"/>
      <c r="M358" s="96"/>
      <c r="N358" s="95"/>
      <c r="O358" s="95"/>
      <c r="P358" s="95"/>
    </row>
    <row r="359" ht="15.75" customHeight="1">
      <c r="A359" s="90"/>
      <c r="B359" s="91"/>
      <c r="C359" s="92"/>
      <c r="D359" s="91"/>
      <c r="E359" s="93"/>
      <c r="F359" s="94"/>
      <c r="G359" s="91"/>
      <c r="H359" s="93"/>
      <c r="I359" s="95"/>
      <c r="J359" s="95"/>
      <c r="K359" s="95"/>
      <c r="L359" s="94"/>
      <c r="M359" s="96"/>
      <c r="N359" s="95"/>
      <c r="O359" s="95"/>
      <c r="P359" s="95"/>
    </row>
    <row r="360" ht="15.75" customHeight="1">
      <c r="A360" s="90"/>
      <c r="B360" s="91"/>
      <c r="C360" s="92"/>
      <c r="D360" s="91"/>
      <c r="E360" s="93"/>
      <c r="F360" s="94"/>
      <c r="G360" s="91"/>
      <c r="H360" s="93"/>
      <c r="I360" s="95"/>
      <c r="J360" s="95"/>
      <c r="K360" s="95"/>
      <c r="L360" s="94"/>
      <c r="M360" s="96"/>
      <c r="N360" s="95"/>
      <c r="O360" s="95"/>
      <c r="P360" s="95"/>
    </row>
    <row r="361" ht="15.75" customHeight="1">
      <c r="A361" s="90"/>
      <c r="B361" s="91"/>
      <c r="C361" s="92"/>
      <c r="D361" s="91"/>
      <c r="E361" s="93"/>
      <c r="F361" s="94"/>
      <c r="G361" s="91"/>
      <c r="H361" s="93"/>
      <c r="I361" s="95"/>
      <c r="J361" s="95"/>
      <c r="K361" s="95"/>
      <c r="L361" s="94"/>
      <c r="M361" s="96"/>
      <c r="N361" s="95"/>
      <c r="O361" s="95"/>
      <c r="P361" s="95"/>
    </row>
    <row r="362" ht="15.75" customHeight="1">
      <c r="A362" s="90"/>
      <c r="B362" s="91"/>
      <c r="C362" s="92"/>
      <c r="D362" s="91"/>
      <c r="E362" s="93"/>
      <c r="F362" s="94"/>
      <c r="G362" s="91"/>
      <c r="H362" s="93"/>
      <c r="I362" s="95"/>
      <c r="J362" s="95"/>
      <c r="K362" s="95"/>
      <c r="L362" s="94"/>
      <c r="M362" s="96"/>
      <c r="N362" s="95"/>
      <c r="O362" s="95"/>
      <c r="P362" s="95"/>
    </row>
    <row r="363" ht="15.75" customHeight="1">
      <c r="A363" s="90"/>
      <c r="B363" s="91"/>
      <c r="C363" s="92"/>
      <c r="D363" s="91"/>
      <c r="E363" s="93"/>
      <c r="F363" s="94"/>
      <c r="G363" s="91"/>
      <c r="H363" s="93"/>
      <c r="I363" s="95"/>
      <c r="J363" s="95"/>
      <c r="K363" s="95"/>
      <c r="L363" s="94"/>
      <c r="M363" s="96"/>
      <c r="N363" s="95"/>
      <c r="O363" s="95"/>
      <c r="P363" s="95"/>
    </row>
    <row r="364" ht="15.75" customHeight="1">
      <c r="A364" s="90"/>
      <c r="B364" s="91"/>
      <c r="C364" s="92"/>
      <c r="D364" s="91"/>
      <c r="E364" s="93"/>
      <c r="F364" s="94"/>
      <c r="G364" s="91"/>
      <c r="H364" s="93"/>
      <c r="I364" s="95"/>
      <c r="J364" s="95"/>
      <c r="K364" s="95"/>
      <c r="L364" s="94"/>
      <c r="M364" s="96"/>
      <c r="N364" s="95"/>
      <c r="O364" s="95"/>
      <c r="P364" s="95"/>
    </row>
    <row r="365" ht="15.75" customHeight="1">
      <c r="A365" s="90"/>
      <c r="B365" s="91"/>
      <c r="C365" s="92"/>
      <c r="D365" s="91"/>
      <c r="E365" s="93"/>
      <c r="F365" s="94"/>
      <c r="G365" s="91"/>
      <c r="H365" s="93"/>
      <c r="I365" s="95"/>
      <c r="J365" s="95"/>
      <c r="K365" s="95"/>
      <c r="L365" s="94"/>
      <c r="M365" s="96"/>
      <c r="N365" s="95"/>
      <c r="O365" s="95"/>
      <c r="P365" s="95"/>
    </row>
    <row r="366" ht="15.75" customHeight="1">
      <c r="A366" s="90"/>
      <c r="B366" s="91"/>
      <c r="C366" s="92"/>
      <c r="D366" s="91"/>
      <c r="E366" s="93"/>
      <c r="F366" s="94"/>
      <c r="G366" s="91"/>
      <c r="H366" s="93"/>
      <c r="I366" s="95"/>
      <c r="J366" s="95"/>
      <c r="K366" s="95"/>
      <c r="L366" s="94"/>
      <c r="M366" s="96"/>
      <c r="N366" s="95"/>
      <c r="O366" s="95"/>
      <c r="P366" s="95"/>
    </row>
    <row r="367" ht="15.75" customHeight="1">
      <c r="A367" s="90"/>
      <c r="B367" s="91"/>
      <c r="C367" s="92"/>
      <c r="D367" s="91"/>
      <c r="E367" s="93"/>
      <c r="F367" s="94"/>
      <c r="G367" s="91"/>
      <c r="H367" s="93"/>
      <c r="I367" s="95"/>
      <c r="J367" s="95"/>
      <c r="K367" s="95"/>
      <c r="L367" s="94"/>
      <c r="M367" s="96"/>
      <c r="N367" s="95"/>
      <c r="O367" s="95"/>
      <c r="P367" s="95"/>
    </row>
    <row r="368" ht="15.75" customHeight="1">
      <c r="A368" s="90"/>
      <c r="B368" s="91"/>
      <c r="C368" s="92"/>
      <c r="D368" s="91"/>
      <c r="E368" s="93"/>
      <c r="F368" s="94"/>
      <c r="G368" s="91"/>
      <c r="H368" s="93"/>
      <c r="I368" s="95"/>
      <c r="J368" s="95"/>
      <c r="K368" s="95"/>
      <c r="L368" s="94"/>
      <c r="M368" s="96"/>
      <c r="N368" s="95"/>
      <c r="O368" s="95"/>
      <c r="P368" s="95"/>
    </row>
    <row r="369" ht="15.75" customHeight="1">
      <c r="A369" s="90"/>
      <c r="B369" s="91"/>
      <c r="C369" s="92"/>
      <c r="D369" s="91"/>
      <c r="E369" s="93"/>
      <c r="F369" s="94"/>
      <c r="G369" s="91"/>
      <c r="H369" s="93"/>
      <c r="I369" s="95"/>
      <c r="J369" s="95"/>
      <c r="K369" s="95"/>
      <c r="L369" s="94"/>
      <c r="M369" s="96"/>
      <c r="N369" s="95"/>
      <c r="O369" s="95"/>
      <c r="P369" s="95"/>
    </row>
    <row r="370" ht="15.75" customHeight="1">
      <c r="A370" s="90"/>
      <c r="B370" s="91"/>
      <c r="C370" s="92"/>
      <c r="D370" s="91"/>
      <c r="E370" s="93"/>
      <c r="F370" s="94"/>
      <c r="G370" s="91"/>
      <c r="H370" s="93"/>
      <c r="I370" s="95"/>
      <c r="J370" s="95"/>
      <c r="K370" s="95"/>
      <c r="L370" s="94"/>
      <c r="M370" s="96"/>
      <c r="N370" s="95"/>
      <c r="O370" s="95"/>
      <c r="P370" s="95"/>
    </row>
    <row r="371" ht="15.75" customHeight="1">
      <c r="A371" s="90"/>
      <c r="B371" s="91"/>
      <c r="C371" s="92"/>
      <c r="D371" s="91"/>
      <c r="E371" s="93"/>
      <c r="F371" s="94"/>
      <c r="G371" s="91"/>
      <c r="H371" s="93"/>
      <c r="I371" s="95"/>
      <c r="J371" s="95"/>
      <c r="K371" s="95"/>
      <c r="L371" s="94"/>
      <c r="M371" s="96"/>
      <c r="N371" s="95"/>
      <c r="O371" s="95"/>
      <c r="P371" s="95"/>
    </row>
    <row r="372" ht="15.75" customHeight="1">
      <c r="A372" s="90"/>
      <c r="B372" s="91"/>
      <c r="C372" s="92"/>
      <c r="D372" s="91"/>
      <c r="E372" s="93"/>
      <c r="F372" s="94"/>
      <c r="G372" s="91"/>
      <c r="H372" s="93"/>
      <c r="I372" s="95"/>
      <c r="J372" s="95"/>
      <c r="K372" s="95"/>
      <c r="L372" s="94"/>
      <c r="M372" s="96"/>
      <c r="N372" s="95"/>
      <c r="O372" s="95"/>
      <c r="P372" s="95"/>
    </row>
    <row r="373" ht="15.75" customHeight="1">
      <c r="A373" s="90"/>
      <c r="B373" s="91"/>
      <c r="C373" s="92"/>
      <c r="D373" s="91"/>
      <c r="E373" s="93"/>
      <c r="F373" s="94"/>
      <c r="G373" s="91"/>
      <c r="H373" s="93"/>
      <c r="I373" s="95"/>
      <c r="J373" s="95"/>
      <c r="K373" s="95"/>
      <c r="L373" s="94"/>
      <c r="M373" s="96"/>
      <c r="N373" s="95"/>
      <c r="O373" s="95"/>
      <c r="P373" s="95"/>
    </row>
    <row r="374" ht="15.75" customHeight="1">
      <c r="A374" s="90"/>
      <c r="B374" s="91"/>
      <c r="C374" s="92"/>
      <c r="D374" s="91"/>
      <c r="E374" s="93"/>
      <c r="F374" s="94"/>
      <c r="G374" s="91"/>
      <c r="H374" s="93"/>
      <c r="I374" s="95"/>
      <c r="J374" s="95"/>
      <c r="K374" s="95"/>
      <c r="L374" s="94"/>
      <c r="M374" s="96"/>
      <c r="N374" s="95"/>
      <c r="O374" s="95"/>
      <c r="P374" s="95"/>
    </row>
    <row r="375" ht="15.75" customHeight="1">
      <c r="A375" s="90"/>
      <c r="B375" s="91"/>
      <c r="C375" s="92"/>
      <c r="D375" s="91"/>
      <c r="E375" s="93"/>
      <c r="F375" s="94"/>
      <c r="G375" s="91"/>
      <c r="H375" s="93"/>
      <c r="I375" s="95"/>
      <c r="J375" s="95"/>
      <c r="K375" s="95"/>
      <c r="L375" s="94"/>
      <c r="M375" s="96"/>
      <c r="N375" s="95"/>
      <c r="O375" s="95"/>
      <c r="P375" s="95"/>
    </row>
    <row r="376" ht="15.75" customHeight="1">
      <c r="A376" s="90"/>
      <c r="B376" s="91"/>
      <c r="C376" s="92"/>
      <c r="D376" s="91"/>
      <c r="E376" s="93"/>
      <c r="F376" s="94"/>
      <c r="G376" s="91"/>
      <c r="H376" s="93"/>
      <c r="I376" s="95"/>
      <c r="J376" s="95"/>
      <c r="K376" s="95"/>
      <c r="L376" s="94"/>
      <c r="M376" s="96"/>
      <c r="N376" s="95"/>
      <c r="O376" s="95"/>
      <c r="P376" s="95"/>
    </row>
    <row r="377" ht="15.75" customHeight="1">
      <c r="A377" s="90"/>
      <c r="B377" s="91"/>
      <c r="C377" s="92"/>
      <c r="D377" s="91"/>
      <c r="E377" s="93"/>
      <c r="F377" s="94"/>
      <c r="G377" s="91"/>
      <c r="H377" s="93"/>
      <c r="I377" s="95"/>
      <c r="J377" s="95"/>
      <c r="K377" s="95"/>
      <c r="L377" s="94"/>
      <c r="M377" s="96"/>
      <c r="N377" s="95"/>
      <c r="O377" s="95"/>
      <c r="P377" s="95"/>
    </row>
    <row r="378" ht="15.75" customHeight="1">
      <c r="A378" s="90"/>
      <c r="B378" s="91"/>
      <c r="C378" s="92"/>
      <c r="D378" s="91"/>
      <c r="E378" s="93"/>
      <c r="F378" s="94"/>
      <c r="G378" s="91"/>
      <c r="H378" s="93"/>
      <c r="I378" s="95"/>
      <c r="J378" s="95"/>
      <c r="K378" s="95"/>
      <c r="L378" s="94"/>
      <c r="M378" s="96"/>
      <c r="N378" s="95"/>
      <c r="O378" s="95"/>
      <c r="P378" s="95"/>
    </row>
    <row r="379" ht="15.75" customHeight="1">
      <c r="A379" s="90"/>
      <c r="B379" s="91"/>
      <c r="C379" s="92"/>
      <c r="D379" s="91"/>
      <c r="E379" s="93"/>
      <c r="F379" s="94"/>
      <c r="G379" s="91"/>
      <c r="H379" s="93"/>
      <c r="I379" s="95"/>
      <c r="J379" s="95"/>
      <c r="K379" s="95"/>
      <c r="L379" s="94"/>
      <c r="M379" s="96"/>
      <c r="N379" s="95"/>
      <c r="O379" s="95"/>
      <c r="P379" s="95"/>
    </row>
    <row r="380" ht="15.75" customHeight="1">
      <c r="A380" s="90"/>
      <c r="B380" s="91"/>
      <c r="C380" s="92"/>
      <c r="D380" s="91"/>
      <c r="E380" s="93"/>
      <c r="F380" s="94"/>
      <c r="G380" s="91"/>
      <c r="H380" s="93"/>
      <c r="I380" s="95"/>
      <c r="J380" s="95"/>
      <c r="K380" s="95"/>
      <c r="L380" s="94"/>
      <c r="M380" s="96"/>
      <c r="N380" s="95"/>
      <c r="O380" s="95"/>
      <c r="P380" s="95"/>
    </row>
    <row r="381" ht="15.75" customHeight="1">
      <c r="A381" s="90"/>
      <c r="B381" s="91"/>
      <c r="C381" s="92"/>
      <c r="D381" s="91"/>
      <c r="E381" s="93"/>
      <c r="F381" s="94"/>
      <c r="G381" s="91"/>
      <c r="H381" s="93"/>
      <c r="I381" s="95"/>
      <c r="J381" s="95"/>
      <c r="K381" s="95"/>
      <c r="L381" s="94"/>
      <c r="M381" s="96"/>
      <c r="N381" s="95"/>
      <c r="O381" s="95"/>
      <c r="P381" s="95"/>
    </row>
    <row r="382" ht="15.75" customHeight="1">
      <c r="A382" s="90"/>
      <c r="B382" s="91"/>
      <c r="C382" s="92"/>
      <c r="D382" s="91"/>
      <c r="E382" s="93"/>
      <c r="F382" s="94"/>
      <c r="G382" s="91"/>
      <c r="H382" s="93"/>
      <c r="I382" s="95"/>
      <c r="J382" s="95"/>
      <c r="K382" s="95"/>
      <c r="L382" s="94"/>
      <c r="M382" s="96"/>
      <c r="N382" s="95"/>
      <c r="O382" s="95"/>
      <c r="P382" s="95"/>
    </row>
    <row r="383" ht="15.75" customHeight="1">
      <c r="A383" s="90"/>
      <c r="B383" s="91"/>
      <c r="C383" s="92"/>
      <c r="D383" s="91"/>
      <c r="E383" s="93"/>
      <c r="F383" s="94"/>
      <c r="G383" s="91"/>
      <c r="H383" s="93"/>
      <c r="I383" s="95"/>
      <c r="J383" s="95"/>
      <c r="K383" s="95"/>
      <c r="L383" s="94"/>
      <c r="M383" s="96"/>
      <c r="N383" s="95"/>
      <c r="O383" s="95"/>
      <c r="P383" s="95"/>
    </row>
    <row r="384" ht="15.75" customHeight="1">
      <c r="A384" s="90"/>
      <c r="B384" s="91"/>
      <c r="C384" s="92"/>
      <c r="D384" s="91"/>
      <c r="E384" s="93"/>
      <c r="F384" s="94"/>
      <c r="G384" s="91"/>
      <c r="H384" s="93"/>
      <c r="I384" s="95"/>
      <c r="J384" s="95"/>
      <c r="K384" s="95"/>
      <c r="L384" s="94"/>
      <c r="M384" s="96"/>
      <c r="N384" s="95"/>
      <c r="O384" s="95"/>
      <c r="P384" s="95"/>
    </row>
    <row r="385" ht="15.75" customHeight="1">
      <c r="A385" s="90"/>
      <c r="B385" s="91"/>
      <c r="C385" s="92"/>
      <c r="D385" s="91"/>
      <c r="E385" s="93"/>
      <c r="F385" s="94"/>
      <c r="G385" s="91"/>
      <c r="H385" s="93"/>
      <c r="I385" s="95"/>
      <c r="J385" s="95"/>
      <c r="K385" s="95"/>
      <c r="L385" s="94"/>
      <c r="M385" s="96"/>
      <c r="N385" s="95"/>
      <c r="O385" s="95"/>
      <c r="P385" s="95"/>
    </row>
    <row r="386" ht="15.75" customHeight="1">
      <c r="A386" s="90"/>
      <c r="B386" s="91"/>
      <c r="C386" s="92"/>
      <c r="D386" s="91"/>
      <c r="E386" s="93"/>
      <c r="F386" s="94"/>
      <c r="G386" s="91"/>
      <c r="H386" s="93"/>
      <c r="I386" s="95"/>
      <c r="J386" s="95"/>
      <c r="K386" s="95"/>
      <c r="L386" s="94"/>
      <c r="M386" s="96"/>
      <c r="N386" s="95"/>
      <c r="O386" s="95"/>
      <c r="P386" s="95"/>
    </row>
    <row r="387" ht="15.75" customHeight="1">
      <c r="A387" s="90"/>
      <c r="B387" s="91"/>
      <c r="C387" s="92"/>
      <c r="D387" s="91"/>
      <c r="E387" s="93"/>
      <c r="F387" s="94"/>
      <c r="G387" s="91"/>
      <c r="H387" s="93"/>
      <c r="I387" s="95"/>
      <c r="J387" s="95"/>
      <c r="K387" s="95"/>
      <c r="L387" s="94"/>
      <c r="M387" s="96"/>
      <c r="N387" s="95"/>
      <c r="O387" s="95"/>
      <c r="P387" s="95"/>
    </row>
    <row r="388" ht="15.75" customHeight="1">
      <c r="A388" s="90"/>
      <c r="B388" s="91"/>
      <c r="C388" s="92"/>
      <c r="D388" s="91"/>
      <c r="E388" s="93"/>
      <c r="F388" s="94"/>
      <c r="G388" s="91"/>
      <c r="H388" s="93"/>
      <c r="I388" s="95"/>
      <c r="J388" s="95"/>
      <c r="K388" s="95"/>
      <c r="L388" s="94"/>
      <c r="M388" s="96"/>
      <c r="N388" s="95"/>
      <c r="O388" s="95"/>
      <c r="P388" s="95"/>
    </row>
    <row r="389" ht="15.75" customHeight="1">
      <c r="A389" s="90"/>
      <c r="B389" s="91"/>
      <c r="C389" s="92"/>
      <c r="D389" s="91"/>
      <c r="E389" s="93"/>
      <c r="F389" s="94"/>
      <c r="G389" s="91"/>
      <c r="H389" s="93"/>
      <c r="I389" s="95"/>
      <c r="J389" s="95"/>
      <c r="K389" s="95"/>
      <c r="L389" s="94"/>
      <c r="M389" s="96"/>
      <c r="N389" s="95"/>
      <c r="O389" s="95"/>
      <c r="P389" s="95"/>
    </row>
    <row r="390" ht="15.75" customHeight="1">
      <c r="A390" s="90"/>
      <c r="B390" s="91"/>
      <c r="C390" s="92"/>
      <c r="D390" s="91"/>
      <c r="E390" s="93"/>
      <c r="F390" s="94"/>
      <c r="G390" s="91"/>
      <c r="H390" s="93"/>
      <c r="I390" s="95"/>
      <c r="J390" s="95"/>
      <c r="K390" s="95"/>
      <c r="L390" s="94"/>
      <c r="M390" s="96"/>
      <c r="N390" s="95"/>
      <c r="O390" s="95"/>
      <c r="P390" s="95"/>
    </row>
    <row r="391" ht="15.75" customHeight="1">
      <c r="A391" s="90"/>
      <c r="B391" s="91"/>
      <c r="C391" s="92"/>
      <c r="D391" s="91"/>
      <c r="E391" s="93"/>
      <c r="F391" s="94"/>
      <c r="G391" s="91"/>
      <c r="H391" s="93"/>
      <c r="I391" s="95"/>
      <c r="J391" s="95"/>
      <c r="K391" s="95"/>
      <c r="L391" s="94"/>
      <c r="M391" s="96"/>
      <c r="N391" s="95"/>
      <c r="O391" s="95"/>
      <c r="P391" s="95"/>
    </row>
    <row r="392" ht="15.75" customHeight="1">
      <c r="A392" s="90"/>
      <c r="B392" s="91"/>
      <c r="C392" s="92"/>
      <c r="D392" s="91"/>
      <c r="E392" s="93"/>
      <c r="F392" s="94"/>
      <c r="G392" s="91"/>
      <c r="H392" s="93"/>
      <c r="I392" s="95"/>
      <c r="J392" s="95"/>
      <c r="K392" s="95"/>
      <c r="L392" s="94"/>
      <c r="M392" s="96"/>
      <c r="N392" s="95"/>
      <c r="O392" s="95"/>
      <c r="P392" s="95"/>
    </row>
    <row r="393" ht="15.75" customHeight="1">
      <c r="A393" s="90"/>
      <c r="B393" s="91"/>
      <c r="C393" s="92"/>
      <c r="D393" s="91"/>
      <c r="E393" s="93"/>
      <c r="F393" s="94"/>
      <c r="G393" s="91"/>
      <c r="H393" s="93"/>
      <c r="I393" s="95"/>
      <c r="J393" s="95"/>
      <c r="K393" s="95"/>
      <c r="L393" s="94"/>
      <c r="M393" s="96"/>
      <c r="N393" s="95"/>
      <c r="O393" s="95"/>
      <c r="P393" s="95"/>
    </row>
    <row r="394" ht="15.75" customHeight="1">
      <c r="A394" s="90"/>
      <c r="B394" s="91"/>
      <c r="C394" s="92"/>
      <c r="D394" s="91"/>
      <c r="E394" s="93"/>
      <c r="F394" s="94"/>
      <c r="G394" s="91"/>
      <c r="H394" s="93"/>
      <c r="I394" s="95"/>
      <c r="J394" s="95"/>
      <c r="K394" s="95"/>
      <c r="L394" s="94"/>
      <c r="M394" s="96"/>
      <c r="N394" s="95"/>
      <c r="O394" s="95"/>
      <c r="P394" s="95"/>
    </row>
    <row r="395" ht="15.75" customHeight="1">
      <c r="A395" s="90"/>
      <c r="B395" s="91"/>
      <c r="C395" s="92"/>
      <c r="D395" s="91"/>
      <c r="E395" s="93"/>
      <c r="F395" s="94"/>
      <c r="G395" s="91"/>
      <c r="H395" s="93"/>
      <c r="I395" s="95"/>
      <c r="J395" s="95"/>
      <c r="K395" s="95"/>
      <c r="L395" s="94"/>
      <c r="M395" s="96"/>
      <c r="N395" s="95"/>
      <c r="O395" s="95"/>
      <c r="P395" s="95"/>
    </row>
    <row r="396" ht="15.75" customHeight="1">
      <c r="A396" s="90"/>
      <c r="B396" s="91"/>
      <c r="C396" s="92"/>
      <c r="D396" s="91"/>
      <c r="E396" s="93"/>
      <c r="F396" s="94"/>
      <c r="G396" s="91"/>
      <c r="H396" s="93"/>
      <c r="I396" s="95"/>
      <c r="J396" s="95"/>
      <c r="K396" s="95"/>
      <c r="L396" s="94"/>
      <c r="M396" s="96"/>
      <c r="N396" s="95"/>
      <c r="O396" s="95"/>
      <c r="P396" s="95"/>
    </row>
    <row r="397" ht="15.75" customHeight="1">
      <c r="A397" s="90"/>
      <c r="B397" s="91"/>
      <c r="C397" s="92"/>
      <c r="D397" s="91"/>
      <c r="E397" s="93"/>
      <c r="F397" s="94"/>
      <c r="G397" s="91"/>
      <c r="H397" s="93"/>
      <c r="I397" s="95"/>
      <c r="J397" s="95"/>
      <c r="K397" s="95"/>
      <c r="L397" s="94"/>
      <c r="M397" s="96"/>
      <c r="N397" s="95"/>
      <c r="O397" s="95"/>
      <c r="P397" s="95"/>
    </row>
    <row r="398" ht="15.75" customHeight="1">
      <c r="A398" s="90"/>
      <c r="B398" s="91"/>
      <c r="C398" s="92"/>
      <c r="D398" s="91"/>
      <c r="E398" s="93"/>
      <c r="F398" s="94"/>
      <c r="G398" s="91"/>
      <c r="H398" s="93"/>
      <c r="I398" s="95"/>
      <c r="J398" s="95"/>
      <c r="K398" s="95"/>
      <c r="L398" s="94"/>
      <c r="M398" s="96"/>
      <c r="N398" s="95"/>
      <c r="O398" s="95"/>
      <c r="P398" s="95"/>
    </row>
    <row r="399" ht="15.75" customHeight="1">
      <c r="A399" s="90"/>
      <c r="B399" s="91"/>
      <c r="C399" s="92"/>
      <c r="D399" s="91"/>
      <c r="E399" s="93"/>
      <c r="F399" s="94"/>
      <c r="G399" s="91"/>
      <c r="H399" s="93"/>
      <c r="I399" s="95"/>
      <c r="J399" s="95"/>
      <c r="K399" s="95"/>
      <c r="L399" s="94"/>
      <c r="M399" s="96"/>
      <c r="N399" s="95"/>
      <c r="O399" s="95"/>
      <c r="P399" s="95"/>
    </row>
    <row r="400" ht="15.75" customHeight="1">
      <c r="A400" s="90"/>
      <c r="B400" s="91"/>
      <c r="C400" s="92"/>
      <c r="D400" s="91"/>
      <c r="E400" s="93"/>
      <c r="F400" s="94"/>
      <c r="G400" s="91"/>
      <c r="H400" s="93"/>
      <c r="I400" s="95"/>
      <c r="J400" s="95"/>
      <c r="K400" s="95"/>
      <c r="L400" s="94"/>
      <c r="M400" s="96"/>
      <c r="N400" s="95"/>
      <c r="O400" s="95"/>
      <c r="P400" s="95"/>
    </row>
    <row r="401" ht="15.75" customHeight="1">
      <c r="A401" s="90"/>
      <c r="B401" s="91"/>
      <c r="C401" s="92"/>
      <c r="D401" s="91"/>
      <c r="E401" s="93"/>
      <c r="F401" s="94"/>
      <c r="G401" s="91"/>
      <c r="H401" s="93"/>
      <c r="I401" s="95"/>
      <c r="J401" s="95"/>
      <c r="K401" s="95"/>
      <c r="L401" s="94"/>
      <c r="M401" s="96"/>
      <c r="N401" s="95"/>
      <c r="O401" s="95"/>
      <c r="P401" s="95"/>
    </row>
    <row r="402" ht="15.75" customHeight="1">
      <c r="A402" s="90"/>
      <c r="B402" s="91"/>
      <c r="C402" s="92"/>
      <c r="D402" s="91"/>
      <c r="E402" s="93"/>
      <c r="F402" s="94"/>
      <c r="G402" s="91"/>
      <c r="H402" s="93"/>
      <c r="I402" s="95"/>
      <c r="J402" s="95"/>
      <c r="K402" s="95"/>
      <c r="L402" s="94"/>
      <c r="M402" s="96"/>
      <c r="N402" s="95"/>
      <c r="O402" s="95"/>
      <c r="P402" s="95"/>
    </row>
    <row r="403" ht="15.75" customHeight="1">
      <c r="A403" s="90"/>
      <c r="B403" s="91"/>
      <c r="C403" s="92"/>
      <c r="D403" s="91"/>
      <c r="E403" s="93"/>
      <c r="F403" s="94"/>
      <c r="G403" s="91"/>
      <c r="H403" s="93"/>
      <c r="I403" s="95"/>
      <c r="J403" s="95"/>
      <c r="K403" s="95"/>
      <c r="L403" s="94"/>
      <c r="M403" s="96"/>
      <c r="N403" s="95"/>
      <c r="O403" s="95"/>
      <c r="P403" s="95"/>
    </row>
    <row r="404" ht="15.75" customHeight="1">
      <c r="A404" s="90"/>
      <c r="B404" s="91"/>
      <c r="C404" s="92"/>
      <c r="D404" s="91"/>
      <c r="E404" s="93"/>
      <c r="F404" s="94"/>
      <c r="G404" s="91"/>
      <c r="H404" s="93"/>
      <c r="I404" s="95"/>
      <c r="J404" s="95"/>
      <c r="K404" s="95"/>
      <c r="L404" s="94"/>
      <c r="M404" s="96"/>
      <c r="N404" s="95"/>
      <c r="O404" s="95"/>
      <c r="P404" s="95"/>
    </row>
    <row r="405" ht="15.75" customHeight="1">
      <c r="A405" s="90"/>
      <c r="B405" s="91"/>
      <c r="C405" s="92"/>
      <c r="D405" s="91"/>
      <c r="E405" s="93"/>
      <c r="F405" s="94"/>
      <c r="G405" s="91"/>
      <c r="H405" s="93"/>
      <c r="I405" s="95"/>
      <c r="J405" s="95"/>
      <c r="K405" s="95"/>
      <c r="L405" s="94"/>
      <c r="M405" s="96"/>
      <c r="N405" s="95"/>
      <c r="O405" s="95"/>
      <c r="P405" s="95"/>
    </row>
    <row r="406" ht="15.75" customHeight="1">
      <c r="A406" s="90"/>
      <c r="B406" s="91"/>
      <c r="C406" s="92"/>
      <c r="D406" s="91"/>
      <c r="E406" s="93"/>
      <c r="F406" s="94"/>
      <c r="G406" s="91"/>
      <c r="H406" s="93"/>
      <c r="I406" s="95"/>
      <c r="J406" s="95"/>
      <c r="K406" s="95"/>
      <c r="L406" s="94"/>
      <c r="M406" s="96"/>
      <c r="N406" s="95"/>
      <c r="O406" s="95"/>
      <c r="P406" s="95"/>
    </row>
    <row r="407" ht="15.75" customHeight="1">
      <c r="A407" s="90"/>
      <c r="B407" s="91"/>
      <c r="C407" s="92"/>
      <c r="D407" s="91"/>
      <c r="E407" s="93"/>
      <c r="F407" s="94"/>
      <c r="G407" s="91"/>
      <c r="H407" s="93"/>
      <c r="I407" s="95"/>
      <c r="J407" s="95"/>
      <c r="K407" s="95"/>
      <c r="L407" s="94"/>
      <c r="M407" s="96"/>
      <c r="N407" s="95"/>
      <c r="O407" s="95"/>
      <c r="P407" s="95"/>
    </row>
    <row r="408" ht="15.75" customHeight="1">
      <c r="A408" s="90"/>
      <c r="B408" s="91"/>
      <c r="C408" s="92"/>
      <c r="D408" s="91"/>
      <c r="E408" s="93"/>
      <c r="F408" s="94"/>
      <c r="G408" s="91"/>
      <c r="H408" s="93"/>
      <c r="I408" s="95"/>
      <c r="J408" s="95"/>
      <c r="K408" s="95"/>
      <c r="L408" s="94"/>
      <c r="M408" s="96"/>
      <c r="N408" s="95"/>
      <c r="O408" s="95"/>
      <c r="P408" s="95"/>
    </row>
    <row r="409" ht="15.75" customHeight="1">
      <c r="A409" s="90"/>
      <c r="B409" s="91"/>
      <c r="C409" s="92"/>
      <c r="D409" s="91"/>
      <c r="E409" s="93"/>
      <c r="F409" s="94"/>
      <c r="G409" s="91"/>
      <c r="H409" s="93"/>
      <c r="I409" s="95"/>
      <c r="J409" s="95"/>
      <c r="K409" s="95"/>
      <c r="L409" s="94"/>
      <c r="M409" s="96"/>
      <c r="N409" s="95"/>
      <c r="O409" s="95"/>
      <c r="P409" s="95"/>
    </row>
    <row r="410" ht="15.75" customHeight="1">
      <c r="A410" s="90"/>
      <c r="B410" s="91"/>
      <c r="C410" s="92"/>
      <c r="D410" s="91"/>
      <c r="E410" s="93"/>
      <c r="F410" s="94"/>
      <c r="G410" s="91"/>
      <c r="H410" s="93"/>
      <c r="I410" s="95"/>
      <c r="J410" s="95"/>
      <c r="K410" s="95"/>
      <c r="L410" s="94"/>
      <c r="M410" s="96"/>
      <c r="N410" s="95"/>
      <c r="O410" s="95"/>
      <c r="P410" s="95"/>
    </row>
    <row r="411" ht="15.75" customHeight="1">
      <c r="A411" s="90"/>
      <c r="B411" s="91"/>
      <c r="C411" s="92"/>
      <c r="D411" s="91"/>
      <c r="E411" s="93"/>
      <c r="F411" s="94"/>
      <c r="G411" s="91"/>
      <c r="H411" s="93"/>
      <c r="I411" s="95"/>
      <c r="J411" s="95"/>
      <c r="K411" s="95"/>
      <c r="L411" s="94"/>
      <c r="M411" s="96"/>
      <c r="N411" s="95"/>
      <c r="O411" s="95"/>
      <c r="P411" s="95"/>
    </row>
    <row r="412" ht="15.75" customHeight="1">
      <c r="A412" s="90"/>
      <c r="B412" s="91"/>
      <c r="C412" s="92"/>
      <c r="D412" s="91"/>
      <c r="E412" s="93"/>
      <c r="F412" s="94"/>
      <c r="G412" s="91"/>
      <c r="H412" s="93"/>
      <c r="I412" s="95"/>
      <c r="J412" s="95"/>
      <c r="K412" s="95"/>
      <c r="L412" s="94"/>
      <c r="M412" s="96"/>
      <c r="N412" s="95"/>
      <c r="O412" s="95"/>
      <c r="P412" s="95"/>
    </row>
    <row r="413" ht="15.75" customHeight="1">
      <c r="A413" s="90"/>
      <c r="B413" s="91"/>
      <c r="C413" s="92"/>
      <c r="D413" s="91"/>
      <c r="E413" s="93"/>
      <c r="F413" s="94"/>
      <c r="G413" s="91"/>
      <c r="H413" s="93"/>
      <c r="I413" s="95"/>
      <c r="J413" s="95"/>
      <c r="K413" s="95"/>
      <c r="L413" s="94"/>
      <c r="M413" s="96"/>
      <c r="N413" s="95"/>
      <c r="O413" s="95"/>
      <c r="P413" s="95"/>
    </row>
    <row r="414" ht="15.75" customHeight="1">
      <c r="A414" s="90"/>
      <c r="B414" s="91"/>
      <c r="C414" s="92"/>
      <c r="D414" s="91"/>
      <c r="E414" s="93"/>
      <c r="F414" s="94"/>
      <c r="G414" s="91"/>
      <c r="H414" s="93"/>
      <c r="I414" s="95"/>
      <c r="J414" s="95"/>
      <c r="K414" s="95"/>
      <c r="L414" s="94"/>
      <c r="M414" s="96"/>
      <c r="N414" s="95"/>
      <c r="O414" s="95"/>
      <c r="P414" s="95"/>
    </row>
    <row r="415" ht="15.75" customHeight="1">
      <c r="A415" s="90"/>
      <c r="B415" s="91"/>
      <c r="C415" s="92"/>
      <c r="D415" s="91"/>
      <c r="E415" s="93"/>
      <c r="F415" s="94"/>
      <c r="G415" s="91"/>
      <c r="H415" s="93"/>
      <c r="I415" s="95"/>
      <c r="J415" s="95"/>
      <c r="K415" s="95"/>
      <c r="L415" s="94"/>
      <c r="M415" s="96"/>
      <c r="N415" s="95"/>
      <c r="O415" s="95"/>
      <c r="P415" s="95"/>
    </row>
    <row r="416" ht="15.75" customHeight="1">
      <c r="A416" s="90"/>
      <c r="B416" s="91"/>
      <c r="C416" s="92"/>
      <c r="D416" s="91"/>
      <c r="E416" s="93"/>
      <c r="F416" s="94"/>
      <c r="G416" s="91"/>
      <c r="H416" s="93"/>
      <c r="I416" s="95"/>
      <c r="J416" s="95"/>
      <c r="K416" s="95"/>
      <c r="L416" s="94"/>
      <c r="M416" s="96"/>
      <c r="N416" s="95"/>
      <c r="O416" s="95"/>
      <c r="P416" s="95"/>
    </row>
    <row r="417" ht="15.75" customHeight="1">
      <c r="A417" s="90"/>
      <c r="B417" s="91"/>
      <c r="C417" s="92"/>
      <c r="D417" s="91"/>
      <c r="E417" s="93"/>
      <c r="F417" s="94"/>
      <c r="G417" s="91"/>
      <c r="H417" s="93"/>
      <c r="I417" s="95"/>
      <c r="J417" s="95"/>
      <c r="K417" s="95"/>
      <c r="L417" s="94"/>
      <c r="M417" s="96"/>
      <c r="N417" s="95"/>
      <c r="O417" s="95"/>
      <c r="P417" s="95"/>
    </row>
    <row r="418" ht="15.75" customHeight="1">
      <c r="A418" s="90"/>
      <c r="B418" s="91"/>
      <c r="C418" s="92"/>
      <c r="D418" s="91"/>
      <c r="E418" s="93"/>
      <c r="F418" s="94"/>
      <c r="G418" s="91"/>
      <c r="H418" s="93"/>
      <c r="I418" s="95"/>
      <c r="J418" s="95"/>
      <c r="K418" s="95"/>
      <c r="L418" s="94"/>
      <c r="M418" s="96"/>
      <c r="N418" s="95"/>
      <c r="O418" s="95"/>
      <c r="P418" s="95"/>
    </row>
    <row r="419" ht="15.75" customHeight="1">
      <c r="A419" s="90"/>
      <c r="B419" s="91"/>
      <c r="C419" s="92"/>
      <c r="D419" s="91"/>
      <c r="E419" s="93"/>
      <c r="F419" s="94"/>
      <c r="G419" s="91"/>
      <c r="H419" s="93"/>
      <c r="I419" s="95"/>
      <c r="J419" s="95"/>
      <c r="K419" s="95"/>
      <c r="L419" s="94"/>
      <c r="M419" s="96"/>
      <c r="N419" s="95"/>
      <c r="O419" s="95"/>
      <c r="P419" s="95"/>
    </row>
    <row r="420" ht="15.75" customHeight="1">
      <c r="A420" s="90"/>
      <c r="B420" s="91"/>
      <c r="C420" s="92"/>
      <c r="D420" s="91"/>
      <c r="E420" s="93"/>
      <c r="F420" s="94"/>
      <c r="G420" s="91"/>
      <c r="H420" s="93"/>
      <c r="I420" s="95"/>
      <c r="J420" s="95"/>
      <c r="K420" s="95"/>
      <c r="L420" s="94"/>
      <c r="M420" s="96"/>
      <c r="N420" s="95"/>
      <c r="O420" s="95"/>
      <c r="P420" s="95"/>
    </row>
    <row r="421" ht="15.75" customHeight="1">
      <c r="A421" s="90"/>
      <c r="B421" s="91"/>
      <c r="C421" s="92"/>
      <c r="D421" s="91"/>
      <c r="E421" s="93"/>
      <c r="F421" s="94"/>
      <c r="G421" s="91"/>
      <c r="H421" s="93"/>
      <c r="I421" s="95"/>
      <c r="J421" s="95"/>
      <c r="K421" s="95"/>
      <c r="L421" s="94"/>
      <c r="M421" s="96"/>
      <c r="N421" s="95"/>
      <c r="O421" s="95"/>
      <c r="P421" s="95"/>
    </row>
    <row r="422" ht="15.75" customHeight="1">
      <c r="A422" s="90"/>
      <c r="B422" s="91"/>
      <c r="C422" s="92"/>
      <c r="D422" s="91"/>
      <c r="E422" s="93"/>
      <c r="F422" s="94"/>
      <c r="G422" s="91"/>
      <c r="H422" s="93"/>
      <c r="I422" s="95"/>
      <c r="J422" s="95"/>
      <c r="K422" s="95"/>
      <c r="L422" s="94"/>
      <c r="M422" s="96"/>
      <c r="N422" s="95"/>
      <c r="O422" s="95"/>
      <c r="P422" s="95"/>
    </row>
    <row r="423" ht="15.75" customHeight="1">
      <c r="A423" s="90"/>
      <c r="B423" s="91"/>
      <c r="C423" s="92"/>
      <c r="D423" s="91"/>
      <c r="E423" s="93"/>
      <c r="F423" s="94"/>
      <c r="G423" s="91"/>
      <c r="H423" s="93"/>
      <c r="I423" s="95"/>
      <c r="J423" s="95"/>
      <c r="K423" s="95"/>
      <c r="L423" s="94"/>
      <c r="M423" s="96"/>
      <c r="N423" s="95"/>
      <c r="O423" s="95"/>
      <c r="P423" s="95"/>
    </row>
    <row r="424" ht="15.75" customHeight="1">
      <c r="A424" s="90"/>
      <c r="B424" s="91"/>
      <c r="C424" s="92"/>
      <c r="D424" s="91"/>
      <c r="E424" s="93"/>
      <c r="F424" s="94"/>
      <c r="G424" s="91"/>
      <c r="H424" s="93"/>
      <c r="I424" s="95"/>
      <c r="J424" s="95"/>
      <c r="K424" s="95"/>
      <c r="L424" s="94"/>
      <c r="M424" s="96"/>
      <c r="N424" s="95"/>
      <c r="O424" s="95"/>
      <c r="P424" s="95"/>
    </row>
    <row r="425" ht="15.75" customHeight="1">
      <c r="A425" s="90"/>
      <c r="B425" s="91"/>
      <c r="C425" s="92"/>
      <c r="D425" s="91"/>
      <c r="E425" s="93"/>
      <c r="F425" s="94"/>
      <c r="G425" s="91"/>
      <c r="H425" s="93"/>
      <c r="I425" s="95"/>
      <c r="J425" s="95"/>
      <c r="K425" s="95"/>
      <c r="L425" s="94"/>
      <c r="M425" s="96"/>
      <c r="N425" s="95"/>
      <c r="O425" s="95"/>
      <c r="P425" s="95"/>
    </row>
    <row r="426" ht="15.75" customHeight="1">
      <c r="A426" s="90"/>
      <c r="B426" s="91"/>
      <c r="C426" s="92"/>
      <c r="D426" s="91"/>
      <c r="E426" s="93"/>
      <c r="F426" s="94"/>
      <c r="G426" s="91"/>
      <c r="H426" s="93"/>
      <c r="I426" s="95"/>
      <c r="J426" s="95"/>
      <c r="K426" s="95"/>
      <c r="L426" s="94"/>
      <c r="M426" s="96"/>
      <c r="N426" s="95"/>
      <c r="O426" s="95"/>
      <c r="P426" s="95"/>
    </row>
    <row r="427" ht="15.75" customHeight="1">
      <c r="A427" s="90"/>
      <c r="B427" s="91"/>
      <c r="C427" s="92"/>
      <c r="D427" s="91"/>
      <c r="E427" s="93"/>
      <c r="F427" s="94"/>
      <c r="G427" s="91"/>
      <c r="H427" s="93"/>
      <c r="I427" s="95"/>
      <c r="J427" s="95"/>
      <c r="K427" s="95"/>
      <c r="L427" s="94"/>
      <c r="M427" s="96"/>
      <c r="N427" s="95"/>
      <c r="O427" s="95"/>
      <c r="P427" s="95"/>
    </row>
    <row r="428" ht="15.75" customHeight="1">
      <c r="A428" s="90"/>
      <c r="B428" s="91"/>
      <c r="C428" s="92"/>
      <c r="D428" s="91"/>
      <c r="E428" s="93"/>
      <c r="F428" s="94"/>
      <c r="G428" s="91"/>
      <c r="H428" s="93"/>
      <c r="I428" s="95"/>
      <c r="J428" s="95"/>
      <c r="K428" s="95"/>
      <c r="L428" s="94"/>
      <c r="M428" s="96"/>
      <c r="N428" s="95"/>
      <c r="O428" s="95"/>
      <c r="P428" s="95"/>
    </row>
    <row r="429" ht="15.75" customHeight="1">
      <c r="A429" s="90"/>
      <c r="B429" s="91"/>
      <c r="C429" s="92"/>
      <c r="D429" s="91"/>
      <c r="E429" s="93"/>
      <c r="F429" s="94"/>
      <c r="G429" s="91"/>
      <c r="H429" s="93"/>
      <c r="I429" s="95"/>
      <c r="J429" s="95"/>
      <c r="K429" s="95"/>
      <c r="L429" s="94"/>
      <c r="M429" s="96"/>
      <c r="N429" s="95"/>
      <c r="O429" s="95"/>
      <c r="P429" s="95"/>
    </row>
    <row r="430" ht="15.75" customHeight="1">
      <c r="A430" s="90"/>
      <c r="B430" s="91"/>
      <c r="C430" s="92"/>
      <c r="D430" s="91"/>
      <c r="E430" s="93"/>
      <c r="F430" s="94"/>
      <c r="G430" s="91"/>
      <c r="H430" s="93"/>
      <c r="I430" s="95"/>
      <c r="J430" s="95"/>
      <c r="K430" s="95"/>
      <c r="L430" s="94"/>
      <c r="M430" s="96"/>
      <c r="N430" s="95"/>
      <c r="O430" s="95"/>
      <c r="P430" s="95"/>
    </row>
    <row r="431" ht="15.75" customHeight="1">
      <c r="A431" s="90"/>
      <c r="B431" s="91"/>
      <c r="C431" s="92"/>
      <c r="D431" s="91"/>
      <c r="E431" s="93"/>
      <c r="F431" s="94"/>
      <c r="G431" s="91"/>
      <c r="H431" s="93"/>
      <c r="I431" s="95"/>
      <c r="J431" s="95"/>
      <c r="K431" s="95"/>
      <c r="L431" s="94"/>
      <c r="M431" s="96"/>
      <c r="N431" s="95"/>
      <c r="O431" s="95"/>
      <c r="P431" s="95"/>
    </row>
    <row r="432" ht="15.75" customHeight="1">
      <c r="A432" s="90"/>
      <c r="B432" s="91"/>
      <c r="C432" s="92"/>
      <c r="D432" s="91"/>
      <c r="E432" s="93"/>
      <c r="F432" s="94"/>
      <c r="G432" s="91"/>
      <c r="H432" s="93"/>
      <c r="I432" s="95"/>
      <c r="J432" s="95"/>
      <c r="K432" s="95"/>
      <c r="L432" s="94"/>
      <c r="M432" s="96"/>
      <c r="N432" s="95"/>
      <c r="O432" s="95"/>
      <c r="P432" s="95"/>
    </row>
    <row r="433" ht="15.75" customHeight="1">
      <c r="A433" s="90"/>
      <c r="B433" s="91"/>
      <c r="C433" s="92"/>
      <c r="D433" s="91"/>
      <c r="E433" s="93"/>
      <c r="F433" s="94"/>
      <c r="G433" s="91"/>
      <c r="H433" s="93"/>
      <c r="I433" s="95"/>
      <c r="J433" s="95"/>
      <c r="K433" s="95"/>
      <c r="L433" s="94"/>
      <c r="M433" s="96"/>
      <c r="N433" s="95"/>
      <c r="O433" s="95"/>
      <c r="P433" s="95"/>
    </row>
    <row r="434" ht="15.75" customHeight="1">
      <c r="A434" s="90"/>
      <c r="B434" s="91"/>
      <c r="C434" s="92"/>
      <c r="D434" s="91"/>
      <c r="E434" s="93"/>
      <c r="F434" s="94"/>
      <c r="G434" s="91"/>
      <c r="H434" s="93"/>
      <c r="I434" s="95"/>
      <c r="J434" s="95"/>
      <c r="K434" s="95"/>
      <c r="L434" s="94"/>
      <c r="M434" s="96"/>
      <c r="N434" s="95"/>
      <c r="O434" s="95"/>
      <c r="P434" s="95"/>
    </row>
    <row r="435" ht="15.75" customHeight="1">
      <c r="A435" s="90"/>
      <c r="B435" s="91"/>
      <c r="C435" s="92"/>
      <c r="D435" s="91"/>
      <c r="E435" s="93"/>
      <c r="F435" s="94"/>
      <c r="G435" s="91"/>
      <c r="H435" s="93"/>
      <c r="I435" s="95"/>
      <c r="J435" s="95"/>
      <c r="K435" s="95"/>
      <c r="L435" s="94"/>
      <c r="M435" s="96"/>
      <c r="N435" s="95"/>
      <c r="O435" s="95"/>
      <c r="P435" s="95"/>
    </row>
    <row r="436" ht="15.75" customHeight="1">
      <c r="A436" s="90"/>
      <c r="B436" s="91"/>
      <c r="C436" s="92"/>
      <c r="D436" s="91"/>
      <c r="E436" s="93"/>
      <c r="F436" s="94"/>
      <c r="G436" s="91"/>
      <c r="H436" s="93"/>
      <c r="I436" s="95"/>
      <c r="J436" s="95"/>
      <c r="K436" s="95"/>
      <c r="L436" s="94"/>
      <c r="M436" s="96"/>
      <c r="N436" s="95"/>
      <c r="O436" s="95"/>
      <c r="P436" s="95"/>
    </row>
    <row r="437" ht="15.75" customHeight="1">
      <c r="A437" s="90"/>
      <c r="B437" s="91"/>
      <c r="C437" s="92"/>
      <c r="D437" s="91"/>
      <c r="E437" s="93"/>
      <c r="F437" s="94"/>
      <c r="G437" s="91"/>
      <c r="H437" s="93"/>
      <c r="I437" s="95"/>
      <c r="J437" s="95"/>
      <c r="K437" s="95"/>
      <c r="L437" s="94"/>
      <c r="M437" s="96"/>
      <c r="N437" s="95"/>
      <c r="O437" s="95"/>
      <c r="P437" s="95"/>
    </row>
    <row r="438" ht="15.75" customHeight="1">
      <c r="A438" s="90"/>
      <c r="B438" s="91"/>
      <c r="C438" s="92"/>
      <c r="D438" s="91"/>
      <c r="E438" s="93"/>
      <c r="F438" s="94"/>
      <c r="G438" s="91"/>
      <c r="H438" s="93"/>
      <c r="I438" s="95"/>
      <c r="J438" s="95"/>
      <c r="K438" s="95"/>
      <c r="L438" s="94"/>
      <c r="M438" s="96"/>
      <c r="N438" s="95"/>
      <c r="O438" s="95"/>
      <c r="P438" s="95"/>
    </row>
    <row r="439" ht="15.75" customHeight="1">
      <c r="A439" s="90"/>
      <c r="B439" s="91"/>
      <c r="C439" s="92"/>
      <c r="D439" s="91"/>
      <c r="E439" s="93"/>
      <c r="F439" s="94"/>
      <c r="G439" s="91"/>
      <c r="H439" s="93"/>
      <c r="I439" s="95"/>
      <c r="J439" s="95"/>
      <c r="K439" s="95"/>
      <c r="L439" s="94"/>
      <c r="M439" s="96"/>
      <c r="N439" s="95"/>
      <c r="O439" s="95"/>
      <c r="P439" s="95"/>
    </row>
    <row r="440" ht="15.75" customHeight="1">
      <c r="A440" s="90"/>
      <c r="B440" s="91"/>
      <c r="C440" s="92"/>
      <c r="D440" s="91"/>
      <c r="E440" s="93"/>
      <c r="F440" s="94"/>
      <c r="G440" s="91"/>
      <c r="H440" s="93"/>
      <c r="I440" s="95"/>
      <c r="J440" s="95"/>
      <c r="K440" s="95"/>
      <c r="L440" s="94"/>
      <c r="M440" s="96"/>
      <c r="N440" s="95"/>
      <c r="O440" s="95"/>
      <c r="P440" s="95"/>
    </row>
    <row r="441" ht="15.75" customHeight="1">
      <c r="A441" s="90"/>
      <c r="B441" s="91"/>
      <c r="C441" s="92"/>
      <c r="D441" s="91"/>
      <c r="E441" s="93"/>
      <c r="F441" s="94"/>
      <c r="G441" s="91"/>
      <c r="H441" s="93"/>
      <c r="I441" s="95"/>
      <c r="J441" s="95"/>
      <c r="K441" s="95"/>
      <c r="L441" s="94"/>
      <c r="M441" s="96"/>
      <c r="N441" s="95"/>
      <c r="O441" s="95"/>
      <c r="P441" s="95"/>
    </row>
    <row r="442" ht="15.75" customHeight="1">
      <c r="A442" s="90"/>
      <c r="B442" s="91"/>
      <c r="C442" s="92"/>
      <c r="D442" s="91"/>
      <c r="E442" s="93"/>
      <c r="F442" s="94"/>
      <c r="G442" s="91"/>
      <c r="H442" s="93"/>
      <c r="I442" s="95"/>
      <c r="J442" s="95"/>
      <c r="K442" s="95"/>
      <c r="L442" s="94"/>
      <c r="M442" s="96"/>
      <c r="N442" s="95"/>
      <c r="O442" s="95"/>
      <c r="P442" s="95"/>
    </row>
    <row r="443" ht="15.75" customHeight="1">
      <c r="A443" s="90"/>
      <c r="B443" s="91"/>
      <c r="C443" s="92"/>
      <c r="D443" s="91"/>
      <c r="E443" s="93"/>
      <c r="F443" s="94"/>
      <c r="G443" s="91"/>
      <c r="H443" s="93"/>
      <c r="I443" s="95"/>
      <c r="J443" s="95"/>
      <c r="K443" s="95"/>
      <c r="L443" s="94"/>
      <c r="M443" s="96"/>
      <c r="N443" s="95"/>
      <c r="O443" s="95"/>
      <c r="P443" s="95"/>
    </row>
    <row r="444" ht="15.75" customHeight="1">
      <c r="A444" s="90"/>
      <c r="B444" s="91"/>
      <c r="C444" s="92"/>
      <c r="D444" s="91"/>
      <c r="E444" s="93"/>
      <c r="F444" s="94"/>
      <c r="G444" s="91"/>
      <c r="H444" s="93"/>
      <c r="I444" s="95"/>
      <c r="J444" s="95"/>
      <c r="K444" s="95"/>
      <c r="L444" s="94"/>
      <c r="M444" s="96"/>
      <c r="N444" s="95"/>
      <c r="O444" s="95"/>
      <c r="P444" s="95"/>
    </row>
    <row r="445" ht="15.75" customHeight="1">
      <c r="A445" s="90"/>
      <c r="B445" s="91"/>
      <c r="C445" s="92"/>
      <c r="D445" s="91"/>
      <c r="E445" s="93"/>
      <c r="F445" s="94"/>
      <c r="G445" s="91"/>
      <c r="H445" s="93"/>
      <c r="I445" s="95"/>
      <c r="J445" s="95"/>
      <c r="K445" s="95"/>
      <c r="L445" s="94"/>
      <c r="M445" s="96"/>
      <c r="N445" s="95"/>
      <c r="O445" s="95"/>
      <c r="P445" s="95"/>
    </row>
    <row r="446" ht="15.75" customHeight="1">
      <c r="A446" s="90"/>
      <c r="B446" s="91"/>
      <c r="C446" s="92"/>
      <c r="D446" s="91"/>
      <c r="E446" s="93"/>
      <c r="F446" s="94"/>
      <c r="G446" s="91"/>
      <c r="H446" s="93"/>
      <c r="I446" s="95"/>
      <c r="J446" s="95"/>
      <c r="K446" s="95"/>
      <c r="L446" s="94"/>
      <c r="M446" s="96"/>
      <c r="N446" s="95"/>
      <c r="O446" s="95"/>
      <c r="P446" s="95"/>
    </row>
    <row r="447" ht="15.75" customHeight="1">
      <c r="A447" s="90"/>
      <c r="B447" s="91"/>
      <c r="C447" s="92"/>
      <c r="D447" s="91"/>
      <c r="E447" s="93"/>
      <c r="F447" s="94"/>
      <c r="G447" s="91"/>
      <c r="H447" s="93"/>
      <c r="I447" s="95"/>
      <c r="J447" s="95"/>
      <c r="K447" s="95"/>
      <c r="L447" s="94"/>
      <c r="M447" s="96"/>
      <c r="N447" s="95"/>
      <c r="O447" s="95"/>
      <c r="P447" s="95"/>
    </row>
    <row r="448" ht="15.75" customHeight="1">
      <c r="A448" s="90"/>
      <c r="B448" s="91"/>
      <c r="C448" s="92"/>
      <c r="D448" s="91"/>
      <c r="E448" s="93"/>
      <c r="F448" s="94"/>
      <c r="G448" s="91"/>
      <c r="H448" s="93"/>
      <c r="I448" s="95"/>
      <c r="J448" s="95"/>
      <c r="K448" s="95"/>
      <c r="L448" s="94"/>
      <c r="M448" s="96"/>
      <c r="N448" s="95"/>
      <c r="O448" s="95"/>
      <c r="P448" s="95"/>
    </row>
    <row r="449" ht="15.75" customHeight="1">
      <c r="A449" s="90"/>
      <c r="B449" s="91"/>
      <c r="C449" s="92"/>
      <c r="D449" s="91"/>
      <c r="E449" s="93"/>
      <c r="F449" s="94"/>
      <c r="G449" s="91"/>
      <c r="H449" s="93"/>
      <c r="I449" s="95"/>
      <c r="J449" s="95"/>
      <c r="K449" s="95"/>
      <c r="L449" s="94"/>
      <c r="M449" s="96"/>
      <c r="N449" s="95"/>
      <c r="O449" s="95"/>
      <c r="P449" s="95"/>
    </row>
    <row r="450" ht="15.75" customHeight="1">
      <c r="A450" s="90"/>
      <c r="B450" s="91"/>
      <c r="C450" s="92"/>
      <c r="D450" s="91"/>
      <c r="E450" s="93"/>
      <c r="F450" s="94"/>
      <c r="G450" s="91"/>
      <c r="H450" s="93"/>
      <c r="I450" s="95"/>
      <c r="J450" s="95"/>
      <c r="K450" s="95"/>
      <c r="L450" s="94"/>
      <c r="M450" s="96"/>
      <c r="N450" s="95"/>
      <c r="O450" s="95"/>
      <c r="P450" s="95"/>
    </row>
    <row r="451" ht="15.75" customHeight="1">
      <c r="A451" s="90"/>
      <c r="B451" s="91"/>
      <c r="C451" s="92"/>
      <c r="D451" s="91"/>
      <c r="E451" s="93"/>
      <c r="F451" s="94"/>
      <c r="G451" s="91"/>
      <c r="H451" s="93"/>
      <c r="I451" s="95"/>
      <c r="J451" s="95"/>
      <c r="K451" s="95"/>
      <c r="L451" s="94"/>
      <c r="M451" s="96"/>
      <c r="N451" s="95"/>
      <c r="O451" s="95"/>
      <c r="P451" s="95"/>
    </row>
    <row r="452" ht="15.75" customHeight="1">
      <c r="A452" s="90"/>
      <c r="B452" s="91"/>
      <c r="C452" s="92"/>
      <c r="D452" s="91"/>
      <c r="E452" s="93"/>
      <c r="F452" s="94"/>
      <c r="G452" s="91"/>
      <c r="H452" s="93"/>
      <c r="I452" s="95"/>
      <c r="J452" s="95"/>
      <c r="K452" s="95"/>
      <c r="L452" s="94"/>
      <c r="M452" s="96"/>
      <c r="N452" s="95"/>
      <c r="O452" s="95"/>
      <c r="P452" s="95"/>
    </row>
    <row r="453" ht="15.75" customHeight="1">
      <c r="A453" s="90"/>
      <c r="B453" s="91"/>
      <c r="C453" s="92"/>
      <c r="D453" s="91"/>
      <c r="E453" s="93"/>
      <c r="F453" s="94"/>
      <c r="G453" s="91"/>
      <c r="H453" s="93"/>
      <c r="I453" s="95"/>
      <c r="J453" s="95"/>
      <c r="K453" s="95"/>
      <c r="L453" s="94"/>
      <c r="M453" s="96"/>
      <c r="N453" s="95"/>
      <c r="O453" s="95"/>
      <c r="P453" s="95"/>
    </row>
    <row r="454" ht="15.75" customHeight="1">
      <c r="A454" s="90"/>
      <c r="B454" s="91"/>
      <c r="C454" s="92"/>
      <c r="D454" s="91"/>
      <c r="E454" s="93"/>
      <c r="F454" s="94"/>
      <c r="G454" s="91"/>
      <c r="H454" s="93"/>
      <c r="I454" s="95"/>
      <c r="J454" s="95"/>
      <c r="K454" s="95"/>
      <c r="L454" s="94"/>
      <c r="M454" s="96"/>
      <c r="N454" s="95"/>
      <c r="O454" s="95"/>
      <c r="P454" s="95"/>
    </row>
    <row r="455" ht="15.75" customHeight="1">
      <c r="A455" s="90"/>
      <c r="B455" s="91"/>
      <c r="C455" s="92"/>
      <c r="D455" s="91"/>
      <c r="E455" s="93"/>
      <c r="F455" s="94"/>
      <c r="G455" s="91"/>
      <c r="H455" s="93"/>
      <c r="I455" s="95"/>
      <c r="J455" s="95"/>
      <c r="K455" s="95"/>
      <c r="L455" s="94"/>
      <c r="M455" s="96"/>
      <c r="N455" s="95"/>
      <c r="O455" s="95"/>
      <c r="P455" s="95"/>
    </row>
    <row r="456" ht="15.75" customHeight="1">
      <c r="A456" s="90"/>
      <c r="B456" s="91"/>
      <c r="C456" s="92"/>
      <c r="D456" s="91"/>
      <c r="E456" s="93"/>
      <c r="F456" s="94"/>
      <c r="G456" s="91"/>
      <c r="H456" s="93"/>
      <c r="I456" s="95"/>
      <c r="J456" s="95"/>
      <c r="K456" s="95"/>
      <c r="L456" s="94"/>
      <c r="M456" s="96"/>
      <c r="N456" s="95"/>
      <c r="O456" s="95"/>
      <c r="P456" s="95"/>
    </row>
    <row r="457" ht="15.75" customHeight="1">
      <c r="A457" s="90"/>
      <c r="B457" s="91"/>
      <c r="C457" s="92"/>
      <c r="D457" s="91"/>
      <c r="E457" s="93"/>
      <c r="F457" s="94"/>
      <c r="G457" s="91"/>
      <c r="H457" s="93"/>
      <c r="I457" s="95"/>
      <c r="J457" s="95"/>
      <c r="K457" s="95"/>
      <c r="L457" s="94"/>
      <c r="M457" s="96"/>
      <c r="N457" s="95"/>
      <c r="O457" s="95"/>
      <c r="P457" s="95"/>
    </row>
    <row r="458" ht="15.75" customHeight="1">
      <c r="A458" s="90"/>
      <c r="B458" s="91"/>
      <c r="C458" s="92"/>
      <c r="D458" s="91"/>
      <c r="E458" s="93"/>
      <c r="F458" s="94"/>
      <c r="G458" s="91"/>
      <c r="H458" s="93"/>
      <c r="I458" s="95"/>
      <c r="J458" s="95"/>
      <c r="K458" s="95"/>
      <c r="L458" s="94"/>
      <c r="M458" s="96"/>
      <c r="N458" s="95"/>
      <c r="O458" s="95"/>
      <c r="P458" s="95"/>
    </row>
    <row r="459" ht="15.75" customHeight="1">
      <c r="A459" s="90"/>
      <c r="B459" s="91"/>
      <c r="C459" s="92"/>
      <c r="D459" s="91"/>
      <c r="E459" s="93"/>
      <c r="F459" s="94"/>
      <c r="G459" s="91"/>
      <c r="H459" s="93"/>
      <c r="I459" s="95"/>
      <c r="J459" s="95"/>
      <c r="K459" s="95"/>
      <c r="L459" s="94"/>
      <c r="M459" s="96"/>
      <c r="N459" s="95"/>
      <c r="O459" s="95"/>
      <c r="P459" s="95"/>
    </row>
    <row r="460" ht="15.75" customHeight="1">
      <c r="A460" s="90"/>
      <c r="B460" s="91"/>
      <c r="C460" s="92"/>
      <c r="D460" s="91"/>
      <c r="E460" s="93"/>
      <c r="F460" s="94"/>
      <c r="G460" s="91"/>
      <c r="H460" s="93"/>
      <c r="I460" s="95"/>
      <c r="J460" s="95"/>
      <c r="K460" s="95"/>
      <c r="L460" s="94"/>
      <c r="M460" s="96"/>
      <c r="N460" s="95"/>
      <c r="O460" s="95"/>
      <c r="P460" s="95"/>
    </row>
    <row r="461" ht="15.75" customHeight="1">
      <c r="A461" s="90"/>
      <c r="B461" s="91"/>
      <c r="C461" s="92"/>
      <c r="D461" s="91"/>
      <c r="E461" s="93"/>
      <c r="F461" s="94"/>
      <c r="G461" s="91"/>
      <c r="H461" s="93"/>
      <c r="I461" s="95"/>
      <c r="J461" s="95"/>
      <c r="K461" s="95"/>
      <c r="L461" s="94"/>
      <c r="M461" s="96"/>
      <c r="N461" s="95"/>
      <c r="O461" s="95"/>
      <c r="P461" s="95"/>
    </row>
    <row r="462" ht="15.75" customHeight="1">
      <c r="A462" s="90"/>
      <c r="B462" s="91"/>
      <c r="C462" s="92"/>
      <c r="D462" s="91"/>
      <c r="E462" s="93"/>
      <c r="F462" s="94"/>
      <c r="G462" s="91"/>
      <c r="H462" s="93"/>
      <c r="I462" s="95"/>
      <c r="J462" s="95"/>
      <c r="K462" s="95"/>
      <c r="L462" s="94"/>
      <c r="M462" s="96"/>
      <c r="N462" s="95"/>
      <c r="O462" s="95"/>
      <c r="P462" s="95"/>
    </row>
    <row r="463" ht="15.75" customHeight="1">
      <c r="A463" s="90"/>
      <c r="B463" s="91"/>
      <c r="C463" s="92"/>
      <c r="D463" s="91"/>
      <c r="E463" s="93"/>
      <c r="F463" s="94"/>
      <c r="G463" s="91"/>
      <c r="H463" s="93"/>
      <c r="I463" s="95"/>
      <c r="J463" s="95"/>
      <c r="K463" s="95"/>
      <c r="L463" s="94"/>
      <c r="M463" s="96"/>
      <c r="N463" s="95"/>
      <c r="O463" s="95"/>
      <c r="P463" s="95"/>
    </row>
    <row r="464" ht="15.75" customHeight="1">
      <c r="A464" s="90"/>
      <c r="B464" s="91"/>
      <c r="C464" s="92"/>
      <c r="D464" s="91"/>
      <c r="E464" s="93"/>
      <c r="F464" s="94"/>
      <c r="G464" s="91"/>
      <c r="H464" s="93"/>
      <c r="I464" s="95"/>
      <c r="J464" s="95"/>
      <c r="K464" s="95"/>
      <c r="L464" s="94"/>
      <c r="M464" s="96"/>
      <c r="N464" s="95"/>
      <c r="O464" s="95"/>
      <c r="P464" s="95"/>
    </row>
    <row r="465" ht="15.75" customHeight="1">
      <c r="A465" s="90"/>
      <c r="B465" s="91"/>
      <c r="C465" s="92"/>
      <c r="D465" s="91"/>
      <c r="E465" s="93"/>
      <c r="F465" s="94"/>
      <c r="G465" s="91"/>
      <c r="H465" s="93"/>
      <c r="I465" s="95"/>
      <c r="J465" s="95"/>
      <c r="K465" s="95"/>
      <c r="L465" s="94"/>
      <c r="M465" s="96"/>
      <c r="N465" s="95"/>
      <c r="O465" s="95"/>
      <c r="P465" s="95"/>
    </row>
    <row r="466" ht="15.75" customHeight="1">
      <c r="A466" s="90"/>
      <c r="B466" s="91"/>
      <c r="C466" s="92"/>
      <c r="D466" s="91"/>
      <c r="E466" s="93"/>
      <c r="F466" s="94"/>
      <c r="G466" s="91"/>
      <c r="H466" s="93"/>
      <c r="I466" s="95"/>
      <c r="J466" s="95"/>
      <c r="K466" s="95"/>
      <c r="L466" s="94"/>
      <c r="M466" s="96"/>
      <c r="N466" s="95"/>
      <c r="O466" s="95"/>
      <c r="P466" s="95"/>
    </row>
    <row r="467" ht="15.75" customHeight="1">
      <c r="A467" s="90"/>
      <c r="B467" s="91"/>
      <c r="C467" s="92"/>
      <c r="D467" s="91"/>
      <c r="E467" s="93"/>
      <c r="F467" s="94"/>
      <c r="G467" s="91"/>
      <c r="H467" s="93"/>
      <c r="I467" s="95"/>
      <c r="J467" s="95"/>
      <c r="K467" s="95"/>
      <c r="L467" s="94"/>
      <c r="M467" s="96"/>
      <c r="N467" s="95"/>
      <c r="O467" s="95"/>
      <c r="P467" s="95"/>
    </row>
    <row r="468" ht="15.75" customHeight="1">
      <c r="A468" s="90"/>
      <c r="B468" s="91"/>
      <c r="C468" s="92"/>
      <c r="D468" s="91"/>
      <c r="E468" s="93"/>
      <c r="F468" s="94"/>
      <c r="G468" s="91"/>
      <c r="H468" s="93"/>
      <c r="I468" s="95"/>
      <c r="J468" s="95"/>
      <c r="K468" s="95"/>
      <c r="L468" s="94"/>
      <c r="M468" s="96"/>
      <c r="N468" s="95"/>
      <c r="O468" s="95"/>
      <c r="P468" s="95"/>
    </row>
    <row r="469" ht="15.75" customHeight="1">
      <c r="A469" s="90"/>
      <c r="B469" s="91"/>
      <c r="C469" s="92"/>
      <c r="D469" s="91"/>
      <c r="E469" s="93"/>
      <c r="F469" s="94"/>
      <c r="G469" s="91"/>
      <c r="H469" s="93"/>
      <c r="I469" s="95"/>
      <c r="J469" s="95"/>
      <c r="K469" s="95"/>
      <c r="L469" s="94"/>
      <c r="M469" s="96"/>
      <c r="N469" s="95"/>
      <c r="O469" s="95"/>
      <c r="P469" s="95"/>
    </row>
    <row r="470" ht="15.75" customHeight="1">
      <c r="A470" s="90"/>
      <c r="B470" s="91"/>
      <c r="C470" s="92"/>
      <c r="D470" s="91"/>
      <c r="E470" s="93"/>
      <c r="F470" s="94"/>
      <c r="G470" s="91"/>
      <c r="H470" s="93"/>
      <c r="I470" s="95"/>
      <c r="J470" s="95"/>
      <c r="K470" s="95"/>
      <c r="L470" s="94"/>
      <c r="M470" s="96"/>
      <c r="N470" s="95"/>
      <c r="O470" s="95"/>
      <c r="P470" s="95"/>
    </row>
    <row r="471" ht="15.75" customHeight="1">
      <c r="A471" s="90"/>
      <c r="B471" s="91"/>
      <c r="C471" s="92"/>
      <c r="D471" s="91"/>
      <c r="E471" s="93"/>
      <c r="F471" s="94"/>
      <c r="G471" s="91"/>
      <c r="H471" s="93"/>
      <c r="I471" s="95"/>
      <c r="J471" s="95"/>
      <c r="K471" s="95"/>
      <c r="L471" s="94"/>
      <c r="M471" s="96"/>
      <c r="N471" s="95"/>
      <c r="O471" s="95"/>
      <c r="P471" s="95"/>
    </row>
    <row r="472" ht="15.75" customHeight="1">
      <c r="A472" s="90"/>
      <c r="B472" s="91"/>
      <c r="C472" s="92"/>
      <c r="D472" s="91"/>
      <c r="E472" s="93"/>
      <c r="F472" s="94"/>
      <c r="G472" s="91"/>
      <c r="H472" s="93"/>
      <c r="I472" s="95"/>
      <c r="J472" s="95"/>
      <c r="K472" s="95"/>
      <c r="L472" s="94"/>
      <c r="M472" s="96"/>
      <c r="N472" s="95"/>
      <c r="O472" s="95"/>
      <c r="P472" s="95"/>
    </row>
    <row r="473" ht="15.75" customHeight="1">
      <c r="A473" s="90"/>
      <c r="B473" s="91"/>
      <c r="C473" s="92"/>
      <c r="D473" s="91"/>
      <c r="E473" s="93"/>
      <c r="F473" s="94"/>
      <c r="G473" s="91"/>
      <c r="H473" s="93"/>
      <c r="I473" s="95"/>
      <c r="J473" s="95"/>
      <c r="K473" s="95"/>
      <c r="L473" s="94"/>
      <c r="M473" s="96"/>
      <c r="N473" s="95"/>
      <c r="O473" s="95"/>
      <c r="P473" s="95"/>
    </row>
    <row r="474" ht="15.75" customHeight="1">
      <c r="A474" s="90"/>
      <c r="B474" s="91"/>
      <c r="C474" s="92"/>
      <c r="D474" s="91"/>
      <c r="E474" s="93"/>
      <c r="F474" s="94"/>
      <c r="G474" s="91"/>
      <c r="H474" s="93"/>
      <c r="I474" s="95"/>
      <c r="J474" s="95"/>
      <c r="K474" s="95"/>
      <c r="L474" s="94"/>
      <c r="M474" s="96"/>
      <c r="N474" s="95"/>
      <c r="O474" s="95"/>
      <c r="P474" s="95"/>
    </row>
    <row r="475" ht="15.75" customHeight="1">
      <c r="A475" s="90"/>
      <c r="B475" s="91"/>
      <c r="C475" s="92"/>
      <c r="D475" s="91"/>
      <c r="E475" s="93"/>
      <c r="F475" s="94"/>
      <c r="G475" s="91"/>
      <c r="H475" s="93"/>
      <c r="I475" s="95"/>
      <c r="J475" s="95"/>
      <c r="K475" s="95"/>
      <c r="L475" s="94"/>
      <c r="M475" s="96"/>
      <c r="N475" s="95"/>
      <c r="O475" s="95"/>
      <c r="P475" s="95"/>
    </row>
    <row r="476" ht="15.75" customHeight="1">
      <c r="A476" s="90"/>
      <c r="B476" s="91"/>
      <c r="C476" s="92"/>
      <c r="D476" s="91"/>
      <c r="E476" s="93"/>
      <c r="F476" s="94"/>
      <c r="G476" s="91"/>
      <c r="H476" s="93"/>
      <c r="I476" s="95"/>
      <c r="J476" s="95"/>
      <c r="K476" s="95"/>
      <c r="L476" s="94"/>
      <c r="M476" s="96"/>
      <c r="N476" s="95"/>
      <c r="O476" s="95"/>
      <c r="P476" s="95"/>
    </row>
    <row r="477" ht="15.75" customHeight="1">
      <c r="A477" s="90"/>
      <c r="B477" s="91"/>
      <c r="C477" s="92"/>
      <c r="D477" s="91"/>
      <c r="E477" s="93"/>
      <c r="F477" s="94"/>
      <c r="G477" s="91"/>
      <c r="H477" s="93"/>
      <c r="I477" s="95"/>
      <c r="J477" s="95"/>
      <c r="K477" s="95"/>
      <c r="L477" s="94"/>
      <c r="M477" s="96"/>
      <c r="N477" s="95"/>
      <c r="O477" s="95"/>
      <c r="P477" s="95"/>
    </row>
    <row r="478" ht="15.75" customHeight="1">
      <c r="A478" s="90"/>
      <c r="B478" s="91"/>
      <c r="C478" s="92"/>
      <c r="D478" s="91"/>
      <c r="E478" s="93"/>
      <c r="F478" s="94"/>
      <c r="G478" s="91"/>
      <c r="H478" s="93"/>
      <c r="I478" s="95"/>
      <c r="J478" s="95"/>
      <c r="K478" s="95"/>
      <c r="L478" s="94"/>
      <c r="M478" s="96"/>
      <c r="N478" s="95"/>
      <c r="O478" s="95"/>
      <c r="P478" s="95"/>
    </row>
    <row r="479" ht="15.75" customHeight="1">
      <c r="A479" s="90"/>
      <c r="B479" s="91"/>
      <c r="C479" s="92"/>
      <c r="D479" s="91"/>
      <c r="E479" s="93"/>
      <c r="F479" s="94"/>
      <c r="G479" s="91"/>
      <c r="H479" s="93"/>
      <c r="I479" s="95"/>
      <c r="J479" s="95"/>
      <c r="K479" s="95"/>
      <c r="L479" s="94"/>
      <c r="M479" s="96"/>
      <c r="N479" s="95"/>
      <c r="O479" s="95"/>
      <c r="P479" s="95"/>
    </row>
    <row r="480" ht="15.75" customHeight="1">
      <c r="A480" s="90"/>
      <c r="B480" s="91"/>
      <c r="C480" s="92"/>
      <c r="D480" s="91"/>
      <c r="E480" s="93"/>
      <c r="F480" s="94"/>
      <c r="G480" s="91"/>
      <c r="H480" s="93"/>
      <c r="I480" s="95"/>
      <c r="J480" s="95"/>
      <c r="K480" s="95"/>
      <c r="L480" s="94"/>
      <c r="M480" s="96"/>
      <c r="N480" s="95"/>
      <c r="O480" s="95"/>
      <c r="P480" s="95"/>
    </row>
    <row r="481" ht="15.75" customHeight="1">
      <c r="A481" s="90"/>
      <c r="B481" s="91"/>
      <c r="C481" s="92"/>
      <c r="D481" s="91"/>
      <c r="E481" s="93"/>
      <c r="F481" s="94"/>
      <c r="G481" s="91"/>
      <c r="H481" s="93"/>
      <c r="I481" s="95"/>
      <c r="J481" s="95"/>
      <c r="K481" s="95"/>
      <c r="L481" s="94"/>
      <c r="M481" s="96"/>
      <c r="N481" s="95"/>
      <c r="O481" s="95"/>
      <c r="P481" s="95"/>
    </row>
    <row r="482" ht="15.75" customHeight="1">
      <c r="A482" s="90"/>
      <c r="B482" s="91"/>
      <c r="C482" s="92"/>
      <c r="D482" s="91"/>
      <c r="E482" s="93"/>
      <c r="F482" s="94"/>
      <c r="G482" s="91"/>
      <c r="H482" s="93"/>
      <c r="I482" s="95"/>
      <c r="J482" s="95"/>
      <c r="K482" s="95"/>
      <c r="L482" s="94"/>
      <c r="M482" s="96"/>
      <c r="N482" s="95"/>
      <c r="O482" s="95"/>
      <c r="P482" s="95"/>
    </row>
    <row r="483" ht="15.75" customHeight="1">
      <c r="A483" s="90"/>
      <c r="B483" s="91"/>
      <c r="C483" s="92"/>
      <c r="D483" s="91"/>
      <c r="E483" s="93"/>
      <c r="F483" s="94"/>
      <c r="G483" s="91"/>
      <c r="H483" s="93"/>
      <c r="I483" s="95"/>
      <c r="J483" s="95"/>
      <c r="K483" s="95"/>
      <c r="L483" s="94"/>
      <c r="M483" s="96"/>
      <c r="N483" s="95"/>
      <c r="O483" s="95"/>
      <c r="P483" s="95"/>
    </row>
    <row r="484" ht="15.75" customHeight="1">
      <c r="A484" s="90"/>
      <c r="B484" s="91"/>
      <c r="C484" s="92"/>
      <c r="D484" s="91"/>
      <c r="E484" s="93"/>
      <c r="F484" s="94"/>
      <c r="G484" s="91"/>
      <c r="H484" s="93"/>
      <c r="I484" s="95"/>
      <c r="J484" s="95"/>
      <c r="K484" s="95"/>
      <c r="L484" s="94"/>
      <c r="M484" s="96"/>
      <c r="N484" s="95"/>
      <c r="O484" s="95"/>
      <c r="P484" s="95"/>
    </row>
    <row r="485" ht="15.75" customHeight="1">
      <c r="A485" s="90"/>
      <c r="B485" s="91"/>
      <c r="C485" s="92"/>
      <c r="D485" s="91"/>
      <c r="E485" s="93"/>
      <c r="F485" s="94"/>
      <c r="G485" s="91"/>
      <c r="H485" s="93"/>
      <c r="I485" s="95"/>
      <c r="J485" s="95"/>
      <c r="K485" s="95"/>
      <c r="L485" s="94"/>
      <c r="M485" s="96"/>
      <c r="N485" s="95"/>
      <c r="O485" s="95"/>
      <c r="P485" s="95"/>
    </row>
    <row r="486" ht="15.75" customHeight="1">
      <c r="A486" s="90"/>
      <c r="B486" s="91"/>
      <c r="C486" s="92"/>
      <c r="D486" s="91"/>
      <c r="E486" s="93"/>
      <c r="F486" s="94"/>
      <c r="G486" s="91"/>
      <c r="H486" s="93"/>
      <c r="I486" s="95"/>
      <c r="J486" s="95"/>
      <c r="K486" s="95"/>
      <c r="L486" s="94"/>
      <c r="M486" s="96"/>
      <c r="N486" s="95"/>
      <c r="O486" s="95"/>
      <c r="P486" s="95"/>
    </row>
    <row r="487" ht="15.75" customHeight="1">
      <c r="A487" s="90"/>
      <c r="B487" s="91"/>
      <c r="C487" s="92"/>
      <c r="D487" s="91"/>
      <c r="E487" s="93"/>
      <c r="F487" s="94"/>
      <c r="G487" s="91"/>
      <c r="H487" s="93"/>
      <c r="I487" s="95"/>
      <c r="J487" s="95"/>
      <c r="K487" s="95"/>
      <c r="L487" s="94"/>
      <c r="M487" s="96"/>
      <c r="N487" s="95"/>
      <c r="O487" s="95"/>
      <c r="P487" s="95"/>
    </row>
    <row r="488" ht="15.75" customHeight="1">
      <c r="A488" s="90"/>
      <c r="B488" s="91"/>
      <c r="C488" s="92"/>
      <c r="D488" s="91"/>
      <c r="E488" s="93"/>
      <c r="F488" s="94"/>
      <c r="G488" s="91"/>
      <c r="H488" s="93"/>
      <c r="I488" s="95"/>
      <c r="J488" s="95"/>
      <c r="K488" s="95"/>
      <c r="L488" s="94"/>
      <c r="M488" s="96"/>
      <c r="N488" s="95"/>
      <c r="O488" s="95"/>
      <c r="P488" s="95"/>
    </row>
    <row r="489" ht="15.75" customHeight="1">
      <c r="A489" s="90"/>
      <c r="B489" s="91"/>
      <c r="C489" s="92"/>
      <c r="D489" s="91"/>
      <c r="E489" s="93"/>
      <c r="F489" s="94"/>
      <c r="G489" s="91"/>
      <c r="H489" s="93"/>
      <c r="I489" s="95"/>
      <c r="J489" s="95"/>
      <c r="K489" s="95"/>
      <c r="L489" s="94"/>
      <c r="M489" s="96"/>
      <c r="N489" s="95"/>
      <c r="O489" s="95"/>
      <c r="P489" s="95"/>
    </row>
    <row r="490" ht="15.75" customHeight="1">
      <c r="A490" s="90"/>
      <c r="B490" s="91"/>
      <c r="C490" s="92"/>
      <c r="D490" s="91"/>
      <c r="E490" s="93"/>
      <c r="F490" s="94"/>
      <c r="G490" s="91"/>
      <c r="H490" s="93"/>
      <c r="I490" s="95"/>
      <c r="J490" s="95"/>
      <c r="K490" s="95"/>
      <c r="L490" s="94"/>
      <c r="M490" s="96"/>
      <c r="N490" s="95"/>
      <c r="O490" s="95"/>
      <c r="P490" s="95"/>
    </row>
    <row r="491" ht="15.75" customHeight="1">
      <c r="A491" s="90"/>
      <c r="B491" s="91"/>
      <c r="C491" s="92"/>
      <c r="D491" s="91"/>
      <c r="E491" s="93"/>
      <c r="F491" s="94"/>
      <c r="G491" s="91"/>
      <c r="H491" s="93"/>
      <c r="I491" s="95"/>
      <c r="J491" s="95"/>
      <c r="K491" s="95"/>
      <c r="L491" s="94"/>
      <c r="M491" s="96"/>
      <c r="N491" s="95"/>
      <c r="O491" s="95"/>
      <c r="P491" s="95"/>
    </row>
    <row r="492" ht="15.75" customHeight="1">
      <c r="A492" s="90"/>
      <c r="B492" s="91"/>
      <c r="C492" s="92"/>
      <c r="D492" s="91"/>
      <c r="E492" s="93"/>
      <c r="F492" s="94"/>
      <c r="G492" s="91"/>
      <c r="H492" s="93"/>
      <c r="I492" s="95"/>
      <c r="J492" s="95"/>
      <c r="K492" s="95"/>
      <c r="L492" s="94"/>
      <c r="M492" s="96"/>
      <c r="N492" s="95"/>
      <c r="O492" s="95"/>
      <c r="P492" s="95"/>
    </row>
    <row r="493" ht="15.75" customHeight="1">
      <c r="A493" s="90"/>
      <c r="B493" s="91"/>
      <c r="C493" s="92"/>
      <c r="D493" s="91"/>
      <c r="E493" s="93"/>
      <c r="F493" s="94"/>
      <c r="G493" s="91"/>
      <c r="H493" s="93"/>
      <c r="I493" s="95"/>
      <c r="J493" s="95"/>
      <c r="K493" s="95"/>
      <c r="L493" s="94"/>
      <c r="M493" s="96"/>
      <c r="N493" s="95"/>
      <c r="O493" s="95"/>
      <c r="P493" s="95"/>
    </row>
    <row r="494" ht="15.75" customHeight="1">
      <c r="A494" s="90"/>
      <c r="B494" s="91"/>
      <c r="C494" s="92"/>
      <c r="D494" s="91"/>
      <c r="E494" s="93"/>
      <c r="F494" s="94"/>
      <c r="G494" s="91"/>
      <c r="H494" s="93"/>
      <c r="I494" s="95"/>
      <c r="J494" s="95"/>
      <c r="K494" s="95"/>
      <c r="L494" s="94"/>
      <c r="M494" s="96"/>
      <c r="N494" s="95"/>
      <c r="O494" s="95"/>
      <c r="P494" s="95"/>
    </row>
    <row r="495" ht="15.75" customHeight="1">
      <c r="A495" s="90"/>
      <c r="B495" s="91"/>
      <c r="C495" s="92"/>
      <c r="D495" s="91"/>
      <c r="E495" s="93"/>
      <c r="F495" s="94"/>
      <c r="G495" s="91"/>
      <c r="H495" s="93"/>
      <c r="I495" s="95"/>
      <c r="J495" s="95"/>
      <c r="K495" s="95"/>
      <c r="L495" s="94"/>
      <c r="M495" s="96"/>
      <c r="N495" s="95"/>
      <c r="O495" s="95"/>
      <c r="P495" s="95"/>
    </row>
    <row r="496" ht="15.75" customHeight="1">
      <c r="A496" s="90"/>
      <c r="B496" s="91"/>
      <c r="C496" s="92"/>
      <c r="D496" s="91"/>
      <c r="E496" s="93"/>
      <c r="F496" s="94"/>
      <c r="G496" s="91"/>
      <c r="H496" s="93"/>
      <c r="I496" s="95"/>
      <c r="J496" s="95"/>
      <c r="K496" s="95"/>
      <c r="L496" s="94"/>
      <c r="M496" s="96"/>
      <c r="N496" s="95"/>
      <c r="O496" s="95"/>
      <c r="P496" s="95"/>
    </row>
    <row r="497" ht="15.75" customHeight="1">
      <c r="A497" s="90"/>
      <c r="B497" s="91"/>
      <c r="C497" s="92"/>
      <c r="D497" s="91"/>
      <c r="E497" s="93"/>
      <c r="F497" s="94"/>
      <c r="G497" s="91"/>
      <c r="H497" s="93"/>
      <c r="I497" s="95"/>
      <c r="J497" s="95"/>
      <c r="K497" s="95"/>
      <c r="L497" s="94"/>
      <c r="M497" s="96"/>
      <c r="N497" s="95"/>
      <c r="O497" s="95"/>
      <c r="P497" s="95"/>
    </row>
    <row r="498" ht="15.75" customHeight="1">
      <c r="A498" s="90"/>
      <c r="B498" s="91"/>
      <c r="C498" s="92"/>
      <c r="D498" s="91"/>
      <c r="E498" s="93"/>
      <c r="F498" s="94"/>
      <c r="G498" s="91"/>
      <c r="H498" s="93"/>
      <c r="I498" s="95"/>
      <c r="J498" s="95"/>
      <c r="K498" s="95"/>
      <c r="L498" s="94"/>
      <c r="M498" s="96"/>
      <c r="N498" s="95"/>
      <c r="O498" s="95"/>
      <c r="P498" s="95"/>
    </row>
    <row r="499" ht="15.75" customHeight="1">
      <c r="A499" s="90"/>
      <c r="B499" s="91"/>
      <c r="C499" s="92"/>
      <c r="D499" s="91"/>
      <c r="E499" s="93"/>
      <c r="F499" s="94"/>
      <c r="G499" s="91"/>
      <c r="H499" s="93"/>
      <c r="I499" s="95"/>
      <c r="J499" s="95"/>
      <c r="K499" s="95"/>
      <c r="L499" s="94"/>
      <c r="M499" s="96"/>
      <c r="N499" s="95"/>
      <c r="O499" s="95"/>
      <c r="P499" s="95"/>
    </row>
    <row r="500" ht="15.75" customHeight="1">
      <c r="A500" s="90"/>
      <c r="B500" s="91"/>
      <c r="C500" s="92"/>
      <c r="D500" s="91"/>
      <c r="E500" s="93"/>
      <c r="F500" s="94"/>
      <c r="G500" s="91"/>
      <c r="H500" s="93"/>
      <c r="I500" s="95"/>
      <c r="J500" s="95"/>
      <c r="K500" s="95"/>
      <c r="L500" s="94"/>
      <c r="M500" s="96"/>
      <c r="N500" s="95"/>
      <c r="O500" s="95"/>
      <c r="P500" s="95"/>
    </row>
    <row r="501" ht="15.75" customHeight="1">
      <c r="A501" s="90"/>
      <c r="B501" s="91"/>
      <c r="C501" s="92"/>
      <c r="D501" s="91"/>
      <c r="E501" s="93"/>
      <c r="F501" s="94"/>
      <c r="G501" s="91"/>
      <c r="H501" s="93"/>
      <c r="I501" s="95"/>
      <c r="J501" s="95"/>
      <c r="K501" s="95"/>
      <c r="L501" s="94"/>
      <c r="M501" s="96"/>
      <c r="N501" s="95"/>
      <c r="O501" s="95"/>
      <c r="P501" s="95"/>
    </row>
    <row r="502" ht="15.75" customHeight="1">
      <c r="A502" s="90"/>
      <c r="B502" s="91"/>
      <c r="C502" s="92"/>
      <c r="D502" s="91"/>
      <c r="E502" s="93"/>
      <c r="F502" s="94"/>
      <c r="G502" s="91"/>
      <c r="H502" s="93"/>
      <c r="I502" s="95"/>
      <c r="J502" s="95"/>
      <c r="K502" s="95"/>
      <c r="L502" s="94"/>
      <c r="M502" s="96"/>
      <c r="N502" s="95"/>
      <c r="O502" s="95"/>
      <c r="P502" s="95"/>
    </row>
    <row r="503" ht="15.75" customHeight="1">
      <c r="A503" s="90"/>
      <c r="B503" s="91"/>
      <c r="C503" s="92"/>
      <c r="D503" s="91"/>
      <c r="E503" s="93"/>
      <c r="F503" s="94"/>
      <c r="G503" s="91"/>
      <c r="H503" s="93"/>
      <c r="I503" s="95"/>
      <c r="J503" s="95"/>
      <c r="K503" s="95"/>
      <c r="L503" s="94"/>
      <c r="M503" s="96"/>
      <c r="N503" s="95"/>
      <c r="O503" s="95"/>
      <c r="P503" s="95"/>
    </row>
    <row r="504" ht="15.75" customHeight="1">
      <c r="A504" s="90"/>
      <c r="B504" s="91"/>
      <c r="C504" s="92"/>
      <c r="D504" s="91"/>
      <c r="E504" s="93"/>
      <c r="F504" s="94"/>
      <c r="G504" s="91"/>
      <c r="H504" s="93"/>
      <c r="I504" s="95"/>
      <c r="J504" s="95"/>
      <c r="K504" s="95"/>
      <c r="L504" s="94"/>
      <c r="M504" s="96"/>
      <c r="N504" s="95"/>
      <c r="O504" s="95"/>
      <c r="P504" s="95"/>
    </row>
    <row r="505" ht="15.75" customHeight="1">
      <c r="A505" s="90"/>
      <c r="B505" s="91"/>
      <c r="C505" s="92"/>
      <c r="D505" s="91"/>
      <c r="E505" s="93"/>
      <c r="F505" s="94"/>
      <c r="G505" s="91"/>
      <c r="H505" s="93"/>
      <c r="I505" s="95"/>
      <c r="J505" s="95"/>
      <c r="K505" s="95"/>
      <c r="L505" s="94"/>
      <c r="M505" s="96"/>
      <c r="N505" s="95"/>
      <c r="O505" s="95"/>
      <c r="P505" s="95"/>
    </row>
    <row r="506" ht="15.75" customHeight="1">
      <c r="A506" s="90"/>
      <c r="B506" s="91"/>
      <c r="C506" s="92"/>
      <c r="D506" s="91"/>
      <c r="E506" s="93"/>
      <c r="F506" s="94"/>
      <c r="G506" s="91"/>
      <c r="H506" s="93"/>
      <c r="I506" s="95"/>
      <c r="J506" s="95"/>
      <c r="K506" s="95"/>
      <c r="L506" s="94"/>
      <c r="M506" s="96"/>
      <c r="N506" s="95"/>
      <c r="O506" s="95"/>
      <c r="P506" s="95"/>
    </row>
    <row r="507" ht="15.75" customHeight="1">
      <c r="A507" s="90"/>
      <c r="B507" s="91"/>
      <c r="C507" s="92"/>
      <c r="D507" s="91"/>
      <c r="E507" s="93"/>
      <c r="F507" s="94"/>
      <c r="G507" s="91"/>
      <c r="H507" s="93"/>
      <c r="I507" s="95"/>
      <c r="J507" s="95"/>
      <c r="K507" s="95"/>
      <c r="L507" s="94"/>
      <c r="M507" s="96"/>
      <c r="N507" s="95"/>
      <c r="O507" s="95"/>
      <c r="P507" s="95"/>
    </row>
    <row r="508" ht="15.75" customHeight="1">
      <c r="A508" s="90"/>
      <c r="B508" s="91"/>
      <c r="C508" s="92"/>
      <c r="D508" s="91"/>
      <c r="E508" s="93"/>
      <c r="F508" s="94"/>
      <c r="G508" s="91"/>
      <c r="H508" s="93"/>
      <c r="I508" s="95"/>
      <c r="J508" s="95"/>
      <c r="K508" s="95"/>
      <c r="L508" s="94"/>
      <c r="M508" s="96"/>
      <c r="N508" s="95"/>
      <c r="O508" s="95"/>
      <c r="P508" s="95"/>
    </row>
    <row r="509" ht="15.75" customHeight="1">
      <c r="A509" s="90"/>
      <c r="B509" s="91"/>
      <c r="C509" s="92"/>
      <c r="D509" s="91"/>
      <c r="E509" s="93"/>
      <c r="F509" s="94"/>
      <c r="G509" s="91"/>
      <c r="H509" s="93"/>
      <c r="I509" s="95"/>
      <c r="J509" s="95"/>
      <c r="K509" s="95"/>
      <c r="L509" s="94"/>
      <c r="M509" s="96"/>
      <c r="N509" s="95"/>
      <c r="O509" s="95"/>
      <c r="P509" s="95"/>
    </row>
    <row r="510" ht="15.75" customHeight="1">
      <c r="A510" s="90"/>
      <c r="B510" s="91"/>
      <c r="C510" s="92"/>
      <c r="D510" s="91"/>
      <c r="E510" s="93"/>
      <c r="F510" s="94"/>
      <c r="G510" s="91"/>
      <c r="H510" s="93"/>
      <c r="I510" s="95"/>
      <c r="J510" s="95"/>
      <c r="K510" s="95"/>
      <c r="L510" s="94"/>
      <c r="M510" s="96"/>
      <c r="N510" s="95"/>
      <c r="O510" s="95"/>
      <c r="P510" s="95"/>
    </row>
    <row r="511" ht="15.75" customHeight="1">
      <c r="A511" s="90"/>
      <c r="B511" s="91"/>
      <c r="C511" s="92"/>
      <c r="D511" s="91"/>
      <c r="E511" s="93"/>
      <c r="F511" s="94"/>
      <c r="G511" s="91"/>
      <c r="H511" s="93"/>
      <c r="I511" s="95"/>
      <c r="J511" s="95"/>
      <c r="K511" s="95"/>
      <c r="L511" s="94"/>
      <c r="M511" s="96"/>
      <c r="N511" s="95"/>
      <c r="O511" s="95"/>
      <c r="P511" s="95"/>
    </row>
    <row r="512" ht="15.75" customHeight="1">
      <c r="A512" s="90"/>
      <c r="B512" s="91"/>
      <c r="C512" s="92"/>
      <c r="D512" s="91"/>
      <c r="E512" s="93"/>
      <c r="F512" s="94"/>
      <c r="G512" s="91"/>
      <c r="H512" s="93"/>
      <c r="I512" s="95"/>
      <c r="J512" s="95"/>
      <c r="K512" s="95"/>
      <c r="L512" s="94"/>
      <c r="M512" s="96"/>
      <c r="N512" s="95"/>
      <c r="O512" s="95"/>
      <c r="P512" s="95"/>
    </row>
    <row r="513" ht="15.75" customHeight="1">
      <c r="A513" s="90"/>
      <c r="B513" s="91"/>
      <c r="C513" s="92"/>
      <c r="D513" s="91"/>
      <c r="E513" s="93"/>
      <c r="F513" s="94"/>
      <c r="G513" s="91"/>
      <c r="H513" s="93"/>
      <c r="I513" s="95"/>
      <c r="J513" s="95"/>
      <c r="K513" s="95"/>
      <c r="L513" s="94"/>
      <c r="M513" s="96"/>
      <c r="N513" s="95"/>
      <c r="O513" s="95"/>
      <c r="P513" s="95"/>
    </row>
    <row r="514" ht="15.75" customHeight="1">
      <c r="A514" s="90"/>
      <c r="B514" s="91"/>
      <c r="C514" s="92"/>
      <c r="D514" s="91"/>
      <c r="E514" s="93"/>
      <c r="F514" s="94"/>
      <c r="G514" s="91"/>
      <c r="H514" s="93"/>
      <c r="I514" s="95"/>
      <c r="J514" s="95"/>
      <c r="K514" s="95"/>
      <c r="L514" s="94"/>
      <c r="M514" s="96"/>
      <c r="N514" s="95"/>
      <c r="O514" s="95"/>
      <c r="P514" s="95"/>
    </row>
    <row r="515" ht="15.75" customHeight="1">
      <c r="A515" s="90"/>
      <c r="B515" s="91"/>
      <c r="C515" s="92"/>
      <c r="D515" s="91"/>
      <c r="E515" s="93"/>
      <c r="F515" s="94"/>
      <c r="G515" s="91"/>
      <c r="H515" s="93"/>
      <c r="I515" s="95"/>
      <c r="J515" s="95"/>
      <c r="K515" s="95"/>
      <c r="L515" s="94"/>
      <c r="M515" s="96"/>
      <c r="N515" s="95"/>
      <c r="O515" s="95"/>
      <c r="P515" s="95"/>
    </row>
    <row r="516" ht="15.75" customHeight="1">
      <c r="A516" s="90"/>
      <c r="B516" s="91"/>
      <c r="C516" s="92"/>
      <c r="D516" s="91"/>
      <c r="E516" s="93"/>
      <c r="F516" s="94"/>
      <c r="G516" s="91"/>
      <c r="H516" s="93"/>
      <c r="I516" s="95"/>
      <c r="J516" s="95"/>
      <c r="K516" s="95"/>
      <c r="L516" s="94"/>
      <c r="M516" s="96"/>
      <c r="N516" s="95"/>
      <c r="O516" s="95"/>
      <c r="P516" s="95"/>
    </row>
    <row r="517" ht="15.75" customHeight="1">
      <c r="A517" s="90"/>
      <c r="B517" s="91"/>
      <c r="C517" s="92"/>
      <c r="D517" s="91"/>
      <c r="E517" s="93"/>
      <c r="F517" s="94"/>
      <c r="G517" s="91"/>
      <c r="H517" s="93"/>
      <c r="I517" s="95"/>
      <c r="J517" s="95"/>
      <c r="K517" s="95"/>
      <c r="L517" s="94"/>
      <c r="M517" s="96"/>
      <c r="N517" s="95"/>
      <c r="O517" s="95"/>
      <c r="P517" s="95"/>
    </row>
    <row r="518" ht="15.75" customHeight="1">
      <c r="A518" s="90"/>
      <c r="B518" s="91"/>
      <c r="C518" s="92"/>
      <c r="D518" s="91"/>
      <c r="E518" s="93"/>
      <c r="F518" s="94"/>
      <c r="G518" s="91"/>
      <c r="H518" s="93"/>
      <c r="I518" s="95"/>
      <c r="J518" s="95"/>
      <c r="K518" s="95"/>
      <c r="L518" s="94"/>
      <c r="M518" s="96"/>
      <c r="N518" s="95"/>
      <c r="O518" s="95"/>
      <c r="P518" s="95"/>
    </row>
    <row r="519" ht="15.75" customHeight="1">
      <c r="A519" s="90"/>
      <c r="B519" s="91"/>
      <c r="C519" s="92"/>
      <c r="D519" s="91"/>
      <c r="E519" s="93"/>
      <c r="F519" s="94"/>
      <c r="G519" s="91"/>
      <c r="H519" s="93"/>
      <c r="I519" s="95"/>
      <c r="J519" s="95"/>
      <c r="K519" s="95"/>
      <c r="L519" s="94"/>
      <c r="M519" s="96"/>
      <c r="N519" s="95"/>
      <c r="O519" s="95"/>
      <c r="P519" s="95"/>
    </row>
    <row r="520" ht="15.75" customHeight="1">
      <c r="A520" s="90"/>
      <c r="B520" s="91"/>
      <c r="C520" s="92"/>
      <c r="D520" s="91"/>
      <c r="E520" s="93"/>
      <c r="F520" s="94"/>
      <c r="G520" s="91"/>
      <c r="H520" s="93"/>
      <c r="I520" s="95"/>
      <c r="J520" s="95"/>
      <c r="K520" s="95"/>
      <c r="L520" s="94"/>
      <c r="M520" s="96"/>
      <c r="N520" s="95"/>
      <c r="O520" s="95"/>
      <c r="P520" s="95"/>
    </row>
    <row r="521" ht="15.75" customHeight="1">
      <c r="A521" s="90"/>
      <c r="B521" s="91"/>
      <c r="C521" s="92"/>
      <c r="D521" s="91"/>
      <c r="E521" s="93"/>
      <c r="F521" s="94"/>
      <c r="G521" s="91"/>
      <c r="H521" s="93"/>
      <c r="I521" s="95"/>
      <c r="J521" s="95"/>
      <c r="K521" s="95"/>
      <c r="L521" s="94"/>
      <c r="M521" s="96"/>
      <c r="N521" s="95"/>
      <c r="O521" s="95"/>
      <c r="P521" s="95"/>
    </row>
    <row r="522" ht="15.75" customHeight="1">
      <c r="A522" s="90"/>
      <c r="B522" s="91"/>
      <c r="C522" s="92"/>
      <c r="D522" s="91"/>
      <c r="E522" s="93"/>
      <c r="F522" s="94"/>
      <c r="G522" s="91"/>
      <c r="H522" s="93"/>
      <c r="I522" s="95"/>
      <c r="J522" s="95"/>
      <c r="K522" s="95"/>
      <c r="L522" s="94"/>
      <c r="M522" s="96"/>
      <c r="N522" s="95"/>
      <c r="O522" s="95"/>
      <c r="P522" s="95"/>
    </row>
    <row r="523" ht="15.75" customHeight="1">
      <c r="A523" s="90"/>
      <c r="B523" s="91"/>
      <c r="C523" s="92"/>
      <c r="D523" s="91"/>
      <c r="E523" s="93"/>
      <c r="F523" s="94"/>
      <c r="G523" s="91"/>
      <c r="H523" s="93"/>
      <c r="I523" s="95"/>
      <c r="J523" s="95"/>
      <c r="K523" s="95"/>
      <c r="L523" s="94"/>
      <c r="M523" s="96"/>
      <c r="N523" s="95"/>
      <c r="O523" s="95"/>
      <c r="P523" s="95"/>
    </row>
    <row r="524" ht="15.75" customHeight="1">
      <c r="A524" s="90"/>
      <c r="B524" s="91"/>
      <c r="C524" s="92"/>
      <c r="D524" s="91"/>
      <c r="E524" s="93"/>
      <c r="F524" s="94"/>
      <c r="G524" s="91"/>
      <c r="H524" s="93"/>
      <c r="I524" s="95"/>
      <c r="J524" s="95"/>
      <c r="K524" s="95"/>
      <c r="L524" s="94"/>
      <c r="M524" s="96"/>
      <c r="N524" s="95"/>
      <c r="O524" s="95"/>
      <c r="P524" s="95"/>
    </row>
    <row r="525" ht="15.75" customHeight="1">
      <c r="A525" s="90"/>
      <c r="B525" s="91"/>
      <c r="C525" s="92"/>
      <c r="D525" s="91"/>
      <c r="E525" s="93"/>
      <c r="F525" s="94"/>
      <c r="G525" s="91"/>
      <c r="H525" s="93"/>
      <c r="I525" s="95"/>
      <c r="J525" s="95"/>
      <c r="K525" s="95"/>
      <c r="L525" s="94"/>
      <c r="M525" s="96"/>
      <c r="N525" s="95"/>
      <c r="O525" s="95"/>
      <c r="P525" s="95"/>
    </row>
    <row r="526" ht="15.75" customHeight="1">
      <c r="A526" s="90"/>
      <c r="B526" s="91"/>
      <c r="C526" s="92"/>
      <c r="D526" s="91"/>
      <c r="E526" s="93"/>
      <c r="F526" s="94"/>
      <c r="G526" s="91"/>
      <c r="H526" s="93"/>
      <c r="I526" s="95"/>
      <c r="J526" s="95"/>
      <c r="K526" s="95"/>
      <c r="L526" s="94"/>
      <c r="M526" s="96"/>
      <c r="N526" s="95"/>
      <c r="O526" s="95"/>
      <c r="P526" s="95"/>
    </row>
    <row r="527" ht="15.75" customHeight="1">
      <c r="A527" s="90"/>
      <c r="B527" s="91"/>
      <c r="C527" s="92"/>
      <c r="D527" s="91"/>
      <c r="E527" s="93"/>
      <c r="F527" s="94"/>
      <c r="G527" s="91"/>
      <c r="H527" s="93"/>
      <c r="I527" s="95"/>
      <c r="J527" s="95"/>
      <c r="K527" s="95"/>
      <c r="L527" s="94"/>
      <c r="M527" s="96"/>
      <c r="N527" s="95"/>
      <c r="O527" s="95"/>
      <c r="P527" s="95"/>
    </row>
    <row r="528" ht="15.75" customHeight="1">
      <c r="A528" s="90"/>
      <c r="B528" s="91"/>
      <c r="C528" s="92"/>
      <c r="D528" s="91"/>
      <c r="E528" s="93"/>
      <c r="F528" s="94"/>
      <c r="G528" s="91"/>
      <c r="H528" s="93"/>
      <c r="I528" s="95"/>
      <c r="J528" s="95"/>
      <c r="K528" s="95"/>
      <c r="L528" s="94"/>
      <c r="M528" s="96"/>
      <c r="N528" s="95"/>
      <c r="O528" s="95"/>
      <c r="P528" s="95"/>
    </row>
    <row r="529" ht="15.75" customHeight="1">
      <c r="A529" s="90"/>
      <c r="B529" s="91"/>
      <c r="C529" s="92"/>
      <c r="D529" s="91"/>
      <c r="E529" s="93"/>
      <c r="F529" s="94"/>
      <c r="G529" s="91"/>
      <c r="H529" s="93"/>
      <c r="I529" s="95"/>
      <c r="J529" s="95"/>
      <c r="K529" s="95"/>
      <c r="L529" s="94"/>
      <c r="M529" s="96"/>
      <c r="N529" s="95"/>
      <c r="O529" s="95"/>
      <c r="P529" s="95"/>
    </row>
    <row r="530" ht="15.75" customHeight="1">
      <c r="A530" s="90"/>
      <c r="B530" s="91"/>
      <c r="C530" s="92"/>
      <c r="D530" s="91"/>
      <c r="E530" s="93"/>
      <c r="F530" s="94"/>
      <c r="G530" s="91"/>
      <c r="H530" s="93"/>
      <c r="I530" s="95"/>
      <c r="J530" s="95"/>
      <c r="K530" s="95"/>
      <c r="L530" s="94"/>
      <c r="M530" s="96"/>
      <c r="N530" s="95"/>
      <c r="O530" s="95"/>
      <c r="P530" s="95"/>
    </row>
    <row r="531" ht="15.75" customHeight="1">
      <c r="A531" s="90"/>
      <c r="B531" s="91"/>
      <c r="C531" s="92"/>
      <c r="D531" s="91"/>
      <c r="E531" s="93"/>
      <c r="F531" s="94"/>
      <c r="G531" s="91"/>
      <c r="H531" s="93"/>
      <c r="I531" s="95"/>
      <c r="J531" s="95"/>
      <c r="K531" s="95"/>
      <c r="L531" s="94"/>
      <c r="M531" s="96"/>
      <c r="N531" s="95"/>
      <c r="O531" s="95"/>
      <c r="P531" s="95"/>
    </row>
    <row r="532" ht="15.75" customHeight="1">
      <c r="A532" s="90"/>
      <c r="B532" s="91"/>
      <c r="C532" s="92"/>
      <c r="D532" s="91"/>
      <c r="E532" s="93"/>
      <c r="F532" s="94"/>
      <c r="G532" s="91"/>
      <c r="H532" s="93"/>
      <c r="I532" s="95"/>
      <c r="J532" s="95"/>
      <c r="K532" s="95"/>
      <c r="L532" s="94"/>
      <c r="M532" s="96"/>
      <c r="N532" s="95"/>
      <c r="O532" s="95"/>
      <c r="P532" s="95"/>
    </row>
    <row r="533" ht="15.75" customHeight="1">
      <c r="A533" s="90"/>
      <c r="B533" s="91"/>
      <c r="C533" s="92"/>
      <c r="D533" s="91"/>
      <c r="E533" s="93"/>
      <c r="F533" s="94"/>
      <c r="G533" s="91"/>
      <c r="H533" s="93"/>
      <c r="I533" s="95"/>
      <c r="J533" s="95"/>
      <c r="K533" s="95"/>
      <c r="L533" s="94"/>
      <c r="M533" s="96"/>
      <c r="N533" s="95"/>
      <c r="O533" s="95"/>
      <c r="P533" s="95"/>
    </row>
    <row r="534" ht="15.75" customHeight="1">
      <c r="A534" s="90"/>
      <c r="B534" s="91"/>
      <c r="C534" s="92"/>
      <c r="D534" s="91"/>
      <c r="E534" s="93"/>
      <c r="F534" s="94"/>
      <c r="G534" s="91"/>
      <c r="H534" s="93"/>
      <c r="I534" s="95"/>
      <c r="J534" s="95"/>
      <c r="K534" s="95"/>
      <c r="L534" s="94"/>
      <c r="M534" s="96"/>
      <c r="N534" s="95"/>
      <c r="O534" s="95"/>
      <c r="P534" s="95"/>
    </row>
    <row r="535" ht="15.75" customHeight="1">
      <c r="A535" s="90"/>
      <c r="B535" s="91"/>
      <c r="C535" s="92"/>
      <c r="D535" s="91"/>
      <c r="E535" s="93"/>
      <c r="F535" s="94"/>
      <c r="G535" s="91"/>
      <c r="H535" s="93"/>
      <c r="I535" s="95"/>
      <c r="J535" s="95"/>
      <c r="K535" s="95"/>
      <c r="L535" s="94"/>
      <c r="M535" s="96"/>
      <c r="N535" s="95"/>
      <c r="O535" s="95"/>
      <c r="P535" s="95"/>
    </row>
    <row r="536" ht="15.75" customHeight="1">
      <c r="A536" s="90"/>
      <c r="B536" s="91"/>
      <c r="C536" s="92"/>
      <c r="D536" s="91"/>
      <c r="E536" s="93"/>
      <c r="F536" s="94"/>
      <c r="G536" s="91"/>
      <c r="H536" s="93"/>
      <c r="I536" s="95"/>
      <c r="J536" s="95"/>
      <c r="K536" s="95"/>
      <c r="L536" s="94"/>
      <c r="M536" s="96"/>
      <c r="N536" s="95"/>
      <c r="O536" s="95"/>
      <c r="P536" s="95"/>
    </row>
    <row r="537" ht="15.75" customHeight="1">
      <c r="A537" s="90"/>
      <c r="B537" s="91"/>
      <c r="C537" s="92"/>
      <c r="D537" s="91"/>
      <c r="E537" s="93"/>
      <c r="F537" s="94"/>
      <c r="G537" s="91"/>
      <c r="H537" s="93"/>
      <c r="I537" s="95"/>
      <c r="J537" s="95"/>
      <c r="K537" s="95"/>
      <c r="L537" s="94"/>
      <c r="M537" s="96"/>
      <c r="N537" s="95"/>
      <c r="O537" s="95"/>
      <c r="P537" s="95"/>
    </row>
    <row r="538" ht="15.75" customHeight="1">
      <c r="A538" s="90"/>
      <c r="B538" s="91"/>
      <c r="C538" s="92"/>
      <c r="D538" s="91"/>
      <c r="E538" s="93"/>
      <c r="F538" s="94"/>
      <c r="G538" s="91"/>
      <c r="H538" s="93"/>
      <c r="I538" s="95"/>
      <c r="J538" s="95"/>
      <c r="K538" s="95"/>
      <c r="L538" s="94"/>
      <c r="M538" s="96"/>
      <c r="N538" s="95"/>
      <c r="O538" s="95"/>
      <c r="P538" s="95"/>
    </row>
    <row r="539" ht="15.75" customHeight="1">
      <c r="A539" s="90"/>
      <c r="B539" s="91"/>
      <c r="C539" s="92"/>
      <c r="D539" s="91"/>
      <c r="E539" s="93"/>
      <c r="F539" s="94"/>
      <c r="G539" s="91"/>
      <c r="H539" s="93"/>
      <c r="I539" s="95"/>
      <c r="J539" s="95"/>
      <c r="K539" s="95"/>
      <c r="L539" s="94"/>
      <c r="M539" s="96"/>
      <c r="N539" s="95"/>
      <c r="O539" s="95"/>
      <c r="P539" s="95"/>
    </row>
    <row r="540" ht="15.75" customHeight="1">
      <c r="A540" s="90"/>
      <c r="B540" s="91"/>
      <c r="C540" s="92"/>
      <c r="D540" s="91"/>
      <c r="E540" s="93"/>
      <c r="F540" s="94"/>
      <c r="G540" s="91"/>
      <c r="H540" s="93"/>
      <c r="I540" s="95"/>
      <c r="J540" s="95"/>
      <c r="K540" s="95"/>
      <c r="L540" s="94"/>
      <c r="M540" s="96"/>
      <c r="N540" s="95"/>
      <c r="O540" s="95"/>
      <c r="P540" s="95"/>
    </row>
    <row r="541" ht="15.75" customHeight="1">
      <c r="A541" s="90"/>
      <c r="B541" s="91"/>
      <c r="C541" s="92"/>
      <c r="D541" s="91"/>
      <c r="E541" s="93"/>
      <c r="F541" s="94"/>
      <c r="G541" s="91"/>
      <c r="H541" s="93"/>
      <c r="I541" s="95"/>
      <c r="J541" s="95"/>
      <c r="K541" s="95"/>
      <c r="L541" s="94"/>
      <c r="M541" s="96"/>
      <c r="N541" s="95"/>
      <c r="O541" s="95"/>
      <c r="P541" s="95"/>
    </row>
    <row r="542" ht="15.75" customHeight="1">
      <c r="A542" s="90"/>
      <c r="B542" s="91"/>
      <c r="C542" s="92"/>
      <c r="D542" s="91"/>
      <c r="E542" s="93"/>
      <c r="F542" s="94"/>
      <c r="G542" s="91"/>
      <c r="H542" s="93"/>
      <c r="I542" s="95"/>
      <c r="J542" s="95"/>
      <c r="K542" s="95"/>
      <c r="L542" s="94"/>
      <c r="M542" s="96"/>
      <c r="N542" s="95"/>
      <c r="O542" s="95"/>
      <c r="P542" s="95"/>
    </row>
    <row r="543" ht="15.75" customHeight="1">
      <c r="A543" s="90"/>
      <c r="B543" s="91"/>
      <c r="C543" s="92"/>
      <c r="D543" s="91"/>
      <c r="E543" s="93"/>
      <c r="F543" s="94"/>
      <c r="G543" s="91"/>
      <c r="H543" s="93"/>
      <c r="I543" s="95"/>
      <c r="J543" s="95"/>
      <c r="K543" s="95"/>
      <c r="L543" s="94"/>
      <c r="M543" s="96"/>
      <c r="N543" s="95"/>
      <c r="O543" s="95"/>
      <c r="P543" s="95"/>
    </row>
    <row r="544" ht="15.75" customHeight="1">
      <c r="A544" s="90"/>
      <c r="B544" s="91"/>
      <c r="C544" s="92"/>
      <c r="D544" s="91"/>
      <c r="E544" s="93"/>
      <c r="F544" s="94"/>
      <c r="G544" s="91"/>
      <c r="H544" s="93"/>
      <c r="I544" s="95"/>
      <c r="J544" s="95"/>
      <c r="K544" s="95"/>
      <c r="L544" s="94"/>
      <c r="M544" s="96"/>
      <c r="N544" s="95"/>
      <c r="O544" s="95"/>
      <c r="P544" s="95"/>
    </row>
    <row r="545" ht="15.75" customHeight="1">
      <c r="A545" s="90"/>
      <c r="B545" s="91"/>
      <c r="C545" s="92"/>
      <c r="D545" s="91"/>
      <c r="E545" s="93"/>
      <c r="F545" s="94"/>
      <c r="G545" s="91"/>
      <c r="H545" s="93"/>
      <c r="I545" s="95"/>
      <c r="J545" s="95"/>
      <c r="K545" s="95"/>
      <c r="L545" s="94"/>
      <c r="M545" s="96"/>
      <c r="N545" s="95"/>
      <c r="O545" s="95"/>
      <c r="P545" s="95"/>
    </row>
    <row r="546" ht="15.75" customHeight="1">
      <c r="A546" s="90"/>
      <c r="B546" s="91"/>
      <c r="C546" s="92"/>
      <c r="D546" s="91"/>
      <c r="E546" s="93"/>
      <c r="F546" s="94"/>
      <c r="G546" s="91"/>
      <c r="H546" s="93"/>
      <c r="I546" s="95"/>
      <c r="J546" s="95"/>
      <c r="K546" s="95"/>
      <c r="L546" s="94"/>
      <c r="M546" s="96"/>
      <c r="N546" s="95"/>
      <c r="O546" s="95"/>
      <c r="P546" s="95"/>
    </row>
    <row r="547" ht="15.75" customHeight="1">
      <c r="A547" s="90"/>
      <c r="B547" s="91"/>
      <c r="C547" s="92"/>
      <c r="D547" s="91"/>
      <c r="E547" s="93"/>
      <c r="F547" s="94"/>
      <c r="G547" s="91"/>
      <c r="H547" s="93"/>
      <c r="I547" s="95"/>
      <c r="J547" s="95"/>
      <c r="K547" s="95"/>
      <c r="L547" s="94"/>
      <c r="M547" s="96"/>
      <c r="N547" s="95"/>
      <c r="O547" s="95"/>
      <c r="P547" s="95"/>
    </row>
    <row r="548" ht="15.75" customHeight="1">
      <c r="A548" s="90"/>
      <c r="B548" s="91"/>
      <c r="C548" s="92"/>
      <c r="D548" s="91"/>
      <c r="E548" s="93"/>
      <c r="F548" s="94"/>
      <c r="G548" s="91"/>
      <c r="H548" s="93"/>
      <c r="I548" s="95"/>
      <c r="J548" s="95"/>
      <c r="K548" s="95"/>
      <c r="L548" s="94"/>
      <c r="M548" s="96"/>
      <c r="N548" s="95"/>
      <c r="O548" s="95"/>
      <c r="P548" s="95"/>
    </row>
    <row r="549" ht="15.75" customHeight="1">
      <c r="A549" s="90"/>
      <c r="B549" s="91"/>
      <c r="C549" s="92"/>
      <c r="D549" s="91"/>
      <c r="E549" s="93"/>
      <c r="F549" s="94"/>
      <c r="G549" s="91"/>
      <c r="H549" s="93"/>
      <c r="I549" s="95"/>
      <c r="J549" s="95"/>
      <c r="K549" s="95"/>
      <c r="L549" s="94"/>
      <c r="M549" s="96"/>
      <c r="N549" s="95"/>
      <c r="O549" s="95"/>
      <c r="P549" s="95"/>
    </row>
    <row r="550" ht="15.75" customHeight="1">
      <c r="A550" s="90"/>
      <c r="B550" s="91"/>
      <c r="C550" s="92"/>
      <c r="D550" s="91"/>
      <c r="E550" s="93"/>
      <c r="F550" s="94"/>
      <c r="G550" s="91"/>
      <c r="H550" s="93"/>
      <c r="I550" s="95"/>
      <c r="J550" s="95"/>
      <c r="K550" s="95"/>
      <c r="L550" s="94"/>
      <c r="M550" s="96"/>
      <c r="N550" s="95"/>
      <c r="O550" s="95"/>
      <c r="P550" s="95"/>
    </row>
    <row r="551" ht="15.75" customHeight="1">
      <c r="A551" s="90"/>
      <c r="B551" s="91"/>
      <c r="C551" s="92"/>
      <c r="D551" s="91"/>
      <c r="E551" s="93"/>
      <c r="F551" s="94"/>
      <c r="G551" s="91"/>
      <c r="H551" s="93"/>
      <c r="I551" s="95"/>
      <c r="J551" s="95"/>
      <c r="K551" s="95"/>
      <c r="L551" s="94"/>
      <c r="M551" s="96"/>
      <c r="N551" s="95"/>
      <c r="O551" s="95"/>
      <c r="P551" s="95"/>
    </row>
    <row r="552" ht="15.75" customHeight="1">
      <c r="A552" s="90"/>
      <c r="B552" s="91"/>
      <c r="C552" s="92"/>
      <c r="D552" s="91"/>
      <c r="E552" s="93"/>
      <c r="F552" s="94"/>
      <c r="G552" s="91"/>
      <c r="H552" s="93"/>
      <c r="I552" s="95"/>
      <c r="J552" s="95"/>
      <c r="K552" s="95"/>
      <c r="L552" s="94"/>
      <c r="M552" s="96"/>
      <c r="N552" s="95"/>
      <c r="O552" s="95"/>
      <c r="P552" s="95"/>
    </row>
    <row r="553" ht="15.75" customHeight="1">
      <c r="A553" s="90"/>
      <c r="B553" s="91"/>
      <c r="C553" s="92"/>
      <c r="D553" s="91"/>
      <c r="E553" s="93"/>
      <c r="F553" s="94"/>
      <c r="G553" s="91"/>
      <c r="H553" s="93"/>
      <c r="I553" s="95"/>
      <c r="J553" s="95"/>
      <c r="K553" s="95"/>
      <c r="L553" s="94"/>
      <c r="M553" s="96"/>
      <c r="N553" s="95"/>
      <c r="O553" s="95"/>
      <c r="P553" s="95"/>
    </row>
    <row r="554" ht="15.75" customHeight="1">
      <c r="A554" s="90"/>
      <c r="B554" s="91"/>
      <c r="C554" s="92"/>
      <c r="D554" s="91"/>
      <c r="E554" s="93"/>
      <c r="F554" s="94"/>
      <c r="G554" s="91"/>
      <c r="H554" s="93"/>
      <c r="I554" s="95"/>
      <c r="J554" s="95"/>
      <c r="K554" s="95"/>
      <c r="L554" s="94"/>
      <c r="M554" s="96"/>
      <c r="N554" s="95"/>
      <c r="O554" s="95"/>
      <c r="P554" s="95"/>
    </row>
    <row r="555" ht="15.75" customHeight="1">
      <c r="A555" s="90"/>
      <c r="B555" s="91"/>
      <c r="C555" s="92"/>
      <c r="D555" s="91"/>
      <c r="E555" s="93"/>
      <c r="F555" s="94"/>
      <c r="G555" s="91"/>
      <c r="H555" s="93"/>
      <c r="I555" s="95"/>
      <c r="J555" s="95"/>
      <c r="K555" s="95"/>
      <c r="L555" s="94"/>
      <c r="M555" s="96"/>
      <c r="N555" s="95"/>
      <c r="O555" s="95"/>
      <c r="P555" s="95"/>
    </row>
    <row r="556" ht="15.75" customHeight="1">
      <c r="A556" s="90"/>
      <c r="B556" s="91"/>
      <c r="C556" s="92"/>
      <c r="D556" s="91"/>
      <c r="E556" s="93"/>
      <c r="F556" s="94"/>
      <c r="G556" s="91"/>
      <c r="H556" s="93"/>
      <c r="I556" s="95"/>
      <c r="J556" s="95"/>
      <c r="K556" s="95"/>
      <c r="L556" s="94"/>
      <c r="M556" s="96"/>
      <c r="N556" s="95"/>
      <c r="O556" s="95"/>
      <c r="P556" s="95"/>
    </row>
    <row r="557" ht="15.75" customHeight="1">
      <c r="A557" s="90"/>
      <c r="B557" s="91"/>
      <c r="C557" s="92"/>
      <c r="D557" s="91"/>
      <c r="E557" s="93"/>
      <c r="F557" s="94"/>
      <c r="G557" s="91"/>
      <c r="H557" s="93"/>
      <c r="I557" s="95"/>
      <c r="J557" s="95"/>
      <c r="K557" s="95"/>
      <c r="L557" s="94"/>
      <c r="M557" s="96"/>
      <c r="N557" s="95"/>
      <c r="O557" s="95"/>
      <c r="P557" s="95"/>
    </row>
    <row r="558" ht="15.75" customHeight="1">
      <c r="A558" s="90"/>
      <c r="B558" s="91"/>
      <c r="C558" s="92"/>
      <c r="D558" s="91"/>
      <c r="E558" s="93"/>
      <c r="F558" s="94"/>
      <c r="G558" s="91"/>
      <c r="H558" s="93"/>
      <c r="I558" s="95"/>
      <c r="J558" s="95"/>
      <c r="K558" s="95"/>
      <c r="L558" s="94"/>
      <c r="M558" s="96"/>
      <c r="N558" s="95"/>
      <c r="O558" s="95"/>
      <c r="P558" s="95"/>
    </row>
    <row r="559" ht="15.75" customHeight="1">
      <c r="A559" s="90"/>
      <c r="B559" s="91"/>
      <c r="C559" s="92"/>
      <c r="D559" s="91"/>
      <c r="E559" s="93"/>
      <c r="F559" s="94"/>
      <c r="G559" s="91"/>
      <c r="H559" s="93"/>
      <c r="I559" s="95"/>
      <c r="J559" s="95"/>
      <c r="K559" s="95"/>
      <c r="L559" s="94"/>
      <c r="M559" s="96"/>
      <c r="N559" s="95"/>
      <c r="O559" s="95"/>
      <c r="P559" s="95"/>
    </row>
    <row r="560" ht="15.75" customHeight="1">
      <c r="A560" s="90"/>
      <c r="B560" s="91"/>
      <c r="C560" s="92"/>
      <c r="D560" s="91"/>
      <c r="E560" s="93"/>
      <c r="F560" s="94"/>
      <c r="G560" s="91"/>
      <c r="H560" s="93"/>
      <c r="I560" s="95"/>
      <c r="J560" s="95"/>
      <c r="K560" s="95"/>
      <c r="L560" s="94"/>
      <c r="M560" s="96"/>
      <c r="N560" s="95"/>
      <c r="O560" s="95"/>
      <c r="P560" s="95"/>
    </row>
    <row r="561" ht="15.75" customHeight="1">
      <c r="A561" s="90"/>
      <c r="B561" s="91"/>
      <c r="C561" s="92"/>
      <c r="D561" s="91"/>
      <c r="E561" s="93"/>
      <c r="F561" s="94"/>
      <c r="G561" s="91"/>
      <c r="H561" s="93"/>
      <c r="I561" s="95"/>
      <c r="J561" s="95"/>
      <c r="K561" s="95"/>
      <c r="L561" s="94"/>
      <c r="M561" s="96"/>
      <c r="N561" s="95"/>
      <c r="O561" s="95"/>
      <c r="P561" s="95"/>
    </row>
    <row r="562" ht="15.75" customHeight="1">
      <c r="A562" s="90"/>
      <c r="B562" s="91"/>
      <c r="C562" s="92"/>
      <c r="D562" s="91"/>
      <c r="E562" s="93"/>
      <c r="F562" s="94"/>
      <c r="G562" s="91"/>
      <c r="H562" s="93"/>
      <c r="I562" s="95"/>
      <c r="J562" s="95"/>
      <c r="K562" s="95"/>
      <c r="L562" s="94"/>
      <c r="M562" s="96"/>
      <c r="N562" s="95"/>
      <c r="O562" s="95"/>
      <c r="P562" s="95"/>
    </row>
    <row r="563" ht="15.75" customHeight="1">
      <c r="A563" s="90"/>
      <c r="B563" s="91"/>
      <c r="C563" s="92"/>
      <c r="D563" s="91"/>
      <c r="E563" s="93"/>
      <c r="F563" s="94"/>
      <c r="G563" s="91"/>
      <c r="H563" s="93"/>
      <c r="I563" s="95"/>
      <c r="J563" s="95"/>
      <c r="K563" s="95"/>
      <c r="L563" s="94"/>
      <c r="M563" s="96"/>
      <c r="N563" s="95"/>
      <c r="O563" s="95"/>
      <c r="P563" s="95"/>
    </row>
    <row r="564" ht="15.75" customHeight="1">
      <c r="A564" s="90"/>
      <c r="B564" s="91"/>
      <c r="C564" s="92"/>
      <c r="D564" s="91"/>
      <c r="E564" s="93"/>
      <c r="F564" s="94"/>
      <c r="G564" s="91"/>
      <c r="H564" s="93"/>
      <c r="I564" s="95"/>
      <c r="J564" s="95"/>
      <c r="K564" s="95"/>
      <c r="L564" s="94"/>
      <c r="M564" s="96"/>
      <c r="N564" s="95"/>
      <c r="O564" s="95"/>
      <c r="P564" s="95"/>
    </row>
    <row r="565" ht="15.75" customHeight="1">
      <c r="A565" s="90"/>
      <c r="B565" s="91"/>
      <c r="C565" s="92"/>
      <c r="D565" s="91"/>
      <c r="E565" s="93"/>
      <c r="F565" s="94"/>
      <c r="G565" s="91"/>
      <c r="H565" s="93"/>
      <c r="I565" s="95"/>
      <c r="J565" s="95"/>
      <c r="K565" s="95"/>
      <c r="L565" s="94"/>
      <c r="M565" s="96"/>
      <c r="N565" s="95"/>
      <c r="O565" s="95"/>
      <c r="P565" s="95"/>
    </row>
    <row r="566" ht="15.75" customHeight="1">
      <c r="A566" s="90"/>
      <c r="B566" s="91"/>
      <c r="C566" s="92"/>
      <c r="D566" s="91"/>
      <c r="E566" s="93"/>
      <c r="F566" s="94"/>
      <c r="G566" s="91"/>
      <c r="H566" s="93"/>
      <c r="I566" s="95"/>
      <c r="J566" s="95"/>
      <c r="K566" s="95"/>
      <c r="L566" s="94"/>
      <c r="M566" s="96"/>
      <c r="N566" s="95"/>
      <c r="O566" s="95"/>
      <c r="P566" s="95"/>
    </row>
    <row r="567" ht="15.75" customHeight="1">
      <c r="A567" s="90"/>
      <c r="B567" s="91"/>
      <c r="C567" s="92"/>
      <c r="D567" s="91"/>
      <c r="E567" s="93"/>
      <c r="F567" s="94"/>
      <c r="G567" s="91"/>
      <c r="H567" s="93"/>
      <c r="I567" s="95"/>
      <c r="J567" s="95"/>
      <c r="K567" s="95"/>
      <c r="L567" s="94"/>
      <c r="M567" s="96"/>
      <c r="N567" s="95"/>
      <c r="O567" s="95"/>
      <c r="P567" s="95"/>
    </row>
    <row r="568" ht="15.75" customHeight="1">
      <c r="A568" s="90"/>
      <c r="B568" s="91"/>
      <c r="C568" s="92"/>
      <c r="D568" s="91"/>
      <c r="E568" s="93"/>
      <c r="F568" s="94"/>
      <c r="G568" s="91"/>
      <c r="H568" s="93"/>
      <c r="I568" s="95"/>
      <c r="J568" s="95"/>
      <c r="K568" s="95"/>
      <c r="L568" s="94"/>
      <c r="M568" s="96"/>
      <c r="N568" s="95"/>
      <c r="O568" s="95"/>
      <c r="P568" s="95"/>
    </row>
    <row r="569" ht="15.75" customHeight="1">
      <c r="A569" s="90"/>
      <c r="B569" s="91"/>
      <c r="C569" s="92"/>
      <c r="D569" s="91"/>
      <c r="E569" s="93"/>
      <c r="F569" s="94"/>
      <c r="G569" s="91"/>
      <c r="H569" s="93"/>
      <c r="I569" s="95"/>
      <c r="J569" s="95"/>
      <c r="K569" s="95"/>
      <c r="L569" s="94"/>
      <c r="M569" s="96"/>
      <c r="N569" s="95"/>
      <c r="O569" s="95"/>
      <c r="P569" s="95"/>
    </row>
    <row r="570" ht="15.75" customHeight="1">
      <c r="A570" s="90"/>
      <c r="B570" s="91"/>
      <c r="C570" s="92"/>
      <c r="D570" s="91"/>
      <c r="E570" s="93"/>
      <c r="F570" s="94"/>
      <c r="G570" s="91"/>
      <c r="H570" s="93"/>
      <c r="I570" s="95"/>
      <c r="J570" s="95"/>
      <c r="K570" s="95"/>
      <c r="L570" s="94"/>
      <c r="M570" s="96"/>
      <c r="N570" s="95"/>
      <c r="O570" s="95"/>
      <c r="P570" s="95"/>
    </row>
    <row r="571" ht="15.75" customHeight="1">
      <c r="A571" s="90"/>
      <c r="B571" s="91"/>
      <c r="C571" s="92"/>
      <c r="D571" s="91"/>
      <c r="E571" s="93"/>
      <c r="F571" s="94"/>
      <c r="G571" s="91"/>
      <c r="H571" s="93"/>
      <c r="I571" s="95"/>
      <c r="J571" s="95"/>
      <c r="K571" s="95"/>
      <c r="L571" s="94"/>
      <c r="M571" s="96"/>
      <c r="N571" s="95"/>
      <c r="O571" s="95"/>
      <c r="P571" s="95"/>
    </row>
    <row r="572" ht="15.75" customHeight="1">
      <c r="A572" s="90"/>
      <c r="B572" s="91"/>
      <c r="C572" s="92"/>
      <c r="D572" s="91"/>
      <c r="E572" s="93"/>
      <c r="F572" s="94"/>
      <c r="G572" s="91"/>
      <c r="H572" s="93"/>
      <c r="I572" s="95"/>
      <c r="J572" s="95"/>
      <c r="K572" s="95"/>
      <c r="L572" s="94"/>
      <c r="M572" s="96"/>
      <c r="N572" s="95"/>
      <c r="O572" s="95"/>
      <c r="P572" s="95"/>
    </row>
    <row r="573" ht="15.75" customHeight="1">
      <c r="A573" s="90"/>
      <c r="B573" s="91"/>
      <c r="C573" s="92"/>
      <c r="D573" s="91"/>
      <c r="E573" s="93"/>
      <c r="F573" s="94"/>
      <c r="G573" s="91"/>
      <c r="H573" s="93"/>
      <c r="I573" s="95"/>
      <c r="J573" s="95"/>
      <c r="K573" s="95"/>
      <c r="L573" s="94"/>
      <c r="M573" s="96"/>
      <c r="N573" s="95"/>
      <c r="O573" s="95"/>
      <c r="P573" s="95"/>
    </row>
    <row r="574" ht="15.75" customHeight="1">
      <c r="A574" s="90"/>
      <c r="B574" s="91"/>
      <c r="C574" s="92"/>
      <c r="D574" s="91"/>
      <c r="E574" s="93"/>
      <c r="F574" s="94"/>
      <c r="G574" s="91"/>
      <c r="H574" s="93"/>
      <c r="I574" s="95"/>
      <c r="J574" s="95"/>
      <c r="K574" s="95"/>
      <c r="L574" s="94"/>
      <c r="M574" s="96"/>
      <c r="N574" s="95"/>
      <c r="O574" s="95"/>
      <c r="P574" s="95"/>
    </row>
    <row r="575" ht="15.75" customHeight="1">
      <c r="A575" s="90"/>
      <c r="B575" s="91"/>
      <c r="C575" s="92"/>
      <c r="D575" s="91"/>
      <c r="E575" s="93"/>
      <c r="F575" s="94"/>
      <c r="G575" s="91"/>
      <c r="H575" s="93"/>
      <c r="I575" s="95"/>
      <c r="J575" s="95"/>
      <c r="K575" s="95"/>
      <c r="L575" s="94"/>
      <c r="M575" s="96"/>
      <c r="N575" s="95"/>
      <c r="O575" s="95"/>
      <c r="P575" s="95"/>
    </row>
    <row r="576" ht="15.75" customHeight="1">
      <c r="A576" s="90"/>
      <c r="B576" s="91"/>
      <c r="C576" s="92"/>
      <c r="D576" s="91"/>
      <c r="E576" s="93"/>
      <c r="F576" s="94"/>
      <c r="G576" s="91"/>
      <c r="H576" s="93"/>
      <c r="I576" s="95"/>
      <c r="J576" s="95"/>
      <c r="K576" s="95"/>
      <c r="L576" s="94"/>
      <c r="M576" s="96"/>
      <c r="N576" s="95"/>
      <c r="O576" s="95"/>
      <c r="P576" s="95"/>
    </row>
    <row r="577" ht="15.75" customHeight="1">
      <c r="A577" s="90"/>
      <c r="B577" s="91"/>
      <c r="C577" s="92"/>
      <c r="D577" s="91"/>
      <c r="E577" s="93"/>
      <c r="F577" s="94"/>
      <c r="G577" s="91"/>
      <c r="H577" s="93"/>
      <c r="I577" s="95"/>
      <c r="J577" s="95"/>
      <c r="K577" s="95"/>
      <c r="L577" s="94"/>
      <c r="M577" s="96"/>
      <c r="N577" s="95"/>
      <c r="O577" s="95"/>
      <c r="P577" s="95"/>
    </row>
    <row r="578" ht="15.75" customHeight="1">
      <c r="A578" s="90"/>
      <c r="B578" s="91"/>
      <c r="C578" s="92"/>
      <c r="D578" s="91"/>
      <c r="E578" s="93"/>
      <c r="F578" s="94"/>
      <c r="G578" s="91"/>
      <c r="H578" s="93"/>
      <c r="I578" s="95"/>
      <c r="J578" s="95"/>
      <c r="K578" s="95"/>
      <c r="L578" s="94"/>
      <c r="M578" s="96"/>
      <c r="N578" s="95"/>
      <c r="O578" s="95"/>
      <c r="P578" s="95"/>
    </row>
    <row r="579" ht="15.75" customHeight="1">
      <c r="A579" s="90"/>
      <c r="B579" s="91"/>
      <c r="C579" s="92"/>
      <c r="D579" s="91"/>
      <c r="E579" s="93"/>
      <c r="F579" s="94"/>
      <c r="G579" s="91"/>
      <c r="H579" s="93"/>
      <c r="I579" s="95"/>
      <c r="J579" s="95"/>
      <c r="K579" s="95"/>
      <c r="L579" s="94"/>
      <c r="M579" s="96"/>
      <c r="N579" s="95"/>
      <c r="O579" s="95"/>
      <c r="P579" s="95"/>
    </row>
    <row r="580" ht="15.75" customHeight="1">
      <c r="A580" s="90"/>
      <c r="B580" s="91"/>
      <c r="C580" s="92"/>
      <c r="D580" s="91"/>
      <c r="E580" s="93"/>
      <c r="F580" s="94"/>
      <c r="G580" s="91"/>
      <c r="H580" s="93"/>
      <c r="I580" s="95"/>
      <c r="J580" s="95"/>
      <c r="K580" s="95"/>
      <c r="L580" s="94"/>
      <c r="M580" s="96"/>
      <c r="N580" s="95"/>
      <c r="O580" s="95"/>
      <c r="P580" s="95"/>
    </row>
    <row r="581" ht="15.75" customHeight="1">
      <c r="A581" s="90"/>
      <c r="B581" s="91"/>
      <c r="C581" s="92"/>
      <c r="D581" s="91"/>
      <c r="E581" s="93"/>
      <c r="F581" s="94"/>
      <c r="G581" s="91"/>
      <c r="H581" s="93"/>
      <c r="I581" s="95"/>
      <c r="J581" s="95"/>
      <c r="K581" s="95"/>
      <c r="L581" s="94"/>
      <c r="M581" s="96"/>
      <c r="N581" s="95"/>
      <c r="O581" s="95"/>
      <c r="P581" s="95"/>
    </row>
    <row r="582" ht="15.75" customHeight="1">
      <c r="A582" s="90"/>
      <c r="B582" s="91"/>
      <c r="C582" s="92"/>
      <c r="D582" s="91"/>
      <c r="E582" s="93"/>
      <c r="F582" s="94"/>
      <c r="G582" s="91"/>
      <c r="H582" s="93"/>
      <c r="I582" s="95"/>
      <c r="J582" s="95"/>
      <c r="K582" s="95"/>
      <c r="L582" s="94"/>
      <c r="M582" s="96"/>
      <c r="N582" s="95"/>
      <c r="O582" s="95"/>
      <c r="P582" s="95"/>
    </row>
    <row r="583" ht="15.75" customHeight="1">
      <c r="A583" s="90"/>
      <c r="B583" s="91"/>
      <c r="C583" s="92"/>
      <c r="D583" s="91"/>
      <c r="E583" s="93"/>
      <c r="F583" s="94"/>
      <c r="G583" s="91"/>
      <c r="H583" s="93"/>
      <c r="I583" s="95"/>
      <c r="J583" s="95"/>
      <c r="K583" s="95"/>
      <c r="L583" s="94"/>
      <c r="M583" s="96"/>
      <c r="N583" s="95"/>
      <c r="O583" s="95"/>
      <c r="P583" s="95"/>
    </row>
    <row r="584" ht="15.75" customHeight="1">
      <c r="A584" s="90"/>
      <c r="B584" s="91"/>
      <c r="C584" s="92"/>
      <c r="D584" s="91"/>
      <c r="E584" s="93"/>
      <c r="F584" s="94"/>
      <c r="G584" s="91"/>
      <c r="H584" s="93"/>
      <c r="I584" s="95"/>
      <c r="J584" s="95"/>
      <c r="K584" s="95"/>
      <c r="L584" s="94"/>
      <c r="M584" s="96"/>
      <c r="N584" s="95"/>
      <c r="O584" s="95"/>
      <c r="P584" s="95"/>
    </row>
    <row r="585" ht="15.75" customHeight="1">
      <c r="A585" s="90"/>
      <c r="B585" s="91"/>
      <c r="C585" s="92"/>
      <c r="D585" s="91"/>
      <c r="E585" s="93"/>
      <c r="F585" s="94"/>
      <c r="G585" s="91"/>
      <c r="H585" s="93"/>
      <c r="I585" s="95"/>
      <c r="J585" s="95"/>
      <c r="K585" s="95"/>
      <c r="L585" s="94"/>
      <c r="M585" s="96"/>
      <c r="N585" s="95"/>
      <c r="O585" s="95"/>
      <c r="P585" s="95"/>
    </row>
    <row r="586" ht="15.75" customHeight="1">
      <c r="A586" s="90"/>
      <c r="B586" s="91"/>
      <c r="C586" s="92"/>
      <c r="D586" s="91"/>
      <c r="E586" s="93"/>
      <c r="F586" s="94"/>
      <c r="G586" s="91"/>
      <c r="H586" s="93"/>
      <c r="I586" s="95"/>
      <c r="J586" s="95"/>
      <c r="K586" s="95"/>
      <c r="L586" s="94"/>
      <c r="M586" s="96"/>
      <c r="N586" s="95"/>
      <c r="O586" s="95"/>
      <c r="P586" s="95"/>
    </row>
    <row r="587" ht="15.75" customHeight="1">
      <c r="A587" s="90"/>
      <c r="B587" s="91"/>
      <c r="C587" s="92"/>
      <c r="D587" s="91"/>
      <c r="E587" s="93"/>
      <c r="F587" s="94"/>
      <c r="G587" s="91"/>
      <c r="H587" s="93"/>
      <c r="I587" s="95"/>
      <c r="J587" s="95"/>
      <c r="K587" s="95"/>
      <c r="L587" s="94"/>
      <c r="M587" s="96"/>
      <c r="N587" s="95"/>
      <c r="O587" s="95"/>
      <c r="P587" s="95"/>
    </row>
    <row r="588" ht="15.75" customHeight="1">
      <c r="A588" s="90"/>
      <c r="B588" s="91"/>
      <c r="C588" s="92"/>
      <c r="D588" s="91"/>
      <c r="E588" s="93"/>
      <c r="F588" s="94"/>
      <c r="G588" s="91"/>
      <c r="H588" s="93"/>
      <c r="I588" s="95"/>
      <c r="J588" s="95"/>
      <c r="K588" s="95"/>
      <c r="L588" s="94"/>
      <c r="M588" s="96"/>
      <c r="N588" s="95"/>
      <c r="O588" s="95"/>
      <c r="P588" s="95"/>
    </row>
    <row r="589" ht="15.75" customHeight="1">
      <c r="A589" s="90"/>
      <c r="B589" s="91"/>
      <c r="C589" s="92"/>
      <c r="D589" s="91"/>
      <c r="E589" s="93"/>
      <c r="F589" s="94"/>
      <c r="G589" s="91"/>
      <c r="H589" s="93"/>
      <c r="I589" s="95"/>
      <c r="J589" s="95"/>
      <c r="K589" s="95"/>
      <c r="L589" s="94"/>
      <c r="M589" s="96"/>
      <c r="N589" s="95"/>
      <c r="O589" s="95"/>
      <c r="P589" s="95"/>
    </row>
    <row r="590" ht="15.75" customHeight="1">
      <c r="A590" s="90"/>
      <c r="B590" s="91"/>
      <c r="C590" s="92"/>
      <c r="D590" s="91"/>
      <c r="E590" s="93"/>
      <c r="F590" s="94"/>
      <c r="G590" s="91"/>
      <c r="H590" s="93"/>
      <c r="I590" s="95"/>
      <c r="J590" s="95"/>
      <c r="K590" s="95"/>
      <c r="L590" s="94"/>
      <c r="M590" s="96"/>
      <c r="N590" s="95"/>
      <c r="O590" s="95"/>
      <c r="P590" s="95"/>
    </row>
    <row r="591" ht="15.75" customHeight="1">
      <c r="A591" s="90"/>
      <c r="B591" s="91"/>
      <c r="C591" s="92"/>
      <c r="D591" s="91"/>
      <c r="E591" s="93"/>
      <c r="F591" s="94"/>
      <c r="G591" s="91"/>
      <c r="H591" s="93"/>
      <c r="I591" s="95"/>
      <c r="J591" s="95"/>
      <c r="K591" s="95"/>
      <c r="L591" s="94"/>
      <c r="M591" s="96"/>
      <c r="N591" s="95"/>
      <c r="O591" s="95"/>
      <c r="P591" s="95"/>
    </row>
    <row r="592" ht="15.75" customHeight="1">
      <c r="A592" s="90"/>
      <c r="B592" s="91"/>
      <c r="C592" s="92"/>
      <c r="D592" s="91"/>
      <c r="E592" s="93"/>
      <c r="F592" s="94"/>
      <c r="G592" s="91"/>
      <c r="H592" s="93"/>
      <c r="I592" s="95"/>
      <c r="J592" s="95"/>
      <c r="K592" s="95"/>
      <c r="L592" s="94"/>
      <c r="M592" s="96"/>
      <c r="N592" s="95"/>
      <c r="O592" s="95"/>
      <c r="P592" s="95"/>
    </row>
    <row r="593" ht="15.75" customHeight="1">
      <c r="A593" s="90"/>
      <c r="B593" s="91"/>
      <c r="C593" s="92"/>
      <c r="D593" s="91"/>
      <c r="E593" s="93"/>
      <c r="F593" s="94"/>
      <c r="G593" s="91"/>
      <c r="H593" s="93"/>
      <c r="I593" s="95"/>
      <c r="J593" s="95"/>
      <c r="K593" s="95"/>
      <c r="L593" s="94"/>
      <c r="M593" s="96"/>
      <c r="N593" s="95"/>
      <c r="O593" s="95"/>
      <c r="P593" s="95"/>
    </row>
    <row r="594" ht="15.75" customHeight="1">
      <c r="A594" s="90"/>
      <c r="B594" s="91"/>
      <c r="C594" s="92"/>
      <c r="D594" s="91"/>
      <c r="E594" s="93"/>
      <c r="F594" s="94"/>
      <c r="G594" s="91"/>
      <c r="H594" s="93"/>
      <c r="I594" s="95"/>
      <c r="J594" s="95"/>
      <c r="K594" s="95"/>
      <c r="L594" s="94"/>
      <c r="M594" s="96"/>
      <c r="N594" s="95"/>
      <c r="O594" s="95"/>
      <c r="P594" s="95"/>
    </row>
    <row r="595" ht="15.75" customHeight="1">
      <c r="A595" s="90"/>
      <c r="B595" s="91"/>
      <c r="C595" s="92"/>
      <c r="D595" s="91"/>
      <c r="E595" s="93"/>
      <c r="F595" s="94"/>
      <c r="G595" s="91"/>
      <c r="H595" s="93"/>
      <c r="I595" s="95"/>
      <c r="J595" s="95"/>
      <c r="K595" s="95"/>
      <c r="L595" s="94"/>
      <c r="M595" s="96"/>
      <c r="N595" s="95"/>
      <c r="O595" s="95"/>
      <c r="P595" s="95"/>
    </row>
    <row r="596" ht="15.75" customHeight="1">
      <c r="A596" s="90"/>
      <c r="B596" s="91"/>
      <c r="C596" s="92"/>
      <c r="D596" s="91"/>
      <c r="E596" s="93"/>
      <c r="F596" s="94"/>
      <c r="G596" s="91"/>
      <c r="H596" s="93"/>
      <c r="I596" s="95"/>
      <c r="J596" s="95"/>
      <c r="K596" s="95"/>
      <c r="L596" s="94"/>
      <c r="M596" s="96"/>
      <c r="N596" s="95"/>
      <c r="O596" s="95"/>
      <c r="P596" s="95"/>
    </row>
    <row r="597" ht="15.75" customHeight="1">
      <c r="A597" s="90"/>
      <c r="B597" s="91"/>
      <c r="C597" s="92"/>
      <c r="D597" s="91"/>
      <c r="E597" s="93"/>
      <c r="F597" s="94"/>
      <c r="G597" s="91"/>
      <c r="H597" s="93"/>
      <c r="I597" s="95"/>
      <c r="J597" s="95"/>
      <c r="K597" s="95"/>
      <c r="L597" s="94"/>
      <c r="M597" s="96"/>
      <c r="N597" s="95"/>
      <c r="O597" s="95"/>
      <c r="P597" s="95"/>
    </row>
    <row r="598" ht="15.75" customHeight="1">
      <c r="A598" s="90"/>
      <c r="B598" s="91"/>
      <c r="C598" s="92"/>
      <c r="D598" s="91"/>
      <c r="E598" s="93"/>
      <c r="F598" s="94"/>
      <c r="G598" s="91"/>
      <c r="H598" s="93"/>
      <c r="I598" s="95"/>
      <c r="J598" s="95"/>
      <c r="K598" s="95"/>
      <c r="L598" s="94"/>
      <c r="M598" s="96"/>
      <c r="N598" s="95"/>
      <c r="O598" s="95"/>
      <c r="P598" s="95"/>
    </row>
    <row r="599" ht="15.75" customHeight="1">
      <c r="A599" s="90"/>
      <c r="B599" s="91"/>
      <c r="C599" s="92"/>
      <c r="D599" s="91"/>
      <c r="E599" s="93"/>
      <c r="F599" s="94"/>
      <c r="G599" s="91"/>
      <c r="H599" s="93"/>
      <c r="I599" s="95"/>
      <c r="J599" s="95"/>
      <c r="K599" s="95"/>
      <c r="L599" s="94"/>
      <c r="M599" s="96"/>
      <c r="N599" s="95"/>
      <c r="O599" s="95"/>
      <c r="P599" s="95"/>
    </row>
    <row r="600" ht="15.75" customHeight="1">
      <c r="A600" s="90"/>
      <c r="B600" s="91"/>
      <c r="C600" s="92"/>
      <c r="D600" s="91"/>
      <c r="E600" s="93"/>
      <c r="F600" s="94"/>
      <c r="G600" s="91"/>
      <c r="H600" s="93"/>
      <c r="I600" s="95"/>
      <c r="J600" s="95"/>
      <c r="K600" s="95"/>
      <c r="L600" s="94"/>
      <c r="M600" s="96"/>
      <c r="N600" s="95"/>
      <c r="O600" s="95"/>
      <c r="P600" s="95"/>
    </row>
    <row r="601" ht="15.75" customHeight="1">
      <c r="A601" s="90"/>
      <c r="B601" s="91"/>
      <c r="C601" s="92"/>
      <c r="D601" s="91"/>
      <c r="E601" s="93"/>
      <c r="F601" s="94"/>
      <c r="G601" s="91"/>
      <c r="H601" s="93"/>
      <c r="I601" s="95"/>
      <c r="J601" s="95"/>
      <c r="K601" s="95"/>
      <c r="L601" s="94"/>
      <c r="M601" s="96"/>
      <c r="N601" s="95"/>
      <c r="O601" s="95"/>
      <c r="P601" s="95"/>
    </row>
    <row r="602" ht="15.75" customHeight="1">
      <c r="A602" s="90"/>
      <c r="B602" s="91"/>
      <c r="C602" s="92"/>
      <c r="D602" s="91"/>
      <c r="E602" s="93"/>
      <c r="F602" s="94"/>
      <c r="G602" s="91"/>
      <c r="H602" s="93"/>
      <c r="I602" s="95"/>
      <c r="J602" s="95"/>
      <c r="K602" s="95"/>
      <c r="L602" s="94"/>
      <c r="M602" s="96"/>
      <c r="N602" s="95"/>
      <c r="O602" s="95"/>
      <c r="P602" s="95"/>
    </row>
    <row r="603" ht="15.75" customHeight="1">
      <c r="A603" s="90"/>
      <c r="B603" s="91"/>
      <c r="C603" s="92"/>
      <c r="D603" s="91"/>
      <c r="E603" s="93"/>
      <c r="F603" s="94"/>
      <c r="G603" s="91"/>
      <c r="H603" s="93"/>
      <c r="I603" s="95"/>
      <c r="J603" s="95"/>
      <c r="K603" s="95"/>
      <c r="L603" s="94"/>
      <c r="M603" s="96"/>
      <c r="N603" s="95"/>
      <c r="O603" s="95"/>
      <c r="P603" s="95"/>
    </row>
    <row r="604" ht="15.75" customHeight="1">
      <c r="A604" s="90"/>
      <c r="B604" s="91"/>
      <c r="C604" s="92"/>
      <c r="D604" s="91"/>
      <c r="E604" s="93"/>
      <c r="F604" s="94"/>
      <c r="G604" s="91"/>
      <c r="H604" s="93"/>
      <c r="I604" s="95"/>
      <c r="J604" s="95"/>
      <c r="K604" s="95"/>
      <c r="L604" s="94"/>
      <c r="M604" s="96"/>
      <c r="N604" s="95"/>
      <c r="O604" s="95"/>
      <c r="P604" s="95"/>
    </row>
    <row r="605" ht="15.75" customHeight="1">
      <c r="A605" s="90"/>
      <c r="B605" s="91"/>
      <c r="C605" s="92"/>
      <c r="D605" s="91"/>
      <c r="E605" s="93"/>
      <c r="F605" s="94"/>
      <c r="G605" s="91"/>
      <c r="H605" s="93"/>
      <c r="I605" s="95"/>
      <c r="J605" s="95"/>
      <c r="K605" s="95"/>
      <c r="L605" s="94"/>
      <c r="M605" s="96"/>
      <c r="N605" s="95"/>
      <c r="O605" s="95"/>
      <c r="P605" s="95"/>
    </row>
    <row r="606" ht="15.75" customHeight="1">
      <c r="A606" s="90"/>
      <c r="B606" s="91"/>
      <c r="C606" s="92"/>
      <c r="D606" s="91"/>
      <c r="E606" s="93"/>
      <c r="F606" s="94"/>
      <c r="G606" s="91"/>
      <c r="H606" s="93"/>
      <c r="I606" s="95"/>
      <c r="J606" s="95"/>
      <c r="K606" s="95"/>
      <c r="L606" s="94"/>
      <c r="M606" s="96"/>
      <c r="N606" s="95"/>
      <c r="O606" s="95"/>
      <c r="P606" s="95"/>
    </row>
    <row r="607" ht="15.75" customHeight="1">
      <c r="A607" s="90"/>
      <c r="B607" s="91"/>
      <c r="C607" s="92"/>
      <c r="D607" s="91"/>
      <c r="E607" s="93"/>
      <c r="F607" s="94"/>
      <c r="G607" s="91"/>
      <c r="H607" s="93"/>
      <c r="I607" s="95"/>
      <c r="J607" s="95"/>
      <c r="K607" s="95"/>
      <c r="L607" s="94"/>
      <c r="M607" s="96"/>
      <c r="N607" s="95"/>
      <c r="O607" s="95"/>
      <c r="P607" s="95"/>
    </row>
    <row r="608" ht="15.75" customHeight="1">
      <c r="A608" s="90"/>
      <c r="B608" s="91"/>
      <c r="C608" s="92"/>
      <c r="D608" s="91"/>
      <c r="E608" s="93"/>
      <c r="F608" s="94"/>
      <c r="G608" s="91"/>
      <c r="H608" s="93"/>
      <c r="I608" s="95"/>
      <c r="J608" s="95"/>
      <c r="K608" s="95"/>
      <c r="L608" s="94"/>
      <c r="M608" s="96"/>
      <c r="N608" s="95"/>
      <c r="O608" s="95"/>
      <c r="P608" s="95"/>
    </row>
    <row r="609" ht="15.75" customHeight="1">
      <c r="A609" s="90"/>
      <c r="B609" s="91"/>
      <c r="C609" s="92"/>
      <c r="D609" s="91"/>
      <c r="E609" s="93"/>
      <c r="F609" s="94"/>
      <c r="G609" s="91"/>
      <c r="H609" s="93"/>
      <c r="I609" s="95"/>
      <c r="J609" s="95"/>
      <c r="K609" s="95"/>
      <c r="L609" s="94"/>
      <c r="M609" s="96"/>
      <c r="N609" s="95"/>
      <c r="O609" s="95"/>
      <c r="P609" s="95"/>
    </row>
    <row r="610" ht="15.75" customHeight="1">
      <c r="A610" s="90"/>
      <c r="B610" s="91"/>
      <c r="C610" s="92"/>
      <c r="D610" s="91"/>
      <c r="E610" s="93"/>
      <c r="F610" s="94"/>
      <c r="G610" s="91"/>
      <c r="H610" s="93"/>
      <c r="I610" s="95"/>
      <c r="J610" s="95"/>
      <c r="K610" s="95"/>
      <c r="L610" s="94"/>
      <c r="M610" s="96"/>
      <c r="N610" s="95"/>
      <c r="O610" s="95"/>
      <c r="P610" s="95"/>
    </row>
    <row r="611" ht="15.75" customHeight="1">
      <c r="A611" s="90"/>
      <c r="B611" s="91"/>
      <c r="C611" s="92"/>
      <c r="D611" s="91"/>
      <c r="E611" s="93"/>
      <c r="F611" s="94"/>
      <c r="G611" s="91"/>
      <c r="H611" s="93"/>
      <c r="I611" s="95"/>
      <c r="J611" s="95"/>
      <c r="K611" s="95"/>
      <c r="L611" s="94"/>
      <c r="M611" s="96"/>
      <c r="N611" s="95"/>
      <c r="O611" s="95"/>
      <c r="P611" s="95"/>
    </row>
    <row r="612" ht="15.75" customHeight="1">
      <c r="A612" s="90"/>
      <c r="B612" s="91"/>
      <c r="C612" s="92"/>
      <c r="D612" s="91"/>
      <c r="E612" s="93"/>
      <c r="F612" s="94"/>
      <c r="G612" s="91"/>
      <c r="H612" s="93"/>
      <c r="I612" s="95"/>
      <c r="J612" s="95"/>
      <c r="K612" s="95"/>
      <c r="L612" s="94"/>
      <c r="M612" s="96"/>
      <c r="N612" s="95"/>
      <c r="O612" s="95"/>
      <c r="P612" s="95"/>
    </row>
    <row r="613" ht="15.75" customHeight="1">
      <c r="A613" s="90"/>
      <c r="B613" s="91"/>
      <c r="C613" s="92"/>
      <c r="D613" s="91"/>
      <c r="E613" s="93"/>
      <c r="F613" s="94"/>
      <c r="G613" s="91"/>
      <c r="H613" s="93"/>
      <c r="I613" s="95"/>
      <c r="J613" s="95"/>
      <c r="K613" s="95"/>
      <c r="L613" s="94"/>
      <c r="M613" s="96"/>
      <c r="N613" s="95"/>
      <c r="O613" s="95"/>
      <c r="P613" s="95"/>
    </row>
    <row r="614" ht="15.75" customHeight="1">
      <c r="A614" s="90"/>
      <c r="B614" s="91"/>
      <c r="C614" s="92"/>
      <c r="D614" s="91"/>
      <c r="E614" s="93"/>
      <c r="F614" s="94"/>
      <c r="G614" s="91"/>
      <c r="H614" s="93"/>
      <c r="I614" s="95"/>
      <c r="J614" s="95"/>
      <c r="K614" s="95"/>
      <c r="L614" s="94"/>
      <c r="M614" s="96"/>
      <c r="N614" s="95"/>
      <c r="O614" s="95"/>
      <c r="P614" s="95"/>
    </row>
    <row r="615" ht="15.75" customHeight="1">
      <c r="A615" s="90"/>
      <c r="B615" s="91"/>
      <c r="C615" s="92"/>
      <c r="D615" s="91"/>
      <c r="E615" s="93"/>
      <c r="F615" s="94"/>
      <c r="G615" s="91"/>
      <c r="H615" s="93"/>
      <c r="I615" s="95"/>
      <c r="J615" s="95"/>
      <c r="K615" s="95"/>
      <c r="L615" s="94"/>
      <c r="M615" s="96"/>
      <c r="N615" s="95"/>
      <c r="O615" s="95"/>
      <c r="P615" s="95"/>
    </row>
    <row r="616" ht="15.75" customHeight="1">
      <c r="A616" s="90"/>
      <c r="B616" s="91"/>
      <c r="C616" s="92"/>
      <c r="D616" s="91"/>
      <c r="E616" s="93"/>
      <c r="F616" s="94"/>
      <c r="G616" s="91"/>
      <c r="H616" s="93"/>
      <c r="I616" s="95"/>
      <c r="J616" s="95"/>
      <c r="K616" s="95"/>
      <c r="L616" s="94"/>
      <c r="M616" s="96"/>
      <c r="N616" s="95"/>
      <c r="O616" s="95"/>
      <c r="P616" s="95"/>
    </row>
    <row r="617" ht="15.75" customHeight="1">
      <c r="A617" s="90"/>
      <c r="B617" s="91"/>
      <c r="C617" s="92"/>
      <c r="D617" s="91"/>
      <c r="E617" s="93"/>
      <c r="F617" s="94"/>
      <c r="G617" s="91"/>
      <c r="H617" s="93"/>
      <c r="I617" s="95"/>
      <c r="J617" s="95"/>
      <c r="K617" s="95"/>
      <c r="L617" s="94"/>
      <c r="M617" s="96"/>
      <c r="N617" s="95"/>
      <c r="O617" s="95"/>
      <c r="P617" s="95"/>
    </row>
    <row r="618" ht="15.75" customHeight="1">
      <c r="A618" s="90"/>
      <c r="B618" s="91"/>
      <c r="C618" s="92"/>
      <c r="D618" s="91"/>
      <c r="E618" s="93"/>
      <c r="F618" s="94"/>
      <c r="G618" s="91"/>
      <c r="H618" s="93"/>
      <c r="I618" s="95"/>
      <c r="J618" s="95"/>
      <c r="K618" s="95"/>
      <c r="L618" s="94"/>
      <c r="M618" s="96"/>
      <c r="N618" s="95"/>
      <c r="O618" s="95"/>
      <c r="P618" s="95"/>
    </row>
    <row r="619" ht="15.75" customHeight="1">
      <c r="A619" s="90"/>
      <c r="B619" s="91"/>
      <c r="C619" s="92"/>
      <c r="D619" s="91"/>
      <c r="E619" s="93"/>
      <c r="F619" s="94"/>
      <c r="G619" s="91"/>
      <c r="H619" s="93"/>
      <c r="I619" s="95"/>
      <c r="J619" s="95"/>
      <c r="K619" s="95"/>
      <c r="L619" s="94"/>
      <c r="M619" s="96"/>
      <c r="N619" s="95"/>
      <c r="O619" s="95"/>
      <c r="P619" s="95"/>
    </row>
    <row r="620" ht="15.75" customHeight="1">
      <c r="A620" s="90"/>
      <c r="B620" s="91"/>
      <c r="C620" s="92"/>
      <c r="D620" s="91"/>
      <c r="E620" s="93"/>
      <c r="F620" s="94"/>
      <c r="G620" s="91"/>
      <c r="H620" s="93"/>
      <c r="I620" s="95"/>
      <c r="J620" s="95"/>
      <c r="K620" s="95"/>
      <c r="L620" s="94"/>
      <c r="M620" s="96"/>
      <c r="N620" s="95"/>
      <c r="O620" s="95"/>
      <c r="P620" s="95"/>
    </row>
    <row r="621" ht="15.75" customHeight="1">
      <c r="A621" s="90"/>
      <c r="B621" s="91"/>
      <c r="C621" s="92"/>
      <c r="D621" s="91"/>
      <c r="E621" s="93"/>
      <c r="F621" s="94"/>
      <c r="G621" s="91"/>
      <c r="H621" s="93"/>
      <c r="I621" s="95"/>
      <c r="J621" s="95"/>
      <c r="K621" s="95"/>
      <c r="L621" s="94"/>
      <c r="M621" s="96"/>
      <c r="N621" s="95"/>
      <c r="O621" s="95"/>
      <c r="P621" s="95"/>
    </row>
    <row r="622" ht="15.75" customHeight="1">
      <c r="A622" s="90"/>
      <c r="B622" s="91"/>
      <c r="C622" s="92"/>
      <c r="D622" s="91"/>
      <c r="E622" s="93"/>
      <c r="F622" s="94"/>
      <c r="G622" s="91"/>
      <c r="H622" s="93"/>
      <c r="I622" s="95"/>
      <c r="J622" s="95"/>
      <c r="K622" s="95"/>
      <c r="L622" s="94"/>
      <c r="M622" s="96"/>
      <c r="N622" s="95"/>
      <c r="O622" s="95"/>
      <c r="P622" s="95"/>
    </row>
    <row r="623" ht="15.75" customHeight="1">
      <c r="A623" s="90"/>
      <c r="B623" s="91"/>
      <c r="C623" s="92"/>
      <c r="D623" s="91"/>
      <c r="E623" s="93"/>
      <c r="F623" s="94"/>
      <c r="G623" s="91"/>
      <c r="H623" s="93"/>
      <c r="I623" s="95"/>
      <c r="J623" s="95"/>
      <c r="K623" s="95"/>
      <c r="L623" s="94"/>
      <c r="M623" s="96"/>
      <c r="N623" s="95"/>
      <c r="O623" s="95"/>
      <c r="P623" s="95"/>
    </row>
    <row r="624" ht="15.75" customHeight="1">
      <c r="A624" s="90"/>
      <c r="B624" s="91"/>
      <c r="C624" s="92"/>
      <c r="D624" s="91"/>
      <c r="E624" s="93"/>
      <c r="F624" s="94"/>
      <c r="G624" s="91"/>
      <c r="H624" s="93"/>
      <c r="I624" s="95"/>
      <c r="J624" s="95"/>
      <c r="K624" s="95"/>
      <c r="L624" s="94"/>
      <c r="M624" s="96"/>
      <c r="N624" s="95"/>
      <c r="O624" s="95"/>
      <c r="P624" s="95"/>
    </row>
    <row r="625" ht="15.75" customHeight="1">
      <c r="A625" s="90"/>
      <c r="B625" s="91"/>
      <c r="C625" s="92"/>
      <c r="D625" s="91"/>
      <c r="E625" s="93"/>
      <c r="F625" s="94"/>
      <c r="G625" s="91"/>
      <c r="H625" s="93"/>
      <c r="I625" s="95"/>
      <c r="J625" s="95"/>
      <c r="K625" s="95"/>
      <c r="L625" s="94"/>
      <c r="M625" s="96"/>
      <c r="N625" s="95"/>
      <c r="O625" s="95"/>
      <c r="P625" s="95"/>
    </row>
    <row r="626" ht="15.75" customHeight="1">
      <c r="A626" s="90"/>
      <c r="B626" s="91"/>
      <c r="C626" s="92"/>
      <c r="D626" s="91"/>
      <c r="E626" s="93"/>
      <c r="F626" s="94"/>
      <c r="G626" s="91"/>
      <c r="H626" s="93"/>
      <c r="I626" s="95"/>
      <c r="J626" s="95"/>
      <c r="K626" s="95"/>
      <c r="L626" s="94"/>
      <c r="M626" s="96"/>
      <c r="N626" s="95"/>
      <c r="O626" s="95"/>
      <c r="P626" s="95"/>
    </row>
    <row r="627" ht="15.75" customHeight="1">
      <c r="A627" s="90"/>
      <c r="B627" s="91"/>
      <c r="C627" s="92"/>
      <c r="D627" s="91"/>
      <c r="E627" s="93"/>
      <c r="F627" s="94"/>
      <c r="G627" s="91"/>
      <c r="H627" s="93"/>
      <c r="I627" s="95"/>
      <c r="J627" s="95"/>
      <c r="K627" s="95"/>
      <c r="L627" s="94"/>
      <c r="M627" s="96"/>
      <c r="N627" s="95"/>
      <c r="O627" s="95"/>
      <c r="P627" s="95"/>
    </row>
    <row r="628" ht="15.75" customHeight="1">
      <c r="A628" s="90"/>
      <c r="B628" s="91"/>
      <c r="C628" s="92"/>
      <c r="D628" s="91"/>
      <c r="E628" s="93"/>
      <c r="F628" s="94"/>
      <c r="G628" s="91"/>
      <c r="H628" s="93"/>
      <c r="I628" s="95"/>
      <c r="J628" s="95"/>
      <c r="K628" s="95"/>
      <c r="L628" s="94"/>
      <c r="M628" s="96"/>
      <c r="N628" s="95"/>
      <c r="O628" s="95"/>
      <c r="P628" s="95"/>
    </row>
    <row r="629" ht="15.75" customHeight="1">
      <c r="A629" s="90"/>
      <c r="B629" s="91"/>
      <c r="C629" s="92"/>
      <c r="D629" s="91"/>
      <c r="E629" s="93"/>
      <c r="F629" s="94"/>
      <c r="G629" s="91"/>
      <c r="H629" s="93"/>
      <c r="I629" s="95"/>
      <c r="J629" s="95"/>
      <c r="K629" s="95"/>
      <c r="L629" s="94"/>
      <c r="M629" s="96"/>
      <c r="N629" s="95"/>
      <c r="O629" s="95"/>
      <c r="P629" s="95"/>
    </row>
    <row r="630" ht="15.75" customHeight="1">
      <c r="A630" s="90"/>
      <c r="B630" s="91"/>
      <c r="C630" s="92"/>
      <c r="D630" s="91"/>
      <c r="E630" s="93"/>
      <c r="F630" s="94"/>
      <c r="G630" s="91"/>
      <c r="H630" s="93"/>
      <c r="I630" s="95"/>
      <c r="J630" s="95"/>
      <c r="K630" s="95"/>
      <c r="L630" s="94"/>
      <c r="M630" s="96"/>
      <c r="N630" s="95"/>
      <c r="O630" s="95"/>
      <c r="P630" s="95"/>
    </row>
    <row r="631" ht="15.75" customHeight="1">
      <c r="A631" s="90"/>
      <c r="B631" s="91"/>
      <c r="C631" s="92"/>
      <c r="D631" s="91"/>
      <c r="E631" s="93"/>
      <c r="F631" s="94"/>
      <c r="G631" s="91"/>
      <c r="H631" s="93"/>
      <c r="I631" s="95"/>
      <c r="J631" s="95"/>
      <c r="K631" s="95"/>
      <c r="L631" s="94"/>
      <c r="M631" s="96"/>
      <c r="N631" s="95"/>
      <c r="O631" s="95"/>
      <c r="P631" s="95"/>
    </row>
    <row r="632" ht="15.75" customHeight="1">
      <c r="A632" s="90"/>
      <c r="B632" s="91"/>
      <c r="C632" s="92"/>
      <c r="D632" s="91"/>
      <c r="E632" s="93"/>
      <c r="F632" s="94"/>
      <c r="G632" s="91"/>
      <c r="H632" s="93"/>
      <c r="I632" s="95"/>
      <c r="J632" s="95"/>
      <c r="K632" s="95"/>
      <c r="L632" s="94"/>
      <c r="M632" s="96"/>
      <c r="N632" s="95"/>
      <c r="O632" s="95"/>
      <c r="P632" s="95"/>
    </row>
    <row r="633" ht="15.75" customHeight="1">
      <c r="A633" s="90"/>
      <c r="B633" s="91"/>
      <c r="C633" s="92"/>
      <c r="D633" s="91"/>
      <c r="E633" s="93"/>
      <c r="F633" s="94"/>
      <c r="G633" s="91"/>
      <c r="H633" s="93"/>
      <c r="I633" s="95"/>
      <c r="J633" s="95"/>
      <c r="K633" s="95"/>
      <c r="L633" s="94"/>
      <c r="M633" s="96"/>
      <c r="N633" s="95"/>
      <c r="O633" s="95"/>
      <c r="P633" s="95"/>
    </row>
    <row r="634" ht="15.75" customHeight="1">
      <c r="A634" s="90"/>
      <c r="B634" s="91"/>
      <c r="C634" s="92"/>
      <c r="D634" s="91"/>
      <c r="E634" s="93"/>
      <c r="F634" s="94"/>
      <c r="G634" s="91"/>
      <c r="H634" s="93"/>
      <c r="I634" s="95"/>
      <c r="J634" s="95"/>
      <c r="K634" s="95"/>
      <c r="L634" s="94"/>
      <c r="M634" s="96"/>
      <c r="N634" s="95"/>
      <c r="O634" s="95"/>
      <c r="P634" s="95"/>
    </row>
    <row r="635" ht="15.75" customHeight="1">
      <c r="A635" s="90"/>
      <c r="B635" s="91"/>
      <c r="C635" s="92"/>
      <c r="D635" s="91"/>
      <c r="E635" s="93"/>
      <c r="F635" s="94"/>
      <c r="G635" s="91"/>
      <c r="H635" s="93"/>
      <c r="I635" s="95"/>
      <c r="J635" s="95"/>
      <c r="K635" s="95"/>
      <c r="L635" s="94"/>
      <c r="M635" s="96"/>
      <c r="N635" s="95"/>
      <c r="O635" s="95"/>
      <c r="P635" s="95"/>
    </row>
    <row r="636" ht="15.75" customHeight="1">
      <c r="A636" s="90"/>
      <c r="B636" s="91"/>
      <c r="C636" s="92"/>
      <c r="D636" s="91"/>
      <c r="E636" s="93"/>
      <c r="F636" s="94"/>
      <c r="G636" s="91"/>
      <c r="H636" s="93"/>
      <c r="I636" s="95"/>
      <c r="J636" s="95"/>
      <c r="K636" s="95"/>
      <c r="L636" s="94"/>
      <c r="M636" s="96"/>
      <c r="N636" s="95"/>
      <c r="O636" s="95"/>
      <c r="P636" s="95"/>
    </row>
    <row r="637" ht="15.75" customHeight="1">
      <c r="A637" s="90"/>
      <c r="B637" s="91"/>
      <c r="C637" s="92"/>
      <c r="D637" s="91"/>
      <c r="E637" s="93"/>
      <c r="F637" s="94"/>
      <c r="G637" s="91"/>
      <c r="H637" s="93"/>
      <c r="I637" s="95"/>
      <c r="J637" s="95"/>
      <c r="K637" s="95"/>
      <c r="L637" s="94"/>
      <c r="M637" s="96"/>
      <c r="N637" s="95"/>
      <c r="O637" s="95"/>
      <c r="P637" s="95"/>
    </row>
    <row r="638" ht="15.75" customHeight="1">
      <c r="A638" s="90"/>
      <c r="B638" s="91"/>
      <c r="C638" s="92"/>
      <c r="D638" s="91"/>
      <c r="E638" s="93"/>
      <c r="F638" s="94"/>
      <c r="G638" s="91"/>
      <c r="H638" s="93"/>
      <c r="I638" s="95"/>
      <c r="J638" s="95"/>
      <c r="K638" s="95"/>
      <c r="L638" s="94"/>
      <c r="M638" s="96"/>
      <c r="N638" s="95"/>
      <c r="O638" s="95"/>
      <c r="P638" s="95"/>
    </row>
    <row r="639" ht="15.75" customHeight="1">
      <c r="A639" s="90"/>
      <c r="B639" s="91"/>
      <c r="C639" s="92"/>
      <c r="D639" s="91"/>
      <c r="E639" s="93"/>
      <c r="F639" s="94"/>
      <c r="G639" s="91"/>
      <c r="H639" s="93"/>
      <c r="I639" s="95"/>
      <c r="J639" s="95"/>
      <c r="K639" s="95"/>
      <c r="L639" s="94"/>
      <c r="M639" s="96"/>
      <c r="N639" s="95"/>
      <c r="O639" s="95"/>
      <c r="P639" s="95"/>
    </row>
    <row r="640" ht="15.75" customHeight="1">
      <c r="A640" s="90"/>
      <c r="B640" s="91"/>
      <c r="C640" s="92"/>
      <c r="D640" s="91"/>
      <c r="E640" s="93"/>
      <c r="F640" s="94"/>
      <c r="G640" s="91"/>
      <c r="H640" s="93"/>
      <c r="I640" s="95"/>
      <c r="J640" s="95"/>
      <c r="K640" s="95"/>
      <c r="L640" s="94"/>
      <c r="M640" s="96"/>
      <c r="N640" s="95"/>
      <c r="O640" s="95"/>
      <c r="P640" s="95"/>
    </row>
    <row r="641" ht="15.75" customHeight="1">
      <c r="A641" s="90"/>
      <c r="B641" s="91"/>
      <c r="C641" s="92"/>
      <c r="D641" s="91"/>
      <c r="E641" s="93"/>
      <c r="F641" s="94"/>
      <c r="G641" s="91"/>
      <c r="H641" s="93"/>
      <c r="I641" s="95"/>
      <c r="J641" s="95"/>
      <c r="K641" s="95"/>
      <c r="L641" s="94"/>
      <c r="M641" s="96"/>
      <c r="N641" s="95"/>
      <c r="O641" s="95"/>
      <c r="P641" s="95"/>
    </row>
    <row r="642" ht="15.75" customHeight="1">
      <c r="A642" s="90"/>
      <c r="B642" s="91"/>
      <c r="C642" s="92"/>
      <c r="D642" s="91"/>
      <c r="E642" s="93"/>
      <c r="F642" s="94"/>
      <c r="G642" s="91"/>
      <c r="H642" s="93"/>
      <c r="I642" s="95"/>
      <c r="J642" s="95"/>
      <c r="K642" s="95"/>
      <c r="L642" s="94"/>
      <c r="M642" s="96"/>
      <c r="N642" s="95"/>
      <c r="O642" s="95"/>
      <c r="P642" s="95"/>
    </row>
    <row r="643" ht="15.75" customHeight="1">
      <c r="A643" s="90"/>
      <c r="B643" s="91"/>
      <c r="C643" s="92"/>
      <c r="D643" s="91"/>
      <c r="E643" s="93"/>
      <c r="F643" s="94"/>
      <c r="G643" s="91"/>
      <c r="H643" s="93"/>
      <c r="I643" s="95"/>
      <c r="J643" s="95"/>
      <c r="K643" s="95"/>
      <c r="L643" s="94"/>
      <c r="M643" s="96"/>
      <c r="N643" s="95"/>
      <c r="O643" s="95"/>
      <c r="P643" s="95"/>
    </row>
    <row r="644" ht="15.75" customHeight="1">
      <c r="A644" s="90"/>
      <c r="B644" s="91"/>
      <c r="C644" s="92"/>
      <c r="D644" s="91"/>
      <c r="E644" s="93"/>
      <c r="F644" s="94"/>
      <c r="G644" s="91"/>
      <c r="H644" s="93"/>
      <c r="I644" s="95"/>
      <c r="J644" s="95"/>
      <c r="K644" s="95"/>
      <c r="L644" s="94"/>
      <c r="M644" s="96"/>
      <c r="N644" s="95"/>
      <c r="O644" s="95"/>
      <c r="P644" s="95"/>
    </row>
    <row r="645" ht="15.75" customHeight="1">
      <c r="A645" s="90"/>
      <c r="B645" s="91"/>
      <c r="C645" s="92"/>
      <c r="D645" s="91"/>
      <c r="E645" s="93"/>
      <c r="F645" s="94"/>
      <c r="G645" s="91"/>
      <c r="H645" s="93"/>
      <c r="I645" s="95"/>
      <c r="J645" s="95"/>
      <c r="K645" s="95"/>
      <c r="L645" s="94"/>
      <c r="M645" s="96"/>
      <c r="N645" s="95"/>
      <c r="O645" s="95"/>
      <c r="P645" s="95"/>
    </row>
    <row r="646" ht="15.75" customHeight="1">
      <c r="A646" s="90"/>
      <c r="B646" s="91"/>
      <c r="C646" s="92"/>
      <c r="D646" s="91"/>
      <c r="E646" s="93"/>
      <c r="F646" s="94"/>
      <c r="G646" s="91"/>
      <c r="H646" s="93"/>
      <c r="I646" s="95"/>
      <c r="J646" s="95"/>
      <c r="K646" s="95"/>
      <c r="L646" s="94"/>
      <c r="M646" s="96"/>
      <c r="N646" s="95"/>
      <c r="O646" s="95"/>
      <c r="P646" s="95"/>
    </row>
    <row r="647" ht="15.75" customHeight="1">
      <c r="A647" s="90"/>
      <c r="B647" s="91"/>
      <c r="C647" s="92"/>
      <c r="D647" s="91"/>
      <c r="E647" s="93"/>
      <c r="F647" s="94"/>
      <c r="G647" s="91"/>
      <c r="H647" s="93"/>
      <c r="I647" s="95"/>
      <c r="J647" s="95"/>
      <c r="K647" s="95"/>
      <c r="L647" s="94"/>
      <c r="M647" s="96"/>
      <c r="N647" s="95"/>
      <c r="O647" s="95"/>
      <c r="P647" s="95"/>
    </row>
    <row r="648" ht="15.75" customHeight="1">
      <c r="A648" s="90"/>
      <c r="B648" s="91"/>
      <c r="C648" s="92"/>
      <c r="D648" s="91"/>
      <c r="E648" s="93"/>
      <c r="F648" s="94"/>
      <c r="G648" s="91"/>
      <c r="H648" s="93"/>
      <c r="I648" s="95"/>
      <c r="J648" s="95"/>
      <c r="K648" s="95"/>
      <c r="L648" s="94"/>
      <c r="M648" s="96"/>
      <c r="N648" s="95"/>
      <c r="O648" s="95"/>
      <c r="P648" s="95"/>
    </row>
    <row r="649" ht="15.75" customHeight="1">
      <c r="A649" s="90"/>
      <c r="B649" s="91"/>
      <c r="C649" s="92"/>
      <c r="D649" s="91"/>
      <c r="E649" s="93"/>
      <c r="F649" s="94"/>
      <c r="G649" s="91"/>
      <c r="H649" s="93"/>
      <c r="I649" s="95"/>
      <c r="J649" s="95"/>
      <c r="K649" s="95"/>
      <c r="L649" s="94"/>
      <c r="M649" s="96"/>
      <c r="N649" s="95"/>
      <c r="O649" s="95"/>
      <c r="P649" s="95"/>
    </row>
    <row r="650" ht="15.75" customHeight="1">
      <c r="A650" s="90"/>
      <c r="B650" s="91"/>
      <c r="C650" s="92"/>
      <c r="D650" s="91"/>
      <c r="E650" s="93"/>
      <c r="F650" s="94"/>
      <c r="G650" s="91"/>
      <c r="H650" s="93"/>
      <c r="I650" s="95"/>
      <c r="J650" s="95"/>
      <c r="K650" s="95"/>
      <c r="L650" s="94"/>
      <c r="M650" s="96"/>
      <c r="N650" s="95"/>
      <c r="O650" s="95"/>
      <c r="P650" s="95"/>
    </row>
    <row r="651" ht="15.75" customHeight="1">
      <c r="A651" s="90"/>
      <c r="B651" s="91"/>
      <c r="C651" s="92"/>
      <c r="D651" s="91"/>
      <c r="E651" s="93"/>
      <c r="F651" s="94"/>
      <c r="G651" s="91"/>
      <c r="H651" s="93"/>
      <c r="I651" s="95"/>
      <c r="J651" s="95"/>
      <c r="K651" s="95"/>
      <c r="L651" s="94"/>
      <c r="M651" s="96"/>
      <c r="N651" s="95"/>
      <c r="O651" s="95"/>
      <c r="P651" s="95"/>
    </row>
    <row r="652" ht="15.75" customHeight="1">
      <c r="A652" s="90"/>
      <c r="B652" s="91"/>
      <c r="C652" s="92"/>
      <c r="D652" s="91"/>
      <c r="E652" s="93"/>
      <c r="F652" s="94"/>
      <c r="G652" s="91"/>
      <c r="H652" s="93"/>
      <c r="I652" s="95"/>
      <c r="J652" s="95"/>
      <c r="K652" s="95"/>
      <c r="L652" s="94"/>
      <c r="M652" s="96"/>
      <c r="N652" s="95"/>
      <c r="O652" s="95"/>
      <c r="P652" s="95"/>
    </row>
    <row r="653" ht="15.75" customHeight="1">
      <c r="A653" s="90"/>
      <c r="B653" s="91"/>
      <c r="C653" s="92"/>
      <c r="D653" s="91"/>
      <c r="E653" s="93"/>
      <c r="F653" s="94"/>
      <c r="G653" s="91"/>
      <c r="H653" s="93"/>
      <c r="I653" s="95"/>
      <c r="J653" s="95"/>
      <c r="K653" s="95"/>
      <c r="L653" s="94"/>
      <c r="M653" s="96"/>
      <c r="N653" s="95"/>
      <c r="O653" s="95"/>
      <c r="P653" s="95"/>
    </row>
    <row r="654" ht="15.75" customHeight="1">
      <c r="A654" s="90"/>
      <c r="B654" s="91"/>
      <c r="C654" s="92"/>
      <c r="D654" s="91"/>
      <c r="E654" s="93"/>
      <c r="F654" s="94"/>
      <c r="G654" s="91"/>
      <c r="H654" s="93"/>
      <c r="I654" s="95"/>
      <c r="J654" s="95"/>
      <c r="K654" s="95"/>
      <c r="L654" s="94"/>
      <c r="M654" s="96"/>
      <c r="N654" s="95"/>
      <c r="O654" s="95"/>
      <c r="P654" s="95"/>
    </row>
    <row r="655" ht="15.75" customHeight="1">
      <c r="A655" s="90"/>
      <c r="B655" s="91"/>
      <c r="C655" s="92"/>
      <c r="D655" s="91"/>
      <c r="E655" s="93"/>
      <c r="F655" s="94"/>
      <c r="G655" s="91"/>
      <c r="H655" s="93"/>
      <c r="I655" s="95"/>
      <c r="J655" s="95"/>
      <c r="K655" s="95"/>
      <c r="L655" s="94"/>
      <c r="M655" s="96"/>
      <c r="N655" s="95"/>
      <c r="O655" s="95"/>
      <c r="P655" s="95"/>
    </row>
    <row r="656" ht="15.75" customHeight="1">
      <c r="A656" s="90"/>
      <c r="B656" s="91"/>
      <c r="C656" s="92"/>
      <c r="D656" s="91"/>
      <c r="E656" s="93"/>
      <c r="F656" s="94"/>
      <c r="G656" s="91"/>
      <c r="H656" s="93"/>
      <c r="I656" s="95"/>
      <c r="J656" s="95"/>
      <c r="K656" s="95"/>
      <c r="L656" s="94"/>
      <c r="M656" s="96"/>
      <c r="N656" s="95"/>
      <c r="O656" s="95"/>
      <c r="P656" s="95"/>
    </row>
    <row r="657" ht="15.75" customHeight="1">
      <c r="A657" s="90"/>
      <c r="B657" s="91"/>
      <c r="C657" s="92"/>
      <c r="D657" s="91"/>
      <c r="E657" s="93"/>
      <c r="F657" s="94"/>
      <c r="G657" s="91"/>
      <c r="H657" s="93"/>
      <c r="I657" s="95"/>
      <c r="J657" s="95"/>
      <c r="K657" s="95"/>
      <c r="L657" s="94"/>
      <c r="M657" s="96"/>
      <c r="N657" s="95"/>
      <c r="O657" s="95"/>
      <c r="P657" s="95"/>
    </row>
    <row r="658" ht="15.75" customHeight="1">
      <c r="A658" s="90"/>
      <c r="B658" s="91"/>
      <c r="C658" s="92"/>
      <c r="D658" s="91"/>
      <c r="E658" s="93"/>
      <c r="F658" s="94"/>
      <c r="G658" s="91"/>
      <c r="H658" s="93"/>
      <c r="I658" s="95"/>
      <c r="J658" s="95"/>
      <c r="K658" s="95"/>
      <c r="L658" s="94"/>
      <c r="M658" s="96"/>
      <c r="N658" s="95"/>
      <c r="O658" s="95"/>
      <c r="P658" s="95"/>
    </row>
    <row r="659" ht="15.75" customHeight="1">
      <c r="A659" s="90"/>
      <c r="B659" s="91"/>
      <c r="C659" s="92"/>
      <c r="D659" s="91"/>
      <c r="E659" s="93"/>
      <c r="F659" s="94"/>
      <c r="G659" s="91"/>
      <c r="H659" s="93"/>
      <c r="I659" s="95"/>
      <c r="J659" s="95"/>
      <c r="K659" s="95"/>
      <c r="L659" s="94"/>
      <c r="M659" s="96"/>
      <c r="N659" s="95"/>
      <c r="O659" s="95"/>
      <c r="P659" s="95"/>
    </row>
    <row r="660" ht="15.75" customHeight="1">
      <c r="A660" s="90"/>
      <c r="B660" s="91"/>
      <c r="C660" s="92"/>
      <c r="D660" s="91"/>
      <c r="E660" s="93"/>
      <c r="F660" s="94"/>
      <c r="G660" s="91"/>
      <c r="H660" s="93"/>
      <c r="I660" s="95"/>
      <c r="J660" s="95"/>
      <c r="K660" s="95"/>
      <c r="L660" s="94"/>
      <c r="M660" s="96"/>
      <c r="N660" s="95"/>
      <c r="O660" s="95"/>
      <c r="P660" s="95"/>
    </row>
    <row r="661" ht="15.75" customHeight="1">
      <c r="A661" s="90"/>
      <c r="B661" s="91"/>
      <c r="C661" s="92"/>
      <c r="D661" s="91"/>
      <c r="E661" s="93"/>
      <c r="F661" s="94"/>
      <c r="G661" s="91"/>
      <c r="H661" s="93"/>
      <c r="I661" s="95"/>
      <c r="J661" s="95"/>
      <c r="K661" s="95"/>
      <c r="L661" s="94"/>
      <c r="M661" s="96"/>
      <c r="N661" s="95"/>
      <c r="O661" s="95"/>
      <c r="P661" s="95"/>
    </row>
    <row r="662" ht="15.75" customHeight="1">
      <c r="A662" s="90"/>
      <c r="B662" s="91"/>
      <c r="C662" s="92"/>
      <c r="D662" s="91"/>
      <c r="E662" s="93"/>
      <c r="F662" s="94"/>
      <c r="G662" s="91"/>
      <c r="H662" s="93"/>
      <c r="I662" s="95"/>
      <c r="J662" s="95"/>
      <c r="K662" s="95"/>
      <c r="L662" s="94"/>
      <c r="M662" s="96"/>
      <c r="N662" s="95"/>
      <c r="O662" s="95"/>
      <c r="P662" s="95"/>
    </row>
    <row r="663" ht="15.75" customHeight="1">
      <c r="A663" s="90"/>
      <c r="B663" s="91"/>
      <c r="C663" s="92"/>
      <c r="D663" s="91"/>
      <c r="E663" s="93"/>
      <c r="F663" s="94"/>
      <c r="G663" s="91"/>
      <c r="H663" s="93"/>
      <c r="I663" s="95"/>
      <c r="J663" s="95"/>
      <c r="K663" s="95"/>
      <c r="L663" s="94"/>
      <c r="M663" s="96"/>
      <c r="N663" s="95"/>
      <c r="O663" s="95"/>
      <c r="P663" s="95"/>
    </row>
    <row r="664" ht="15.75" customHeight="1">
      <c r="A664" s="90"/>
      <c r="B664" s="91"/>
      <c r="C664" s="92"/>
      <c r="D664" s="91"/>
      <c r="E664" s="93"/>
      <c r="F664" s="94"/>
      <c r="G664" s="91"/>
      <c r="H664" s="93"/>
      <c r="I664" s="95"/>
      <c r="J664" s="95"/>
      <c r="K664" s="95"/>
      <c r="L664" s="94"/>
      <c r="M664" s="96"/>
      <c r="N664" s="95"/>
      <c r="O664" s="95"/>
      <c r="P664" s="95"/>
    </row>
    <row r="665" ht="15.75" customHeight="1">
      <c r="A665" s="90"/>
      <c r="B665" s="91"/>
      <c r="C665" s="92"/>
      <c r="D665" s="91"/>
      <c r="E665" s="93"/>
      <c r="F665" s="94"/>
      <c r="G665" s="91"/>
      <c r="H665" s="93"/>
      <c r="I665" s="95"/>
      <c r="J665" s="95"/>
      <c r="K665" s="95"/>
      <c r="L665" s="94"/>
      <c r="M665" s="96"/>
      <c r="N665" s="95"/>
      <c r="O665" s="95"/>
      <c r="P665" s="95"/>
    </row>
    <row r="666" ht="15.75" customHeight="1">
      <c r="A666" s="90"/>
      <c r="B666" s="91"/>
      <c r="C666" s="92"/>
      <c r="D666" s="91"/>
      <c r="E666" s="93"/>
      <c r="F666" s="94"/>
      <c r="G666" s="91"/>
      <c r="H666" s="93"/>
      <c r="I666" s="95"/>
      <c r="J666" s="95"/>
      <c r="K666" s="95"/>
      <c r="L666" s="94"/>
      <c r="M666" s="96"/>
      <c r="N666" s="95"/>
      <c r="O666" s="95"/>
      <c r="P666" s="95"/>
    </row>
    <row r="667" ht="15.75" customHeight="1">
      <c r="A667" s="90"/>
      <c r="B667" s="91"/>
      <c r="C667" s="92"/>
      <c r="D667" s="91"/>
      <c r="E667" s="93"/>
      <c r="F667" s="94"/>
      <c r="G667" s="91"/>
      <c r="H667" s="93"/>
      <c r="I667" s="95"/>
      <c r="J667" s="95"/>
      <c r="K667" s="95"/>
      <c r="L667" s="94"/>
      <c r="M667" s="96"/>
      <c r="N667" s="95"/>
      <c r="O667" s="95"/>
      <c r="P667" s="95"/>
    </row>
    <row r="668" ht="15.75" customHeight="1">
      <c r="A668" s="90"/>
      <c r="B668" s="91"/>
      <c r="C668" s="92"/>
      <c r="D668" s="91"/>
      <c r="E668" s="93"/>
      <c r="F668" s="94"/>
      <c r="G668" s="91"/>
      <c r="H668" s="93"/>
      <c r="I668" s="95"/>
      <c r="J668" s="95"/>
      <c r="K668" s="95"/>
      <c r="L668" s="94"/>
      <c r="M668" s="96"/>
      <c r="N668" s="95"/>
      <c r="O668" s="95"/>
      <c r="P668" s="95"/>
    </row>
    <row r="669" ht="15.75" customHeight="1">
      <c r="A669" s="90"/>
      <c r="B669" s="91"/>
      <c r="C669" s="92"/>
      <c r="D669" s="91"/>
      <c r="E669" s="93"/>
      <c r="F669" s="94"/>
      <c r="G669" s="91"/>
      <c r="H669" s="93"/>
      <c r="I669" s="95"/>
      <c r="J669" s="95"/>
      <c r="K669" s="95"/>
      <c r="L669" s="94"/>
      <c r="M669" s="96"/>
      <c r="N669" s="95"/>
      <c r="O669" s="95"/>
      <c r="P669" s="95"/>
    </row>
    <row r="670" ht="15.75" customHeight="1">
      <c r="A670" s="90"/>
      <c r="B670" s="91"/>
      <c r="C670" s="92"/>
      <c r="D670" s="91"/>
      <c r="E670" s="93"/>
      <c r="F670" s="94"/>
      <c r="G670" s="91"/>
      <c r="H670" s="93"/>
      <c r="I670" s="95"/>
      <c r="J670" s="95"/>
      <c r="K670" s="95"/>
      <c r="L670" s="94"/>
      <c r="M670" s="96"/>
      <c r="N670" s="95"/>
      <c r="O670" s="95"/>
      <c r="P670" s="95"/>
    </row>
    <row r="671" ht="15.75" customHeight="1">
      <c r="A671" s="90"/>
      <c r="B671" s="91"/>
      <c r="C671" s="92"/>
      <c r="D671" s="91"/>
      <c r="E671" s="93"/>
      <c r="F671" s="94"/>
      <c r="G671" s="91"/>
      <c r="H671" s="93"/>
      <c r="I671" s="95"/>
      <c r="J671" s="95"/>
      <c r="K671" s="95"/>
      <c r="L671" s="94"/>
      <c r="M671" s="96"/>
      <c r="N671" s="95"/>
      <c r="O671" s="95"/>
      <c r="P671" s="95"/>
    </row>
    <row r="672" ht="15.75" customHeight="1">
      <c r="A672" s="90"/>
      <c r="B672" s="91"/>
      <c r="C672" s="92"/>
      <c r="D672" s="91"/>
      <c r="E672" s="93"/>
      <c r="F672" s="94"/>
      <c r="G672" s="91"/>
      <c r="H672" s="93"/>
      <c r="I672" s="95"/>
      <c r="J672" s="95"/>
      <c r="K672" s="95"/>
      <c r="L672" s="94"/>
      <c r="M672" s="96"/>
      <c r="N672" s="95"/>
      <c r="O672" s="95"/>
      <c r="P672" s="95"/>
    </row>
    <row r="673" ht="15.75" customHeight="1">
      <c r="A673" s="90"/>
      <c r="B673" s="91"/>
      <c r="C673" s="92"/>
      <c r="D673" s="91"/>
      <c r="E673" s="93"/>
      <c r="F673" s="94"/>
      <c r="G673" s="91"/>
      <c r="H673" s="93"/>
      <c r="I673" s="95"/>
      <c r="J673" s="95"/>
      <c r="K673" s="95"/>
      <c r="L673" s="94"/>
      <c r="M673" s="96"/>
      <c r="N673" s="95"/>
      <c r="O673" s="95"/>
      <c r="P673" s="95"/>
    </row>
    <row r="674" ht="15.75" customHeight="1">
      <c r="A674" s="90"/>
      <c r="B674" s="91"/>
      <c r="C674" s="92"/>
      <c r="D674" s="91"/>
      <c r="E674" s="93"/>
      <c r="F674" s="94"/>
      <c r="G674" s="91"/>
      <c r="H674" s="93"/>
      <c r="I674" s="95"/>
      <c r="J674" s="95"/>
      <c r="K674" s="95"/>
      <c r="L674" s="94"/>
      <c r="M674" s="96"/>
      <c r="N674" s="95"/>
      <c r="O674" s="95"/>
      <c r="P674" s="95"/>
    </row>
    <row r="675" ht="15.75" customHeight="1">
      <c r="A675" s="90"/>
      <c r="B675" s="91"/>
      <c r="C675" s="92"/>
      <c r="D675" s="91"/>
      <c r="E675" s="93"/>
      <c r="F675" s="94"/>
      <c r="G675" s="91"/>
      <c r="H675" s="93"/>
      <c r="I675" s="95"/>
      <c r="J675" s="95"/>
      <c r="K675" s="95"/>
      <c r="L675" s="94"/>
      <c r="M675" s="96"/>
      <c r="N675" s="95"/>
      <c r="O675" s="95"/>
      <c r="P675" s="95"/>
    </row>
    <row r="676" ht="15.75" customHeight="1">
      <c r="A676" s="90"/>
      <c r="B676" s="91"/>
      <c r="C676" s="92"/>
      <c r="D676" s="91"/>
      <c r="E676" s="93"/>
      <c r="F676" s="94"/>
      <c r="G676" s="91"/>
      <c r="H676" s="93"/>
      <c r="I676" s="95"/>
      <c r="J676" s="95"/>
      <c r="K676" s="95"/>
      <c r="L676" s="94"/>
      <c r="M676" s="96"/>
      <c r="N676" s="95"/>
      <c r="O676" s="95"/>
      <c r="P676" s="95"/>
    </row>
    <row r="677" ht="15.75" customHeight="1">
      <c r="A677" s="90"/>
      <c r="B677" s="91"/>
      <c r="C677" s="92"/>
      <c r="D677" s="91"/>
      <c r="E677" s="93"/>
      <c r="F677" s="94"/>
      <c r="G677" s="91"/>
      <c r="H677" s="93"/>
      <c r="I677" s="95"/>
      <c r="J677" s="95"/>
      <c r="K677" s="95"/>
      <c r="L677" s="94"/>
      <c r="M677" s="96"/>
      <c r="N677" s="95"/>
      <c r="O677" s="95"/>
      <c r="P677" s="95"/>
    </row>
    <row r="678" ht="15.75" customHeight="1">
      <c r="A678" s="90"/>
      <c r="B678" s="91"/>
      <c r="C678" s="92"/>
      <c r="D678" s="91"/>
      <c r="E678" s="93"/>
      <c r="F678" s="94"/>
      <c r="G678" s="91"/>
      <c r="H678" s="93"/>
      <c r="I678" s="95"/>
      <c r="J678" s="95"/>
      <c r="K678" s="95"/>
      <c r="L678" s="94"/>
      <c r="M678" s="96"/>
      <c r="N678" s="95"/>
      <c r="O678" s="95"/>
      <c r="P678" s="95"/>
    </row>
    <row r="679" ht="15.75" customHeight="1">
      <c r="A679" s="90"/>
      <c r="B679" s="91"/>
      <c r="C679" s="92"/>
      <c r="D679" s="91"/>
      <c r="E679" s="93"/>
      <c r="F679" s="94"/>
      <c r="G679" s="91"/>
      <c r="H679" s="93"/>
      <c r="I679" s="95"/>
      <c r="J679" s="95"/>
      <c r="K679" s="95"/>
      <c r="L679" s="94"/>
      <c r="M679" s="96"/>
      <c r="N679" s="95"/>
      <c r="O679" s="95"/>
      <c r="P679" s="95"/>
    </row>
    <row r="680" ht="15.75" customHeight="1">
      <c r="A680" s="90"/>
      <c r="B680" s="91"/>
      <c r="C680" s="92"/>
      <c r="D680" s="91"/>
      <c r="E680" s="93"/>
      <c r="F680" s="94"/>
      <c r="G680" s="91"/>
      <c r="H680" s="93"/>
      <c r="I680" s="95"/>
      <c r="J680" s="95"/>
      <c r="K680" s="95"/>
      <c r="L680" s="94"/>
      <c r="M680" s="96"/>
      <c r="N680" s="95"/>
      <c r="O680" s="95"/>
      <c r="P680" s="95"/>
    </row>
    <row r="681" ht="15.75" customHeight="1">
      <c r="A681" s="90"/>
      <c r="B681" s="91"/>
      <c r="C681" s="92"/>
      <c r="D681" s="91"/>
      <c r="E681" s="93"/>
      <c r="F681" s="94"/>
      <c r="G681" s="91"/>
      <c r="H681" s="93"/>
      <c r="I681" s="95"/>
      <c r="J681" s="95"/>
      <c r="K681" s="95"/>
      <c r="L681" s="94"/>
      <c r="M681" s="96"/>
      <c r="N681" s="95"/>
      <c r="O681" s="95"/>
      <c r="P681" s="95"/>
    </row>
    <row r="682" ht="15.75" customHeight="1">
      <c r="A682" s="90"/>
      <c r="B682" s="91"/>
      <c r="C682" s="92"/>
      <c r="D682" s="91"/>
      <c r="E682" s="93"/>
      <c r="F682" s="94"/>
      <c r="G682" s="91"/>
      <c r="H682" s="93"/>
      <c r="I682" s="95"/>
      <c r="J682" s="95"/>
      <c r="K682" s="95"/>
      <c r="L682" s="94"/>
      <c r="M682" s="96"/>
      <c r="N682" s="95"/>
      <c r="O682" s="95"/>
      <c r="P682" s="95"/>
    </row>
    <row r="683" ht="15.75" customHeight="1">
      <c r="A683" s="90"/>
      <c r="B683" s="91"/>
      <c r="C683" s="92"/>
      <c r="D683" s="91"/>
      <c r="E683" s="93"/>
      <c r="F683" s="94"/>
      <c r="G683" s="91"/>
      <c r="H683" s="93"/>
      <c r="I683" s="95"/>
      <c r="J683" s="95"/>
      <c r="K683" s="95"/>
      <c r="L683" s="94"/>
      <c r="M683" s="96"/>
      <c r="N683" s="95"/>
      <c r="O683" s="95"/>
      <c r="P683" s="95"/>
    </row>
    <row r="684" ht="15.75" customHeight="1">
      <c r="A684" s="90"/>
      <c r="B684" s="91"/>
      <c r="C684" s="92"/>
      <c r="D684" s="91"/>
      <c r="E684" s="93"/>
      <c r="F684" s="94"/>
      <c r="G684" s="91"/>
      <c r="H684" s="93"/>
      <c r="I684" s="95"/>
      <c r="J684" s="95"/>
      <c r="K684" s="95"/>
      <c r="L684" s="94"/>
      <c r="M684" s="96"/>
      <c r="N684" s="95"/>
      <c r="O684" s="95"/>
      <c r="P684" s="95"/>
    </row>
    <row r="685" ht="15.75" customHeight="1">
      <c r="A685" s="90"/>
      <c r="B685" s="91"/>
      <c r="C685" s="92"/>
      <c r="D685" s="91"/>
      <c r="E685" s="93"/>
      <c r="F685" s="94"/>
      <c r="G685" s="91"/>
      <c r="H685" s="93"/>
      <c r="I685" s="95"/>
      <c r="J685" s="95"/>
      <c r="K685" s="95"/>
      <c r="L685" s="94"/>
      <c r="M685" s="96"/>
      <c r="N685" s="95"/>
      <c r="O685" s="95"/>
      <c r="P685" s="95"/>
    </row>
    <row r="686" ht="15.75" customHeight="1">
      <c r="A686" s="90"/>
      <c r="B686" s="91"/>
      <c r="C686" s="92"/>
      <c r="D686" s="91"/>
      <c r="E686" s="93"/>
      <c r="F686" s="94"/>
      <c r="G686" s="91"/>
      <c r="H686" s="93"/>
      <c r="I686" s="95"/>
      <c r="J686" s="95"/>
      <c r="K686" s="95"/>
      <c r="L686" s="94"/>
      <c r="M686" s="96"/>
      <c r="N686" s="95"/>
      <c r="O686" s="95"/>
      <c r="P686" s="95"/>
    </row>
    <row r="687" ht="15.75" customHeight="1">
      <c r="A687" s="90"/>
      <c r="B687" s="91"/>
      <c r="C687" s="92"/>
      <c r="D687" s="91"/>
      <c r="E687" s="93"/>
      <c r="F687" s="94"/>
      <c r="G687" s="91"/>
      <c r="H687" s="93"/>
      <c r="I687" s="95"/>
      <c r="J687" s="95"/>
      <c r="K687" s="95"/>
      <c r="L687" s="94"/>
      <c r="M687" s="96"/>
      <c r="N687" s="95"/>
      <c r="O687" s="95"/>
      <c r="P687" s="95"/>
    </row>
    <row r="688" ht="15.75" customHeight="1">
      <c r="A688" s="90"/>
      <c r="B688" s="91"/>
      <c r="C688" s="92"/>
      <c r="D688" s="91"/>
      <c r="E688" s="93"/>
      <c r="F688" s="94"/>
      <c r="G688" s="91"/>
      <c r="H688" s="93"/>
      <c r="I688" s="95"/>
      <c r="J688" s="95"/>
      <c r="K688" s="95"/>
      <c r="L688" s="94"/>
      <c r="M688" s="96"/>
      <c r="N688" s="95"/>
      <c r="O688" s="95"/>
      <c r="P688" s="95"/>
    </row>
    <row r="689" ht="15.75" customHeight="1">
      <c r="A689" s="90"/>
      <c r="B689" s="91"/>
      <c r="C689" s="92"/>
      <c r="D689" s="91"/>
      <c r="E689" s="93"/>
      <c r="F689" s="94"/>
      <c r="G689" s="91"/>
      <c r="H689" s="93"/>
      <c r="I689" s="95"/>
      <c r="J689" s="95"/>
      <c r="K689" s="95"/>
      <c r="L689" s="94"/>
      <c r="M689" s="96"/>
      <c r="N689" s="95"/>
      <c r="O689" s="95"/>
      <c r="P689" s="95"/>
    </row>
    <row r="690" ht="15.75" customHeight="1">
      <c r="A690" s="90"/>
      <c r="B690" s="91"/>
      <c r="C690" s="92"/>
      <c r="D690" s="91"/>
      <c r="E690" s="93"/>
      <c r="F690" s="94"/>
      <c r="G690" s="91"/>
      <c r="H690" s="93"/>
      <c r="I690" s="95"/>
      <c r="J690" s="95"/>
      <c r="K690" s="95"/>
      <c r="L690" s="94"/>
      <c r="M690" s="96"/>
      <c r="N690" s="95"/>
      <c r="O690" s="95"/>
      <c r="P690" s="95"/>
    </row>
    <row r="691" ht="15.75" customHeight="1">
      <c r="A691" s="90"/>
      <c r="B691" s="91"/>
      <c r="C691" s="92"/>
      <c r="D691" s="91"/>
      <c r="E691" s="93"/>
      <c r="F691" s="94"/>
      <c r="G691" s="91"/>
      <c r="H691" s="93"/>
      <c r="I691" s="95"/>
      <c r="J691" s="95"/>
      <c r="K691" s="95"/>
      <c r="L691" s="94"/>
      <c r="M691" s="96"/>
      <c r="N691" s="95"/>
      <c r="O691" s="95"/>
      <c r="P691" s="95"/>
    </row>
    <row r="692" ht="15.75" customHeight="1">
      <c r="A692" s="90"/>
      <c r="B692" s="91"/>
      <c r="C692" s="92"/>
      <c r="D692" s="91"/>
      <c r="E692" s="93"/>
      <c r="F692" s="94"/>
      <c r="G692" s="91"/>
      <c r="H692" s="93"/>
      <c r="I692" s="95"/>
      <c r="J692" s="95"/>
      <c r="K692" s="95"/>
      <c r="L692" s="94"/>
      <c r="M692" s="96"/>
      <c r="N692" s="95"/>
      <c r="O692" s="95"/>
      <c r="P692" s="95"/>
    </row>
    <row r="693" ht="15.75" customHeight="1">
      <c r="A693" s="90"/>
      <c r="B693" s="91"/>
      <c r="C693" s="92"/>
      <c r="D693" s="91"/>
      <c r="E693" s="93"/>
      <c r="F693" s="94"/>
      <c r="G693" s="91"/>
      <c r="H693" s="93"/>
      <c r="I693" s="95"/>
      <c r="J693" s="95"/>
      <c r="K693" s="95"/>
      <c r="L693" s="94"/>
      <c r="M693" s="96"/>
      <c r="N693" s="95"/>
      <c r="O693" s="95"/>
      <c r="P693" s="95"/>
    </row>
    <row r="694" ht="15.75" customHeight="1">
      <c r="A694" s="90"/>
      <c r="B694" s="91"/>
      <c r="C694" s="92"/>
      <c r="D694" s="91"/>
      <c r="E694" s="93"/>
      <c r="F694" s="94"/>
      <c r="G694" s="91"/>
      <c r="H694" s="93"/>
      <c r="I694" s="95"/>
      <c r="J694" s="95"/>
      <c r="K694" s="95"/>
      <c r="L694" s="94"/>
      <c r="M694" s="96"/>
      <c r="N694" s="95"/>
      <c r="O694" s="95"/>
      <c r="P694" s="95"/>
    </row>
    <row r="695" ht="15.75" customHeight="1">
      <c r="A695" s="90"/>
      <c r="B695" s="91"/>
      <c r="C695" s="92"/>
      <c r="D695" s="91"/>
      <c r="E695" s="93"/>
      <c r="F695" s="94"/>
      <c r="G695" s="91"/>
      <c r="H695" s="93"/>
      <c r="I695" s="95"/>
      <c r="J695" s="95"/>
      <c r="K695" s="95"/>
      <c r="L695" s="94"/>
      <c r="M695" s="96"/>
      <c r="N695" s="95"/>
      <c r="O695" s="95"/>
      <c r="P695" s="95"/>
    </row>
    <row r="696" ht="15.75" customHeight="1">
      <c r="A696" s="90"/>
      <c r="B696" s="91"/>
      <c r="C696" s="92"/>
      <c r="D696" s="91"/>
      <c r="E696" s="93"/>
      <c r="F696" s="94"/>
      <c r="G696" s="91"/>
      <c r="H696" s="93"/>
      <c r="I696" s="95"/>
      <c r="J696" s="95"/>
      <c r="K696" s="95"/>
      <c r="L696" s="94"/>
      <c r="M696" s="96"/>
      <c r="N696" s="95"/>
      <c r="O696" s="95"/>
      <c r="P696" s="95"/>
    </row>
    <row r="697" ht="15.75" customHeight="1">
      <c r="A697" s="90"/>
      <c r="B697" s="91"/>
      <c r="C697" s="92"/>
      <c r="D697" s="91"/>
      <c r="E697" s="93"/>
      <c r="F697" s="94"/>
      <c r="G697" s="91"/>
      <c r="H697" s="93"/>
      <c r="I697" s="95"/>
      <c r="J697" s="95"/>
      <c r="K697" s="95"/>
      <c r="L697" s="94"/>
      <c r="M697" s="96"/>
      <c r="N697" s="95"/>
      <c r="O697" s="95"/>
      <c r="P697" s="95"/>
    </row>
    <row r="698" ht="15.75" customHeight="1">
      <c r="A698" s="90"/>
      <c r="B698" s="91"/>
      <c r="C698" s="92"/>
      <c r="D698" s="91"/>
      <c r="E698" s="93"/>
      <c r="F698" s="94"/>
      <c r="G698" s="91"/>
      <c r="H698" s="93"/>
      <c r="I698" s="95"/>
      <c r="J698" s="95"/>
      <c r="K698" s="95"/>
      <c r="L698" s="94"/>
      <c r="M698" s="96"/>
      <c r="N698" s="95"/>
      <c r="O698" s="95"/>
      <c r="P698" s="95"/>
    </row>
    <row r="699" ht="15.75" customHeight="1">
      <c r="A699" s="90"/>
      <c r="B699" s="91"/>
      <c r="C699" s="92"/>
      <c r="D699" s="91"/>
      <c r="E699" s="93"/>
      <c r="F699" s="94"/>
      <c r="G699" s="91"/>
      <c r="H699" s="93"/>
      <c r="I699" s="95"/>
      <c r="J699" s="95"/>
      <c r="K699" s="95"/>
      <c r="L699" s="94"/>
      <c r="M699" s="96"/>
      <c r="N699" s="95"/>
      <c r="O699" s="95"/>
      <c r="P699" s="95"/>
    </row>
    <row r="700" ht="15.75" customHeight="1">
      <c r="A700" s="90"/>
      <c r="B700" s="91"/>
      <c r="C700" s="92"/>
      <c r="D700" s="91"/>
      <c r="E700" s="93"/>
      <c r="F700" s="94"/>
      <c r="G700" s="91"/>
      <c r="H700" s="93"/>
      <c r="I700" s="95"/>
      <c r="J700" s="95"/>
      <c r="K700" s="95"/>
      <c r="L700" s="94"/>
      <c r="M700" s="96"/>
      <c r="N700" s="95"/>
      <c r="O700" s="95"/>
      <c r="P700" s="95"/>
    </row>
    <row r="701" ht="15.75" customHeight="1">
      <c r="A701" s="90"/>
      <c r="B701" s="91"/>
      <c r="C701" s="92"/>
      <c r="D701" s="91"/>
      <c r="E701" s="93"/>
      <c r="F701" s="94"/>
      <c r="G701" s="91"/>
      <c r="H701" s="93"/>
      <c r="I701" s="95"/>
      <c r="J701" s="95"/>
      <c r="K701" s="95"/>
      <c r="L701" s="94"/>
      <c r="M701" s="96"/>
      <c r="N701" s="95"/>
      <c r="O701" s="95"/>
      <c r="P701" s="95"/>
    </row>
    <row r="702" ht="15.75" customHeight="1">
      <c r="A702" s="90"/>
      <c r="B702" s="91"/>
      <c r="C702" s="92"/>
      <c r="D702" s="91"/>
      <c r="E702" s="93"/>
      <c r="F702" s="94"/>
      <c r="G702" s="91"/>
      <c r="H702" s="93"/>
      <c r="I702" s="95"/>
      <c r="J702" s="95"/>
      <c r="K702" s="95"/>
      <c r="L702" s="94"/>
      <c r="M702" s="96"/>
      <c r="N702" s="95"/>
      <c r="O702" s="95"/>
      <c r="P702" s="95"/>
    </row>
    <row r="703" ht="15.75" customHeight="1">
      <c r="A703" s="90"/>
      <c r="B703" s="91"/>
      <c r="C703" s="92"/>
      <c r="D703" s="91"/>
      <c r="E703" s="93"/>
      <c r="F703" s="94"/>
      <c r="G703" s="91"/>
      <c r="H703" s="93"/>
      <c r="I703" s="95"/>
      <c r="J703" s="95"/>
      <c r="K703" s="95"/>
      <c r="L703" s="94"/>
      <c r="M703" s="96"/>
      <c r="N703" s="95"/>
      <c r="O703" s="95"/>
      <c r="P703" s="95"/>
    </row>
    <row r="704" ht="15.75" customHeight="1">
      <c r="A704" s="90"/>
      <c r="B704" s="91"/>
      <c r="C704" s="92"/>
      <c r="D704" s="91"/>
      <c r="E704" s="93"/>
      <c r="F704" s="94"/>
      <c r="G704" s="91"/>
      <c r="H704" s="93"/>
      <c r="I704" s="95"/>
      <c r="J704" s="95"/>
      <c r="K704" s="95"/>
      <c r="L704" s="94"/>
      <c r="M704" s="96"/>
      <c r="N704" s="95"/>
      <c r="O704" s="95"/>
      <c r="P704" s="95"/>
    </row>
    <row r="705" ht="15.75" customHeight="1">
      <c r="A705" s="90"/>
      <c r="B705" s="91"/>
      <c r="C705" s="92"/>
      <c r="D705" s="91"/>
      <c r="E705" s="93"/>
      <c r="F705" s="94"/>
      <c r="G705" s="91"/>
      <c r="H705" s="93"/>
      <c r="I705" s="95"/>
      <c r="J705" s="95"/>
      <c r="K705" s="95"/>
      <c r="L705" s="94"/>
      <c r="M705" s="96"/>
      <c r="N705" s="95"/>
      <c r="O705" s="95"/>
      <c r="P705" s="95"/>
    </row>
    <row r="706" ht="15.75" customHeight="1">
      <c r="A706" s="90"/>
      <c r="B706" s="91"/>
      <c r="C706" s="92"/>
      <c r="D706" s="91"/>
      <c r="E706" s="93"/>
      <c r="F706" s="94"/>
      <c r="G706" s="91"/>
      <c r="H706" s="93"/>
      <c r="I706" s="95"/>
      <c r="J706" s="95"/>
      <c r="K706" s="95"/>
      <c r="L706" s="94"/>
      <c r="M706" s="96"/>
      <c r="N706" s="95"/>
      <c r="O706" s="95"/>
      <c r="P706" s="95"/>
    </row>
    <row r="707" ht="15.75" customHeight="1">
      <c r="A707" s="90"/>
      <c r="B707" s="91"/>
      <c r="C707" s="92"/>
      <c r="D707" s="91"/>
      <c r="E707" s="93"/>
      <c r="F707" s="94"/>
      <c r="G707" s="91"/>
      <c r="H707" s="93"/>
      <c r="I707" s="95"/>
      <c r="J707" s="95"/>
      <c r="K707" s="95"/>
      <c r="L707" s="94"/>
      <c r="M707" s="96"/>
      <c r="N707" s="95"/>
      <c r="O707" s="95"/>
      <c r="P707" s="95"/>
    </row>
    <row r="708" ht="15.75" customHeight="1">
      <c r="A708" s="90"/>
      <c r="B708" s="91"/>
      <c r="C708" s="92"/>
      <c r="D708" s="91"/>
      <c r="E708" s="93"/>
      <c r="F708" s="94"/>
      <c r="G708" s="91"/>
      <c r="H708" s="93"/>
      <c r="I708" s="95"/>
      <c r="J708" s="95"/>
      <c r="K708" s="95"/>
      <c r="L708" s="94"/>
      <c r="M708" s="96"/>
      <c r="N708" s="95"/>
      <c r="O708" s="95"/>
      <c r="P708" s="95"/>
    </row>
    <row r="709" ht="15.75" customHeight="1">
      <c r="A709" s="90"/>
      <c r="B709" s="91"/>
      <c r="C709" s="92"/>
      <c r="D709" s="91"/>
      <c r="E709" s="93"/>
      <c r="F709" s="94"/>
      <c r="G709" s="91"/>
      <c r="H709" s="93"/>
      <c r="I709" s="95"/>
      <c r="J709" s="95"/>
      <c r="K709" s="95"/>
      <c r="L709" s="94"/>
      <c r="M709" s="96"/>
      <c r="N709" s="95"/>
      <c r="O709" s="95"/>
      <c r="P709" s="95"/>
    </row>
    <row r="710" ht="15.75" customHeight="1">
      <c r="A710" s="90"/>
      <c r="B710" s="91"/>
      <c r="C710" s="92"/>
      <c r="D710" s="91"/>
      <c r="E710" s="93"/>
      <c r="F710" s="94"/>
      <c r="G710" s="91"/>
      <c r="H710" s="93"/>
      <c r="I710" s="95"/>
      <c r="J710" s="95"/>
      <c r="K710" s="95"/>
      <c r="L710" s="94"/>
      <c r="M710" s="96"/>
      <c r="N710" s="95"/>
      <c r="O710" s="95"/>
      <c r="P710" s="95"/>
    </row>
    <row r="711" ht="15.75" customHeight="1">
      <c r="A711" s="90"/>
      <c r="B711" s="91"/>
      <c r="C711" s="92"/>
      <c r="D711" s="91"/>
      <c r="E711" s="93"/>
      <c r="F711" s="94"/>
      <c r="G711" s="91"/>
      <c r="H711" s="93"/>
      <c r="I711" s="95"/>
      <c r="J711" s="95"/>
      <c r="K711" s="95"/>
      <c r="L711" s="94"/>
      <c r="M711" s="96"/>
      <c r="N711" s="95"/>
      <c r="O711" s="95"/>
      <c r="P711" s="95"/>
    </row>
    <row r="712" ht="15.75" customHeight="1">
      <c r="A712" s="90"/>
      <c r="B712" s="91"/>
      <c r="C712" s="92"/>
      <c r="D712" s="91"/>
      <c r="E712" s="93"/>
      <c r="F712" s="94"/>
      <c r="G712" s="91"/>
      <c r="H712" s="93"/>
      <c r="I712" s="95"/>
      <c r="J712" s="95"/>
      <c r="K712" s="95"/>
      <c r="L712" s="94"/>
      <c r="M712" s="96"/>
      <c r="N712" s="95"/>
      <c r="O712" s="95"/>
      <c r="P712" s="95"/>
    </row>
    <row r="713" ht="15.75" customHeight="1">
      <c r="A713" s="90"/>
      <c r="B713" s="91"/>
      <c r="C713" s="92"/>
      <c r="D713" s="91"/>
      <c r="E713" s="93"/>
      <c r="F713" s="94"/>
      <c r="G713" s="91"/>
      <c r="H713" s="93"/>
      <c r="I713" s="95"/>
      <c r="J713" s="95"/>
      <c r="K713" s="95"/>
      <c r="L713" s="94"/>
      <c r="M713" s="96"/>
      <c r="N713" s="95"/>
      <c r="O713" s="95"/>
      <c r="P713" s="95"/>
    </row>
    <row r="714" ht="15.75" customHeight="1">
      <c r="A714" s="90"/>
      <c r="B714" s="91"/>
      <c r="C714" s="92"/>
      <c r="D714" s="91"/>
      <c r="E714" s="93"/>
      <c r="F714" s="94"/>
      <c r="G714" s="91"/>
      <c r="H714" s="93"/>
      <c r="I714" s="95"/>
      <c r="J714" s="95"/>
      <c r="K714" s="95"/>
      <c r="L714" s="94"/>
      <c r="M714" s="96"/>
      <c r="N714" s="95"/>
      <c r="O714" s="95"/>
      <c r="P714" s="95"/>
    </row>
    <row r="715" ht="15.75" customHeight="1">
      <c r="A715" s="90"/>
      <c r="B715" s="91"/>
      <c r="C715" s="92"/>
      <c r="D715" s="91"/>
      <c r="E715" s="93"/>
      <c r="F715" s="94"/>
      <c r="G715" s="91"/>
      <c r="H715" s="93"/>
      <c r="I715" s="95"/>
      <c r="J715" s="95"/>
      <c r="K715" s="95"/>
      <c r="L715" s="94"/>
      <c r="M715" s="96"/>
      <c r="N715" s="95"/>
      <c r="O715" s="95"/>
      <c r="P715" s="95"/>
    </row>
    <row r="716" ht="15.75" customHeight="1">
      <c r="A716" s="90"/>
      <c r="B716" s="91"/>
      <c r="C716" s="92"/>
      <c r="D716" s="91"/>
      <c r="E716" s="93"/>
      <c r="F716" s="94"/>
      <c r="G716" s="91"/>
      <c r="H716" s="93"/>
      <c r="I716" s="95"/>
      <c r="J716" s="95"/>
      <c r="K716" s="95"/>
      <c r="L716" s="94"/>
      <c r="M716" s="96"/>
      <c r="N716" s="95"/>
      <c r="O716" s="95"/>
      <c r="P716" s="95"/>
    </row>
    <row r="717" ht="15.75" customHeight="1">
      <c r="A717" s="90"/>
      <c r="B717" s="91"/>
      <c r="C717" s="92"/>
      <c r="D717" s="91"/>
      <c r="E717" s="93"/>
      <c r="F717" s="94"/>
      <c r="G717" s="91"/>
      <c r="H717" s="93"/>
      <c r="I717" s="95"/>
      <c r="J717" s="95"/>
      <c r="K717" s="95"/>
      <c r="L717" s="94"/>
      <c r="M717" s="96"/>
      <c r="N717" s="95"/>
      <c r="O717" s="95"/>
      <c r="P717" s="95"/>
    </row>
    <row r="718" ht="15.75" customHeight="1">
      <c r="A718" s="90"/>
      <c r="B718" s="91"/>
      <c r="C718" s="92"/>
      <c r="D718" s="91"/>
      <c r="E718" s="93"/>
      <c r="F718" s="94"/>
      <c r="G718" s="91"/>
      <c r="H718" s="93"/>
      <c r="I718" s="95"/>
      <c r="J718" s="95"/>
      <c r="K718" s="95"/>
      <c r="L718" s="94"/>
      <c r="M718" s="96"/>
      <c r="N718" s="95"/>
      <c r="O718" s="95"/>
      <c r="P718" s="95"/>
    </row>
    <row r="719" ht="15.75" customHeight="1">
      <c r="A719" s="90"/>
      <c r="B719" s="91"/>
      <c r="C719" s="92"/>
      <c r="D719" s="91"/>
      <c r="E719" s="93"/>
      <c r="F719" s="94"/>
      <c r="G719" s="91"/>
      <c r="H719" s="93"/>
      <c r="I719" s="95"/>
      <c r="J719" s="95"/>
      <c r="K719" s="95"/>
      <c r="L719" s="94"/>
      <c r="M719" s="96"/>
      <c r="N719" s="95"/>
      <c r="O719" s="95"/>
      <c r="P719" s="95"/>
    </row>
    <row r="720" ht="15.75" customHeight="1">
      <c r="A720" s="90"/>
      <c r="B720" s="91"/>
      <c r="C720" s="92"/>
      <c r="D720" s="91"/>
      <c r="E720" s="93"/>
      <c r="F720" s="94"/>
      <c r="G720" s="91"/>
      <c r="H720" s="93"/>
      <c r="I720" s="95"/>
      <c r="J720" s="95"/>
      <c r="K720" s="95"/>
      <c r="L720" s="94"/>
      <c r="M720" s="96"/>
      <c r="N720" s="95"/>
      <c r="O720" s="95"/>
      <c r="P720" s="95"/>
    </row>
    <row r="721" ht="15.75" customHeight="1">
      <c r="A721" s="90"/>
      <c r="B721" s="91"/>
      <c r="C721" s="92"/>
      <c r="D721" s="91"/>
      <c r="E721" s="93"/>
      <c r="F721" s="94"/>
      <c r="G721" s="91"/>
      <c r="H721" s="93"/>
      <c r="I721" s="95"/>
      <c r="J721" s="95"/>
      <c r="K721" s="95"/>
      <c r="L721" s="94"/>
      <c r="M721" s="96"/>
      <c r="N721" s="95"/>
      <c r="O721" s="95"/>
      <c r="P721" s="95"/>
    </row>
    <row r="722" ht="15.75" customHeight="1">
      <c r="A722" s="90"/>
      <c r="B722" s="91"/>
      <c r="C722" s="92"/>
      <c r="D722" s="91"/>
      <c r="E722" s="93"/>
      <c r="F722" s="94"/>
      <c r="G722" s="91"/>
      <c r="H722" s="93"/>
      <c r="I722" s="95"/>
      <c r="J722" s="95"/>
      <c r="K722" s="95"/>
      <c r="L722" s="94"/>
      <c r="M722" s="96"/>
      <c r="N722" s="95"/>
      <c r="O722" s="95"/>
      <c r="P722" s="95"/>
    </row>
    <row r="723" ht="15.75" customHeight="1">
      <c r="A723" s="90"/>
      <c r="B723" s="91"/>
      <c r="C723" s="92"/>
      <c r="D723" s="91"/>
      <c r="E723" s="93"/>
      <c r="F723" s="94"/>
      <c r="G723" s="91"/>
      <c r="H723" s="93"/>
      <c r="I723" s="95"/>
      <c r="J723" s="95"/>
      <c r="K723" s="95"/>
      <c r="L723" s="94"/>
      <c r="M723" s="96"/>
      <c r="N723" s="95"/>
      <c r="O723" s="95"/>
      <c r="P723" s="95"/>
    </row>
    <row r="724" ht="15.75" customHeight="1">
      <c r="A724" s="90"/>
      <c r="B724" s="91"/>
      <c r="C724" s="92"/>
      <c r="D724" s="91"/>
      <c r="E724" s="93"/>
      <c r="F724" s="94"/>
      <c r="G724" s="91"/>
      <c r="H724" s="93"/>
      <c r="I724" s="95"/>
      <c r="J724" s="95"/>
      <c r="K724" s="95"/>
      <c r="L724" s="94"/>
      <c r="M724" s="96"/>
      <c r="N724" s="95"/>
      <c r="O724" s="95"/>
      <c r="P724" s="95"/>
    </row>
    <row r="725" ht="15.75" customHeight="1">
      <c r="A725" s="90"/>
      <c r="B725" s="91"/>
      <c r="C725" s="92"/>
      <c r="D725" s="91"/>
      <c r="E725" s="93"/>
      <c r="F725" s="94"/>
      <c r="G725" s="91"/>
      <c r="H725" s="93"/>
      <c r="I725" s="95"/>
      <c r="J725" s="95"/>
      <c r="K725" s="95"/>
      <c r="L725" s="94"/>
      <c r="M725" s="96"/>
      <c r="N725" s="95"/>
      <c r="O725" s="95"/>
      <c r="P725" s="95"/>
    </row>
    <row r="726" ht="15.75" customHeight="1">
      <c r="A726" s="90"/>
      <c r="B726" s="91"/>
      <c r="C726" s="92"/>
      <c r="D726" s="91"/>
      <c r="E726" s="93"/>
      <c r="F726" s="94"/>
      <c r="G726" s="91"/>
      <c r="H726" s="93"/>
      <c r="I726" s="95"/>
      <c r="J726" s="95"/>
      <c r="K726" s="95"/>
      <c r="L726" s="94"/>
      <c r="M726" s="96"/>
      <c r="N726" s="95"/>
      <c r="O726" s="95"/>
      <c r="P726" s="95"/>
    </row>
    <row r="727" ht="15.75" customHeight="1">
      <c r="A727" s="90"/>
      <c r="B727" s="91"/>
      <c r="C727" s="92"/>
      <c r="D727" s="91"/>
      <c r="E727" s="93"/>
      <c r="F727" s="94"/>
      <c r="G727" s="91"/>
      <c r="H727" s="93"/>
      <c r="I727" s="95"/>
      <c r="J727" s="95"/>
      <c r="K727" s="95"/>
      <c r="L727" s="94"/>
      <c r="M727" s="96"/>
      <c r="N727" s="95"/>
      <c r="O727" s="95"/>
      <c r="P727" s="95"/>
    </row>
    <row r="728" ht="15.75" customHeight="1">
      <c r="A728" s="90"/>
      <c r="B728" s="91"/>
      <c r="C728" s="92"/>
      <c r="D728" s="91"/>
      <c r="E728" s="93"/>
      <c r="F728" s="94"/>
      <c r="G728" s="91"/>
      <c r="H728" s="93"/>
      <c r="I728" s="95"/>
      <c r="J728" s="95"/>
      <c r="K728" s="95"/>
      <c r="L728" s="94"/>
      <c r="M728" s="96"/>
      <c r="N728" s="95"/>
      <c r="O728" s="95"/>
      <c r="P728" s="95"/>
    </row>
    <row r="729" ht="15.75" customHeight="1">
      <c r="A729" s="90"/>
      <c r="B729" s="91"/>
      <c r="C729" s="92"/>
      <c r="D729" s="91"/>
      <c r="E729" s="93"/>
      <c r="F729" s="94"/>
      <c r="G729" s="91"/>
      <c r="H729" s="93"/>
      <c r="I729" s="95"/>
      <c r="J729" s="95"/>
      <c r="K729" s="95"/>
      <c r="L729" s="94"/>
      <c r="M729" s="96"/>
      <c r="N729" s="95"/>
      <c r="O729" s="95"/>
      <c r="P729" s="95"/>
    </row>
    <row r="730" ht="15.75" customHeight="1">
      <c r="A730" s="90"/>
      <c r="B730" s="91"/>
      <c r="C730" s="92"/>
      <c r="D730" s="91"/>
      <c r="E730" s="93"/>
      <c r="F730" s="94"/>
      <c r="G730" s="91"/>
      <c r="H730" s="93"/>
      <c r="I730" s="95"/>
      <c r="J730" s="95"/>
      <c r="K730" s="95"/>
      <c r="L730" s="94"/>
      <c r="M730" s="96"/>
      <c r="N730" s="95"/>
      <c r="O730" s="95"/>
      <c r="P730" s="95"/>
    </row>
    <row r="731" ht="15.75" customHeight="1">
      <c r="A731" s="90"/>
      <c r="B731" s="91"/>
      <c r="C731" s="92"/>
      <c r="D731" s="91"/>
      <c r="E731" s="93"/>
      <c r="F731" s="94"/>
      <c r="G731" s="91"/>
      <c r="H731" s="93"/>
      <c r="I731" s="95"/>
      <c r="J731" s="95"/>
      <c r="K731" s="95"/>
      <c r="L731" s="94"/>
      <c r="M731" s="96"/>
      <c r="N731" s="95"/>
      <c r="O731" s="95"/>
      <c r="P731" s="95"/>
    </row>
    <row r="732" ht="15.75" customHeight="1">
      <c r="A732" s="90"/>
      <c r="B732" s="91"/>
      <c r="C732" s="92"/>
      <c r="D732" s="91"/>
      <c r="E732" s="93"/>
      <c r="F732" s="94"/>
      <c r="G732" s="91"/>
      <c r="H732" s="93"/>
      <c r="I732" s="95"/>
      <c r="J732" s="95"/>
      <c r="K732" s="95"/>
      <c r="L732" s="94"/>
      <c r="M732" s="96"/>
      <c r="N732" s="95"/>
      <c r="O732" s="95"/>
      <c r="P732" s="95"/>
    </row>
    <row r="733" ht="15.75" customHeight="1">
      <c r="A733" s="90"/>
      <c r="B733" s="91"/>
      <c r="C733" s="92"/>
      <c r="D733" s="91"/>
      <c r="E733" s="93"/>
      <c r="F733" s="94"/>
      <c r="G733" s="91"/>
      <c r="H733" s="93"/>
      <c r="I733" s="95"/>
      <c r="J733" s="95"/>
      <c r="K733" s="95"/>
      <c r="L733" s="94"/>
      <c r="M733" s="96"/>
      <c r="N733" s="95"/>
      <c r="O733" s="95"/>
      <c r="P733" s="95"/>
    </row>
    <row r="734" ht="15.75" customHeight="1">
      <c r="A734" s="90"/>
      <c r="B734" s="91"/>
      <c r="C734" s="92"/>
      <c r="D734" s="91"/>
      <c r="E734" s="93"/>
      <c r="F734" s="94"/>
      <c r="G734" s="91"/>
      <c r="H734" s="93"/>
      <c r="I734" s="95"/>
      <c r="J734" s="95"/>
      <c r="K734" s="95"/>
      <c r="L734" s="94"/>
      <c r="M734" s="96"/>
      <c r="N734" s="95"/>
      <c r="O734" s="95"/>
      <c r="P734" s="95"/>
    </row>
    <row r="735" ht="15.75" customHeight="1">
      <c r="A735" s="90"/>
      <c r="B735" s="91"/>
      <c r="C735" s="92"/>
      <c r="D735" s="91"/>
      <c r="E735" s="93"/>
      <c r="F735" s="94"/>
      <c r="G735" s="91"/>
      <c r="H735" s="93"/>
      <c r="I735" s="95"/>
      <c r="J735" s="95"/>
      <c r="K735" s="95"/>
      <c r="L735" s="94"/>
      <c r="M735" s="96"/>
      <c r="N735" s="95"/>
      <c r="O735" s="95"/>
      <c r="P735" s="95"/>
    </row>
    <row r="736" ht="15.75" customHeight="1">
      <c r="A736" s="90"/>
      <c r="B736" s="91"/>
      <c r="C736" s="92"/>
      <c r="D736" s="91"/>
      <c r="E736" s="93"/>
      <c r="F736" s="94"/>
      <c r="G736" s="91"/>
      <c r="H736" s="93"/>
      <c r="I736" s="95"/>
      <c r="J736" s="95"/>
      <c r="K736" s="95"/>
      <c r="L736" s="94"/>
      <c r="M736" s="96"/>
      <c r="N736" s="95"/>
      <c r="O736" s="95"/>
      <c r="P736" s="95"/>
    </row>
    <row r="737" ht="15.75" customHeight="1">
      <c r="A737" s="90"/>
      <c r="B737" s="91"/>
      <c r="C737" s="92"/>
      <c r="D737" s="91"/>
      <c r="E737" s="93"/>
      <c r="F737" s="94"/>
      <c r="G737" s="91"/>
      <c r="H737" s="93"/>
      <c r="I737" s="95"/>
      <c r="J737" s="95"/>
      <c r="K737" s="95"/>
      <c r="L737" s="94"/>
      <c r="M737" s="96"/>
      <c r="N737" s="95"/>
      <c r="O737" s="95"/>
      <c r="P737" s="95"/>
    </row>
    <row r="738" ht="15.75" customHeight="1">
      <c r="A738" s="90"/>
      <c r="B738" s="91"/>
      <c r="C738" s="92"/>
      <c r="D738" s="91"/>
      <c r="E738" s="93"/>
      <c r="F738" s="94"/>
      <c r="G738" s="91"/>
      <c r="H738" s="93"/>
      <c r="I738" s="95"/>
      <c r="J738" s="95"/>
      <c r="K738" s="95"/>
      <c r="L738" s="94"/>
      <c r="M738" s="96"/>
      <c r="N738" s="95"/>
      <c r="O738" s="95"/>
      <c r="P738" s="95"/>
    </row>
    <row r="739" ht="15.75" customHeight="1">
      <c r="A739" s="90"/>
      <c r="B739" s="91"/>
      <c r="C739" s="92"/>
      <c r="D739" s="91"/>
      <c r="E739" s="93"/>
      <c r="F739" s="94"/>
      <c r="G739" s="91"/>
      <c r="H739" s="93"/>
      <c r="I739" s="95"/>
      <c r="J739" s="95"/>
      <c r="K739" s="95"/>
      <c r="L739" s="94"/>
      <c r="M739" s="96"/>
      <c r="N739" s="95"/>
      <c r="O739" s="95"/>
      <c r="P739" s="95"/>
    </row>
    <row r="740" ht="15.75" customHeight="1">
      <c r="A740" s="90"/>
      <c r="B740" s="91"/>
      <c r="C740" s="92"/>
      <c r="D740" s="91"/>
      <c r="E740" s="93"/>
      <c r="F740" s="94"/>
      <c r="G740" s="91"/>
      <c r="H740" s="93"/>
      <c r="I740" s="95"/>
      <c r="J740" s="95"/>
      <c r="K740" s="95"/>
      <c r="L740" s="94"/>
      <c r="M740" s="96"/>
      <c r="N740" s="95"/>
      <c r="O740" s="95"/>
      <c r="P740" s="95"/>
    </row>
    <row r="741" ht="15.75" customHeight="1">
      <c r="A741" s="90"/>
      <c r="B741" s="91"/>
      <c r="C741" s="92"/>
      <c r="D741" s="91"/>
      <c r="E741" s="93"/>
      <c r="F741" s="94"/>
      <c r="G741" s="91"/>
      <c r="H741" s="93"/>
      <c r="I741" s="95"/>
      <c r="J741" s="95"/>
      <c r="K741" s="95"/>
      <c r="L741" s="94"/>
      <c r="M741" s="96"/>
      <c r="N741" s="95"/>
      <c r="O741" s="95"/>
      <c r="P741" s="95"/>
    </row>
    <row r="742" ht="15.75" customHeight="1">
      <c r="A742" s="90"/>
      <c r="B742" s="91"/>
      <c r="C742" s="92"/>
      <c r="D742" s="91"/>
      <c r="E742" s="93"/>
      <c r="F742" s="94"/>
      <c r="G742" s="91"/>
      <c r="H742" s="93"/>
      <c r="I742" s="95"/>
      <c r="J742" s="95"/>
      <c r="K742" s="95"/>
      <c r="L742" s="94"/>
      <c r="M742" s="96"/>
      <c r="N742" s="95"/>
      <c r="O742" s="95"/>
      <c r="P742" s="95"/>
    </row>
    <row r="743" ht="15.75" customHeight="1">
      <c r="A743" s="90"/>
      <c r="B743" s="91"/>
      <c r="C743" s="92"/>
      <c r="D743" s="91"/>
      <c r="E743" s="93"/>
      <c r="F743" s="94"/>
      <c r="G743" s="91"/>
      <c r="H743" s="93"/>
      <c r="I743" s="95"/>
      <c r="J743" s="95"/>
      <c r="K743" s="95"/>
      <c r="L743" s="94"/>
      <c r="M743" s="96"/>
      <c r="N743" s="95"/>
      <c r="O743" s="95"/>
      <c r="P743" s="95"/>
    </row>
    <row r="744" ht="15.75" customHeight="1">
      <c r="A744" s="90"/>
      <c r="B744" s="91"/>
      <c r="C744" s="92"/>
      <c r="D744" s="91"/>
      <c r="E744" s="93"/>
      <c r="F744" s="94"/>
      <c r="G744" s="91"/>
      <c r="H744" s="93"/>
      <c r="I744" s="95"/>
      <c r="J744" s="95"/>
      <c r="K744" s="95"/>
      <c r="L744" s="94"/>
      <c r="M744" s="96"/>
      <c r="N744" s="95"/>
      <c r="O744" s="95"/>
      <c r="P744" s="95"/>
    </row>
    <row r="745" ht="15.75" customHeight="1">
      <c r="A745" s="90"/>
      <c r="B745" s="91"/>
      <c r="C745" s="92"/>
      <c r="D745" s="91"/>
      <c r="E745" s="93"/>
      <c r="F745" s="94"/>
      <c r="G745" s="91"/>
      <c r="H745" s="93"/>
      <c r="I745" s="95"/>
      <c r="J745" s="95"/>
      <c r="K745" s="95"/>
      <c r="L745" s="94"/>
      <c r="M745" s="96"/>
      <c r="N745" s="95"/>
      <c r="O745" s="95"/>
      <c r="P745" s="95"/>
    </row>
    <row r="746" ht="15.75" customHeight="1">
      <c r="A746" s="90"/>
      <c r="B746" s="91"/>
      <c r="C746" s="92"/>
      <c r="D746" s="91"/>
      <c r="E746" s="93"/>
      <c r="F746" s="94"/>
      <c r="G746" s="91"/>
      <c r="H746" s="93"/>
      <c r="I746" s="95"/>
      <c r="J746" s="95"/>
      <c r="K746" s="95"/>
      <c r="L746" s="94"/>
      <c r="M746" s="96"/>
      <c r="N746" s="95"/>
      <c r="O746" s="95"/>
      <c r="P746" s="95"/>
    </row>
    <row r="747" ht="15.75" customHeight="1">
      <c r="A747" s="90"/>
      <c r="B747" s="91"/>
      <c r="C747" s="92"/>
      <c r="D747" s="91"/>
      <c r="E747" s="93"/>
      <c r="F747" s="94"/>
      <c r="G747" s="91"/>
      <c r="H747" s="93"/>
      <c r="I747" s="95"/>
      <c r="J747" s="95"/>
      <c r="K747" s="95"/>
      <c r="L747" s="94"/>
      <c r="M747" s="96"/>
      <c r="N747" s="95"/>
      <c r="O747" s="95"/>
      <c r="P747" s="95"/>
    </row>
    <row r="748" ht="15.75" customHeight="1">
      <c r="A748" s="90"/>
      <c r="B748" s="91"/>
      <c r="C748" s="92"/>
      <c r="D748" s="91"/>
      <c r="E748" s="93"/>
      <c r="F748" s="94"/>
      <c r="G748" s="91"/>
      <c r="H748" s="93"/>
      <c r="I748" s="95"/>
      <c r="J748" s="95"/>
      <c r="K748" s="95"/>
      <c r="L748" s="94"/>
      <c r="M748" s="96"/>
      <c r="N748" s="95"/>
      <c r="O748" s="95"/>
      <c r="P748" s="95"/>
    </row>
    <row r="749" ht="15.75" customHeight="1">
      <c r="A749" s="90"/>
      <c r="B749" s="91"/>
      <c r="C749" s="92"/>
      <c r="D749" s="91"/>
      <c r="E749" s="93"/>
      <c r="F749" s="94"/>
      <c r="G749" s="91"/>
      <c r="H749" s="93"/>
      <c r="I749" s="95"/>
      <c r="J749" s="95"/>
      <c r="K749" s="95"/>
      <c r="L749" s="94"/>
      <c r="M749" s="96"/>
      <c r="N749" s="95"/>
      <c r="O749" s="95"/>
      <c r="P749" s="95"/>
    </row>
    <row r="750" ht="15.75" customHeight="1">
      <c r="A750" s="90"/>
      <c r="B750" s="91"/>
      <c r="C750" s="92"/>
      <c r="D750" s="91"/>
      <c r="E750" s="93"/>
      <c r="F750" s="94"/>
      <c r="G750" s="91"/>
      <c r="H750" s="93"/>
      <c r="I750" s="95"/>
      <c r="J750" s="95"/>
      <c r="K750" s="95"/>
      <c r="L750" s="94"/>
      <c r="M750" s="96"/>
      <c r="N750" s="95"/>
      <c r="O750" s="95"/>
      <c r="P750" s="95"/>
    </row>
    <row r="751" ht="15.75" customHeight="1">
      <c r="A751" s="90"/>
      <c r="B751" s="91"/>
      <c r="C751" s="92"/>
      <c r="D751" s="91"/>
      <c r="E751" s="93"/>
      <c r="F751" s="94"/>
      <c r="G751" s="91"/>
      <c r="H751" s="93"/>
      <c r="I751" s="95"/>
      <c r="J751" s="95"/>
      <c r="K751" s="95"/>
      <c r="L751" s="94"/>
      <c r="M751" s="96"/>
      <c r="N751" s="95"/>
      <c r="O751" s="95"/>
      <c r="P751" s="95"/>
    </row>
    <row r="752" ht="15.75" customHeight="1">
      <c r="A752" s="90"/>
      <c r="B752" s="91"/>
      <c r="C752" s="92"/>
      <c r="D752" s="91"/>
      <c r="E752" s="93"/>
      <c r="F752" s="94"/>
      <c r="G752" s="91"/>
      <c r="H752" s="93"/>
      <c r="I752" s="95"/>
      <c r="J752" s="95"/>
      <c r="K752" s="95"/>
      <c r="L752" s="94"/>
      <c r="M752" s="96"/>
      <c r="N752" s="95"/>
      <c r="O752" s="95"/>
      <c r="P752" s="95"/>
    </row>
    <row r="753" ht="15.75" customHeight="1">
      <c r="A753" s="90"/>
      <c r="B753" s="91"/>
      <c r="C753" s="92"/>
      <c r="D753" s="91"/>
      <c r="E753" s="93"/>
      <c r="F753" s="94"/>
      <c r="G753" s="91"/>
      <c r="H753" s="93"/>
      <c r="I753" s="95"/>
      <c r="J753" s="95"/>
      <c r="K753" s="95"/>
      <c r="L753" s="94"/>
      <c r="M753" s="96"/>
      <c r="N753" s="95"/>
      <c r="O753" s="95"/>
      <c r="P753" s="95"/>
    </row>
    <row r="754" ht="15.75" customHeight="1">
      <c r="A754" s="90"/>
      <c r="B754" s="91"/>
      <c r="C754" s="92"/>
      <c r="D754" s="91"/>
      <c r="E754" s="93"/>
      <c r="F754" s="94"/>
      <c r="G754" s="91"/>
      <c r="H754" s="93"/>
      <c r="I754" s="95"/>
      <c r="J754" s="95"/>
      <c r="K754" s="95"/>
      <c r="L754" s="94"/>
      <c r="M754" s="96"/>
      <c r="N754" s="95"/>
      <c r="O754" s="95"/>
      <c r="P754" s="95"/>
    </row>
    <row r="755" ht="15.75" customHeight="1">
      <c r="A755" s="90"/>
      <c r="B755" s="91"/>
      <c r="C755" s="92"/>
      <c r="D755" s="91"/>
      <c r="E755" s="93"/>
      <c r="F755" s="94"/>
      <c r="G755" s="91"/>
      <c r="H755" s="93"/>
      <c r="I755" s="95"/>
      <c r="J755" s="95"/>
      <c r="K755" s="95"/>
      <c r="L755" s="94"/>
      <c r="M755" s="96"/>
      <c r="N755" s="95"/>
      <c r="O755" s="95"/>
      <c r="P755" s="95"/>
    </row>
    <row r="756" ht="15.75" customHeight="1">
      <c r="A756" s="90"/>
      <c r="B756" s="91"/>
      <c r="C756" s="92"/>
      <c r="D756" s="91"/>
      <c r="E756" s="93"/>
      <c r="F756" s="94"/>
      <c r="G756" s="91"/>
      <c r="H756" s="93"/>
      <c r="I756" s="95"/>
      <c r="J756" s="95"/>
      <c r="K756" s="95"/>
      <c r="L756" s="94"/>
      <c r="M756" s="96"/>
      <c r="N756" s="95"/>
      <c r="O756" s="95"/>
      <c r="P756" s="95"/>
    </row>
    <row r="757" ht="15.75" customHeight="1">
      <c r="A757" s="90"/>
      <c r="B757" s="91"/>
      <c r="C757" s="92"/>
      <c r="D757" s="91"/>
      <c r="E757" s="93"/>
      <c r="F757" s="94"/>
      <c r="G757" s="91"/>
      <c r="H757" s="93"/>
      <c r="I757" s="95"/>
      <c r="J757" s="95"/>
      <c r="K757" s="95"/>
      <c r="L757" s="94"/>
      <c r="M757" s="96"/>
      <c r="N757" s="95"/>
      <c r="O757" s="95"/>
      <c r="P757" s="95"/>
    </row>
    <row r="758" ht="15.75" customHeight="1">
      <c r="A758" s="90"/>
      <c r="B758" s="91"/>
      <c r="C758" s="92"/>
      <c r="D758" s="91"/>
      <c r="E758" s="93"/>
      <c r="F758" s="94"/>
      <c r="G758" s="91"/>
      <c r="H758" s="93"/>
      <c r="I758" s="95"/>
      <c r="J758" s="95"/>
      <c r="K758" s="95"/>
      <c r="L758" s="94"/>
      <c r="M758" s="96"/>
      <c r="N758" s="95"/>
      <c r="O758" s="95"/>
      <c r="P758" s="95"/>
    </row>
    <row r="759" ht="15.75" customHeight="1">
      <c r="A759" s="90"/>
      <c r="B759" s="91"/>
      <c r="C759" s="92"/>
      <c r="D759" s="91"/>
      <c r="E759" s="93"/>
      <c r="F759" s="94"/>
      <c r="G759" s="91"/>
      <c r="H759" s="93"/>
      <c r="I759" s="95"/>
      <c r="J759" s="95"/>
      <c r="K759" s="95"/>
      <c r="L759" s="94"/>
      <c r="M759" s="96"/>
      <c r="N759" s="95"/>
      <c r="O759" s="95"/>
      <c r="P759" s="95"/>
    </row>
    <row r="760" ht="15.75" customHeight="1">
      <c r="A760" s="90"/>
      <c r="B760" s="91"/>
      <c r="C760" s="92"/>
      <c r="D760" s="91"/>
      <c r="E760" s="93"/>
      <c r="F760" s="94"/>
      <c r="G760" s="91"/>
      <c r="H760" s="93"/>
      <c r="I760" s="95"/>
      <c r="J760" s="95"/>
      <c r="K760" s="95"/>
      <c r="L760" s="94"/>
      <c r="M760" s="96"/>
      <c r="N760" s="95"/>
      <c r="O760" s="95"/>
      <c r="P760" s="95"/>
    </row>
    <row r="761" ht="15.75" customHeight="1">
      <c r="A761" s="90"/>
      <c r="B761" s="91"/>
      <c r="C761" s="92"/>
      <c r="D761" s="91"/>
      <c r="E761" s="93"/>
      <c r="F761" s="94"/>
      <c r="G761" s="91"/>
      <c r="H761" s="93"/>
      <c r="I761" s="95"/>
      <c r="J761" s="95"/>
      <c r="K761" s="95"/>
      <c r="L761" s="94"/>
      <c r="M761" s="96"/>
      <c r="N761" s="95"/>
      <c r="O761" s="95"/>
      <c r="P761" s="95"/>
    </row>
    <row r="762" ht="15.75" customHeight="1">
      <c r="A762" s="90"/>
      <c r="B762" s="91"/>
      <c r="C762" s="92"/>
      <c r="D762" s="91"/>
      <c r="E762" s="93"/>
      <c r="F762" s="94"/>
      <c r="G762" s="91"/>
      <c r="H762" s="93"/>
      <c r="I762" s="95"/>
      <c r="J762" s="95"/>
      <c r="K762" s="95"/>
      <c r="L762" s="94"/>
      <c r="M762" s="96"/>
      <c r="N762" s="95"/>
      <c r="O762" s="95"/>
      <c r="P762" s="95"/>
    </row>
    <row r="763" ht="15.75" customHeight="1">
      <c r="A763" s="90"/>
      <c r="B763" s="91"/>
      <c r="C763" s="92"/>
      <c r="D763" s="91"/>
      <c r="E763" s="93"/>
      <c r="F763" s="94"/>
      <c r="G763" s="91"/>
      <c r="H763" s="93"/>
      <c r="I763" s="95"/>
      <c r="J763" s="95"/>
      <c r="K763" s="95"/>
      <c r="L763" s="94"/>
      <c r="M763" s="96"/>
      <c r="N763" s="95"/>
      <c r="O763" s="95"/>
      <c r="P763" s="95"/>
    </row>
    <row r="764" ht="15.75" customHeight="1">
      <c r="A764" s="90"/>
      <c r="B764" s="91"/>
      <c r="C764" s="92"/>
      <c r="D764" s="91"/>
      <c r="E764" s="93"/>
      <c r="F764" s="94"/>
      <c r="G764" s="91"/>
      <c r="H764" s="93"/>
      <c r="I764" s="95"/>
      <c r="J764" s="95"/>
      <c r="K764" s="95"/>
      <c r="L764" s="94"/>
      <c r="M764" s="96"/>
      <c r="N764" s="95"/>
      <c r="O764" s="95"/>
      <c r="P764" s="95"/>
    </row>
    <row r="765" ht="15.75" customHeight="1">
      <c r="A765" s="90"/>
      <c r="B765" s="91"/>
      <c r="C765" s="92"/>
      <c r="D765" s="91"/>
      <c r="E765" s="93"/>
      <c r="F765" s="94"/>
      <c r="G765" s="91"/>
      <c r="H765" s="93"/>
      <c r="I765" s="95"/>
      <c r="J765" s="95"/>
      <c r="K765" s="95"/>
      <c r="L765" s="94"/>
      <c r="M765" s="96"/>
      <c r="N765" s="95"/>
      <c r="O765" s="95"/>
      <c r="P765" s="95"/>
    </row>
    <row r="766" ht="15.75" customHeight="1">
      <c r="A766" s="90"/>
      <c r="B766" s="91"/>
      <c r="C766" s="92"/>
      <c r="D766" s="91"/>
      <c r="E766" s="93"/>
      <c r="F766" s="94"/>
      <c r="G766" s="91"/>
      <c r="H766" s="93"/>
      <c r="I766" s="95"/>
      <c r="J766" s="95"/>
      <c r="K766" s="95"/>
      <c r="L766" s="94"/>
      <c r="M766" s="96"/>
      <c r="N766" s="95"/>
      <c r="O766" s="95"/>
      <c r="P766" s="95"/>
    </row>
    <row r="767" ht="15.75" customHeight="1">
      <c r="A767" s="90"/>
      <c r="B767" s="91"/>
      <c r="C767" s="92"/>
      <c r="D767" s="91"/>
      <c r="E767" s="93"/>
      <c r="F767" s="94"/>
      <c r="G767" s="91"/>
      <c r="H767" s="93"/>
      <c r="I767" s="95"/>
      <c r="J767" s="95"/>
      <c r="K767" s="95"/>
      <c r="L767" s="94"/>
      <c r="M767" s="96"/>
      <c r="N767" s="95"/>
      <c r="O767" s="95"/>
      <c r="P767" s="95"/>
    </row>
    <row r="768" ht="15.75" customHeight="1">
      <c r="A768" s="90"/>
      <c r="B768" s="91"/>
      <c r="C768" s="92"/>
      <c r="D768" s="91"/>
      <c r="E768" s="93"/>
      <c r="F768" s="94"/>
      <c r="G768" s="91"/>
      <c r="H768" s="93"/>
      <c r="I768" s="95"/>
      <c r="J768" s="95"/>
      <c r="K768" s="95"/>
      <c r="L768" s="94"/>
      <c r="M768" s="96"/>
      <c r="N768" s="95"/>
      <c r="O768" s="95"/>
      <c r="P768" s="95"/>
    </row>
    <row r="769" ht="15.75" customHeight="1">
      <c r="A769" s="90"/>
      <c r="B769" s="91"/>
      <c r="C769" s="92"/>
      <c r="D769" s="91"/>
      <c r="E769" s="93"/>
      <c r="F769" s="94"/>
      <c r="G769" s="91"/>
      <c r="H769" s="93"/>
      <c r="I769" s="95"/>
      <c r="J769" s="95"/>
      <c r="K769" s="95"/>
      <c r="L769" s="94"/>
      <c r="M769" s="96"/>
      <c r="N769" s="95"/>
      <c r="O769" s="95"/>
      <c r="P769" s="95"/>
    </row>
    <row r="770" ht="15.75" customHeight="1">
      <c r="A770" s="90"/>
      <c r="B770" s="91"/>
      <c r="C770" s="92"/>
      <c r="D770" s="91"/>
      <c r="E770" s="93"/>
      <c r="F770" s="94"/>
      <c r="G770" s="91"/>
      <c r="H770" s="93"/>
      <c r="I770" s="95"/>
      <c r="J770" s="95"/>
      <c r="K770" s="95"/>
      <c r="L770" s="94"/>
      <c r="M770" s="96"/>
      <c r="N770" s="95"/>
      <c r="O770" s="95"/>
      <c r="P770" s="95"/>
    </row>
    <row r="771" ht="15.75" customHeight="1">
      <c r="A771" s="90"/>
      <c r="B771" s="91"/>
      <c r="C771" s="92"/>
      <c r="D771" s="91"/>
      <c r="E771" s="93"/>
      <c r="F771" s="94"/>
      <c r="G771" s="91"/>
      <c r="H771" s="93"/>
      <c r="I771" s="95"/>
      <c r="J771" s="95"/>
      <c r="K771" s="95"/>
      <c r="L771" s="94"/>
      <c r="M771" s="96"/>
      <c r="N771" s="95"/>
      <c r="O771" s="95"/>
      <c r="P771" s="95"/>
    </row>
    <row r="772" ht="15.75" customHeight="1">
      <c r="A772" s="90"/>
      <c r="B772" s="91"/>
      <c r="C772" s="92"/>
      <c r="D772" s="91"/>
      <c r="E772" s="93"/>
      <c r="F772" s="94"/>
      <c r="G772" s="91"/>
      <c r="H772" s="93"/>
      <c r="I772" s="95"/>
      <c r="J772" s="95"/>
      <c r="K772" s="95"/>
      <c r="L772" s="94"/>
      <c r="M772" s="96"/>
      <c r="N772" s="95"/>
      <c r="O772" s="95"/>
      <c r="P772" s="95"/>
    </row>
    <row r="773" ht="15.75" customHeight="1">
      <c r="A773" s="90"/>
      <c r="B773" s="91"/>
      <c r="C773" s="92"/>
      <c r="D773" s="91"/>
      <c r="E773" s="93"/>
      <c r="F773" s="94"/>
      <c r="G773" s="91"/>
      <c r="H773" s="93"/>
      <c r="I773" s="95"/>
      <c r="J773" s="95"/>
      <c r="K773" s="95"/>
      <c r="L773" s="94"/>
      <c r="M773" s="96"/>
      <c r="N773" s="95"/>
      <c r="O773" s="95"/>
      <c r="P773" s="95"/>
    </row>
    <row r="774" ht="15.75" customHeight="1">
      <c r="A774" s="90"/>
      <c r="B774" s="91"/>
      <c r="C774" s="92"/>
      <c r="D774" s="91"/>
      <c r="E774" s="93"/>
      <c r="F774" s="94"/>
      <c r="G774" s="91"/>
      <c r="H774" s="93"/>
      <c r="I774" s="95"/>
      <c r="J774" s="95"/>
      <c r="K774" s="95"/>
      <c r="L774" s="94"/>
      <c r="M774" s="96"/>
      <c r="N774" s="95"/>
      <c r="O774" s="95"/>
      <c r="P774" s="95"/>
    </row>
    <row r="775" ht="15.75" customHeight="1">
      <c r="A775" s="90"/>
      <c r="B775" s="91"/>
      <c r="C775" s="92"/>
      <c r="D775" s="91"/>
      <c r="E775" s="93"/>
      <c r="F775" s="94"/>
      <c r="G775" s="91"/>
      <c r="H775" s="93"/>
      <c r="I775" s="95"/>
      <c r="J775" s="95"/>
      <c r="K775" s="95"/>
      <c r="L775" s="94"/>
      <c r="M775" s="96"/>
      <c r="N775" s="95"/>
      <c r="O775" s="95"/>
      <c r="P775" s="95"/>
    </row>
    <row r="776" ht="15.75" customHeight="1">
      <c r="A776" s="90"/>
      <c r="B776" s="91"/>
      <c r="C776" s="92"/>
      <c r="D776" s="91"/>
      <c r="E776" s="93"/>
      <c r="F776" s="94"/>
      <c r="G776" s="91"/>
      <c r="H776" s="93"/>
      <c r="I776" s="95"/>
      <c r="J776" s="95"/>
      <c r="K776" s="95"/>
      <c r="L776" s="94"/>
      <c r="M776" s="96"/>
      <c r="N776" s="95"/>
      <c r="O776" s="95"/>
      <c r="P776" s="95"/>
    </row>
    <row r="777" ht="15.75" customHeight="1">
      <c r="A777" s="90"/>
      <c r="B777" s="91"/>
      <c r="C777" s="92"/>
      <c r="D777" s="91"/>
      <c r="E777" s="93"/>
      <c r="F777" s="94"/>
      <c r="G777" s="91"/>
      <c r="H777" s="93"/>
      <c r="I777" s="95"/>
      <c r="J777" s="95"/>
      <c r="K777" s="95"/>
      <c r="L777" s="94"/>
      <c r="M777" s="96"/>
      <c r="N777" s="95"/>
      <c r="O777" s="95"/>
      <c r="P777" s="95"/>
    </row>
    <row r="778" ht="15.75" customHeight="1">
      <c r="A778" s="90"/>
      <c r="B778" s="91"/>
      <c r="C778" s="92"/>
      <c r="D778" s="91"/>
      <c r="E778" s="93"/>
      <c r="F778" s="94"/>
      <c r="G778" s="91"/>
      <c r="H778" s="93"/>
      <c r="I778" s="95"/>
      <c r="J778" s="95"/>
      <c r="K778" s="95"/>
      <c r="L778" s="94"/>
      <c r="M778" s="96"/>
      <c r="N778" s="95"/>
      <c r="O778" s="95"/>
      <c r="P778" s="95"/>
    </row>
    <row r="779" ht="15.75" customHeight="1">
      <c r="A779" s="90"/>
      <c r="B779" s="91"/>
      <c r="C779" s="92"/>
      <c r="D779" s="91"/>
      <c r="E779" s="93"/>
      <c r="F779" s="94"/>
      <c r="G779" s="91"/>
      <c r="H779" s="93"/>
      <c r="I779" s="95"/>
      <c r="J779" s="95"/>
      <c r="K779" s="95"/>
      <c r="L779" s="94"/>
      <c r="M779" s="96"/>
      <c r="N779" s="95"/>
      <c r="O779" s="95"/>
      <c r="P779" s="95"/>
    </row>
    <row r="780" ht="15.75" customHeight="1">
      <c r="A780" s="90"/>
      <c r="B780" s="91"/>
      <c r="C780" s="92"/>
      <c r="D780" s="91"/>
      <c r="E780" s="93"/>
      <c r="F780" s="94"/>
      <c r="G780" s="91"/>
      <c r="H780" s="93"/>
      <c r="I780" s="95"/>
      <c r="J780" s="95"/>
      <c r="K780" s="95"/>
      <c r="L780" s="94"/>
      <c r="M780" s="96"/>
      <c r="N780" s="95"/>
      <c r="O780" s="95"/>
      <c r="P780" s="95"/>
    </row>
    <row r="781" ht="15.75" customHeight="1">
      <c r="A781" s="90"/>
      <c r="B781" s="91"/>
      <c r="C781" s="92"/>
      <c r="D781" s="91"/>
      <c r="E781" s="93"/>
      <c r="F781" s="94"/>
      <c r="G781" s="91"/>
      <c r="H781" s="93"/>
      <c r="I781" s="95"/>
      <c r="J781" s="95"/>
      <c r="K781" s="95"/>
      <c r="L781" s="94"/>
      <c r="M781" s="96"/>
      <c r="N781" s="95"/>
      <c r="O781" s="95"/>
      <c r="P781" s="95"/>
    </row>
    <row r="782" ht="15.75" customHeight="1">
      <c r="A782" s="90"/>
      <c r="B782" s="91"/>
      <c r="C782" s="92"/>
      <c r="D782" s="91"/>
      <c r="E782" s="93"/>
      <c r="F782" s="94"/>
      <c r="G782" s="91"/>
      <c r="H782" s="93"/>
      <c r="I782" s="95"/>
      <c r="J782" s="95"/>
      <c r="K782" s="95"/>
      <c r="L782" s="94"/>
      <c r="M782" s="96"/>
      <c r="N782" s="95"/>
      <c r="O782" s="95"/>
      <c r="P782" s="95"/>
    </row>
    <row r="783" ht="15.75" customHeight="1">
      <c r="A783" s="90"/>
      <c r="B783" s="91"/>
      <c r="C783" s="92"/>
      <c r="D783" s="91"/>
      <c r="E783" s="93"/>
      <c r="F783" s="94"/>
      <c r="G783" s="91"/>
      <c r="H783" s="93"/>
      <c r="I783" s="95"/>
      <c r="J783" s="95"/>
      <c r="K783" s="95"/>
      <c r="L783" s="94"/>
      <c r="M783" s="96"/>
      <c r="N783" s="95"/>
      <c r="O783" s="95"/>
      <c r="P783" s="95"/>
    </row>
    <row r="784" ht="15.75" customHeight="1">
      <c r="A784" s="90"/>
      <c r="B784" s="91"/>
      <c r="C784" s="92"/>
      <c r="D784" s="91"/>
      <c r="E784" s="93"/>
      <c r="F784" s="94"/>
      <c r="G784" s="91"/>
      <c r="H784" s="93"/>
      <c r="I784" s="95"/>
      <c r="J784" s="95"/>
      <c r="K784" s="95"/>
      <c r="L784" s="94"/>
      <c r="M784" s="96"/>
      <c r="N784" s="95"/>
      <c r="O784" s="95"/>
      <c r="P784" s="95"/>
    </row>
    <row r="785" ht="15.75" customHeight="1">
      <c r="A785" s="90"/>
      <c r="B785" s="91"/>
      <c r="C785" s="92"/>
      <c r="D785" s="91"/>
      <c r="E785" s="93"/>
      <c r="F785" s="94"/>
      <c r="G785" s="91"/>
      <c r="H785" s="93"/>
      <c r="I785" s="95"/>
      <c r="J785" s="95"/>
      <c r="K785" s="95"/>
      <c r="L785" s="94"/>
      <c r="M785" s="96"/>
      <c r="N785" s="95"/>
      <c r="O785" s="95"/>
      <c r="P785" s="95"/>
    </row>
    <row r="786" ht="15.75" customHeight="1">
      <c r="A786" s="90"/>
      <c r="B786" s="91"/>
      <c r="C786" s="92"/>
      <c r="D786" s="91"/>
      <c r="E786" s="93"/>
      <c r="F786" s="94"/>
      <c r="G786" s="91"/>
      <c r="H786" s="93"/>
      <c r="I786" s="95"/>
      <c r="J786" s="95"/>
      <c r="K786" s="95"/>
      <c r="L786" s="94"/>
      <c r="M786" s="96"/>
      <c r="N786" s="95"/>
      <c r="O786" s="95"/>
      <c r="P786" s="95"/>
    </row>
    <row r="787" ht="15.75" customHeight="1">
      <c r="A787" s="90"/>
      <c r="B787" s="91"/>
      <c r="C787" s="92"/>
      <c r="D787" s="91"/>
      <c r="E787" s="93"/>
      <c r="F787" s="94"/>
      <c r="G787" s="91"/>
      <c r="H787" s="93"/>
      <c r="I787" s="95"/>
      <c r="J787" s="95"/>
      <c r="K787" s="95"/>
      <c r="L787" s="94"/>
      <c r="M787" s="96"/>
      <c r="N787" s="95"/>
      <c r="O787" s="95"/>
      <c r="P787" s="95"/>
    </row>
    <row r="788" ht="15.75" customHeight="1">
      <c r="A788" s="90"/>
      <c r="B788" s="91"/>
      <c r="C788" s="92"/>
      <c r="D788" s="91"/>
      <c r="E788" s="93"/>
      <c r="F788" s="94"/>
      <c r="G788" s="91"/>
      <c r="H788" s="93"/>
      <c r="I788" s="95"/>
      <c r="J788" s="95"/>
      <c r="K788" s="95"/>
      <c r="L788" s="94"/>
      <c r="M788" s="96"/>
      <c r="N788" s="95"/>
      <c r="O788" s="95"/>
      <c r="P788" s="95"/>
    </row>
    <row r="789" ht="15.75" customHeight="1">
      <c r="A789" s="90"/>
      <c r="B789" s="91"/>
      <c r="C789" s="92"/>
      <c r="D789" s="91"/>
      <c r="E789" s="93"/>
      <c r="F789" s="94"/>
      <c r="G789" s="91"/>
      <c r="H789" s="93"/>
      <c r="I789" s="95"/>
      <c r="J789" s="95"/>
      <c r="K789" s="95"/>
      <c r="L789" s="94"/>
      <c r="M789" s="96"/>
      <c r="N789" s="95"/>
      <c r="O789" s="95"/>
      <c r="P789" s="95"/>
    </row>
    <row r="790" ht="15.75" customHeight="1">
      <c r="A790" s="90"/>
      <c r="B790" s="91"/>
      <c r="C790" s="92"/>
      <c r="D790" s="91"/>
      <c r="E790" s="93"/>
      <c r="F790" s="94"/>
      <c r="G790" s="91"/>
      <c r="H790" s="93"/>
      <c r="I790" s="95"/>
      <c r="J790" s="95"/>
      <c r="K790" s="95"/>
      <c r="L790" s="94"/>
      <c r="M790" s="96"/>
      <c r="N790" s="95"/>
      <c r="O790" s="95"/>
      <c r="P790" s="95"/>
    </row>
    <row r="791" ht="15.75" customHeight="1">
      <c r="A791" s="90"/>
      <c r="B791" s="91"/>
      <c r="C791" s="92"/>
      <c r="D791" s="91"/>
      <c r="E791" s="93"/>
      <c r="F791" s="94"/>
      <c r="G791" s="91"/>
      <c r="H791" s="93"/>
      <c r="I791" s="95"/>
      <c r="J791" s="95"/>
      <c r="K791" s="95"/>
      <c r="L791" s="94"/>
      <c r="M791" s="96"/>
      <c r="N791" s="95"/>
      <c r="O791" s="95"/>
      <c r="P791" s="95"/>
    </row>
    <row r="792" ht="15.75" customHeight="1">
      <c r="A792" s="90"/>
      <c r="B792" s="91"/>
      <c r="C792" s="92"/>
      <c r="D792" s="91"/>
      <c r="E792" s="93"/>
      <c r="F792" s="94"/>
      <c r="G792" s="91"/>
      <c r="H792" s="93"/>
      <c r="I792" s="95"/>
      <c r="J792" s="95"/>
      <c r="K792" s="95"/>
      <c r="L792" s="94"/>
      <c r="M792" s="96"/>
      <c r="N792" s="95"/>
      <c r="O792" s="95"/>
      <c r="P792" s="95"/>
    </row>
    <row r="793" ht="15.75" customHeight="1">
      <c r="A793" s="90"/>
      <c r="B793" s="91"/>
      <c r="C793" s="92"/>
      <c r="D793" s="91"/>
      <c r="E793" s="93"/>
      <c r="F793" s="94"/>
      <c r="G793" s="91"/>
      <c r="H793" s="93"/>
      <c r="I793" s="95"/>
      <c r="J793" s="95"/>
      <c r="K793" s="95"/>
      <c r="L793" s="94"/>
      <c r="M793" s="96"/>
      <c r="N793" s="95"/>
      <c r="O793" s="95"/>
      <c r="P793" s="95"/>
    </row>
    <row r="794" ht="15.75" customHeight="1">
      <c r="A794" s="90"/>
      <c r="B794" s="91"/>
      <c r="C794" s="92"/>
      <c r="D794" s="91"/>
      <c r="E794" s="93"/>
      <c r="F794" s="94"/>
      <c r="G794" s="91"/>
      <c r="H794" s="93"/>
      <c r="I794" s="95"/>
      <c r="J794" s="95"/>
      <c r="K794" s="95"/>
      <c r="L794" s="94"/>
      <c r="M794" s="96"/>
      <c r="N794" s="95"/>
      <c r="O794" s="95"/>
      <c r="P794" s="95"/>
    </row>
    <row r="795" ht="15.75" customHeight="1">
      <c r="A795" s="90"/>
      <c r="B795" s="91"/>
      <c r="C795" s="92"/>
      <c r="D795" s="91"/>
      <c r="E795" s="93"/>
      <c r="F795" s="94"/>
      <c r="G795" s="91"/>
      <c r="H795" s="93"/>
      <c r="I795" s="95"/>
      <c r="J795" s="95"/>
      <c r="K795" s="95"/>
      <c r="L795" s="94"/>
      <c r="M795" s="96"/>
      <c r="N795" s="95"/>
      <c r="O795" s="95"/>
      <c r="P795" s="95"/>
    </row>
    <row r="796" ht="15.75" customHeight="1">
      <c r="A796" s="90"/>
      <c r="B796" s="91"/>
      <c r="C796" s="92"/>
      <c r="D796" s="91"/>
      <c r="E796" s="93"/>
      <c r="F796" s="94"/>
      <c r="G796" s="91"/>
      <c r="H796" s="93"/>
      <c r="I796" s="95"/>
      <c r="J796" s="95"/>
      <c r="K796" s="95"/>
      <c r="L796" s="94"/>
      <c r="M796" s="96"/>
      <c r="N796" s="95"/>
      <c r="O796" s="95"/>
      <c r="P796" s="95"/>
    </row>
    <row r="797" ht="15.75" customHeight="1">
      <c r="A797" s="90"/>
      <c r="B797" s="91"/>
      <c r="C797" s="92"/>
      <c r="D797" s="91"/>
      <c r="E797" s="93"/>
      <c r="F797" s="94"/>
      <c r="G797" s="91"/>
      <c r="H797" s="93"/>
      <c r="I797" s="95"/>
      <c r="J797" s="95"/>
      <c r="K797" s="95"/>
      <c r="L797" s="94"/>
      <c r="M797" s="96"/>
      <c r="N797" s="95"/>
      <c r="O797" s="95"/>
      <c r="P797" s="95"/>
    </row>
    <row r="798" ht="15.75" customHeight="1">
      <c r="A798" s="90"/>
      <c r="B798" s="91"/>
      <c r="C798" s="92"/>
      <c r="D798" s="91"/>
      <c r="E798" s="93"/>
      <c r="F798" s="94"/>
      <c r="G798" s="91"/>
      <c r="H798" s="93"/>
      <c r="I798" s="95"/>
      <c r="J798" s="95"/>
      <c r="K798" s="95"/>
      <c r="L798" s="94"/>
      <c r="M798" s="96"/>
      <c r="N798" s="95"/>
      <c r="O798" s="95"/>
      <c r="P798" s="95"/>
    </row>
    <row r="799" ht="15.75" customHeight="1">
      <c r="A799" s="90"/>
      <c r="B799" s="91"/>
      <c r="C799" s="92"/>
      <c r="D799" s="91"/>
      <c r="E799" s="93"/>
      <c r="F799" s="94"/>
      <c r="G799" s="91"/>
      <c r="H799" s="93"/>
      <c r="I799" s="95"/>
      <c r="J799" s="95"/>
      <c r="K799" s="95"/>
      <c r="L799" s="94"/>
      <c r="M799" s="96"/>
      <c r="N799" s="95"/>
      <c r="O799" s="95"/>
      <c r="P799" s="95"/>
    </row>
    <row r="800" ht="15.75" customHeight="1">
      <c r="A800" s="90"/>
      <c r="B800" s="91"/>
      <c r="C800" s="92"/>
      <c r="D800" s="91"/>
      <c r="E800" s="93"/>
      <c r="F800" s="94"/>
      <c r="G800" s="91"/>
      <c r="H800" s="93"/>
      <c r="I800" s="95"/>
      <c r="J800" s="95"/>
      <c r="K800" s="95"/>
      <c r="L800" s="94"/>
      <c r="M800" s="96"/>
      <c r="N800" s="95"/>
      <c r="O800" s="95"/>
      <c r="P800" s="95"/>
    </row>
    <row r="801" ht="15.75" customHeight="1">
      <c r="A801" s="90"/>
      <c r="B801" s="91"/>
      <c r="C801" s="92"/>
      <c r="D801" s="91"/>
      <c r="E801" s="93"/>
      <c r="F801" s="94"/>
      <c r="G801" s="91"/>
      <c r="H801" s="93"/>
      <c r="I801" s="95"/>
      <c r="J801" s="95"/>
      <c r="K801" s="95"/>
      <c r="L801" s="94"/>
      <c r="M801" s="96"/>
      <c r="N801" s="95"/>
      <c r="O801" s="95"/>
      <c r="P801" s="95"/>
    </row>
    <row r="802" ht="15.75" customHeight="1">
      <c r="A802" s="90"/>
      <c r="B802" s="91"/>
      <c r="C802" s="92"/>
      <c r="D802" s="91"/>
      <c r="E802" s="93"/>
      <c r="F802" s="94"/>
      <c r="G802" s="91"/>
      <c r="H802" s="93"/>
      <c r="I802" s="95"/>
      <c r="J802" s="95"/>
      <c r="K802" s="95"/>
      <c r="L802" s="94"/>
      <c r="M802" s="96"/>
      <c r="N802" s="95"/>
      <c r="O802" s="95"/>
      <c r="P802" s="95"/>
    </row>
    <row r="803" ht="15.75" customHeight="1">
      <c r="A803" s="90"/>
      <c r="B803" s="91"/>
      <c r="C803" s="92"/>
      <c r="D803" s="91"/>
      <c r="E803" s="93"/>
      <c r="F803" s="94"/>
      <c r="G803" s="91"/>
      <c r="H803" s="93"/>
      <c r="I803" s="95"/>
      <c r="J803" s="95"/>
      <c r="K803" s="95"/>
      <c r="L803" s="94"/>
      <c r="M803" s="96"/>
      <c r="N803" s="95"/>
      <c r="O803" s="95"/>
      <c r="P803" s="95"/>
    </row>
    <row r="804" ht="15.75" customHeight="1">
      <c r="A804" s="90"/>
      <c r="B804" s="91"/>
      <c r="C804" s="92"/>
      <c r="D804" s="91"/>
      <c r="E804" s="93"/>
      <c r="F804" s="94"/>
      <c r="G804" s="91"/>
      <c r="H804" s="93"/>
      <c r="I804" s="95"/>
      <c r="J804" s="95"/>
      <c r="K804" s="95"/>
      <c r="L804" s="94"/>
      <c r="M804" s="96"/>
      <c r="N804" s="95"/>
      <c r="O804" s="95"/>
      <c r="P804" s="95"/>
    </row>
    <row r="805" ht="15.75" customHeight="1">
      <c r="A805" s="90"/>
      <c r="B805" s="91"/>
      <c r="C805" s="92"/>
      <c r="D805" s="91"/>
      <c r="E805" s="93"/>
      <c r="F805" s="94"/>
      <c r="G805" s="91"/>
      <c r="H805" s="93"/>
      <c r="I805" s="95"/>
      <c r="J805" s="95"/>
      <c r="K805" s="95"/>
      <c r="L805" s="94"/>
      <c r="M805" s="96"/>
      <c r="N805" s="95"/>
      <c r="O805" s="95"/>
      <c r="P805" s="95"/>
    </row>
    <row r="806" ht="15.75" customHeight="1">
      <c r="A806" s="90"/>
      <c r="B806" s="91"/>
      <c r="C806" s="92"/>
      <c r="D806" s="91"/>
      <c r="E806" s="93"/>
      <c r="F806" s="94"/>
      <c r="G806" s="91"/>
      <c r="H806" s="93"/>
      <c r="I806" s="95"/>
      <c r="J806" s="95"/>
      <c r="K806" s="95"/>
      <c r="L806" s="94"/>
      <c r="M806" s="96"/>
      <c r="N806" s="95"/>
      <c r="O806" s="95"/>
      <c r="P806" s="95"/>
    </row>
    <row r="807" ht="15.75" customHeight="1">
      <c r="A807" s="90"/>
      <c r="B807" s="91"/>
      <c r="C807" s="92"/>
      <c r="D807" s="91"/>
      <c r="E807" s="93"/>
      <c r="F807" s="94"/>
      <c r="G807" s="91"/>
      <c r="H807" s="93"/>
      <c r="I807" s="95"/>
      <c r="J807" s="95"/>
      <c r="K807" s="95"/>
      <c r="L807" s="94"/>
      <c r="M807" s="96"/>
      <c r="N807" s="95"/>
      <c r="O807" s="95"/>
      <c r="P807" s="95"/>
    </row>
    <row r="808" ht="15.75" customHeight="1">
      <c r="A808" s="90"/>
      <c r="B808" s="91"/>
      <c r="C808" s="92"/>
      <c r="D808" s="91"/>
      <c r="E808" s="93"/>
      <c r="F808" s="94"/>
      <c r="G808" s="91"/>
      <c r="H808" s="93"/>
      <c r="I808" s="95"/>
      <c r="J808" s="95"/>
      <c r="K808" s="95"/>
      <c r="L808" s="94"/>
      <c r="M808" s="96"/>
      <c r="N808" s="95"/>
      <c r="O808" s="95"/>
      <c r="P808" s="95"/>
    </row>
    <row r="809" ht="15.75" customHeight="1">
      <c r="A809" s="90"/>
      <c r="B809" s="91"/>
      <c r="C809" s="92"/>
      <c r="D809" s="91"/>
      <c r="E809" s="93"/>
      <c r="F809" s="94"/>
      <c r="G809" s="91"/>
      <c r="H809" s="93"/>
      <c r="I809" s="95"/>
      <c r="J809" s="95"/>
      <c r="K809" s="95"/>
      <c r="L809" s="94"/>
      <c r="M809" s="96"/>
      <c r="N809" s="95"/>
      <c r="O809" s="95"/>
      <c r="P809" s="95"/>
    </row>
    <row r="810" ht="15.75" customHeight="1">
      <c r="A810" s="90"/>
      <c r="B810" s="91"/>
      <c r="C810" s="92"/>
      <c r="D810" s="91"/>
      <c r="E810" s="93"/>
      <c r="F810" s="94"/>
      <c r="G810" s="91"/>
      <c r="H810" s="93"/>
      <c r="I810" s="95"/>
      <c r="J810" s="95"/>
      <c r="K810" s="95"/>
      <c r="L810" s="94"/>
      <c r="M810" s="96"/>
      <c r="N810" s="95"/>
      <c r="O810" s="95"/>
      <c r="P810" s="95"/>
    </row>
    <row r="811" ht="15.75" customHeight="1">
      <c r="A811" s="90"/>
      <c r="B811" s="91"/>
      <c r="C811" s="92"/>
      <c r="D811" s="91"/>
      <c r="E811" s="93"/>
      <c r="F811" s="94"/>
      <c r="G811" s="91"/>
      <c r="H811" s="93"/>
      <c r="I811" s="95"/>
      <c r="J811" s="95"/>
      <c r="K811" s="95"/>
      <c r="L811" s="94"/>
      <c r="M811" s="96"/>
      <c r="N811" s="95"/>
      <c r="O811" s="95"/>
      <c r="P811" s="95"/>
    </row>
    <row r="812" ht="15.75" customHeight="1">
      <c r="A812" s="90"/>
      <c r="B812" s="91"/>
      <c r="C812" s="92"/>
      <c r="D812" s="91"/>
      <c r="E812" s="93"/>
      <c r="F812" s="94"/>
      <c r="G812" s="91"/>
      <c r="H812" s="93"/>
      <c r="I812" s="95"/>
      <c r="J812" s="95"/>
      <c r="K812" s="95"/>
      <c r="L812" s="94"/>
      <c r="M812" s="96"/>
      <c r="N812" s="95"/>
      <c r="O812" s="95"/>
      <c r="P812" s="95"/>
    </row>
    <row r="813" ht="15.75" customHeight="1">
      <c r="A813" s="90"/>
      <c r="B813" s="91"/>
      <c r="C813" s="92"/>
      <c r="D813" s="91"/>
      <c r="E813" s="93"/>
      <c r="F813" s="94"/>
      <c r="G813" s="91"/>
      <c r="H813" s="93"/>
      <c r="I813" s="95"/>
      <c r="J813" s="95"/>
      <c r="K813" s="95"/>
      <c r="L813" s="94"/>
      <c r="M813" s="96"/>
      <c r="N813" s="95"/>
      <c r="O813" s="95"/>
      <c r="P813" s="95"/>
    </row>
    <row r="814" ht="15.75" customHeight="1">
      <c r="A814" s="90"/>
      <c r="B814" s="91"/>
      <c r="C814" s="92"/>
      <c r="D814" s="91"/>
      <c r="E814" s="93"/>
      <c r="F814" s="94"/>
      <c r="G814" s="91"/>
      <c r="H814" s="93"/>
      <c r="I814" s="95"/>
      <c r="J814" s="95"/>
      <c r="K814" s="95"/>
      <c r="L814" s="94"/>
      <c r="M814" s="96"/>
      <c r="N814" s="95"/>
      <c r="O814" s="95"/>
      <c r="P814" s="95"/>
    </row>
    <row r="815" ht="15.75" customHeight="1">
      <c r="A815" s="90"/>
      <c r="B815" s="91"/>
      <c r="C815" s="92"/>
      <c r="D815" s="91"/>
      <c r="E815" s="93"/>
      <c r="F815" s="94"/>
      <c r="G815" s="91"/>
      <c r="H815" s="93"/>
      <c r="I815" s="95"/>
      <c r="J815" s="95"/>
      <c r="K815" s="95"/>
      <c r="L815" s="94"/>
      <c r="M815" s="96"/>
      <c r="N815" s="95"/>
      <c r="O815" s="95"/>
      <c r="P815" s="95"/>
    </row>
    <row r="816" ht="15.75" customHeight="1">
      <c r="A816" s="90"/>
      <c r="B816" s="91"/>
      <c r="C816" s="92"/>
      <c r="D816" s="91"/>
      <c r="E816" s="93"/>
      <c r="F816" s="94"/>
      <c r="G816" s="91"/>
      <c r="H816" s="93"/>
      <c r="I816" s="95"/>
      <c r="J816" s="95"/>
      <c r="K816" s="95"/>
      <c r="L816" s="94"/>
      <c r="M816" s="96"/>
      <c r="N816" s="95"/>
      <c r="O816" s="95"/>
      <c r="P816" s="95"/>
    </row>
    <row r="817" ht="15.75" customHeight="1">
      <c r="A817" s="90"/>
      <c r="B817" s="91"/>
      <c r="C817" s="92"/>
      <c r="D817" s="91"/>
      <c r="E817" s="93"/>
      <c r="F817" s="94"/>
      <c r="G817" s="91"/>
      <c r="H817" s="93"/>
      <c r="I817" s="95"/>
      <c r="J817" s="95"/>
      <c r="K817" s="95"/>
      <c r="L817" s="94"/>
      <c r="M817" s="96"/>
      <c r="N817" s="95"/>
      <c r="O817" s="95"/>
      <c r="P817" s="95"/>
    </row>
    <row r="818" ht="15.75" customHeight="1">
      <c r="A818" s="90"/>
      <c r="B818" s="91"/>
      <c r="C818" s="92"/>
      <c r="D818" s="91"/>
      <c r="E818" s="93"/>
      <c r="F818" s="94"/>
      <c r="G818" s="91"/>
      <c r="H818" s="93"/>
      <c r="I818" s="95"/>
      <c r="J818" s="95"/>
      <c r="K818" s="95"/>
      <c r="L818" s="94"/>
      <c r="M818" s="96"/>
      <c r="N818" s="95"/>
      <c r="O818" s="95"/>
      <c r="P818" s="95"/>
    </row>
    <row r="819" ht="15.75" customHeight="1">
      <c r="A819" s="90"/>
      <c r="B819" s="91"/>
      <c r="C819" s="92"/>
      <c r="D819" s="91"/>
      <c r="E819" s="93"/>
      <c r="F819" s="94"/>
      <c r="G819" s="91"/>
      <c r="H819" s="93"/>
      <c r="I819" s="95"/>
      <c r="J819" s="95"/>
      <c r="K819" s="95"/>
      <c r="L819" s="94"/>
      <c r="M819" s="96"/>
      <c r="N819" s="95"/>
      <c r="O819" s="95"/>
      <c r="P819" s="95"/>
    </row>
    <row r="820" ht="15.75" customHeight="1">
      <c r="A820" s="90"/>
      <c r="B820" s="91"/>
      <c r="C820" s="92"/>
      <c r="D820" s="91"/>
      <c r="E820" s="93"/>
      <c r="F820" s="94"/>
      <c r="G820" s="91"/>
      <c r="H820" s="93"/>
      <c r="I820" s="95"/>
      <c r="J820" s="95"/>
      <c r="K820" s="95"/>
      <c r="L820" s="94"/>
      <c r="M820" s="96"/>
      <c r="N820" s="95"/>
      <c r="O820" s="95"/>
      <c r="P820" s="95"/>
    </row>
    <row r="821" ht="15.75" customHeight="1">
      <c r="A821" s="90"/>
      <c r="B821" s="91"/>
      <c r="C821" s="92"/>
      <c r="D821" s="91"/>
      <c r="E821" s="93"/>
      <c r="F821" s="94"/>
      <c r="G821" s="91"/>
      <c r="H821" s="93"/>
      <c r="I821" s="95"/>
      <c r="J821" s="95"/>
      <c r="K821" s="95"/>
      <c r="L821" s="94"/>
      <c r="M821" s="96"/>
      <c r="N821" s="95"/>
      <c r="O821" s="95"/>
      <c r="P821" s="95"/>
    </row>
    <row r="822" ht="15.75" customHeight="1">
      <c r="A822" s="90"/>
      <c r="B822" s="91"/>
      <c r="C822" s="92"/>
      <c r="D822" s="91"/>
      <c r="E822" s="93"/>
      <c r="F822" s="94"/>
      <c r="G822" s="91"/>
      <c r="H822" s="93"/>
      <c r="I822" s="95"/>
      <c r="J822" s="95"/>
      <c r="K822" s="95"/>
      <c r="L822" s="94"/>
      <c r="M822" s="96"/>
      <c r="N822" s="95"/>
      <c r="O822" s="95"/>
      <c r="P822" s="95"/>
    </row>
    <row r="823" ht="15.75" customHeight="1">
      <c r="A823" s="90"/>
      <c r="B823" s="91"/>
      <c r="C823" s="92"/>
      <c r="D823" s="91"/>
      <c r="E823" s="93"/>
      <c r="F823" s="94"/>
      <c r="G823" s="91"/>
      <c r="H823" s="93"/>
      <c r="I823" s="95"/>
      <c r="J823" s="95"/>
      <c r="K823" s="95"/>
      <c r="L823" s="94"/>
      <c r="M823" s="96"/>
      <c r="N823" s="95"/>
      <c r="O823" s="95"/>
      <c r="P823" s="95"/>
    </row>
    <row r="824" ht="15.75" customHeight="1">
      <c r="A824" s="90"/>
      <c r="B824" s="91"/>
      <c r="C824" s="92"/>
      <c r="D824" s="91"/>
      <c r="E824" s="93"/>
      <c r="F824" s="94"/>
      <c r="G824" s="91"/>
      <c r="H824" s="93"/>
      <c r="I824" s="95"/>
      <c r="J824" s="95"/>
      <c r="K824" s="95"/>
      <c r="L824" s="94"/>
      <c r="M824" s="96"/>
      <c r="N824" s="95"/>
      <c r="O824" s="95"/>
      <c r="P824" s="95"/>
    </row>
    <row r="825" ht="15.75" customHeight="1">
      <c r="A825" s="90"/>
      <c r="B825" s="91"/>
      <c r="C825" s="92"/>
      <c r="D825" s="91"/>
      <c r="E825" s="93"/>
      <c r="F825" s="94"/>
      <c r="G825" s="91"/>
      <c r="H825" s="93"/>
      <c r="I825" s="95"/>
      <c r="J825" s="95"/>
      <c r="K825" s="95"/>
      <c r="L825" s="94"/>
      <c r="M825" s="96"/>
      <c r="N825" s="95"/>
      <c r="O825" s="95"/>
      <c r="P825" s="95"/>
    </row>
    <row r="826" ht="15.75" customHeight="1">
      <c r="A826" s="90"/>
      <c r="B826" s="91"/>
      <c r="C826" s="92"/>
      <c r="D826" s="91"/>
      <c r="E826" s="93"/>
      <c r="F826" s="94"/>
      <c r="G826" s="91"/>
      <c r="H826" s="93"/>
      <c r="I826" s="95"/>
      <c r="J826" s="95"/>
      <c r="K826" s="95"/>
      <c r="L826" s="94"/>
      <c r="M826" s="96"/>
      <c r="N826" s="95"/>
      <c r="O826" s="95"/>
      <c r="P826" s="95"/>
    </row>
    <row r="827" ht="15.75" customHeight="1">
      <c r="A827" s="90"/>
      <c r="B827" s="91"/>
      <c r="C827" s="92"/>
      <c r="D827" s="91"/>
      <c r="E827" s="93"/>
      <c r="F827" s="94"/>
      <c r="G827" s="91"/>
      <c r="H827" s="93"/>
      <c r="I827" s="95"/>
      <c r="J827" s="95"/>
      <c r="K827" s="95"/>
      <c r="L827" s="94"/>
      <c r="M827" s="96"/>
      <c r="N827" s="95"/>
      <c r="O827" s="95"/>
      <c r="P827" s="95"/>
    </row>
    <row r="828" ht="15.75" customHeight="1">
      <c r="A828" s="90"/>
      <c r="B828" s="91"/>
      <c r="C828" s="92"/>
      <c r="D828" s="91"/>
      <c r="E828" s="93"/>
      <c r="F828" s="94"/>
      <c r="G828" s="91"/>
      <c r="H828" s="93"/>
      <c r="I828" s="95"/>
      <c r="J828" s="95"/>
      <c r="K828" s="95"/>
      <c r="L828" s="94"/>
      <c r="M828" s="96"/>
      <c r="N828" s="95"/>
      <c r="O828" s="95"/>
      <c r="P828" s="95"/>
    </row>
    <row r="829" ht="15.75" customHeight="1">
      <c r="A829" s="90"/>
      <c r="B829" s="91"/>
      <c r="C829" s="92"/>
      <c r="D829" s="91"/>
      <c r="E829" s="93"/>
      <c r="F829" s="94"/>
      <c r="G829" s="91"/>
      <c r="H829" s="93"/>
      <c r="I829" s="95"/>
      <c r="J829" s="95"/>
      <c r="K829" s="95"/>
      <c r="L829" s="94"/>
      <c r="M829" s="96"/>
      <c r="N829" s="95"/>
      <c r="O829" s="95"/>
      <c r="P829" s="95"/>
    </row>
    <row r="830" ht="15.75" customHeight="1">
      <c r="A830" s="90"/>
      <c r="B830" s="91"/>
      <c r="C830" s="92"/>
      <c r="D830" s="91"/>
      <c r="E830" s="93"/>
      <c r="F830" s="94"/>
      <c r="G830" s="91"/>
      <c r="H830" s="93"/>
      <c r="I830" s="95"/>
      <c r="J830" s="95"/>
      <c r="K830" s="95"/>
      <c r="L830" s="94"/>
      <c r="M830" s="96"/>
      <c r="N830" s="95"/>
      <c r="O830" s="95"/>
      <c r="P830" s="95"/>
    </row>
    <row r="831" ht="15.75" customHeight="1">
      <c r="A831" s="90"/>
      <c r="B831" s="91"/>
      <c r="C831" s="92"/>
      <c r="D831" s="91"/>
      <c r="E831" s="93"/>
      <c r="F831" s="94"/>
      <c r="G831" s="91"/>
      <c r="H831" s="93"/>
      <c r="I831" s="95"/>
      <c r="J831" s="95"/>
      <c r="K831" s="95"/>
      <c r="L831" s="94"/>
      <c r="M831" s="96"/>
      <c r="N831" s="95"/>
      <c r="O831" s="95"/>
      <c r="P831" s="95"/>
    </row>
    <row r="832" ht="15.75" customHeight="1">
      <c r="A832" s="90"/>
      <c r="B832" s="91"/>
      <c r="C832" s="92"/>
      <c r="D832" s="91"/>
      <c r="E832" s="93"/>
      <c r="F832" s="94"/>
      <c r="G832" s="91"/>
      <c r="H832" s="93"/>
      <c r="I832" s="95"/>
      <c r="J832" s="95"/>
      <c r="K832" s="95"/>
      <c r="L832" s="94"/>
      <c r="M832" s="96"/>
      <c r="N832" s="95"/>
      <c r="O832" s="95"/>
      <c r="P832" s="95"/>
    </row>
    <row r="833" ht="15.75" customHeight="1">
      <c r="A833" s="90"/>
      <c r="B833" s="91"/>
      <c r="C833" s="92"/>
      <c r="D833" s="91"/>
      <c r="E833" s="93"/>
      <c r="F833" s="94"/>
      <c r="G833" s="91"/>
      <c r="H833" s="93"/>
      <c r="I833" s="95"/>
      <c r="J833" s="95"/>
      <c r="K833" s="95"/>
      <c r="L833" s="94"/>
      <c r="M833" s="96"/>
      <c r="N833" s="95"/>
      <c r="O833" s="95"/>
      <c r="P833" s="95"/>
    </row>
    <row r="834" ht="15.75" customHeight="1">
      <c r="A834" s="90"/>
      <c r="B834" s="91"/>
      <c r="C834" s="92"/>
      <c r="D834" s="91"/>
      <c r="E834" s="93"/>
      <c r="F834" s="94"/>
      <c r="G834" s="91"/>
      <c r="H834" s="93"/>
      <c r="I834" s="95"/>
      <c r="J834" s="95"/>
      <c r="K834" s="95"/>
      <c r="L834" s="94"/>
      <c r="M834" s="96"/>
      <c r="N834" s="95"/>
      <c r="O834" s="95"/>
      <c r="P834" s="95"/>
    </row>
    <row r="835" ht="15.75" customHeight="1">
      <c r="A835" s="90"/>
      <c r="B835" s="91"/>
      <c r="C835" s="92"/>
      <c r="D835" s="91"/>
      <c r="E835" s="93"/>
      <c r="F835" s="94"/>
      <c r="G835" s="91"/>
      <c r="H835" s="93"/>
      <c r="I835" s="95"/>
      <c r="J835" s="95"/>
      <c r="K835" s="95"/>
      <c r="L835" s="94"/>
      <c r="M835" s="96"/>
      <c r="N835" s="95"/>
      <c r="O835" s="95"/>
      <c r="P835" s="95"/>
    </row>
    <row r="836" ht="15.75" customHeight="1">
      <c r="A836" s="90"/>
      <c r="B836" s="91"/>
      <c r="C836" s="92"/>
      <c r="D836" s="91"/>
      <c r="E836" s="93"/>
      <c r="F836" s="94"/>
      <c r="G836" s="91"/>
      <c r="H836" s="93"/>
      <c r="I836" s="95"/>
      <c r="J836" s="95"/>
      <c r="K836" s="95"/>
      <c r="L836" s="94"/>
      <c r="M836" s="96"/>
      <c r="N836" s="95"/>
      <c r="O836" s="95"/>
      <c r="P836" s="95"/>
    </row>
    <row r="837" ht="15.75" customHeight="1">
      <c r="A837" s="90"/>
      <c r="B837" s="91"/>
      <c r="C837" s="92"/>
      <c r="D837" s="91"/>
      <c r="E837" s="93"/>
      <c r="F837" s="94"/>
      <c r="G837" s="91"/>
      <c r="H837" s="93"/>
      <c r="I837" s="95"/>
      <c r="J837" s="95"/>
      <c r="K837" s="95"/>
      <c r="L837" s="94"/>
      <c r="M837" s="96"/>
      <c r="N837" s="95"/>
      <c r="O837" s="95"/>
      <c r="P837" s="95"/>
    </row>
    <row r="838" ht="15.75" customHeight="1">
      <c r="A838" s="90"/>
      <c r="B838" s="91"/>
      <c r="C838" s="92"/>
      <c r="D838" s="91"/>
      <c r="E838" s="93"/>
      <c r="F838" s="94"/>
      <c r="G838" s="91"/>
      <c r="H838" s="93"/>
      <c r="I838" s="95"/>
      <c r="J838" s="95"/>
      <c r="K838" s="95"/>
      <c r="L838" s="94"/>
      <c r="M838" s="96"/>
      <c r="N838" s="95"/>
      <c r="O838" s="95"/>
      <c r="P838" s="95"/>
    </row>
    <row r="839" ht="15.75" customHeight="1">
      <c r="A839" s="90"/>
      <c r="B839" s="91"/>
      <c r="C839" s="92"/>
      <c r="D839" s="91"/>
      <c r="E839" s="93"/>
      <c r="F839" s="94"/>
      <c r="G839" s="91"/>
      <c r="H839" s="93"/>
      <c r="I839" s="95"/>
      <c r="J839" s="95"/>
      <c r="K839" s="95"/>
      <c r="L839" s="94"/>
      <c r="M839" s="96"/>
      <c r="N839" s="95"/>
      <c r="O839" s="95"/>
      <c r="P839" s="95"/>
    </row>
    <row r="840" ht="15.75" customHeight="1">
      <c r="A840" s="90"/>
      <c r="B840" s="91"/>
      <c r="C840" s="92"/>
      <c r="D840" s="91"/>
      <c r="E840" s="93"/>
      <c r="F840" s="94"/>
      <c r="G840" s="91"/>
      <c r="H840" s="93"/>
      <c r="I840" s="95"/>
      <c r="J840" s="95"/>
      <c r="K840" s="95"/>
      <c r="L840" s="94"/>
      <c r="M840" s="96"/>
      <c r="N840" s="95"/>
      <c r="O840" s="95"/>
      <c r="P840" s="95"/>
    </row>
    <row r="841" ht="15.75" customHeight="1">
      <c r="A841" s="90"/>
      <c r="B841" s="91"/>
      <c r="C841" s="92"/>
      <c r="D841" s="91"/>
      <c r="E841" s="93"/>
      <c r="F841" s="94"/>
      <c r="G841" s="91"/>
      <c r="H841" s="93"/>
      <c r="I841" s="95"/>
      <c r="J841" s="95"/>
      <c r="K841" s="95"/>
      <c r="L841" s="94"/>
      <c r="M841" s="96"/>
      <c r="N841" s="95"/>
      <c r="O841" s="95"/>
      <c r="P841" s="95"/>
    </row>
    <row r="842" ht="15.75" customHeight="1">
      <c r="A842" s="90"/>
      <c r="B842" s="91"/>
      <c r="C842" s="92"/>
      <c r="D842" s="91"/>
      <c r="E842" s="93"/>
      <c r="F842" s="94"/>
      <c r="G842" s="91"/>
      <c r="H842" s="93"/>
      <c r="I842" s="95"/>
      <c r="J842" s="95"/>
      <c r="K842" s="95"/>
      <c r="L842" s="94"/>
      <c r="M842" s="96"/>
      <c r="N842" s="95"/>
      <c r="O842" s="95"/>
      <c r="P842" s="95"/>
    </row>
    <row r="843" ht="15.75" customHeight="1">
      <c r="A843" s="90"/>
      <c r="B843" s="91"/>
      <c r="C843" s="92"/>
      <c r="D843" s="91"/>
      <c r="E843" s="93"/>
      <c r="F843" s="94"/>
      <c r="G843" s="91"/>
      <c r="H843" s="93"/>
      <c r="I843" s="95"/>
      <c r="J843" s="95"/>
      <c r="K843" s="95"/>
      <c r="L843" s="94"/>
      <c r="M843" s="96"/>
      <c r="N843" s="95"/>
      <c r="O843" s="95"/>
      <c r="P843" s="95"/>
    </row>
    <row r="844" ht="15.75" customHeight="1">
      <c r="A844" s="90"/>
      <c r="B844" s="91"/>
      <c r="C844" s="92"/>
      <c r="D844" s="91"/>
      <c r="E844" s="93"/>
      <c r="F844" s="94"/>
      <c r="G844" s="91"/>
      <c r="H844" s="93"/>
      <c r="I844" s="95"/>
      <c r="J844" s="95"/>
      <c r="K844" s="95"/>
      <c r="L844" s="94"/>
      <c r="M844" s="96"/>
      <c r="N844" s="95"/>
      <c r="O844" s="95"/>
      <c r="P844" s="95"/>
    </row>
    <row r="845" ht="15.75" customHeight="1">
      <c r="A845" s="90"/>
      <c r="B845" s="91"/>
      <c r="C845" s="92"/>
      <c r="D845" s="91"/>
      <c r="E845" s="93"/>
      <c r="F845" s="94"/>
      <c r="G845" s="91"/>
      <c r="H845" s="93"/>
      <c r="I845" s="95"/>
      <c r="J845" s="95"/>
      <c r="K845" s="95"/>
      <c r="L845" s="94"/>
      <c r="M845" s="96"/>
      <c r="N845" s="95"/>
      <c r="O845" s="95"/>
      <c r="P845" s="95"/>
    </row>
    <row r="846" ht="15.75" customHeight="1">
      <c r="A846" s="90"/>
      <c r="B846" s="91"/>
      <c r="C846" s="92"/>
      <c r="D846" s="91"/>
      <c r="E846" s="93"/>
      <c r="F846" s="94"/>
      <c r="G846" s="91"/>
      <c r="H846" s="93"/>
      <c r="I846" s="95"/>
      <c r="J846" s="95"/>
      <c r="K846" s="95"/>
      <c r="L846" s="94"/>
      <c r="M846" s="96"/>
      <c r="N846" s="95"/>
      <c r="O846" s="95"/>
      <c r="P846" s="95"/>
    </row>
    <row r="847" ht="15.75" customHeight="1">
      <c r="A847" s="90"/>
      <c r="B847" s="91"/>
      <c r="C847" s="92"/>
      <c r="D847" s="91"/>
      <c r="E847" s="93"/>
      <c r="F847" s="94"/>
      <c r="G847" s="91"/>
      <c r="H847" s="93"/>
      <c r="I847" s="95"/>
      <c r="J847" s="95"/>
      <c r="K847" s="95"/>
      <c r="L847" s="94"/>
      <c r="M847" s="96"/>
      <c r="N847" s="95"/>
      <c r="O847" s="95"/>
      <c r="P847" s="95"/>
    </row>
    <row r="848" ht="15.75" customHeight="1">
      <c r="A848" s="90"/>
      <c r="B848" s="91"/>
      <c r="C848" s="92"/>
      <c r="D848" s="91"/>
      <c r="E848" s="93"/>
      <c r="F848" s="94"/>
      <c r="G848" s="91"/>
      <c r="H848" s="93"/>
      <c r="I848" s="95"/>
      <c r="J848" s="95"/>
      <c r="K848" s="95"/>
      <c r="L848" s="94"/>
      <c r="M848" s="96"/>
      <c r="N848" s="95"/>
      <c r="O848" s="95"/>
      <c r="P848" s="95"/>
    </row>
    <row r="849" ht="15.75" customHeight="1">
      <c r="A849" s="90"/>
      <c r="B849" s="91"/>
      <c r="C849" s="92"/>
      <c r="D849" s="91"/>
      <c r="E849" s="93"/>
      <c r="F849" s="94"/>
      <c r="G849" s="91"/>
      <c r="H849" s="93"/>
      <c r="I849" s="95"/>
      <c r="J849" s="95"/>
      <c r="K849" s="95"/>
      <c r="L849" s="94"/>
      <c r="M849" s="96"/>
      <c r="N849" s="95"/>
      <c r="O849" s="95"/>
      <c r="P849" s="95"/>
    </row>
    <row r="850" ht="15.75" customHeight="1">
      <c r="A850" s="90"/>
      <c r="B850" s="91"/>
      <c r="C850" s="92"/>
      <c r="D850" s="91"/>
      <c r="E850" s="93"/>
      <c r="F850" s="94"/>
      <c r="G850" s="91"/>
      <c r="H850" s="93"/>
      <c r="I850" s="95"/>
      <c r="J850" s="95"/>
      <c r="K850" s="95"/>
      <c r="L850" s="94"/>
      <c r="M850" s="96"/>
      <c r="N850" s="95"/>
      <c r="O850" s="95"/>
      <c r="P850" s="95"/>
    </row>
    <row r="851" ht="15.75" customHeight="1">
      <c r="A851" s="90"/>
      <c r="B851" s="91"/>
      <c r="C851" s="92"/>
      <c r="D851" s="91"/>
      <c r="E851" s="93"/>
      <c r="F851" s="94"/>
      <c r="G851" s="91"/>
      <c r="H851" s="93"/>
      <c r="I851" s="95"/>
      <c r="J851" s="95"/>
      <c r="K851" s="95"/>
      <c r="L851" s="94"/>
      <c r="M851" s="96"/>
      <c r="N851" s="95"/>
      <c r="O851" s="95"/>
      <c r="P851" s="95"/>
    </row>
    <row r="852" ht="15.75" customHeight="1">
      <c r="A852" s="90"/>
      <c r="B852" s="91"/>
      <c r="C852" s="92"/>
      <c r="D852" s="91"/>
      <c r="E852" s="93"/>
      <c r="F852" s="94"/>
      <c r="G852" s="91"/>
      <c r="H852" s="93"/>
      <c r="I852" s="95"/>
      <c r="J852" s="95"/>
      <c r="K852" s="95"/>
      <c r="L852" s="94"/>
      <c r="M852" s="96"/>
      <c r="N852" s="95"/>
      <c r="O852" s="95"/>
      <c r="P852" s="95"/>
    </row>
    <row r="853" ht="15.75" customHeight="1">
      <c r="A853" s="90"/>
      <c r="B853" s="91"/>
      <c r="C853" s="92"/>
      <c r="D853" s="91"/>
      <c r="E853" s="93"/>
      <c r="F853" s="94"/>
      <c r="G853" s="91"/>
      <c r="H853" s="93"/>
      <c r="I853" s="95"/>
      <c r="J853" s="95"/>
      <c r="K853" s="95"/>
      <c r="L853" s="94"/>
      <c r="M853" s="96"/>
      <c r="N853" s="95"/>
      <c r="O853" s="95"/>
      <c r="P853" s="95"/>
    </row>
    <row r="854" ht="15.75" customHeight="1">
      <c r="A854" s="90"/>
      <c r="B854" s="91"/>
      <c r="C854" s="92"/>
      <c r="D854" s="91"/>
      <c r="E854" s="93"/>
      <c r="F854" s="94"/>
      <c r="G854" s="91"/>
      <c r="H854" s="93"/>
      <c r="I854" s="95"/>
      <c r="J854" s="95"/>
      <c r="K854" s="95"/>
      <c r="L854" s="94"/>
      <c r="M854" s="96"/>
      <c r="N854" s="95"/>
      <c r="O854" s="95"/>
      <c r="P854" s="95"/>
    </row>
    <row r="855" ht="15.75" customHeight="1">
      <c r="A855" s="90"/>
      <c r="B855" s="91"/>
      <c r="C855" s="92"/>
      <c r="D855" s="91"/>
      <c r="E855" s="93"/>
      <c r="F855" s="94"/>
      <c r="G855" s="91"/>
      <c r="H855" s="93"/>
      <c r="I855" s="95"/>
      <c r="J855" s="95"/>
      <c r="K855" s="95"/>
      <c r="L855" s="94"/>
      <c r="M855" s="96"/>
      <c r="N855" s="95"/>
      <c r="O855" s="95"/>
      <c r="P855" s="95"/>
    </row>
    <row r="856" ht="15.75" customHeight="1">
      <c r="A856" s="90"/>
      <c r="B856" s="91"/>
      <c r="C856" s="92"/>
      <c r="D856" s="91"/>
      <c r="E856" s="93"/>
      <c r="F856" s="94"/>
      <c r="G856" s="91"/>
      <c r="H856" s="93"/>
      <c r="I856" s="95"/>
      <c r="J856" s="95"/>
      <c r="K856" s="95"/>
      <c r="L856" s="94"/>
      <c r="M856" s="96"/>
      <c r="N856" s="95"/>
      <c r="O856" s="95"/>
      <c r="P856" s="95"/>
    </row>
    <row r="857" ht="15.75" customHeight="1">
      <c r="A857" s="90"/>
      <c r="B857" s="91"/>
      <c r="C857" s="92"/>
      <c r="D857" s="91"/>
      <c r="E857" s="93"/>
      <c r="F857" s="94"/>
      <c r="G857" s="91"/>
      <c r="H857" s="93"/>
      <c r="I857" s="95"/>
      <c r="J857" s="95"/>
      <c r="K857" s="95"/>
      <c r="L857" s="94"/>
      <c r="M857" s="96"/>
      <c r="N857" s="95"/>
      <c r="O857" s="95"/>
      <c r="P857" s="95"/>
    </row>
    <row r="858" ht="15.75" customHeight="1">
      <c r="A858" s="90"/>
      <c r="B858" s="91"/>
      <c r="C858" s="92"/>
      <c r="D858" s="91"/>
      <c r="E858" s="93"/>
      <c r="F858" s="94"/>
      <c r="G858" s="91"/>
      <c r="H858" s="93"/>
      <c r="I858" s="95"/>
      <c r="J858" s="95"/>
      <c r="K858" s="95"/>
      <c r="L858" s="94"/>
      <c r="M858" s="96"/>
      <c r="N858" s="95"/>
      <c r="O858" s="95"/>
      <c r="P858" s="95"/>
    </row>
    <row r="859" ht="15.75" customHeight="1">
      <c r="A859" s="90"/>
      <c r="B859" s="91"/>
      <c r="C859" s="92"/>
      <c r="D859" s="91"/>
      <c r="E859" s="93"/>
      <c r="F859" s="94"/>
      <c r="G859" s="91"/>
      <c r="H859" s="93"/>
      <c r="I859" s="95"/>
      <c r="J859" s="95"/>
      <c r="K859" s="95"/>
      <c r="L859" s="94"/>
      <c r="M859" s="96"/>
      <c r="N859" s="95"/>
      <c r="O859" s="95"/>
      <c r="P859" s="95"/>
    </row>
    <row r="860" ht="15.75" customHeight="1">
      <c r="A860" s="90"/>
      <c r="B860" s="91"/>
      <c r="C860" s="92"/>
      <c r="D860" s="91"/>
      <c r="E860" s="93"/>
      <c r="F860" s="94"/>
      <c r="G860" s="91"/>
      <c r="H860" s="93"/>
      <c r="I860" s="95"/>
      <c r="J860" s="95"/>
      <c r="K860" s="95"/>
      <c r="L860" s="94"/>
      <c r="M860" s="96"/>
      <c r="N860" s="95"/>
      <c r="O860" s="95"/>
      <c r="P860" s="95"/>
    </row>
    <row r="861" ht="15.75" customHeight="1">
      <c r="A861" s="90"/>
      <c r="B861" s="91"/>
      <c r="C861" s="92"/>
      <c r="D861" s="91"/>
      <c r="E861" s="93"/>
      <c r="F861" s="94"/>
      <c r="G861" s="91"/>
      <c r="H861" s="93"/>
      <c r="I861" s="95"/>
      <c r="J861" s="95"/>
      <c r="K861" s="95"/>
      <c r="L861" s="94"/>
      <c r="M861" s="96"/>
      <c r="N861" s="95"/>
      <c r="O861" s="95"/>
      <c r="P861" s="95"/>
    </row>
    <row r="862" ht="15.75" customHeight="1">
      <c r="A862" s="90"/>
      <c r="B862" s="91"/>
      <c r="C862" s="92"/>
      <c r="D862" s="91"/>
      <c r="E862" s="93"/>
      <c r="F862" s="94"/>
      <c r="G862" s="91"/>
      <c r="H862" s="93"/>
      <c r="I862" s="95"/>
      <c r="J862" s="95"/>
      <c r="K862" s="95"/>
      <c r="L862" s="94"/>
      <c r="M862" s="96"/>
      <c r="N862" s="95"/>
      <c r="O862" s="95"/>
      <c r="P862" s="95"/>
    </row>
    <row r="863" ht="15.75" customHeight="1">
      <c r="A863" s="90"/>
      <c r="B863" s="91"/>
      <c r="C863" s="92"/>
      <c r="D863" s="91"/>
      <c r="E863" s="93"/>
      <c r="F863" s="94"/>
      <c r="G863" s="91"/>
      <c r="H863" s="93"/>
      <c r="I863" s="95"/>
      <c r="J863" s="95"/>
      <c r="K863" s="95"/>
      <c r="L863" s="94"/>
      <c r="M863" s="96"/>
      <c r="N863" s="95"/>
      <c r="O863" s="95"/>
      <c r="P863" s="95"/>
    </row>
    <row r="864" ht="15.75" customHeight="1">
      <c r="A864" s="90"/>
      <c r="B864" s="91"/>
      <c r="C864" s="92"/>
      <c r="D864" s="91"/>
      <c r="E864" s="93"/>
      <c r="F864" s="94"/>
      <c r="G864" s="91"/>
      <c r="H864" s="93"/>
      <c r="I864" s="95"/>
      <c r="J864" s="95"/>
      <c r="K864" s="95"/>
      <c r="L864" s="94"/>
      <c r="M864" s="96"/>
      <c r="N864" s="95"/>
      <c r="O864" s="95"/>
      <c r="P864" s="95"/>
    </row>
    <row r="865" ht="15.75" customHeight="1">
      <c r="A865" s="90"/>
      <c r="B865" s="91"/>
      <c r="C865" s="92"/>
      <c r="D865" s="91"/>
      <c r="E865" s="93"/>
      <c r="F865" s="94"/>
      <c r="G865" s="91"/>
      <c r="H865" s="93"/>
      <c r="I865" s="95"/>
      <c r="J865" s="95"/>
      <c r="K865" s="95"/>
      <c r="L865" s="94"/>
      <c r="M865" s="96"/>
      <c r="N865" s="95"/>
      <c r="O865" s="95"/>
      <c r="P865" s="95"/>
    </row>
    <row r="866" ht="15.75" customHeight="1">
      <c r="A866" s="90"/>
      <c r="B866" s="91"/>
      <c r="C866" s="92"/>
      <c r="D866" s="91"/>
      <c r="E866" s="93"/>
      <c r="F866" s="94"/>
      <c r="G866" s="91"/>
      <c r="H866" s="93"/>
      <c r="I866" s="95"/>
      <c r="J866" s="95"/>
      <c r="K866" s="95"/>
      <c r="L866" s="94"/>
      <c r="M866" s="96"/>
      <c r="N866" s="95"/>
      <c r="O866" s="95"/>
      <c r="P866" s="95"/>
    </row>
    <row r="867" ht="15.75" customHeight="1">
      <c r="A867" s="90"/>
      <c r="B867" s="91"/>
      <c r="C867" s="92"/>
      <c r="D867" s="91"/>
      <c r="E867" s="93"/>
      <c r="F867" s="94"/>
      <c r="G867" s="91"/>
      <c r="H867" s="93"/>
      <c r="I867" s="95"/>
      <c r="J867" s="95"/>
      <c r="K867" s="95"/>
      <c r="L867" s="94"/>
      <c r="M867" s="96"/>
      <c r="N867" s="95"/>
      <c r="O867" s="95"/>
      <c r="P867" s="95"/>
    </row>
    <row r="868" ht="15.75" customHeight="1">
      <c r="A868" s="90"/>
      <c r="B868" s="91"/>
      <c r="C868" s="92"/>
      <c r="D868" s="91"/>
      <c r="E868" s="93"/>
      <c r="F868" s="94"/>
      <c r="G868" s="91"/>
      <c r="H868" s="93"/>
      <c r="I868" s="95"/>
      <c r="J868" s="95"/>
      <c r="K868" s="95"/>
      <c r="L868" s="94"/>
      <c r="M868" s="96"/>
      <c r="N868" s="95"/>
      <c r="O868" s="95"/>
      <c r="P868" s="95"/>
    </row>
    <row r="869" ht="15.75" customHeight="1">
      <c r="A869" s="90"/>
      <c r="B869" s="91"/>
      <c r="C869" s="92"/>
      <c r="D869" s="91"/>
      <c r="E869" s="93"/>
      <c r="F869" s="94"/>
      <c r="G869" s="91"/>
      <c r="H869" s="93"/>
      <c r="I869" s="95"/>
      <c r="J869" s="95"/>
      <c r="K869" s="95"/>
      <c r="L869" s="94"/>
      <c r="M869" s="96"/>
      <c r="N869" s="95"/>
      <c r="O869" s="95"/>
      <c r="P869" s="95"/>
    </row>
    <row r="870" ht="15.75" customHeight="1">
      <c r="A870" s="90"/>
      <c r="B870" s="91"/>
      <c r="C870" s="92"/>
      <c r="D870" s="91"/>
      <c r="E870" s="93"/>
      <c r="F870" s="94"/>
      <c r="G870" s="91"/>
      <c r="H870" s="93"/>
      <c r="I870" s="95"/>
      <c r="J870" s="95"/>
      <c r="K870" s="95"/>
      <c r="L870" s="94"/>
      <c r="M870" s="96"/>
      <c r="N870" s="95"/>
      <c r="O870" s="95"/>
      <c r="P870" s="95"/>
    </row>
    <row r="871" ht="15.75" customHeight="1">
      <c r="A871" s="90"/>
      <c r="B871" s="91"/>
      <c r="C871" s="92"/>
      <c r="D871" s="91"/>
      <c r="E871" s="93"/>
      <c r="F871" s="94"/>
      <c r="G871" s="91"/>
      <c r="H871" s="93"/>
      <c r="I871" s="95"/>
      <c r="J871" s="95"/>
      <c r="K871" s="95"/>
      <c r="L871" s="94"/>
      <c r="M871" s="96"/>
      <c r="N871" s="95"/>
      <c r="O871" s="95"/>
      <c r="P871" s="95"/>
    </row>
    <row r="872" ht="15.75" customHeight="1">
      <c r="A872" s="90"/>
      <c r="B872" s="91"/>
      <c r="C872" s="92"/>
      <c r="D872" s="91"/>
      <c r="E872" s="93"/>
      <c r="F872" s="94"/>
      <c r="G872" s="91"/>
      <c r="H872" s="93"/>
      <c r="I872" s="95"/>
      <c r="J872" s="95"/>
      <c r="K872" s="95"/>
      <c r="L872" s="94"/>
      <c r="M872" s="96"/>
      <c r="N872" s="95"/>
      <c r="O872" s="95"/>
      <c r="P872" s="95"/>
    </row>
    <row r="873" ht="15.75" customHeight="1">
      <c r="A873" s="90"/>
      <c r="B873" s="91"/>
      <c r="C873" s="92"/>
      <c r="D873" s="91"/>
      <c r="E873" s="93"/>
      <c r="F873" s="94"/>
      <c r="G873" s="91"/>
      <c r="H873" s="93"/>
      <c r="I873" s="95"/>
      <c r="J873" s="95"/>
      <c r="K873" s="95"/>
      <c r="L873" s="94"/>
      <c r="M873" s="96"/>
      <c r="N873" s="95"/>
      <c r="O873" s="95"/>
      <c r="P873" s="95"/>
    </row>
    <row r="874" ht="15.75" customHeight="1">
      <c r="A874" s="90"/>
      <c r="B874" s="91"/>
      <c r="C874" s="92"/>
      <c r="D874" s="91"/>
      <c r="E874" s="93"/>
      <c r="F874" s="94"/>
      <c r="G874" s="91"/>
      <c r="H874" s="93"/>
      <c r="I874" s="95"/>
      <c r="J874" s="95"/>
      <c r="K874" s="95"/>
      <c r="L874" s="94"/>
      <c r="M874" s="96"/>
      <c r="N874" s="95"/>
      <c r="O874" s="95"/>
      <c r="P874" s="95"/>
    </row>
    <row r="875" ht="15.75" customHeight="1">
      <c r="A875" s="90"/>
      <c r="B875" s="91"/>
      <c r="C875" s="92"/>
      <c r="D875" s="91"/>
      <c r="E875" s="93"/>
      <c r="F875" s="94"/>
      <c r="G875" s="91"/>
      <c r="H875" s="93"/>
      <c r="I875" s="95"/>
      <c r="J875" s="95"/>
      <c r="K875" s="95"/>
      <c r="L875" s="94"/>
      <c r="M875" s="96"/>
      <c r="N875" s="95"/>
      <c r="O875" s="95"/>
      <c r="P875" s="95"/>
    </row>
    <row r="876" ht="15.75" customHeight="1">
      <c r="A876" s="90"/>
      <c r="B876" s="91"/>
      <c r="C876" s="92"/>
      <c r="D876" s="91"/>
      <c r="E876" s="93"/>
      <c r="F876" s="94"/>
      <c r="G876" s="91"/>
      <c r="H876" s="93"/>
      <c r="I876" s="95"/>
      <c r="J876" s="95"/>
      <c r="K876" s="95"/>
      <c r="L876" s="94"/>
      <c r="M876" s="96"/>
      <c r="N876" s="95"/>
      <c r="O876" s="95"/>
      <c r="P876" s="95"/>
    </row>
    <row r="877" ht="15.75" customHeight="1">
      <c r="A877" s="90"/>
      <c r="B877" s="91"/>
      <c r="C877" s="92"/>
      <c r="D877" s="91"/>
      <c r="E877" s="93"/>
      <c r="F877" s="94"/>
      <c r="G877" s="91"/>
      <c r="H877" s="93"/>
      <c r="I877" s="95"/>
      <c r="J877" s="95"/>
      <c r="K877" s="95"/>
      <c r="L877" s="94"/>
      <c r="M877" s="96"/>
      <c r="N877" s="95"/>
      <c r="O877" s="95"/>
      <c r="P877" s="95"/>
    </row>
    <row r="878" ht="15.75" customHeight="1">
      <c r="A878" s="90"/>
      <c r="B878" s="91"/>
      <c r="C878" s="92"/>
      <c r="D878" s="91"/>
      <c r="E878" s="93"/>
      <c r="F878" s="94"/>
      <c r="G878" s="91"/>
      <c r="H878" s="93"/>
      <c r="I878" s="95"/>
      <c r="J878" s="95"/>
      <c r="K878" s="95"/>
      <c r="L878" s="94"/>
      <c r="M878" s="96"/>
      <c r="N878" s="95"/>
      <c r="O878" s="95"/>
      <c r="P878" s="95"/>
    </row>
    <row r="879" ht="15.75" customHeight="1">
      <c r="A879" s="90"/>
      <c r="B879" s="91"/>
      <c r="C879" s="92"/>
      <c r="D879" s="91"/>
      <c r="E879" s="93"/>
      <c r="F879" s="94"/>
      <c r="G879" s="91"/>
      <c r="H879" s="93"/>
      <c r="I879" s="95"/>
      <c r="J879" s="95"/>
      <c r="K879" s="95"/>
      <c r="L879" s="94"/>
      <c r="M879" s="96"/>
      <c r="N879" s="95"/>
      <c r="O879" s="95"/>
      <c r="P879" s="95"/>
    </row>
    <row r="880" ht="15.75" customHeight="1">
      <c r="A880" s="90"/>
      <c r="B880" s="91"/>
      <c r="C880" s="92"/>
      <c r="D880" s="91"/>
      <c r="E880" s="93"/>
      <c r="F880" s="94"/>
      <c r="G880" s="91"/>
      <c r="H880" s="93"/>
      <c r="I880" s="95"/>
      <c r="J880" s="95"/>
      <c r="K880" s="95"/>
      <c r="L880" s="94"/>
      <c r="M880" s="96"/>
      <c r="N880" s="95"/>
      <c r="O880" s="95"/>
      <c r="P880" s="95"/>
    </row>
    <row r="881" ht="15.75" customHeight="1">
      <c r="A881" s="90"/>
      <c r="B881" s="91"/>
      <c r="C881" s="92"/>
      <c r="D881" s="91"/>
      <c r="E881" s="93"/>
      <c r="F881" s="94"/>
      <c r="G881" s="91"/>
      <c r="H881" s="93"/>
      <c r="I881" s="95"/>
      <c r="J881" s="95"/>
      <c r="K881" s="95"/>
      <c r="L881" s="94"/>
      <c r="M881" s="96"/>
      <c r="N881" s="95"/>
      <c r="O881" s="95"/>
      <c r="P881" s="95"/>
    </row>
    <row r="882" ht="15.75" customHeight="1">
      <c r="A882" s="90"/>
      <c r="B882" s="91"/>
      <c r="C882" s="92"/>
      <c r="D882" s="91"/>
      <c r="E882" s="93"/>
      <c r="F882" s="94"/>
      <c r="G882" s="91"/>
      <c r="H882" s="93"/>
      <c r="I882" s="95"/>
      <c r="J882" s="95"/>
      <c r="K882" s="95"/>
      <c r="L882" s="94"/>
      <c r="M882" s="96"/>
      <c r="N882" s="95"/>
      <c r="O882" s="95"/>
      <c r="P882" s="95"/>
    </row>
    <row r="883" ht="15.75" customHeight="1">
      <c r="A883" s="90"/>
      <c r="B883" s="91"/>
      <c r="C883" s="92"/>
      <c r="D883" s="91"/>
      <c r="E883" s="93"/>
      <c r="F883" s="94"/>
      <c r="G883" s="91"/>
      <c r="H883" s="93"/>
      <c r="I883" s="95"/>
      <c r="J883" s="95"/>
      <c r="K883" s="95"/>
      <c r="L883" s="94"/>
      <c r="M883" s="96"/>
      <c r="N883" s="95"/>
      <c r="O883" s="95"/>
      <c r="P883" s="95"/>
    </row>
    <row r="884" ht="15.75" customHeight="1">
      <c r="A884" s="90"/>
      <c r="B884" s="91"/>
      <c r="C884" s="92"/>
      <c r="D884" s="91"/>
      <c r="E884" s="93"/>
      <c r="F884" s="94"/>
      <c r="G884" s="91"/>
      <c r="H884" s="93"/>
      <c r="I884" s="95"/>
      <c r="J884" s="95"/>
      <c r="K884" s="95"/>
      <c r="L884" s="94"/>
      <c r="M884" s="96"/>
      <c r="N884" s="95"/>
      <c r="O884" s="95"/>
      <c r="P884" s="95"/>
    </row>
    <row r="885" ht="15.75" customHeight="1">
      <c r="A885" s="90"/>
      <c r="B885" s="91"/>
      <c r="C885" s="92"/>
      <c r="D885" s="91"/>
      <c r="E885" s="93"/>
      <c r="F885" s="94"/>
      <c r="G885" s="91"/>
      <c r="H885" s="93"/>
      <c r="I885" s="95"/>
      <c r="J885" s="95"/>
      <c r="K885" s="95"/>
      <c r="L885" s="94"/>
      <c r="M885" s="96"/>
      <c r="N885" s="95"/>
      <c r="O885" s="95"/>
      <c r="P885" s="95"/>
    </row>
    <row r="886" ht="15.75" customHeight="1">
      <c r="A886" s="90"/>
      <c r="B886" s="91"/>
      <c r="C886" s="92"/>
      <c r="D886" s="91"/>
      <c r="E886" s="93"/>
      <c r="F886" s="94"/>
      <c r="G886" s="91"/>
      <c r="H886" s="93"/>
      <c r="I886" s="95"/>
      <c r="J886" s="95"/>
      <c r="K886" s="95"/>
      <c r="L886" s="94"/>
      <c r="M886" s="96"/>
      <c r="N886" s="95"/>
      <c r="O886" s="95"/>
      <c r="P886" s="95"/>
    </row>
    <row r="887" ht="15.75" customHeight="1">
      <c r="A887" s="90"/>
      <c r="B887" s="91"/>
      <c r="C887" s="92"/>
      <c r="D887" s="91"/>
      <c r="E887" s="93"/>
      <c r="F887" s="94"/>
      <c r="G887" s="91"/>
      <c r="H887" s="93"/>
      <c r="I887" s="95"/>
      <c r="J887" s="95"/>
      <c r="K887" s="95"/>
      <c r="L887" s="94"/>
      <c r="M887" s="96"/>
      <c r="N887" s="95"/>
      <c r="O887" s="95"/>
      <c r="P887" s="95"/>
    </row>
    <row r="888" ht="15.75" customHeight="1">
      <c r="A888" s="90"/>
      <c r="B888" s="91"/>
      <c r="C888" s="92"/>
      <c r="D888" s="91"/>
      <c r="E888" s="93"/>
      <c r="F888" s="94"/>
      <c r="G888" s="91"/>
      <c r="H888" s="93"/>
      <c r="I888" s="95"/>
      <c r="J888" s="95"/>
      <c r="K888" s="95"/>
      <c r="L888" s="94"/>
      <c r="M888" s="96"/>
      <c r="N888" s="95"/>
      <c r="O888" s="95"/>
      <c r="P888" s="95"/>
    </row>
    <row r="889" ht="15.75" customHeight="1">
      <c r="A889" s="90"/>
      <c r="B889" s="91"/>
      <c r="C889" s="92"/>
      <c r="D889" s="91"/>
      <c r="E889" s="93"/>
      <c r="F889" s="94"/>
      <c r="G889" s="91"/>
      <c r="H889" s="93"/>
      <c r="I889" s="95"/>
      <c r="J889" s="95"/>
      <c r="K889" s="95"/>
      <c r="L889" s="94"/>
      <c r="M889" s="96"/>
      <c r="N889" s="95"/>
      <c r="O889" s="95"/>
      <c r="P889" s="95"/>
    </row>
    <row r="890" ht="15.75" customHeight="1">
      <c r="A890" s="90"/>
      <c r="B890" s="91"/>
      <c r="C890" s="92"/>
      <c r="D890" s="91"/>
      <c r="E890" s="93"/>
      <c r="F890" s="94"/>
      <c r="G890" s="91"/>
      <c r="H890" s="93"/>
      <c r="I890" s="95"/>
      <c r="J890" s="95"/>
      <c r="K890" s="95"/>
      <c r="L890" s="94"/>
      <c r="M890" s="96"/>
      <c r="N890" s="95"/>
      <c r="O890" s="95"/>
      <c r="P890" s="95"/>
    </row>
    <row r="891" ht="15.75" customHeight="1">
      <c r="A891" s="90"/>
      <c r="B891" s="91"/>
      <c r="C891" s="92"/>
      <c r="D891" s="91"/>
      <c r="E891" s="93"/>
      <c r="F891" s="94"/>
      <c r="G891" s="91"/>
      <c r="H891" s="93"/>
      <c r="I891" s="95"/>
      <c r="J891" s="95"/>
      <c r="K891" s="95"/>
      <c r="L891" s="94"/>
      <c r="M891" s="96"/>
      <c r="N891" s="95"/>
      <c r="O891" s="95"/>
      <c r="P891" s="95"/>
    </row>
    <row r="892" ht="15.75" customHeight="1">
      <c r="A892" s="90"/>
      <c r="B892" s="91"/>
      <c r="C892" s="92"/>
      <c r="D892" s="91"/>
      <c r="E892" s="93"/>
      <c r="F892" s="94"/>
      <c r="G892" s="91"/>
      <c r="H892" s="93"/>
      <c r="I892" s="95"/>
      <c r="J892" s="95"/>
      <c r="K892" s="95"/>
      <c r="L892" s="94"/>
      <c r="M892" s="96"/>
      <c r="N892" s="95"/>
      <c r="O892" s="95"/>
      <c r="P892" s="95"/>
    </row>
    <row r="893" ht="15.75" customHeight="1">
      <c r="A893" s="90"/>
      <c r="B893" s="91"/>
      <c r="C893" s="92"/>
      <c r="D893" s="91"/>
      <c r="E893" s="93"/>
      <c r="F893" s="94"/>
      <c r="G893" s="91"/>
      <c r="H893" s="93"/>
      <c r="I893" s="95"/>
      <c r="J893" s="95"/>
      <c r="K893" s="95"/>
      <c r="L893" s="94"/>
      <c r="M893" s="96"/>
      <c r="N893" s="95"/>
      <c r="O893" s="95"/>
      <c r="P893" s="95"/>
    </row>
    <row r="894" ht="15.75" customHeight="1">
      <c r="A894" s="90"/>
      <c r="B894" s="91"/>
      <c r="C894" s="92"/>
      <c r="D894" s="91"/>
      <c r="E894" s="93"/>
      <c r="F894" s="94"/>
      <c r="G894" s="91"/>
      <c r="H894" s="93"/>
      <c r="I894" s="95"/>
      <c r="J894" s="95"/>
      <c r="K894" s="95"/>
      <c r="L894" s="94"/>
      <c r="M894" s="96"/>
      <c r="N894" s="95"/>
      <c r="O894" s="95"/>
      <c r="P894" s="95"/>
    </row>
    <row r="895" ht="15.75" customHeight="1">
      <c r="A895" s="90"/>
      <c r="B895" s="91"/>
      <c r="C895" s="92"/>
      <c r="D895" s="91"/>
      <c r="E895" s="93"/>
      <c r="F895" s="94"/>
      <c r="G895" s="91"/>
      <c r="H895" s="93"/>
      <c r="I895" s="95"/>
      <c r="J895" s="95"/>
      <c r="K895" s="95"/>
      <c r="L895" s="94"/>
      <c r="M895" s="96"/>
      <c r="N895" s="95"/>
      <c r="O895" s="95"/>
      <c r="P895" s="95"/>
    </row>
    <row r="896" ht="15.75" customHeight="1">
      <c r="A896" s="90"/>
      <c r="B896" s="91"/>
      <c r="C896" s="92"/>
      <c r="D896" s="91"/>
      <c r="E896" s="93"/>
      <c r="F896" s="94"/>
      <c r="G896" s="91"/>
      <c r="H896" s="93"/>
      <c r="I896" s="95"/>
      <c r="J896" s="95"/>
      <c r="K896" s="95"/>
      <c r="L896" s="94"/>
      <c r="M896" s="96"/>
      <c r="N896" s="95"/>
      <c r="O896" s="95"/>
      <c r="P896" s="95"/>
    </row>
    <row r="897" ht="15.75" customHeight="1">
      <c r="A897" s="90"/>
      <c r="B897" s="91"/>
      <c r="C897" s="92"/>
      <c r="D897" s="91"/>
      <c r="E897" s="93"/>
      <c r="F897" s="94"/>
      <c r="G897" s="91"/>
      <c r="H897" s="93"/>
      <c r="I897" s="95"/>
      <c r="J897" s="95"/>
      <c r="K897" s="95"/>
      <c r="L897" s="94"/>
      <c r="M897" s="96"/>
      <c r="N897" s="95"/>
      <c r="O897" s="95"/>
      <c r="P897" s="95"/>
    </row>
    <row r="898" ht="15.75" customHeight="1">
      <c r="A898" s="90"/>
      <c r="B898" s="91"/>
      <c r="C898" s="92"/>
      <c r="D898" s="91"/>
      <c r="E898" s="93"/>
      <c r="F898" s="94"/>
      <c r="G898" s="91"/>
      <c r="H898" s="93"/>
      <c r="I898" s="95"/>
      <c r="J898" s="95"/>
      <c r="K898" s="95"/>
      <c r="L898" s="94"/>
      <c r="M898" s="96"/>
      <c r="N898" s="95"/>
      <c r="O898" s="95"/>
      <c r="P898" s="95"/>
    </row>
    <row r="899" ht="15.75" customHeight="1">
      <c r="A899" s="90"/>
      <c r="B899" s="91"/>
      <c r="C899" s="92"/>
      <c r="D899" s="91"/>
      <c r="E899" s="93"/>
      <c r="F899" s="94"/>
      <c r="G899" s="91"/>
      <c r="H899" s="93"/>
      <c r="I899" s="95"/>
      <c r="J899" s="95"/>
      <c r="K899" s="95"/>
      <c r="L899" s="94"/>
      <c r="M899" s="96"/>
      <c r="N899" s="95"/>
      <c r="O899" s="95"/>
      <c r="P899" s="95"/>
    </row>
    <row r="900" ht="15.75" customHeight="1">
      <c r="A900" s="90"/>
      <c r="B900" s="91"/>
      <c r="C900" s="92"/>
      <c r="D900" s="91"/>
      <c r="E900" s="93"/>
      <c r="F900" s="94"/>
      <c r="G900" s="91"/>
      <c r="H900" s="93"/>
      <c r="I900" s="95"/>
      <c r="J900" s="95"/>
      <c r="K900" s="95"/>
      <c r="L900" s="94"/>
      <c r="M900" s="96"/>
      <c r="N900" s="95"/>
      <c r="O900" s="95"/>
      <c r="P900" s="95"/>
    </row>
    <row r="901" ht="15.75" customHeight="1">
      <c r="A901" s="90"/>
      <c r="B901" s="91"/>
      <c r="C901" s="92"/>
      <c r="D901" s="91"/>
      <c r="E901" s="93"/>
      <c r="F901" s="94"/>
      <c r="G901" s="91"/>
      <c r="H901" s="93"/>
      <c r="I901" s="95"/>
      <c r="J901" s="95"/>
      <c r="K901" s="95"/>
      <c r="L901" s="94"/>
      <c r="M901" s="96"/>
      <c r="N901" s="95"/>
      <c r="O901" s="95"/>
      <c r="P901" s="95"/>
    </row>
    <row r="902" ht="15.75" customHeight="1">
      <c r="A902" s="90"/>
      <c r="B902" s="91"/>
      <c r="C902" s="92"/>
      <c r="D902" s="91"/>
      <c r="E902" s="93"/>
      <c r="F902" s="94"/>
      <c r="G902" s="91"/>
      <c r="H902" s="93"/>
      <c r="I902" s="95"/>
      <c r="J902" s="95"/>
      <c r="K902" s="95"/>
      <c r="L902" s="94"/>
      <c r="M902" s="96"/>
      <c r="N902" s="95"/>
      <c r="O902" s="95"/>
      <c r="P902" s="95"/>
    </row>
    <row r="903" ht="15.75" customHeight="1">
      <c r="A903" s="90"/>
      <c r="B903" s="91"/>
      <c r="C903" s="92"/>
      <c r="D903" s="91"/>
      <c r="E903" s="93"/>
      <c r="F903" s="94"/>
      <c r="G903" s="91"/>
      <c r="H903" s="93"/>
      <c r="I903" s="95"/>
      <c r="J903" s="95"/>
      <c r="K903" s="95"/>
      <c r="L903" s="94"/>
      <c r="M903" s="96"/>
      <c r="N903" s="95"/>
      <c r="O903" s="95"/>
      <c r="P903" s="95"/>
    </row>
    <row r="904" ht="15.75" customHeight="1">
      <c r="A904" s="90"/>
      <c r="B904" s="91"/>
      <c r="C904" s="92"/>
      <c r="D904" s="91"/>
      <c r="E904" s="93"/>
      <c r="F904" s="94"/>
      <c r="G904" s="91"/>
      <c r="H904" s="93"/>
      <c r="I904" s="95"/>
      <c r="J904" s="95"/>
      <c r="K904" s="95"/>
      <c r="L904" s="94"/>
      <c r="M904" s="96"/>
      <c r="N904" s="95"/>
      <c r="O904" s="95"/>
      <c r="P904" s="95"/>
    </row>
    <row r="905" ht="15.75" customHeight="1">
      <c r="A905" s="90"/>
      <c r="B905" s="91"/>
      <c r="C905" s="92"/>
      <c r="D905" s="91"/>
      <c r="E905" s="93"/>
      <c r="F905" s="94"/>
      <c r="G905" s="91"/>
      <c r="H905" s="93"/>
      <c r="I905" s="95"/>
      <c r="J905" s="95"/>
      <c r="K905" s="95"/>
      <c r="L905" s="94"/>
      <c r="M905" s="96"/>
      <c r="N905" s="95"/>
      <c r="O905" s="95"/>
      <c r="P905" s="95"/>
    </row>
    <row r="906" ht="15.75" customHeight="1">
      <c r="A906" s="90"/>
      <c r="B906" s="91"/>
      <c r="C906" s="92"/>
      <c r="D906" s="91"/>
      <c r="E906" s="93"/>
      <c r="F906" s="94"/>
      <c r="G906" s="91"/>
      <c r="H906" s="93"/>
      <c r="I906" s="95"/>
      <c r="J906" s="95"/>
      <c r="K906" s="95"/>
      <c r="L906" s="94"/>
      <c r="M906" s="96"/>
      <c r="N906" s="95"/>
      <c r="O906" s="95"/>
      <c r="P906" s="95"/>
    </row>
    <row r="907" ht="15.75" customHeight="1">
      <c r="A907" s="90"/>
      <c r="B907" s="91"/>
      <c r="C907" s="92"/>
      <c r="D907" s="91"/>
      <c r="E907" s="93"/>
      <c r="F907" s="94"/>
      <c r="G907" s="91"/>
      <c r="H907" s="93"/>
      <c r="I907" s="95"/>
      <c r="J907" s="95"/>
      <c r="K907" s="95"/>
      <c r="L907" s="94"/>
      <c r="M907" s="96"/>
      <c r="N907" s="95"/>
      <c r="O907" s="95"/>
      <c r="P907" s="95"/>
    </row>
    <row r="908" ht="15.75" customHeight="1">
      <c r="A908" s="90"/>
      <c r="B908" s="91"/>
      <c r="C908" s="92"/>
      <c r="D908" s="91"/>
      <c r="E908" s="93"/>
      <c r="F908" s="94"/>
      <c r="G908" s="91"/>
      <c r="H908" s="93"/>
      <c r="I908" s="95"/>
      <c r="J908" s="95"/>
      <c r="K908" s="95"/>
      <c r="L908" s="94"/>
      <c r="M908" s="96"/>
      <c r="N908" s="95"/>
      <c r="O908" s="95"/>
      <c r="P908" s="95"/>
    </row>
    <row r="909" ht="15.75" customHeight="1">
      <c r="A909" s="90"/>
      <c r="B909" s="91"/>
      <c r="C909" s="92"/>
      <c r="D909" s="91"/>
      <c r="E909" s="93"/>
      <c r="F909" s="94"/>
      <c r="G909" s="91"/>
      <c r="H909" s="93"/>
      <c r="I909" s="95"/>
      <c r="J909" s="95"/>
      <c r="K909" s="95"/>
      <c r="L909" s="94"/>
      <c r="M909" s="96"/>
      <c r="N909" s="95"/>
      <c r="O909" s="95"/>
      <c r="P909" s="95"/>
    </row>
    <row r="910" ht="15.75" customHeight="1">
      <c r="A910" s="90"/>
      <c r="B910" s="91"/>
      <c r="C910" s="92"/>
      <c r="D910" s="91"/>
      <c r="E910" s="93"/>
      <c r="F910" s="94"/>
      <c r="G910" s="91"/>
      <c r="H910" s="93"/>
      <c r="I910" s="95"/>
      <c r="J910" s="95"/>
      <c r="K910" s="95"/>
      <c r="L910" s="94"/>
      <c r="M910" s="96"/>
      <c r="N910" s="95"/>
      <c r="O910" s="95"/>
      <c r="P910" s="95"/>
    </row>
    <row r="911" ht="15.75" customHeight="1">
      <c r="A911" s="90"/>
      <c r="B911" s="91"/>
      <c r="C911" s="92"/>
      <c r="D911" s="91"/>
      <c r="E911" s="93"/>
      <c r="F911" s="94"/>
      <c r="G911" s="91"/>
      <c r="H911" s="93"/>
      <c r="I911" s="95"/>
      <c r="J911" s="95"/>
      <c r="K911" s="95"/>
      <c r="L911" s="94"/>
      <c r="M911" s="96"/>
      <c r="N911" s="95"/>
      <c r="O911" s="95"/>
      <c r="P911" s="95"/>
    </row>
    <row r="912" ht="15.75" customHeight="1">
      <c r="A912" s="90"/>
      <c r="B912" s="91"/>
      <c r="C912" s="92"/>
      <c r="D912" s="91"/>
      <c r="E912" s="93"/>
      <c r="F912" s="94"/>
      <c r="G912" s="91"/>
      <c r="H912" s="93"/>
      <c r="I912" s="95"/>
      <c r="J912" s="95"/>
      <c r="K912" s="95"/>
      <c r="L912" s="94"/>
      <c r="M912" s="96"/>
      <c r="N912" s="95"/>
      <c r="O912" s="95"/>
      <c r="P912" s="95"/>
    </row>
    <row r="913" ht="15.75" customHeight="1">
      <c r="A913" s="90"/>
      <c r="B913" s="91"/>
      <c r="C913" s="92"/>
      <c r="D913" s="91"/>
      <c r="E913" s="93"/>
      <c r="F913" s="94"/>
      <c r="G913" s="91"/>
      <c r="H913" s="93"/>
      <c r="I913" s="95"/>
      <c r="J913" s="95"/>
      <c r="K913" s="95"/>
      <c r="L913" s="94"/>
      <c r="M913" s="96"/>
      <c r="N913" s="95"/>
      <c r="O913" s="95"/>
      <c r="P913" s="95"/>
    </row>
    <row r="914" ht="15.75" customHeight="1">
      <c r="A914" s="90"/>
      <c r="B914" s="91"/>
      <c r="C914" s="92"/>
      <c r="D914" s="91"/>
      <c r="E914" s="93"/>
      <c r="F914" s="94"/>
      <c r="G914" s="91"/>
      <c r="H914" s="93"/>
      <c r="I914" s="95"/>
      <c r="J914" s="95"/>
      <c r="K914" s="95"/>
      <c r="L914" s="94"/>
      <c r="M914" s="96"/>
      <c r="N914" s="95"/>
      <c r="O914" s="95"/>
      <c r="P914" s="95"/>
    </row>
    <row r="915" ht="15.75" customHeight="1">
      <c r="A915" s="90"/>
      <c r="B915" s="91"/>
      <c r="C915" s="92"/>
      <c r="D915" s="91"/>
      <c r="E915" s="93"/>
      <c r="F915" s="94"/>
      <c r="G915" s="91"/>
      <c r="H915" s="93"/>
      <c r="I915" s="95"/>
      <c r="J915" s="95"/>
      <c r="K915" s="95"/>
      <c r="L915" s="94"/>
      <c r="M915" s="96"/>
      <c r="N915" s="95"/>
      <c r="O915" s="95"/>
      <c r="P915" s="95"/>
    </row>
    <row r="916" ht="15.75" customHeight="1">
      <c r="A916" s="90"/>
      <c r="B916" s="91"/>
      <c r="C916" s="92"/>
      <c r="D916" s="91"/>
      <c r="E916" s="93"/>
      <c r="F916" s="94"/>
      <c r="G916" s="91"/>
      <c r="H916" s="93"/>
      <c r="I916" s="95"/>
      <c r="J916" s="95"/>
      <c r="K916" s="95"/>
      <c r="L916" s="94"/>
      <c r="M916" s="96"/>
      <c r="N916" s="95"/>
      <c r="O916" s="95"/>
      <c r="P916" s="95"/>
    </row>
    <row r="917" ht="15.75" customHeight="1">
      <c r="A917" s="90"/>
      <c r="B917" s="91"/>
      <c r="C917" s="92"/>
      <c r="D917" s="91"/>
      <c r="E917" s="93"/>
      <c r="F917" s="94"/>
      <c r="G917" s="91"/>
      <c r="H917" s="93"/>
      <c r="I917" s="95"/>
      <c r="J917" s="95"/>
      <c r="K917" s="95"/>
      <c r="L917" s="94"/>
      <c r="M917" s="96"/>
      <c r="N917" s="95"/>
      <c r="O917" s="95"/>
      <c r="P917" s="95"/>
    </row>
    <row r="918" ht="15.75" customHeight="1">
      <c r="A918" s="90"/>
      <c r="B918" s="91"/>
      <c r="C918" s="92"/>
      <c r="D918" s="91"/>
      <c r="E918" s="93"/>
      <c r="F918" s="94"/>
      <c r="G918" s="91"/>
      <c r="H918" s="93"/>
      <c r="I918" s="95"/>
      <c r="J918" s="95"/>
      <c r="K918" s="95"/>
      <c r="L918" s="94"/>
      <c r="M918" s="96"/>
      <c r="N918" s="95"/>
      <c r="O918" s="95"/>
      <c r="P918" s="95"/>
    </row>
    <row r="919" ht="15.75" customHeight="1">
      <c r="A919" s="90"/>
      <c r="B919" s="91"/>
      <c r="C919" s="92"/>
      <c r="D919" s="91"/>
      <c r="E919" s="93"/>
      <c r="F919" s="94"/>
      <c r="G919" s="91"/>
      <c r="H919" s="93"/>
      <c r="I919" s="95"/>
      <c r="J919" s="95"/>
      <c r="K919" s="95"/>
      <c r="L919" s="94"/>
      <c r="M919" s="96"/>
      <c r="N919" s="95"/>
      <c r="O919" s="95"/>
      <c r="P919" s="95"/>
    </row>
    <row r="920" ht="15.75" customHeight="1">
      <c r="A920" s="90"/>
      <c r="B920" s="91"/>
      <c r="C920" s="92"/>
      <c r="D920" s="91"/>
      <c r="E920" s="93"/>
      <c r="F920" s="94"/>
      <c r="G920" s="91"/>
      <c r="H920" s="93"/>
      <c r="I920" s="95"/>
      <c r="J920" s="95"/>
      <c r="K920" s="95"/>
      <c r="L920" s="94"/>
      <c r="M920" s="96"/>
      <c r="N920" s="95"/>
      <c r="O920" s="95"/>
      <c r="P920" s="95"/>
    </row>
    <row r="921" ht="15.75" customHeight="1">
      <c r="A921" s="90"/>
      <c r="B921" s="91"/>
      <c r="C921" s="92"/>
      <c r="D921" s="91"/>
      <c r="E921" s="93"/>
      <c r="F921" s="94"/>
      <c r="G921" s="91"/>
      <c r="H921" s="93"/>
      <c r="I921" s="95"/>
      <c r="J921" s="95"/>
      <c r="K921" s="95"/>
      <c r="L921" s="94"/>
      <c r="M921" s="96"/>
      <c r="N921" s="95"/>
      <c r="O921" s="95"/>
      <c r="P921" s="95"/>
    </row>
    <row r="922" ht="15.75" customHeight="1">
      <c r="A922" s="90"/>
      <c r="B922" s="91"/>
      <c r="C922" s="92"/>
      <c r="D922" s="91"/>
      <c r="E922" s="93"/>
      <c r="F922" s="94"/>
      <c r="G922" s="91"/>
      <c r="H922" s="93"/>
      <c r="I922" s="95"/>
      <c r="J922" s="95"/>
      <c r="K922" s="95"/>
      <c r="L922" s="94"/>
      <c r="M922" s="96"/>
      <c r="N922" s="95"/>
      <c r="O922" s="95"/>
      <c r="P922" s="95"/>
    </row>
    <row r="923" ht="15.75" customHeight="1">
      <c r="A923" s="90"/>
      <c r="B923" s="91"/>
      <c r="C923" s="92"/>
      <c r="D923" s="91"/>
      <c r="E923" s="93"/>
      <c r="F923" s="94"/>
      <c r="G923" s="91"/>
      <c r="H923" s="93"/>
      <c r="I923" s="95"/>
      <c r="J923" s="95"/>
      <c r="K923" s="95"/>
      <c r="L923" s="94"/>
      <c r="M923" s="96"/>
      <c r="N923" s="95"/>
      <c r="O923" s="95"/>
      <c r="P923" s="95"/>
    </row>
    <row r="924" ht="15.75" customHeight="1">
      <c r="A924" s="90"/>
      <c r="B924" s="91"/>
      <c r="C924" s="92"/>
      <c r="D924" s="91"/>
      <c r="E924" s="93"/>
      <c r="F924" s="94"/>
      <c r="G924" s="91"/>
      <c r="H924" s="93"/>
      <c r="I924" s="95"/>
      <c r="J924" s="95"/>
      <c r="K924" s="95"/>
      <c r="L924" s="94"/>
      <c r="M924" s="96"/>
      <c r="N924" s="95"/>
      <c r="O924" s="95"/>
      <c r="P924" s="95"/>
    </row>
    <row r="925" ht="15.75" customHeight="1">
      <c r="A925" s="90"/>
      <c r="B925" s="91"/>
      <c r="C925" s="92"/>
      <c r="D925" s="91"/>
      <c r="E925" s="93"/>
      <c r="F925" s="94"/>
      <c r="G925" s="91"/>
      <c r="H925" s="93"/>
      <c r="I925" s="95"/>
      <c r="J925" s="95"/>
      <c r="K925" s="95"/>
      <c r="L925" s="94"/>
      <c r="M925" s="96"/>
      <c r="N925" s="95"/>
      <c r="O925" s="95"/>
      <c r="P925" s="95"/>
    </row>
    <row r="926" ht="15.75" customHeight="1">
      <c r="A926" s="90"/>
      <c r="B926" s="91"/>
      <c r="C926" s="92"/>
      <c r="D926" s="91"/>
      <c r="E926" s="93"/>
      <c r="F926" s="94"/>
      <c r="G926" s="91"/>
      <c r="H926" s="93"/>
      <c r="I926" s="95"/>
      <c r="J926" s="95"/>
      <c r="K926" s="95"/>
      <c r="L926" s="94"/>
      <c r="M926" s="96"/>
      <c r="N926" s="95"/>
      <c r="O926" s="95"/>
      <c r="P926" s="95"/>
    </row>
    <row r="927" ht="15.75" customHeight="1">
      <c r="A927" s="90"/>
      <c r="B927" s="91"/>
      <c r="C927" s="92"/>
      <c r="D927" s="91"/>
      <c r="E927" s="93"/>
      <c r="F927" s="94"/>
      <c r="G927" s="91"/>
      <c r="H927" s="93"/>
      <c r="I927" s="95"/>
      <c r="J927" s="95"/>
      <c r="K927" s="95"/>
      <c r="L927" s="94"/>
      <c r="M927" s="96"/>
      <c r="N927" s="95"/>
      <c r="O927" s="95"/>
      <c r="P927" s="95"/>
    </row>
    <row r="928" ht="15.75" customHeight="1">
      <c r="A928" s="90"/>
      <c r="B928" s="91"/>
      <c r="C928" s="92"/>
      <c r="D928" s="91"/>
      <c r="E928" s="93"/>
      <c r="F928" s="94"/>
      <c r="G928" s="91"/>
      <c r="H928" s="93"/>
      <c r="I928" s="95"/>
      <c r="J928" s="95"/>
      <c r="K928" s="95"/>
      <c r="L928" s="94"/>
      <c r="M928" s="96"/>
      <c r="N928" s="95"/>
      <c r="O928" s="95"/>
      <c r="P928" s="95"/>
    </row>
    <row r="929" ht="15.75" customHeight="1">
      <c r="A929" s="90"/>
      <c r="B929" s="91"/>
      <c r="C929" s="92"/>
      <c r="D929" s="91"/>
      <c r="E929" s="93"/>
      <c r="F929" s="94"/>
      <c r="G929" s="91"/>
      <c r="H929" s="93"/>
      <c r="I929" s="95"/>
      <c r="J929" s="95"/>
      <c r="K929" s="95"/>
      <c r="L929" s="94"/>
      <c r="M929" s="96"/>
      <c r="N929" s="95"/>
      <c r="O929" s="95"/>
      <c r="P929" s="95"/>
    </row>
    <row r="930" ht="15.75" customHeight="1">
      <c r="A930" s="90"/>
      <c r="B930" s="91"/>
      <c r="C930" s="92"/>
      <c r="D930" s="91"/>
      <c r="E930" s="93"/>
      <c r="F930" s="94"/>
      <c r="G930" s="91"/>
      <c r="H930" s="93"/>
      <c r="I930" s="95"/>
      <c r="J930" s="95"/>
      <c r="K930" s="95"/>
      <c r="L930" s="94"/>
      <c r="M930" s="96"/>
      <c r="N930" s="95"/>
      <c r="O930" s="95"/>
      <c r="P930" s="95"/>
    </row>
    <row r="931" ht="15.75" customHeight="1">
      <c r="A931" s="90"/>
      <c r="B931" s="91"/>
      <c r="C931" s="92"/>
      <c r="D931" s="91"/>
      <c r="E931" s="93"/>
      <c r="F931" s="94"/>
      <c r="G931" s="91"/>
      <c r="H931" s="93"/>
      <c r="I931" s="95"/>
      <c r="J931" s="95"/>
      <c r="K931" s="95"/>
      <c r="L931" s="94"/>
      <c r="M931" s="96"/>
      <c r="N931" s="95"/>
      <c r="O931" s="95"/>
      <c r="P931" s="95"/>
    </row>
    <row r="932" ht="15.75" customHeight="1">
      <c r="A932" s="90"/>
      <c r="B932" s="91"/>
      <c r="C932" s="92"/>
      <c r="D932" s="91"/>
      <c r="E932" s="93"/>
      <c r="F932" s="94"/>
      <c r="G932" s="91"/>
      <c r="H932" s="93"/>
      <c r="I932" s="95"/>
      <c r="J932" s="95"/>
      <c r="K932" s="95"/>
      <c r="L932" s="94"/>
      <c r="M932" s="96"/>
      <c r="N932" s="95"/>
      <c r="O932" s="95"/>
      <c r="P932" s="95"/>
    </row>
    <row r="933" ht="15.75" customHeight="1">
      <c r="A933" s="90"/>
      <c r="B933" s="91"/>
      <c r="C933" s="92"/>
      <c r="D933" s="91"/>
      <c r="E933" s="93"/>
      <c r="F933" s="94"/>
      <c r="G933" s="91"/>
      <c r="H933" s="93"/>
      <c r="I933" s="95"/>
      <c r="J933" s="95"/>
      <c r="K933" s="95"/>
      <c r="L933" s="94"/>
      <c r="M933" s="96"/>
      <c r="N933" s="95"/>
      <c r="O933" s="95"/>
      <c r="P933" s="95"/>
    </row>
    <row r="934" ht="15.75" customHeight="1">
      <c r="A934" s="90"/>
      <c r="B934" s="91"/>
      <c r="C934" s="92"/>
      <c r="D934" s="91"/>
      <c r="E934" s="93"/>
      <c r="F934" s="94"/>
      <c r="G934" s="91"/>
      <c r="H934" s="93"/>
      <c r="I934" s="95"/>
      <c r="J934" s="95"/>
      <c r="K934" s="95"/>
      <c r="L934" s="94"/>
      <c r="M934" s="96"/>
      <c r="N934" s="95"/>
      <c r="O934" s="95"/>
      <c r="P934" s="95"/>
    </row>
    <row r="935" ht="15.75" customHeight="1">
      <c r="A935" s="90"/>
      <c r="B935" s="91"/>
      <c r="C935" s="92"/>
      <c r="D935" s="91"/>
      <c r="E935" s="93"/>
      <c r="F935" s="94"/>
      <c r="G935" s="91"/>
      <c r="H935" s="93"/>
      <c r="I935" s="95"/>
      <c r="J935" s="95"/>
      <c r="K935" s="95"/>
      <c r="L935" s="94"/>
      <c r="M935" s="96"/>
      <c r="N935" s="95"/>
      <c r="O935" s="95"/>
      <c r="P935" s="95"/>
    </row>
    <row r="936" ht="15.75" customHeight="1">
      <c r="A936" s="90"/>
      <c r="B936" s="91"/>
      <c r="C936" s="92"/>
      <c r="D936" s="91"/>
      <c r="E936" s="93"/>
      <c r="F936" s="94"/>
      <c r="G936" s="91"/>
      <c r="H936" s="93"/>
      <c r="I936" s="95"/>
      <c r="J936" s="95"/>
      <c r="K936" s="95"/>
      <c r="L936" s="94"/>
      <c r="M936" s="96"/>
      <c r="N936" s="95"/>
      <c r="O936" s="95"/>
      <c r="P936" s="95"/>
    </row>
    <row r="937" ht="15.75" customHeight="1">
      <c r="A937" s="90"/>
      <c r="B937" s="91"/>
      <c r="C937" s="92"/>
      <c r="D937" s="91"/>
      <c r="E937" s="93"/>
      <c r="F937" s="94"/>
      <c r="G937" s="91"/>
      <c r="H937" s="93"/>
      <c r="I937" s="95"/>
      <c r="J937" s="95"/>
      <c r="K937" s="95"/>
      <c r="L937" s="94"/>
      <c r="M937" s="96"/>
      <c r="N937" s="95"/>
      <c r="O937" s="95"/>
      <c r="P937" s="95"/>
    </row>
    <row r="938" ht="15.75" customHeight="1">
      <c r="A938" s="90"/>
      <c r="B938" s="91"/>
      <c r="C938" s="92"/>
      <c r="D938" s="91"/>
      <c r="E938" s="93"/>
      <c r="F938" s="94"/>
      <c r="G938" s="91"/>
      <c r="H938" s="93"/>
      <c r="I938" s="95"/>
      <c r="J938" s="95"/>
      <c r="K938" s="95"/>
      <c r="L938" s="94"/>
      <c r="M938" s="96"/>
      <c r="N938" s="95"/>
      <c r="O938" s="95"/>
      <c r="P938" s="95"/>
    </row>
    <row r="939" ht="15.75" customHeight="1">
      <c r="A939" s="90"/>
      <c r="B939" s="91"/>
      <c r="C939" s="92"/>
      <c r="D939" s="91"/>
      <c r="E939" s="93"/>
      <c r="F939" s="94"/>
      <c r="G939" s="91"/>
      <c r="H939" s="93"/>
      <c r="I939" s="95"/>
      <c r="J939" s="95"/>
      <c r="K939" s="95"/>
      <c r="L939" s="94"/>
      <c r="M939" s="96"/>
      <c r="N939" s="95"/>
      <c r="O939" s="95"/>
      <c r="P939" s="95"/>
    </row>
    <row r="940" ht="15.75" customHeight="1">
      <c r="A940" s="90"/>
      <c r="B940" s="91"/>
      <c r="C940" s="92"/>
      <c r="D940" s="91"/>
      <c r="E940" s="93"/>
      <c r="F940" s="94"/>
      <c r="G940" s="91"/>
      <c r="H940" s="93"/>
      <c r="I940" s="95"/>
      <c r="J940" s="95"/>
      <c r="K940" s="95"/>
      <c r="L940" s="94"/>
      <c r="M940" s="96"/>
      <c r="N940" s="95"/>
      <c r="O940" s="95"/>
      <c r="P940" s="95"/>
    </row>
    <row r="941" ht="15.75" customHeight="1">
      <c r="A941" s="90"/>
      <c r="B941" s="91"/>
      <c r="C941" s="92"/>
      <c r="D941" s="91"/>
      <c r="E941" s="93"/>
      <c r="F941" s="94"/>
      <c r="G941" s="91"/>
      <c r="H941" s="93"/>
      <c r="I941" s="95"/>
      <c r="J941" s="95"/>
      <c r="K941" s="95"/>
      <c r="L941" s="94"/>
      <c r="M941" s="96"/>
      <c r="N941" s="95"/>
      <c r="O941" s="95"/>
      <c r="P941" s="95"/>
    </row>
    <row r="942" ht="15.75" customHeight="1">
      <c r="A942" s="90"/>
      <c r="B942" s="91"/>
      <c r="C942" s="92"/>
      <c r="D942" s="91"/>
      <c r="E942" s="93"/>
      <c r="F942" s="94"/>
      <c r="G942" s="91"/>
      <c r="H942" s="93"/>
      <c r="I942" s="95"/>
      <c r="J942" s="95"/>
      <c r="K942" s="95"/>
      <c r="L942" s="94"/>
      <c r="M942" s="96"/>
      <c r="N942" s="95"/>
      <c r="O942" s="95"/>
      <c r="P942" s="95"/>
    </row>
    <row r="943" ht="15.75" customHeight="1">
      <c r="A943" s="90"/>
      <c r="B943" s="91"/>
      <c r="C943" s="92"/>
      <c r="D943" s="91"/>
      <c r="E943" s="93"/>
      <c r="F943" s="94"/>
      <c r="G943" s="91"/>
      <c r="H943" s="93"/>
      <c r="I943" s="95"/>
      <c r="J943" s="95"/>
      <c r="K943" s="95"/>
      <c r="L943" s="94"/>
      <c r="M943" s="96"/>
      <c r="N943" s="95"/>
      <c r="O943" s="95"/>
      <c r="P943" s="95"/>
    </row>
    <row r="944" ht="15.75" customHeight="1">
      <c r="A944" s="90"/>
      <c r="B944" s="91"/>
      <c r="C944" s="92"/>
      <c r="D944" s="91"/>
      <c r="E944" s="93"/>
      <c r="F944" s="94"/>
      <c r="G944" s="91"/>
      <c r="H944" s="93"/>
      <c r="I944" s="95"/>
      <c r="J944" s="95"/>
      <c r="K944" s="95"/>
      <c r="L944" s="94"/>
      <c r="M944" s="96"/>
      <c r="N944" s="95"/>
      <c r="O944" s="95"/>
      <c r="P944" s="95"/>
    </row>
    <row r="945" ht="15.75" customHeight="1">
      <c r="A945" s="90"/>
      <c r="B945" s="91"/>
      <c r="C945" s="92"/>
      <c r="D945" s="91"/>
      <c r="E945" s="93"/>
      <c r="F945" s="94"/>
      <c r="G945" s="91"/>
      <c r="H945" s="93"/>
      <c r="I945" s="95"/>
      <c r="J945" s="95"/>
      <c r="K945" s="95"/>
      <c r="L945" s="94"/>
      <c r="M945" s="96"/>
      <c r="N945" s="95"/>
      <c r="O945" s="95"/>
      <c r="P945" s="95"/>
    </row>
    <row r="946" ht="15.75" customHeight="1">
      <c r="A946" s="90"/>
      <c r="B946" s="91"/>
      <c r="C946" s="92"/>
      <c r="D946" s="91"/>
      <c r="E946" s="93"/>
      <c r="F946" s="94"/>
      <c r="G946" s="91"/>
      <c r="H946" s="93"/>
      <c r="I946" s="95"/>
      <c r="J946" s="95"/>
      <c r="K946" s="95"/>
      <c r="L946" s="94"/>
      <c r="M946" s="96"/>
      <c r="N946" s="95"/>
      <c r="O946" s="95"/>
      <c r="P946" s="95"/>
    </row>
    <row r="947" ht="15.75" customHeight="1">
      <c r="A947" s="90"/>
      <c r="B947" s="91"/>
      <c r="C947" s="92"/>
      <c r="D947" s="91"/>
      <c r="E947" s="93"/>
      <c r="F947" s="94"/>
      <c r="G947" s="91"/>
      <c r="H947" s="93"/>
      <c r="I947" s="95"/>
      <c r="J947" s="95"/>
      <c r="K947" s="95"/>
      <c r="L947" s="94"/>
      <c r="M947" s="96"/>
      <c r="N947" s="95"/>
      <c r="O947" s="95"/>
      <c r="P947" s="95"/>
    </row>
    <row r="948" ht="15.75" customHeight="1">
      <c r="A948" s="90"/>
      <c r="B948" s="91"/>
      <c r="C948" s="92"/>
      <c r="D948" s="91"/>
      <c r="E948" s="93"/>
      <c r="F948" s="94"/>
      <c r="G948" s="91"/>
      <c r="H948" s="93"/>
      <c r="I948" s="95"/>
      <c r="J948" s="95"/>
      <c r="K948" s="95"/>
      <c r="L948" s="94"/>
      <c r="M948" s="96"/>
      <c r="N948" s="95"/>
      <c r="O948" s="95"/>
      <c r="P948" s="95"/>
    </row>
    <row r="949" ht="15.75" customHeight="1">
      <c r="A949" s="90"/>
      <c r="B949" s="91"/>
      <c r="C949" s="92"/>
      <c r="D949" s="91"/>
      <c r="E949" s="93"/>
      <c r="F949" s="94"/>
      <c r="G949" s="91"/>
      <c r="H949" s="93"/>
      <c r="I949" s="95"/>
      <c r="J949" s="95"/>
      <c r="K949" s="95"/>
      <c r="L949" s="94"/>
      <c r="M949" s="96"/>
      <c r="N949" s="95"/>
      <c r="O949" s="95"/>
      <c r="P949" s="95"/>
    </row>
    <row r="950" ht="15.75" customHeight="1">
      <c r="A950" s="90"/>
      <c r="B950" s="91"/>
      <c r="C950" s="92"/>
      <c r="D950" s="91"/>
      <c r="E950" s="93"/>
      <c r="F950" s="94"/>
      <c r="G950" s="91"/>
      <c r="H950" s="93"/>
      <c r="I950" s="95"/>
      <c r="J950" s="95"/>
      <c r="K950" s="95"/>
      <c r="L950" s="94"/>
      <c r="M950" s="96"/>
      <c r="N950" s="95"/>
      <c r="O950" s="95"/>
      <c r="P950" s="95"/>
    </row>
    <row r="951" ht="15.75" customHeight="1">
      <c r="A951" s="90"/>
      <c r="B951" s="91"/>
      <c r="C951" s="92"/>
      <c r="D951" s="91"/>
      <c r="E951" s="93"/>
      <c r="F951" s="94"/>
      <c r="G951" s="91"/>
      <c r="H951" s="93"/>
      <c r="I951" s="95"/>
      <c r="J951" s="95"/>
      <c r="K951" s="95"/>
      <c r="L951" s="94"/>
      <c r="M951" s="96"/>
      <c r="N951" s="95"/>
      <c r="O951" s="95"/>
      <c r="P951" s="95"/>
    </row>
    <row r="952" ht="15.75" customHeight="1">
      <c r="A952" s="90"/>
      <c r="B952" s="91"/>
      <c r="C952" s="92"/>
      <c r="D952" s="91"/>
      <c r="E952" s="93"/>
      <c r="F952" s="94"/>
      <c r="G952" s="91"/>
      <c r="H952" s="93"/>
      <c r="I952" s="95"/>
      <c r="J952" s="95"/>
      <c r="K952" s="95"/>
      <c r="L952" s="94"/>
      <c r="M952" s="96"/>
      <c r="N952" s="95"/>
      <c r="O952" s="95"/>
      <c r="P952" s="95"/>
    </row>
    <row r="953" ht="15.75" customHeight="1">
      <c r="A953" s="90"/>
      <c r="B953" s="91"/>
      <c r="C953" s="92"/>
      <c r="D953" s="91"/>
      <c r="E953" s="93"/>
      <c r="F953" s="94"/>
      <c r="G953" s="91"/>
      <c r="H953" s="93"/>
      <c r="I953" s="95"/>
      <c r="J953" s="95"/>
      <c r="K953" s="95"/>
      <c r="L953" s="94"/>
      <c r="M953" s="96"/>
      <c r="N953" s="95"/>
      <c r="O953" s="95"/>
      <c r="P953" s="95"/>
    </row>
    <row r="954" ht="15.75" customHeight="1">
      <c r="A954" s="90"/>
      <c r="B954" s="91"/>
      <c r="C954" s="92"/>
      <c r="D954" s="91"/>
      <c r="E954" s="93"/>
      <c r="F954" s="94"/>
      <c r="G954" s="91"/>
      <c r="H954" s="93"/>
      <c r="I954" s="95"/>
      <c r="J954" s="95"/>
      <c r="K954" s="95"/>
      <c r="L954" s="94"/>
      <c r="M954" s="96"/>
      <c r="N954" s="95"/>
      <c r="O954" s="95"/>
      <c r="P954" s="95"/>
    </row>
    <row r="955" ht="15.75" customHeight="1">
      <c r="A955" s="90"/>
      <c r="B955" s="91"/>
      <c r="C955" s="92"/>
      <c r="D955" s="91"/>
      <c r="E955" s="93"/>
      <c r="F955" s="94"/>
      <c r="G955" s="91"/>
      <c r="H955" s="93"/>
      <c r="I955" s="95"/>
      <c r="J955" s="95"/>
      <c r="K955" s="95"/>
      <c r="L955" s="94"/>
      <c r="M955" s="96"/>
      <c r="N955" s="95"/>
      <c r="O955" s="95"/>
      <c r="P955" s="95"/>
    </row>
    <row r="956" ht="15.75" customHeight="1">
      <c r="A956" s="90"/>
      <c r="B956" s="91"/>
      <c r="C956" s="92"/>
      <c r="D956" s="91"/>
      <c r="E956" s="93"/>
      <c r="F956" s="94"/>
      <c r="G956" s="91"/>
      <c r="H956" s="93"/>
      <c r="I956" s="95"/>
      <c r="J956" s="95"/>
      <c r="K956" s="95"/>
      <c r="L956" s="94"/>
      <c r="M956" s="96"/>
      <c r="N956" s="95"/>
      <c r="O956" s="95"/>
      <c r="P956" s="95"/>
    </row>
    <row r="957" ht="15.75" customHeight="1">
      <c r="A957" s="90"/>
      <c r="B957" s="91"/>
      <c r="C957" s="92"/>
      <c r="D957" s="91"/>
      <c r="E957" s="93"/>
      <c r="F957" s="94"/>
      <c r="G957" s="91"/>
      <c r="H957" s="93"/>
      <c r="I957" s="95"/>
      <c r="J957" s="95"/>
      <c r="K957" s="95"/>
      <c r="L957" s="94"/>
      <c r="M957" s="96"/>
      <c r="N957" s="95"/>
      <c r="O957" s="95"/>
      <c r="P957" s="95"/>
    </row>
    <row r="958" ht="15.75" customHeight="1">
      <c r="A958" s="90"/>
      <c r="B958" s="91"/>
      <c r="C958" s="92"/>
      <c r="D958" s="91"/>
      <c r="E958" s="93"/>
      <c r="F958" s="94"/>
      <c r="G958" s="91"/>
      <c r="H958" s="93"/>
      <c r="I958" s="95"/>
      <c r="J958" s="95"/>
      <c r="K958" s="95"/>
      <c r="L958" s="94"/>
      <c r="M958" s="96"/>
      <c r="N958" s="95"/>
      <c r="O958" s="95"/>
      <c r="P958" s="95"/>
    </row>
    <row r="959" ht="15.75" customHeight="1">
      <c r="A959" s="90"/>
      <c r="B959" s="91"/>
      <c r="C959" s="92"/>
      <c r="D959" s="91"/>
      <c r="E959" s="93"/>
      <c r="F959" s="94"/>
      <c r="G959" s="91"/>
      <c r="H959" s="93"/>
      <c r="I959" s="95"/>
      <c r="J959" s="95"/>
      <c r="K959" s="95"/>
      <c r="L959" s="94"/>
      <c r="M959" s="96"/>
      <c r="N959" s="95"/>
      <c r="O959" s="95"/>
      <c r="P959" s="95"/>
    </row>
    <row r="960" ht="15.75" customHeight="1">
      <c r="A960" s="90"/>
      <c r="B960" s="91"/>
      <c r="C960" s="92"/>
      <c r="D960" s="91"/>
      <c r="E960" s="93"/>
      <c r="F960" s="94"/>
      <c r="G960" s="91"/>
      <c r="H960" s="93"/>
      <c r="I960" s="95"/>
      <c r="J960" s="95"/>
      <c r="K960" s="95"/>
      <c r="L960" s="94"/>
      <c r="M960" s="96"/>
      <c r="N960" s="95"/>
      <c r="O960" s="95"/>
      <c r="P960" s="95"/>
    </row>
    <row r="961" ht="15.75" customHeight="1">
      <c r="A961" s="90"/>
      <c r="B961" s="91"/>
      <c r="C961" s="92"/>
      <c r="D961" s="91"/>
      <c r="E961" s="93"/>
      <c r="F961" s="94"/>
      <c r="G961" s="91"/>
      <c r="H961" s="93"/>
      <c r="I961" s="95"/>
      <c r="J961" s="95"/>
      <c r="K961" s="95"/>
      <c r="L961" s="94"/>
      <c r="M961" s="96"/>
      <c r="N961" s="95"/>
      <c r="O961" s="95"/>
      <c r="P961" s="95"/>
    </row>
    <row r="962" ht="15.75" customHeight="1">
      <c r="A962" s="90"/>
      <c r="B962" s="91"/>
      <c r="C962" s="92"/>
      <c r="D962" s="91"/>
      <c r="E962" s="93"/>
      <c r="F962" s="94"/>
      <c r="G962" s="91"/>
      <c r="H962" s="93"/>
      <c r="I962" s="95"/>
      <c r="J962" s="95"/>
      <c r="K962" s="95"/>
      <c r="L962" s="94"/>
      <c r="M962" s="96"/>
      <c r="N962" s="95"/>
      <c r="O962" s="95"/>
      <c r="P962" s="95"/>
    </row>
    <row r="963" ht="15.75" customHeight="1">
      <c r="A963" s="90"/>
      <c r="B963" s="91"/>
      <c r="C963" s="92"/>
      <c r="D963" s="91"/>
      <c r="E963" s="93"/>
      <c r="F963" s="94"/>
      <c r="G963" s="91"/>
      <c r="H963" s="93"/>
      <c r="I963" s="95"/>
      <c r="J963" s="95"/>
      <c r="K963" s="95"/>
      <c r="L963" s="94"/>
      <c r="M963" s="96"/>
      <c r="N963" s="95"/>
      <c r="O963" s="95"/>
      <c r="P963" s="95"/>
    </row>
    <row r="964" ht="15.75" customHeight="1">
      <c r="A964" s="90"/>
      <c r="B964" s="91"/>
      <c r="C964" s="92"/>
      <c r="D964" s="91"/>
      <c r="E964" s="93"/>
      <c r="F964" s="94"/>
      <c r="G964" s="91"/>
      <c r="H964" s="93"/>
      <c r="I964" s="95"/>
      <c r="J964" s="95"/>
      <c r="K964" s="95"/>
      <c r="L964" s="94"/>
      <c r="M964" s="96"/>
      <c r="N964" s="95"/>
      <c r="O964" s="95"/>
      <c r="P964" s="95"/>
    </row>
    <row r="965" ht="15.75" customHeight="1">
      <c r="A965" s="90"/>
      <c r="B965" s="91"/>
      <c r="C965" s="92"/>
      <c r="D965" s="91"/>
      <c r="E965" s="93"/>
      <c r="F965" s="94"/>
      <c r="G965" s="91"/>
      <c r="H965" s="93"/>
      <c r="I965" s="95"/>
      <c r="J965" s="95"/>
      <c r="K965" s="95"/>
      <c r="L965" s="94"/>
      <c r="M965" s="96"/>
      <c r="N965" s="95"/>
      <c r="O965" s="95"/>
      <c r="P965" s="95"/>
    </row>
    <row r="966" ht="15.75" customHeight="1">
      <c r="A966" s="90"/>
      <c r="B966" s="91"/>
      <c r="C966" s="92"/>
      <c r="D966" s="91"/>
      <c r="E966" s="93"/>
      <c r="F966" s="94"/>
      <c r="G966" s="91"/>
      <c r="H966" s="93"/>
      <c r="I966" s="95"/>
      <c r="J966" s="95"/>
      <c r="K966" s="95"/>
      <c r="L966" s="94"/>
      <c r="M966" s="96"/>
      <c r="N966" s="95"/>
      <c r="O966" s="95"/>
      <c r="P966" s="95"/>
    </row>
    <row r="967" ht="15.75" customHeight="1">
      <c r="A967" s="90"/>
      <c r="B967" s="91"/>
      <c r="C967" s="92"/>
      <c r="D967" s="91"/>
      <c r="E967" s="93"/>
      <c r="F967" s="94"/>
      <c r="G967" s="91"/>
      <c r="H967" s="93"/>
      <c r="I967" s="95"/>
      <c r="J967" s="95"/>
      <c r="K967" s="95"/>
      <c r="L967" s="94"/>
      <c r="M967" s="96"/>
      <c r="N967" s="95"/>
      <c r="O967" s="95"/>
      <c r="P967" s="95"/>
    </row>
    <row r="968" ht="15.75" customHeight="1">
      <c r="A968" s="90"/>
      <c r="B968" s="91"/>
      <c r="C968" s="92"/>
      <c r="D968" s="91"/>
      <c r="E968" s="93"/>
      <c r="F968" s="94"/>
      <c r="G968" s="91"/>
      <c r="H968" s="93"/>
      <c r="I968" s="95"/>
      <c r="J968" s="95"/>
      <c r="K968" s="95"/>
      <c r="L968" s="94"/>
      <c r="M968" s="96"/>
      <c r="N968" s="95"/>
      <c r="O968" s="95"/>
      <c r="P968" s="95"/>
    </row>
    <row r="969" ht="15.75" customHeight="1">
      <c r="A969" s="90"/>
      <c r="B969" s="91"/>
      <c r="C969" s="92"/>
      <c r="D969" s="91"/>
      <c r="E969" s="93"/>
      <c r="F969" s="94"/>
      <c r="G969" s="91"/>
      <c r="H969" s="93"/>
      <c r="I969" s="95"/>
      <c r="J969" s="95"/>
      <c r="K969" s="95"/>
      <c r="L969" s="94"/>
      <c r="M969" s="96"/>
      <c r="N969" s="95"/>
      <c r="O969" s="95"/>
      <c r="P969" s="95"/>
    </row>
    <row r="970" ht="15.75" customHeight="1">
      <c r="A970" s="90"/>
      <c r="B970" s="91"/>
      <c r="C970" s="92"/>
      <c r="D970" s="91"/>
      <c r="E970" s="93"/>
      <c r="F970" s="94"/>
      <c r="G970" s="91"/>
      <c r="H970" s="93"/>
      <c r="I970" s="95"/>
      <c r="J970" s="95"/>
      <c r="K970" s="95"/>
      <c r="L970" s="94"/>
      <c r="M970" s="96"/>
      <c r="N970" s="95"/>
      <c r="O970" s="95"/>
      <c r="P970" s="95"/>
    </row>
    <row r="971" ht="15.75" customHeight="1">
      <c r="A971" s="90"/>
      <c r="B971" s="91"/>
      <c r="C971" s="92"/>
      <c r="D971" s="91"/>
      <c r="E971" s="93"/>
      <c r="F971" s="94"/>
      <c r="G971" s="91"/>
      <c r="H971" s="93"/>
      <c r="I971" s="95"/>
      <c r="J971" s="95"/>
      <c r="K971" s="95"/>
      <c r="L971" s="94"/>
      <c r="M971" s="96"/>
      <c r="N971" s="95"/>
      <c r="O971" s="95"/>
      <c r="P971" s="95"/>
    </row>
    <row r="972" ht="15.75" customHeight="1">
      <c r="A972" s="90"/>
      <c r="B972" s="91"/>
      <c r="C972" s="92"/>
      <c r="D972" s="91"/>
      <c r="E972" s="93"/>
      <c r="F972" s="94"/>
      <c r="G972" s="91"/>
      <c r="H972" s="93"/>
      <c r="I972" s="95"/>
      <c r="J972" s="95"/>
      <c r="K972" s="95"/>
      <c r="L972" s="94"/>
      <c r="M972" s="96"/>
      <c r="N972" s="95"/>
      <c r="O972" s="95"/>
      <c r="P972" s="95"/>
    </row>
    <row r="973" ht="15.75" customHeight="1">
      <c r="A973" s="90"/>
      <c r="B973" s="91"/>
      <c r="C973" s="92"/>
      <c r="D973" s="91"/>
      <c r="E973" s="93"/>
      <c r="F973" s="94"/>
      <c r="G973" s="91"/>
      <c r="H973" s="93"/>
      <c r="I973" s="95"/>
      <c r="J973" s="95"/>
      <c r="K973" s="95"/>
      <c r="L973" s="94"/>
      <c r="M973" s="96"/>
      <c r="N973" s="95"/>
      <c r="O973" s="95"/>
      <c r="P973" s="95"/>
    </row>
    <row r="974" ht="15.75" customHeight="1">
      <c r="A974" s="90"/>
      <c r="B974" s="91"/>
      <c r="C974" s="92"/>
      <c r="D974" s="91"/>
      <c r="E974" s="93"/>
      <c r="F974" s="94"/>
      <c r="G974" s="91"/>
      <c r="H974" s="93"/>
      <c r="I974" s="95"/>
      <c r="J974" s="95"/>
      <c r="K974" s="95"/>
      <c r="L974" s="94"/>
      <c r="M974" s="96"/>
      <c r="N974" s="95"/>
      <c r="O974" s="95"/>
      <c r="P974" s="95"/>
    </row>
    <row r="975" ht="15.75" customHeight="1">
      <c r="A975" s="90"/>
      <c r="B975" s="91"/>
      <c r="C975" s="92"/>
      <c r="D975" s="91"/>
      <c r="E975" s="93"/>
      <c r="F975" s="94"/>
      <c r="G975" s="91"/>
      <c r="H975" s="93"/>
      <c r="I975" s="95"/>
      <c r="J975" s="95"/>
      <c r="K975" s="95"/>
      <c r="L975" s="94"/>
      <c r="M975" s="96"/>
      <c r="N975" s="95"/>
      <c r="O975" s="95"/>
      <c r="P975" s="95"/>
    </row>
    <row r="976" ht="15.75" customHeight="1">
      <c r="A976" s="90"/>
      <c r="B976" s="91"/>
      <c r="C976" s="92"/>
      <c r="D976" s="91"/>
      <c r="E976" s="93"/>
      <c r="F976" s="94"/>
      <c r="G976" s="91"/>
      <c r="H976" s="93"/>
      <c r="I976" s="95"/>
      <c r="J976" s="95"/>
      <c r="K976" s="95"/>
      <c r="L976" s="94"/>
      <c r="M976" s="96"/>
      <c r="N976" s="95"/>
      <c r="O976" s="95"/>
      <c r="P976" s="95"/>
    </row>
    <row r="977" ht="15.75" customHeight="1">
      <c r="A977" s="90"/>
      <c r="B977" s="91"/>
      <c r="C977" s="92"/>
      <c r="D977" s="91"/>
      <c r="E977" s="93"/>
      <c r="F977" s="94"/>
      <c r="G977" s="91"/>
      <c r="H977" s="93"/>
      <c r="I977" s="95"/>
      <c r="J977" s="95"/>
      <c r="K977" s="95"/>
      <c r="L977" s="94"/>
      <c r="M977" s="96"/>
      <c r="N977" s="95"/>
      <c r="O977" s="95"/>
      <c r="P977" s="95"/>
    </row>
    <row r="978" ht="15.75" customHeight="1">
      <c r="A978" s="90"/>
      <c r="B978" s="91"/>
      <c r="C978" s="92"/>
      <c r="D978" s="91"/>
      <c r="E978" s="93"/>
      <c r="F978" s="94"/>
      <c r="G978" s="91"/>
      <c r="H978" s="93"/>
      <c r="I978" s="95"/>
      <c r="J978" s="95"/>
      <c r="K978" s="95"/>
      <c r="L978" s="94"/>
      <c r="M978" s="96"/>
      <c r="N978" s="95"/>
      <c r="O978" s="95"/>
      <c r="P978" s="95"/>
    </row>
    <row r="979" ht="15.75" customHeight="1">
      <c r="A979" s="90"/>
      <c r="B979" s="91"/>
      <c r="C979" s="92"/>
      <c r="D979" s="91"/>
      <c r="E979" s="93"/>
      <c r="F979" s="94"/>
      <c r="G979" s="91"/>
      <c r="H979" s="93"/>
      <c r="I979" s="95"/>
      <c r="J979" s="95"/>
      <c r="K979" s="95"/>
      <c r="L979" s="94"/>
      <c r="M979" s="96"/>
      <c r="N979" s="95"/>
      <c r="O979" s="95"/>
      <c r="P979" s="95"/>
    </row>
    <row r="980" ht="15.75" customHeight="1">
      <c r="A980" s="90"/>
      <c r="B980" s="91"/>
      <c r="C980" s="92"/>
      <c r="D980" s="91"/>
      <c r="E980" s="93"/>
      <c r="F980" s="94"/>
      <c r="G980" s="91"/>
      <c r="H980" s="93"/>
      <c r="I980" s="95"/>
      <c r="J980" s="95"/>
      <c r="K980" s="95"/>
      <c r="L980" s="94"/>
      <c r="M980" s="96"/>
      <c r="N980" s="95"/>
      <c r="O980" s="95"/>
      <c r="P980" s="95"/>
    </row>
    <row r="981" ht="15.75" customHeight="1">
      <c r="A981" s="90"/>
      <c r="B981" s="91"/>
      <c r="C981" s="92"/>
      <c r="D981" s="91"/>
      <c r="E981" s="93"/>
      <c r="F981" s="94"/>
      <c r="G981" s="91"/>
      <c r="H981" s="93"/>
      <c r="I981" s="95"/>
      <c r="J981" s="95"/>
      <c r="K981" s="95"/>
      <c r="L981" s="94"/>
      <c r="M981" s="96"/>
      <c r="N981" s="95"/>
      <c r="O981" s="95"/>
      <c r="P981" s="95"/>
    </row>
    <row r="982" ht="15.75" customHeight="1">
      <c r="A982" s="90"/>
      <c r="B982" s="91"/>
      <c r="C982" s="92"/>
      <c r="D982" s="91"/>
      <c r="E982" s="93"/>
      <c r="F982" s="94"/>
      <c r="G982" s="91"/>
      <c r="H982" s="93"/>
      <c r="I982" s="95"/>
      <c r="J982" s="95"/>
      <c r="K982" s="95"/>
      <c r="L982" s="94"/>
      <c r="M982" s="96"/>
      <c r="N982" s="95"/>
      <c r="O982" s="95"/>
      <c r="P982" s="95"/>
    </row>
    <row r="983" ht="15.75" customHeight="1">
      <c r="A983" s="90"/>
      <c r="B983" s="91"/>
      <c r="C983" s="92"/>
      <c r="D983" s="91"/>
      <c r="E983" s="93"/>
      <c r="F983" s="94"/>
      <c r="G983" s="91"/>
      <c r="H983" s="93"/>
      <c r="I983" s="95"/>
      <c r="J983" s="95"/>
      <c r="K983" s="95"/>
      <c r="L983" s="94"/>
      <c r="M983" s="96"/>
      <c r="N983" s="95"/>
      <c r="O983" s="95"/>
      <c r="P983" s="95"/>
    </row>
    <row r="984" ht="15.75" customHeight="1">
      <c r="A984" s="90"/>
      <c r="B984" s="91"/>
      <c r="C984" s="92"/>
      <c r="D984" s="91"/>
      <c r="E984" s="93"/>
      <c r="F984" s="94"/>
      <c r="G984" s="91"/>
      <c r="H984" s="93"/>
      <c r="I984" s="95"/>
      <c r="J984" s="95"/>
      <c r="K984" s="95"/>
      <c r="L984" s="94"/>
      <c r="M984" s="96"/>
      <c r="N984" s="95"/>
      <c r="O984" s="95"/>
      <c r="P984" s="95"/>
    </row>
    <row r="985" ht="15.75" customHeight="1">
      <c r="A985" s="90"/>
      <c r="B985" s="91"/>
      <c r="C985" s="92"/>
      <c r="D985" s="91"/>
      <c r="E985" s="93"/>
      <c r="F985" s="94"/>
      <c r="G985" s="91"/>
      <c r="H985" s="93"/>
      <c r="I985" s="95"/>
      <c r="J985" s="95"/>
      <c r="K985" s="95"/>
      <c r="L985" s="94"/>
      <c r="M985" s="96"/>
      <c r="N985" s="95"/>
      <c r="O985" s="95"/>
      <c r="P985" s="95"/>
    </row>
    <row r="986" ht="15.75" customHeight="1">
      <c r="A986" s="90"/>
      <c r="B986" s="91"/>
      <c r="C986" s="92"/>
      <c r="D986" s="91"/>
      <c r="E986" s="93"/>
      <c r="F986" s="94"/>
      <c r="G986" s="91"/>
      <c r="H986" s="93"/>
      <c r="I986" s="95"/>
      <c r="J986" s="95"/>
      <c r="K986" s="95"/>
      <c r="L986" s="94"/>
      <c r="M986" s="96"/>
      <c r="N986" s="95"/>
      <c r="O986" s="95"/>
      <c r="P986" s="95"/>
    </row>
    <row r="987" ht="15.75" customHeight="1">
      <c r="A987" s="90"/>
      <c r="B987" s="91"/>
      <c r="C987" s="92"/>
      <c r="D987" s="91"/>
      <c r="E987" s="93"/>
      <c r="F987" s="94"/>
      <c r="G987" s="91"/>
      <c r="H987" s="93"/>
      <c r="I987" s="95"/>
      <c r="J987" s="95"/>
      <c r="K987" s="95"/>
      <c r="L987" s="94"/>
      <c r="M987" s="96"/>
      <c r="N987" s="95"/>
      <c r="O987" s="95"/>
      <c r="P987" s="95"/>
    </row>
    <row r="988" ht="15.75" customHeight="1">
      <c r="A988" s="90"/>
      <c r="B988" s="91"/>
      <c r="C988" s="92"/>
      <c r="D988" s="91"/>
      <c r="E988" s="93"/>
      <c r="F988" s="94"/>
      <c r="G988" s="91"/>
      <c r="H988" s="93"/>
      <c r="I988" s="95"/>
      <c r="J988" s="95"/>
      <c r="K988" s="95"/>
      <c r="L988" s="94"/>
      <c r="M988" s="96"/>
      <c r="N988" s="95"/>
      <c r="O988" s="95"/>
      <c r="P988" s="95"/>
    </row>
    <row r="989" ht="15.75" customHeight="1">
      <c r="A989" s="90"/>
      <c r="B989" s="91"/>
      <c r="C989" s="92"/>
      <c r="D989" s="91"/>
      <c r="E989" s="93"/>
      <c r="F989" s="94"/>
      <c r="G989" s="91"/>
      <c r="H989" s="93"/>
      <c r="I989" s="95"/>
      <c r="J989" s="95"/>
      <c r="K989" s="95"/>
      <c r="L989" s="94"/>
      <c r="M989" s="96"/>
      <c r="N989" s="95"/>
      <c r="O989" s="95"/>
      <c r="P989" s="95"/>
    </row>
    <row r="990" ht="15.75" customHeight="1">
      <c r="A990" s="90"/>
      <c r="B990" s="91"/>
      <c r="C990" s="92"/>
      <c r="D990" s="91"/>
      <c r="E990" s="93"/>
      <c r="F990" s="94"/>
      <c r="G990" s="91"/>
      <c r="H990" s="93"/>
      <c r="I990" s="95"/>
      <c r="J990" s="95"/>
      <c r="K990" s="95"/>
      <c r="L990" s="94"/>
      <c r="M990" s="96"/>
      <c r="N990" s="95"/>
      <c r="O990" s="95"/>
      <c r="P990" s="95"/>
    </row>
  </sheetData>
  <mergeCells count="1">
    <mergeCell ref="P2:P5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17.56"/>
    <col customWidth="1" min="2" max="2" width="9.67"/>
    <col customWidth="1" min="3" max="3" width="9.78"/>
    <col customWidth="1" min="4" max="5" width="10.11"/>
    <col customWidth="1" min="6" max="6" width="8.33"/>
    <col customWidth="1" min="7" max="7" width="9.56"/>
    <col customWidth="1" min="8" max="8" width="8.33"/>
    <col customWidth="1" min="9" max="9" width="9.78"/>
    <col customWidth="1" min="10" max="10" width="8.44"/>
    <col customWidth="1" min="11" max="12" width="8.0"/>
    <col customWidth="1" min="13" max="13" width="10.44"/>
    <col customWidth="1" min="14" max="14" width="14.78"/>
    <col customWidth="1" min="15" max="15" width="51.0"/>
    <col customWidth="1" min="16" max="16" width="30.11"/>
    <col customWidth="1" min="17" max="29" width="10.44"/>
  </cols>
  <sheetData>
    <row r="1" ht="27.0" customHeight="1">
      <c r="A1" s="97" t="s">
        <v>0</v>
      </c>
      <c r="B1" s="98" t="s">
        <v>1</v>
      </c>
      <c r="C1" s="99" t="s">
        <v>2</v>
      </c>
      <c r="D1" s="98" t="s">
        <v>127</v>
      </c>
      <c r="E1" s="99" t="s">
        <v>128</v>
      </c>
      <c r="F1" s="100" t="s">
        <v>129</v>
      </c>
      <c r="G1" s="100" t="s">
        <v>130</v>
      </c>
      <c r="H1" s="98" t="s">
        <v>62</v>
      </c>
      <c r="I1" s="99" t="s">
        <v>131</v>
      </c>
      <c r="J1" s="101" t="s">
        <v>132</v>
      </c>
      <c r="K1" s="102" t="s">
        <v>133</v>
      </c>
      <c r="L1" s="103" t="s">
        <v>134</v>
      </c>
      <c r="M1" s="104" t="s">
        <v>7</v>
      </c>
      <c r="N1" s="105" t="s">
        <v>8</v>
      </c>
      <c r="O1" s="106" t="s">
        <v>9</v>
      </c>
      <c r="P1" s="107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</row>
    <row r="2" ht="15.0" customHeight="1">
      <c r="A2" s="108" t="s">
        <v>135</v>
      </c>
      <c r="B2" s="109" t="s">
        <v>70</v>
      </c>
      <c r="C2" s="110" t="s">
        <v>70</v>
      </c>
      <c r="D2" s="111">
        <v>45532.0</v>
      </c>
      <c r="E2" s="112">
        <v>0.5298611111111111</v>
      </c>
      <c r="F2" s="113">
        <v>8.57</v>
      </c>
      <c r="G2" s="113">
        <v>22.8</v>
      </c>
      <c r="H2" s="111">
        <v>45537.0</v>
      </c>
      <c r="I2" s="112">
        <v>0.6909722222222222</v>
      </c>
      <c r="J2" s="114">
        <v>8.29</v>
      </c>
      <c r="K2" s="115">
        <v>25.5</v>
      </c>
      <c r="L2" s="116"/>
      <c r="M2" s="113" t="s">
        <v>12</v>
      </c>
      <c r="N2" s="117" t="s">
        <v>13</v>
      </c>
      <c r="O2" s="118" t="s">
        <v>136</v>
      </c>
      <c r="P2" s="118" t="s">
        <v>136</v>
      </c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</row>
    <row r="3" ht="15.75" customHeight="1">
      <c r="A3" s="119" t="s">
        <v>137</v>
      </c>
      <c r="B3" s="120">
        <v>45531.0</v>
      </c>
      <c r="C3" s="121">
        <v>0.3229166666666667</v>
      </c>
      <c r="D3" s="120">
        <v>45532.0</v>
      </c>
      <c r="E3" s="122">
        <v>0.55</v>
      </c>
      <c r="F3" s="123">
        <v>8.77</v>
      </c>
      <c r="G3" s="123">
        <v>22.1</v>
      </c>
      <c r="H3" s="120">
        <v>45537.0</v>
      </c>
      <c r="I3" s="122">
        <v>0.6993055555555555</v>
      </c>
      <c r="J3" s="124">
        <v>6.96</v>
      </c>
      <c r="K3" s="125">
        <v>19.7</v>
      </c>
      <c r="L3" s="126">
        <f t="shared" ref="L3:L43" si="1">F3-J3</f>
        <v>1.81</v>
      </c>
      <c r="M3" s="113" t="s">
        <v>12</v>
      </c>
      <c r="N3" s="117" t="s">
        <v>13</v>
      </c>
      <c r="O3" s="118" t="s">
        <v>136</v>
      </c>
    </row>
    <row r="4" ht="17.25" customHeight="1">
      <c r="A4" s="119" t="s">
        <v>138</v>
      </c>
      <c r="B4" s="120">
        <v>45531.0</v>
      </c>
      <c r="C4" s="121">
        <v>0.3229166666666667</v>
      </c>
      <c r="D4" s="120">
        <v>45532.0</v>
      </c>
      <c r="E4" s="122">
        <v>0.55</v>
      </c>
      <c r="F4" s="123">
        <v>8.77</v>
      </c>
      <c r="G4" s="123">
        <v>22.1</v>
      </c>
      <c r="H4" s="120">
        <v>45537.0</v>
      </c>
      <c r="I4" s="122">
        <v>0.19722222222222222</v>
      </c>
      <c r="J4" s="124">
        <v>8.51</v>
      </c>
      <c r="K4" s="125">
        <v>19.0</v>
      </c>
      <c r="L4" s="126">
        <f t="shared" si="1"/>
        <v>0.26</v>
      </c>
      <c r="M4" s="113" t="s">
        <v>12</v>
      </c>
      <c r="N4" s="117" t="s">
        <v>13</v>
      </c>
      <c r="O4" s="118" t="s">
        <v>136</v>
      </c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</row>
    <row r="5">
      <c r="A5" s="108" t="s">
        <v>139</v>
      </c>
      <c r="B5" s="127">
        <v>45531.0</v>
      </c>
      <c r="C5" s="110">
        <v>0.3229166666666667</v>
      </c>
      <c r="D5" s="111">
        <v>45532.0</v>
      </c>
      <c r="E5" s="112">
        <v>0.55</v>
      </c>
      <c r="F5" s="113">
        <v>8.77</v>
      </c>
      <c r="G5" s="113">
        <v>22.1</v>
      </c>
      <c r="H5" s="111">
        <v>45537.0</v>
      </c>
      <c r="I5" s="112">
        <v>0.7006944444444444</v>
      </c>
      <c r="J5" s="114">
        <v>8.51</v>
      </c>
      <c r="K5" s="128">
        <v>19.0</v>
      </c>
      <c r="L5" s="129">
        <f t="shared" si="1"/>
        <v>0.26</v>
      </c>
      <c r="M5" s="113" t="s">
        <v>12</v>
      </c>
      <c r="N5" s="117" t="s">
        <v>13</v>
      </c>
      <c r="O5" s="118" t="s">
        <v>136</v>
      </c>
    </row>
    <row r="6" ht="15.0" customHeight="1">
      <c r="A6" s="108" t="s">
        <v>140</v>
      </c>
      <c r="B6" s="127">
        <v>45531.0</v>
      </c>
      <c r="C6" s="110">
        <v>0.3229166666666667</v>
      </c>
      <c r="D6" s="111">
        <v>45532.0</v>
      </c>
      <c r="E6" s="112">
        <v>0.6305555555555555</v>
      </c>
      <c r="F6" s="113">
        <v>8.75</v>
      </c>
      <c r="G6" s="113">
        <v>20.8</v>
      </c>
      <c r="H6" s="111">
        <v>45537.0</v>
      </c>
      <c r="I6" s="112">
        <v>0.7041666666666667</v>
      </c>
      <c r="J6" s="114">
        <v>8.43</v>
      </c>
      <c r="K6" s="128">
        <v>20.0</v>
      </c>
      <c r="L6" s="129">
        <f t="shared" si="1"/>
        <v>0.32</v>
      </c>
      <c r="M6" s="113" t="s">
        <v>12</v>
      </c>
      <c r="N6" s="117" t="s">
        <v>13</v>
      </c>
      <c r="O6" s="118" t="s">
        <v>136</v>
      </c>
    </row>
    <row r="7" ht="15.75" customHeight="1">
      <c r="A7" s="130" t="s">
        <v>141</v>
      </c>
      <c r="B7" s="127">
        <v>45531.0</v>
      </c>
      <c r="C7" s="110">
        <v>0.3402777777777778</v>
      </c>
      <c r="D7" s="111">
        <v>45532.0</v>
      </c>
      <c r="E7" s="112">
        <v>0.6291666666666667</v>
      </c>
      <c r="F7" s="131">
        <v>8.76</v>
      </c>
      <c r="G7" s="113">
        <v>19.91</v>
      </c>
      <c r="H7" s="111">
        <v>45537.0</v>
      </c>
      <c r="I7" s="112">
        <v>0.7069444444444445</v>
      </c>
      <c r="J7" s="114">
        <v>8.43</v>
      </c>
      <c r="K7" s="128">
        <v>20.0</v>
      </c>
      <c r="L7" s="129">
        <f t="shared" si="1"/>
        <v>0.33</v>
      </c>
      <c r="M7" s="113" t="s">
        <v>12</v>
      </c>
      <c r="N7" s="117" t="s">
        <v>13</v>
      </c>
      <c r="O7" s="132" t="s">
        <v>136</v>
      </c>
    </row>
    <row r="8" ht="15.75" customHeight="1">
      <c r="A8" s="130" t="s">
        <v>142</v>
      </c>
      <c r="B8" s="127">
        <v>45531.0</v>
      </c>
      <c r="C8" s="110">
        <v>0.3402777777777778</v>
      </c>
      <c r="D8" s="111">
        <v>45532.0</v>
      </c>
      <c r="E8" s="112">
        <v>0.6347222222222222</v>
      </c>
      <c r="F8" s="113">
        <v>8.66</v>
      </c>
      <c r="G8" s="113">
        <v>20.8</v>
      </c>
      <c r="H8" s="111">
        <v>45537.0</v>
      </c>
      <c r="I8" s="112">
        <v>0.7083333333333334</v>
      </c>
      <c r="J8" s="114">
        <v>8.1</v>
      </c>
      <c r="K8" s="128">
        <v>20.5</v>
      </c>
      <c r="L8" s="129">
        <f t="shared" si="1"/>
        <v>0.56</v>
      </c>
      <c r="M8" s="113" t="s">
        <v>12</v>
      </c>
      <c r="N8" s="117" t="s">
        <v>13</v>
      </c>
      <c r="O8" s="132" t="s">
        <v>136</v>
      </c>
    </row>
    <row r="9" ht="15.75" customHeight="1">
      <c r="A9" s="130" t="s">
        <v>143</v>
      </c>
      <c r="B9" s="127">
        <v>45531.0</v>
      </c>
      <c r="C9" s="110">
        <v>0.3680555555555556</v>
      </c>
      <c r="D9" s="111">
        <v>45532.0</v>
      </c>
      <c r="E9" s="112">
        <v>0.6388888888888888</v>
      </c>
      <c r="F9" s="113">
        <v>8.93</v>
      </c>
      <c r="G9" s="113">
        <v>20.5</v>
      </c>
      <c r="H9" s="111">
        <v>45537.0</v>
      </c>
      <c r="I9" s="112">
        <v>0.7104166666666667</v>
      </c>
      <c r="J9" s="114">
        <v>8.85</v>
      </c>
      <c r="K9" s="128">
        <v>19.9</v>
      </c>
      <c r="L9" s="129">
        <f t="shared" si="1"/>
        <v>0.08</v>
      </c>
      <c r="M9" s="113" t="s">
        <v>12</v>
      </c>
      <c r="N9" s="117" t="s">
        <v>13</v>
      </c>
      <c r="O9" s="132" t="s">
        <v>136</v>
      </c>
    </row>
    <row r="10" ht="15.75" customHeight="1">
      <c r="A10" s="130" t="s">
        <v>144</v>
      </c>
      <c r="B10" s="127">
        <v>45531.0</v>
      </c>
      <c r="C10" s="110">
        <v>0.3680555555555556</v>
      </c>
      <c r="D10" s="111">
        <v>45532.0</v>
      </c>
      <c r="E10" s="112">
        <v>0.64375</v>
      </c>
      <c r="F10" s="113">
        <v>8.73</v>
      </c>
      <c r="G10" s="113">
        <v>20.8</v>
      </c>
      <c r="H10" s="111">
        <v>45537.0</v>
      </c>
      <c r="I10" s="133">
        <v>0.7118055555555556</v>
      </c>
      <c r="J10" s="114">
        <v>8.04</v>
      </c>
      <c r="K10" s="128">
        <v>19.4</v>
      </c>
      <c r="L10" s="129">
        <f t="shared" si="1"/>
        <v>0.69</v>
      </c>
      <c r="M10" s="113" t="s">
        <v>12</v>
      </c>
      <c r="N10" s="117" t="s">
        <v>13</v>
      </c>
      <c r="O10" s="132" t="s">
        <v>136</v>
      </c>
    </row>
    <row r="11" ht="15.75" customHeight="1">
      <c r="A11" s="130" t="s">
        <v>145</v>
      </c>
      <c r="B11" s="127">
        <v>45531.0</v>
      </c>
      <c r="C11" s="134">
        <v>0.40902777777777777</v>
      </c>
      <c r="D11" s="111">
        <v>45532.0</v>
      </c>
      <c r="E11" s="112">
        <v>0.6472222222222223</v>
      </c>
      <c r="F11" s="113">
        <v>8.37</v>
      </c>
      <c r="G11" s="113">
        <v>20.3</v>
      </c>
      <c r="H11" s="111">
        <v>45537.0</v>
      </c>
      <c r="I11" s="112">
        <v>0.7131944444444445</v>
      </c>
      <c r="J11" s="114">
        <v>8.25</v>
      </c>
      <c r="K11" s="128">
        <v>19.5</v>
      </c>
      <c r="L11" s="129">
        <f t="shared" si="1"/>
        <v>0.12</v>
      </c>
      <c r="M11" s="113" t="s">
        <v>12</v>
      </c>
      <c r="N11" s="117" t="s">
        <v>13</v>
      </c>
      <c r="O11" s="132" t="s">
        <v>136</v>
      </c>
    </row>
    <row r="12" ht="15.75" customHeight="1">
      <c r="A12" s="130" t="s">
        <v>146</v>
      </c>
      <c r="B12" s="127">
        <v>45531.0</v>
      </c>
      <c r="C12" s="134">
        <v>0.40902777777777777</v>
      </c>
      <c r="D12" s="111">
        <v>45532.0</v>
      </c>
      <c r="E12" s="112">
        <v>0.6486111111111111</v>
      </c>
      <c r="F12" s="113">
        <v>8.58</v>
      </c>
      <c r="G12" s="113">
        <v>20.3</v>
      </c>
      <c r="H12" s="111">
        <v>45537.0</v>
      </c>
      <c r="I12" s="112">
        <v>0.7145833333333333</v>
      </c>
      <c r="J12" s="114">
        <v>7.8</v>
      </c>
      <c r="K12" s="128">
        <v>19.9</v>
      </c>
      <c r="L12" s="129">
        <f t="shared" si="1"/>
        <v>0.78</v>
      </c>
      <c r="M12" s="113" t="s">
        <v>12</v>
      </c>
      <c r="N12" s="117" t="s">
        <v>13</v>
      </c>
      <c r="O12" s="132" t="s">
        <v>136</v>
      </c>
    </row>
    <row r="13" ht="15.75" customHeight="1">
      <c r="A13" s="130" t="s">
        <v>147</v>
      </c>
      <c r="B13" s="127">
        <v>45531.0</v>
      </c>
      <c r="C13" s="134">
        <v>0.4270833333333333</v>
      </c>
      <c r="D13" s="111">
        <v>45532.0</v>
      </c>
      <c r="E13" s="112">
        <v>0.6527777777777778</v>
      </c>
      <c r="F13" s="113">
        <v>8.65</v>
      </c>
      <c r="G13" s="113">
        <v>20.7</v>
      </c>
      <c r="H13" s="111">
        <v>45537.0</v>
      </c>
      <c r="I13" s="112">
        <v>0.7159722222222222</v>
      </c>
      <c r="J13" s="113">
        <v>8.58</v>
      </c>
      <c r="K13" s="128">
        <v>20.1</v>
      </c>
      <c r="L13" s="129">
        <f t="shared" si="1"/>
        <v>0.07</v>
      </c>
      <c r="M13" s="113" t="s">
        <v>12</v>
      </c>
      <c r="N13" s="117" t="s">
        <v>13</v>
      </c>
      <c r="O13" s="132" t="s">
        <v>136</v>
      </c>
    </row>
    <row r="14" ht="15.75" customHeight="1">
      <c r="A14" s="130" t="s">
        <v>148</v>
      </c>
      <c r="B14" s="127">
        <v>45531.0</v>
      </c>
      <c r="C14" s="134">
        <v>0.4270833333333333</v>
      </c>
      <c r="D14" s="111">
        <v>45532.0</v>
      </c>
      <c r="E14" s="112">
        <v>0.6555555555555556</v>
      </c>
      <c r="F14" s="113">
        <v>8.11</v>
      </c>
      <c r="G14" s="113">
        <v>20.4</v>
      </c>
      <c r="H14" s="111">
        <v>45537.0</v>
      </c>
      <c r="I14" s="112">
        <v>0.7173611111111111</v>
      </c>
      <c r="J14" s="113">
        <v>8.02</v>
      </c>
      <c r="K14" s="128">
        <v>20.6</v>
      </c>
      <c r="L14" s="129">
        <f t="shared" si="1"/>
        <v>0.09</v>
      </c>
      <c r="M14" s="113" t="s">
        <v>12</v>
      </c>
      <c r="N14" s="117" t="s">
        <v>13</v>
      </c>
      <c r="O14" s="132" t="s">
        <v>136</v>
      </c>
    </row>
    <row r="15" ht="15.75" customHeight="1">
      <c r="A15" s="135" t="s">
        <v>149</v>
      </c>
      <c r="B15" s="120">
        <v>45531.0</v>
      </c>
      <c r="C15" s="122">
        <v>0.3951388888888889</v>
      </c>
      <c r="D15" s="120">
        <v>45532.0</v>
      </c>
      <c r="E15" s="136">
        <v>0.6618055555555555</v>
      </c>
      <c r="F15" s="137">
        <v>8.34</v>
      </c>
      <c r="G15" s="123">
        <v>21.6</v>
      </c>
      <c r="H15" s="120">
        <v>45537.0</v>
      </c>
      <c r="I15" s="122">
        <v>0.7194444444444444</v>
      </c>
      <c r="J15" s="124">
        <v>6.61</v>
      </c>
      <c r="K15" s="125">
        <v>19.9</v>
      </c>
      <c r="L15" s="126">
        <f t="shared" si="1"/>
        <v>1.73</v>
      </c>
      <c r="M15" s="113" t="s">
        <v>12</v>
      </c>
      <c r="N15" s="117" t="s">
        <v>13</v>
      </c>
      <c r="O15" s="132" t="s">
        <v>136</v>
      </c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  <c r="AB15" s="24"/>
      <c r="AC15" s="24"/>
    </row>
    <row r="16" ht="15.75" customHeight="1">
      <c r="A16" s="135" t="s">
        <v>150</v>
      </c>
      <c r="B16" s="120">
        <v>45531.0</v>
      </c>
      <c r="C16" s="122">
        <v>0.3951388888888889</v>
      </c>
      <c r="D16" s="120">
        <v>45532.0</v>
      </c>
      <c r="E16" s="136">
        <v>0.6618055555555555</v>
      </c>
      <c r="F16" s="137">
        <v>8.34</v>
      </c>
      <c r="G16" s="123">
        <v>21.6</v>
      </c>
      <c r="H16" s="120">
        <v>45537.0</v>
      </c>
      <c r="I16" s="122">
        <v>0.7229166666666667</v>
      </c>
      <c r="J16" s="124">
        <v>8.08</v>
      </c>
      <c r="K16" s="125">
        <v>19.5</v>
      </c>
      <c r="L16" s="126">
        <f t="shared" si="1"/>
        <v>0.26</v>
      </c>
      <c r="M16" s="113" t="s">
        <v>12</v>
      </c>
      <c r="N16" s="117" t="s">
        <v>13</v>
      </c>
      <c r="O16" s="132" t="s">
        <v>136</v>
      </c>
      <c r="Q16" s="24"/>
      <c r="R16" s="24"/>
      <c r="S16" s="24"/>
      <c r="T16" s="24"/>
      <c r="U16" s="24"/>
      <c r="V16" s="24"/>
      <c r="W16" s="24"/>
      <c r="X16" s="24"/>
      <c r="Y16" s="24"/>
      <c r="Z16" s="24"/>
      <c r="AA16" s="24"/>
      <c r="AB16" s="24"/>
      <c r="AC16" s="24"/>
    </row>
    <row r="17" ht="15.75" customHeight="1">
      <c r="A17" s="130" t="s">
        <v>151</v>
      </c>
      <c r="B17" s="127">
        <v>45531.0</v>
      </c>
      <c r="C17" s="138">
        <v>0.3951388888888889</v>
      </c>
      <c r="D17" s="111">
        <v>45532.0</v>
      </c>
      <c r="E17" s="139">
        <v>0.6618055555555555</v>
      </c>
      <c r="F17" s="140">
        <v>8.34</v>
      </c>
      <c r="G17" s="113">
        <v>21.6</v>
      </c>
      <c r="H17" s="111">
        <v>45537.0</v>
      </c>
      <c r="I17" s="112">
        <v>0.7305555555555555</v>
      </c>
      <c r="J17" s="114">
        <v>8.09</v>
      </c>
      <c r="K17" s="128">
        <v>22.5</v>
      </c>
      <c r="L17" s="129">
        <f t="shared" si="1"/>
        <v>0.25</v>
      </c>
      <c r="M17" s="113" t="s">
        <v>12</v>
      </c>
      <c r="N17" s="117" t="s">
        <v>13</v>
      </c>
      <c r="O17" s="132" t="s">
        <v>136</v>
      </c>
    </row>
    <row r="18" ht="15.75" customHeight="1">
      <c r="A18" s="130" t="s">
        <v>152</v>
      </c>
      <c r="B18" s="127">
        <v>45531.0</v>
      </c>
      <c r="C18" s="138">
        <v>0.3951388888888889</v>
      </c>
      <c r="D18" s="111">
        <v>45532.0</v>
      </c>
      <c r="E18" s="112">
        <v>0.66875</v>
      </c>
      <c r="F18" s="113">
        <v>8.28</v>
      </c>
      <c r="G18" s="113">
        <v>21.4</v>
      </c>
      <c r="H18" s="111">
        <v>45537.0</v>
      </c>
      <c r="I18" s="112">
        <v>0.7319444444444444</v>
      </c>
      <c r="J18" s="114">
        <v>8.02</v>
      </c>
      <c r="K18" s="128">
        <v>20.9</v>
      </c>
      <c r="L18" s="129">
        <f t="shared" si="1"/>
        <v>0.26</v>
      </c>
      <c r="M18" s="113" t="s">
        <v>12</v>
      </c>
      <c r="N18" s="117" t="s">
        <v>13</v>
      </c>
      <c r="O18" s="132" t="s">
        <v>136</v>
      </c>
      <c r="P18" s="80"/>
      <c r="Q18" s="24"/>
      <c r="R18" s="24"/>
      <c r="S18" s="24"/>
      <c r="T18" s="24"/>
      <c r="U18" s="24"/>
      <c r="V18" s="24"/>
      <c r="W18" s="24"/>
      <c r="X18" s="24"/>
      <c r="Y18" s="24"/>
      <c r="Z18" s="24"/>
      <c r="AA18" s="24"/>
      <c r="AB18" s="24"/>
      <c r="AC18" s="24"/>
    </row>
    <row r="19" ht="15.75" customHeight="1">
      <c r="A19" s="130" t="s">
        <v>153</v>
      </c>
      <c r="B19" s="127">
        <v>45531.0</v>
      </c>
      <c r="C19" s="138">
        <v>0.4201388888888889</v>
      </c>
      <c r="D19" s="111">
        <v>45532.0</v>
      </c>
      <c r="E19" s="112">
        <v>0.6715277777777777</v>
      </c>
      <c r="F19" s="113">
        <v>8.75</v>
      </c>
      <c r="G19" s="113">
        <v>20.9</v>
      </c>
      <c r="H19" s="111">
        <v>45537.0</v>
      </c>
      <c r="I19" s="112">
        <v>0.7340277777777777</v>
      </c>
      <c r="J19" s="114">
        <v>8.46</v>
      </c>
      <c r="K19" s="128">
        <v>20.1</v>
      </c>
      <c r="L19" s="129">
        <f t="shared" si="1"/>
        <v>0.29</v>
      </c>
      <c r="M19" s="113" t="s">
        <v>12</v>
      </c>
      <c r="N19" s="117" t="s">
        <v>13</v>
      </c>
      <c r="O19" s="132" t="s">
        <v>136</v>
      </c>
    </row>
    <row r="20" ht="15.75" customHeight="1">
      <c r="A20" s="130" t="s">
        <v>154</v>
      </c>
      <c r="B20" s="127">
        <v>45531.0</v>
      </c>
      <c r="C20" s="133">
        <v>0.4201388888888889</v>
      </c>
      <c r="D20" s="111">
        <v>45532.0</v>
      </c>
      <c r="E20" s="112">
        <v>0.6736111111111112</v>
      </c>
      <c r="F20" s="113">
        <v>8.53</v>
      </c>
      <c r="G20" s="113">
        <v>21.3</v>
      </c>
      <c r="H20" s="111">
        <v>45537.0</v>
      </c>
      <c r="I20" s="112">
        <v>0.7368055555555556</v>
      </c>
      <c r="J20" s="114">
        <v>8.36</v>
      </c>
      <c r="K20" s="128">
        <v>19.5</v>
      </c>
      <c r="L20" s="129">
        <f t="shared" si="1"/>
        <v>0.17</v>
      </c>
      <c r="M20" s="113" t="s">
        <v>12</v>
      </c>
      <c r="N20" s="117" t="s">
        <v>13</v>
      </c>
      <c r="O20" s="132" t="s">
        <v>136</v>
      </c>
    </row>
    <row r="21" ht="15.0" customHeight="1">
      <c r="A21" s="130" t="s">
        <v>155</v>
      </c>
      <c r="B21" s="127">
        <v>45531.0</v>
      </c>
      <c r="C21" s="112">
        <v>0.4340277777777778</v>
      </c>
      <c r="D21" s="111">
        <v>45532.0</v>
      </c>
      <c r="E21" s="112">
        <v>0.6743055555555556</v>
      </c>
      <c r="F21" s="113">
        <v>8.66</v>
      </c>
      <c r="G21" s="113">
        <v>20.9</v>
      </c>
      <c r="H21" s="111">
        <v>45537.0</v>
      </c>
      <c r="I21" s="112">
        <v>0.7388888888888889</v>
      </c>
      <c r="J21" s="114">
        <v>8.38</v>
      </c>
      <c r="K21" s="128">
        <v>20.0</v>
      </c>
      <c r="L21" s="129">
        <f t="shared" si="1"/>
        <v>0.28</v>
      </c>
      <c r="M21" s="113" t="s">
        <v>12</v>
      </c>
      <c r="N21" s="117" t="s">
        <v>13</v>
      </c>
      <c r="O21" s="132" t="s">
        <v>136</v>
      </c>
      <c r="Q21" s="24"/>
      <c r="R21" s="24"/>
      <c r="S21" s="24"/>
      <c r="T21" s="24"/>
      <c r="U21" s="24"/>
      <c r="V21" s="24"/>
      <c r="W21" s="24"/>
      <c r="X21" s="24"/>
      <c r="Y21" s="24"/>
      <c r="Z21" s="24"/>
      <c r="AA21" s="24"/>
      <c r="AB21" s="24"/>
      <c r="AC21" s="24"/>
    </row>
    <row r="22" ht="15.0" customHeight="1">
      <c r="A22" s="130" t="s">
        <v>156</v>
      </c>
      <c r="B22" s="127">
        <v>45531.0</v>
      </c>
      <c r="C22" s="112">
        <v>0.4340277777777778</v>
      </c>
      <c r="D22" s="111">
        <v>45532.0</v>
      </c>
      <c r="E22" s="112">
        <v>0.6763888888888889</v>
      </c>
      <c r="F22" s="113">
        <v>8.57</v>
      </c>
      <c r="G22" s="113">
        <v>20.6</v>
      </c>
      <c r="H22" s="111">
        <v>45537.0</v>
      </c>
      <c r="I22" s="112">
        <v>0.7402777777777778</v>
      </c>
      <c r="J22" s="114">
        <v>8.56</v>
      </c>
      <c r="K22" s="128">
        <v>19.4</v>
      </c>
      <c r="L22" s="129">
        <f t="shared" si="1"/>
        <v>0.01</v>
      </c>
      <c r="M22" s="113" t="s">
        <v>12</v>
      </c>
      <c r="N22" s="117" t="s">
        <v>13</v>
      </c>
      <c r="O22" s="132" t="s">
        <v>136</v>
      </c>
      <c r="Q22" s="24"/>
      <c r="R22" s="24"/>
      <c r="S22" s="24"/>
      <c r="T22" s="24"/>
      <c r="U22" s="24"/>
      <c r="V22" s="24"/>
      <c r="W22" s="24"/>
      <c r="X22" s="24"/>
      <c r="Y22" s="24"/>
      <c r="Z22" s="24"/>
      <c r="AA22" s="24"/>
      <c r="AB22" s="24"/>
      <c r="AC22" s="24"/>
    </row>
    <row r="23" ht="24.75" customHeight="1">
      <c r="A23" s="108" t="s">
        <v>135</v>
      </c>
      <c r="B23" s="109" t="s">
        <v>70</v>
      </c>
      <c r="C23" s="110" t="s">
        <v>70</v>
      </c>
      <c r="D23" s="111">
        <v>45533.0</v>
      </c>
      <c r="E23" s="112">
        <v>0.4534722222222222</v>
      </c>
      <c r="F23" s="113">
        <v>8.21</v>
      </c>
      <c r="G23" s="113">
        <v>26.2</v>
      </c>
      <c r="H23" s="141">
        <v>45538.0</v>
      </c>
      <c r="I23" s="112">
        <v>0.47638888888888886</v>
      </c>
      <c r="J23" s="114">
        <v>8.18</v>
      </c>
      <c r="K23" s="115">
        <v>26.2</v>
      </c>
      <c r="L23" s="129">
        <f t="shared" si="1"/>
        <v>0.03</v>
      </c>
      <c r="M23" s="113" t="s">
        <v>12</v>
      </c>
      <c r="N23" s="117" t="s">
        <v>13</v>
      </c>
      <c r="O23" s="132" t="s">
        <v>136</v>
      </c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</row>
    <row r="24" ht="15.75" customHeight="1">
      <c r="A24" s="130" t="s">
        <v>157</v>
      </c>
      <c r="B24" s="127">
        <v>45532.0</v>
      </c>
      <c r="C24" s="112">
        <v>0.2847222222222222</v>
      </c>
      <c r="D24" s="111">
        <v>45533.0</v>
      </c>
      <c r="E24" s="112">
        <v>0.4576388888888889</v>
      </c>
      <c r="F24" s="113">
        <v>8.76</v>
      </c>
      <c r="G24" s="113">
        <v>19.9</v>
      </c>
      <c r="H24" s="141">
        <v>45538.0</v>
      </c>
      <c r="I24" s="112">
        <v>0.4798611111111111</v>
      </c>
      <c r="J24" s="114">
        <v>7.88</v>
      </c>
      <c r="K24" s="128">
        <v>21.4</v>
      </c>
      <c r="L24" s="129">
        <f t="shared" si="1"/>
        <v>0.88</v>
      </c>
      <c r="M24" s="113" t="s">
        <v>12</v>
      </c>
      <c r="N24" s="117" t="s">
        <v>13</v>
      </c>
      <c r="O24" s="132" t="s">
        <v>136</v>
      </c>
      <c r="Q24" s="24"/>
      <c r="R24" s="24"/>
      <c r="S24" s="24"/>
      <c r="T24" s="24"/>
      <c r="U24" s="24"/>
      <c r="V24" s="24"/>
      <c r="W24" s="24"/>
      <c r="X24" s="24"/>
      <c r="Y24" s="24"/>
      <c r="Z24" s="24"/>
      <c r="AA24" s="24"/>
      <c r="AB24" s="24"/>
      <c r="AC24" s="24"/>
    </row>
    <row r="25" ht="15.75" customHeight="1">
      <c r="A25" s="130" t="s">
        <v>158</v>
      </c>
      <c r="B25" s="127">
        <v>45532.0</v>
      </c>
      <c r="C25" s="112">
        <v>0.2847222222222222</v>
      </c>
      <c r="D25" s="111">
        <v>45533.0</v>
      </c>
      <c r="E25" s="112">
        <v>0.46111111111111114</v>
      </c>
      <c r="F25" s="113">
        <v>8.41</v>
      </c>
      <c r="G25" s="113">
        <v>21.2</v>
      </c>
      <c r="H25" s="141">
        <v>45538.0</v>
      </c>
      <c r="I25" s="112">
        <v>0.48125</v>
      </c>
      <c r="J25" s="114">
        <v>8.11</v>
      </c>
      <c r="K25" s="128">
        <v>20.9</v>
      </c>
      <c r="L25" s="129">
        <f t="shared" si="1"/>
        <v>0.3</v>
      </c>
      <c r="M25" s="113" t="s">
        <v>12</v>
      </c>
      <c r="N25" s="117" t="s">
        <v>13</v>
      </c>
      <c r="O25" s="132" t="s">
        <v>136</v>
      </c>
      <c r="Q25" s="24"/>
      <c r="R25" s="24"/>
      <c r="S25" s="24"/>
      <c r="T25" s="24"/>
      <c r="U25" s="24"/>
      <c r="V25" s="24"/>
      <c r="W25" s="24"/>
      <c r="X25" s="24"/>
      <c r="Y25" s="24"/>
      <c r="Z25" s="24"/>
      <c r="AA25" s="24"/>
      <c r="AB25" s="24"/>
      <c r="AC25" s="24"/>
    </row>
    <row r="26" ht="15.75" customHeight="1">
      <c r="A26" s="130" t="s">
        <v>159</v>
      </c>
      <c r="B26" s="127">
        <v>45532.0</v>
      </c>
      <c r="C26" s="112">
        <v>0.2986111111111111</v>
      </c>
      <c r="D26" s="111">
        <v>45533.0</v>
      </c>
      <c r="E26" s="112">
        <v>0.4722222222222222</v>
      </c>
      <c r="F26" s="113">
        <v>8.84</v>
      </c>
      <c r="G26" s="113">
        <v>21.4</v>
      </c>
      <c r="H26" s="141">
        <v>45538.0</v>
      </c>
      <c r="I26" s="112">
        <v>0.4826388888888889</v>
      </c>
      <c r="J26" s="114">
        <v>8.61</v>
      </c>
      <c r="K26" s="128">
        <v>20.7</v>
      </c>
      <c r="L26" s="129">
        <f t="shared" si="1"/>
        <v>0.23</v>
      </c>
      <c r="M26" s="113" t="s">
        <v>12</v>
      </c>
      <c r="N26" s="117" t="s">
        <v>13</v>
      </c>
      <c r="O26" s="132" t="s">
        <v>136</v>
      </c>
      <c r="Q26" s="24"/>
      <c r="R26" s="24"/>
      <c r="S26" s="24"/>
      <c r="T26" s="24"/>
      <c r="U26" s="24"/>
      <c r="V26" s="24"/>
      <c r="W26" s="24"/>
      <c r="X26" s="24"/>
      <c r="Y26" s="24"/>
      <c r="Z26" s="24"/>
      <c r="AA26" s="24"/>
      <c r="AB26" s="24"/>
      <c r="AC26" s="24"/>
    </row>
    <row r="27" ht="15.75" customHeight="1">
      <c r="A27" s="130" t="s">
        <v>160</v>
      </c>
      <c r="B27" s="127">
        <v>45532.0</v>
      </c>
      <c r="C27" s="112">
        <v>0.2986111111111111</v>
      </c>
      <c r="D27" s="111">
        <v>45533.0</v>
      </c>
      <c r="E27" s="112">
        <v>0.4666666666666667</v>
      </c>
      <c r="F27" s="113">
        <v>8.15</v>
      </c>
      <c r="G27" s="113">
        <v>22.1</v>
      </c>
      <c r="H27" s="141">
        <v>45538.0</v>
      </c>
      <c r="I27" s="112">
        <v>0.4847222222222222</v>
      </c>
      <c r="J27" s="114">
        <v>7.9</v>
      </c>
      <c r="K27" s="128">
        <v>20.8</v>
      </c>
      <c r="L27" s="129">
        <f t="shared" si="1"/>
        <v>0.25</v>
      </c>
      <c r="M27" s="113" t="s">
        <v>12</v>
      </c>
      <c r="N27" s="117" t="s">
        <v>13</v>
      </c>
      <c r="O27" s="132" t="s">
        <v>136</v>
      </c>
      <c r="Q27" s="24"/>
      <c r="R27" s="24"/>
      <c r="S27" s="24"/>
      <c r="T27" s="24"/>
      <c r="U27" s="24"/>
      <c r="V27" s="24"/>
      <c r="W27" s="24"/>
      <c r="X27" s="24"/>
      <c r="Y27" s="24"/>
      <c r="Z27" s="24"/>
      <c r="AA27" s="24"/>
      <c r="AB27" s="24"/>
      <c r="AC27" s="24"/>
    </row>
    <row r="28" ht="15.75" customHeight="1">
      <c r="A28" s="135" t="s">
        <v>161</v>
      </c>
      <c r="B28" s="120">
        <v>45532.0</v>
      </c>
      <c r="C28" s="122">
        <v>0.3229166666666667</v>
      </c>
      <c r="D28" s="120">
        <v>45533.0</v>
      </c>
      <c r="E28" s="136">
        <v>0.4791666666666667</v>
      </c>
      <c r="F28" s="137">
        <v>8.66</v>
      </c>
      <c r="G28" s="123">
        <v>21.1</v>
      </c>
      <c r="H28" s="142">
        <v>45538.0</v>
      </c>
      <c r="I28" s="122">
        <v>0.48680555555555555</v>
      </c>
      <c r="J28" s="124">
        <v>6.58</v>
      </c>
      <c r="K28" s="125">
        <v>20.9</v>
      </c>
      <c r="L28" s="126">
        <f t="shared" si="1"/>
        <v>2.08</v>
      </c>
      <c r="M28" s="113" t="s">
        <v>12</v>
      </c>
      <c r="N28" s="117" t="s">
        <v>13</v>
      </c>
      <c r="O28" s="132" t="s">
        <v>136</v>
      </c>
      <c r="Q28" s="24"/>
      <c r="R28" s="24"/>
      <c r="S28" s="24"/>
      <c r="T28" s="24"/>
      <c r="U28" s="24"/>
      <c r="V28" s="24"/>
      <c r="W28" s="24"/>
      <c r="X28" s="24"/>
      <c r="Y28" s="24"/>
      <c r="Z28" s="24"/>
      <c r="AA28" s="24"/>
      <c r="AB28" s="24"/>
      <c r="AC28" s="24"/>
    </row>
    <row r="29" ht="15.75" customHeight="1">
      <c r="A29" s="135" t="s">
        <v>162</v>
      </c>
      <c r="B29" s="120">
        <v>45532.0</v>
      </c>
      <c r="C29" s="122">
        <v>0.3229166666666667</v>
      </c>
      <c r="D29" s="120">
        <v>45533.0</v>
      </c>
      <c r="E29" s="136">
        <v>0.4777777777777778</v>
      </c>
      <c r="F29" s="137">
        <v>9.12</v>
      </c>
      <c r="G29" s="123">
        <v>21.8</v>
      </c>
      <c r="H29" s="142">
        <v>45538.0</v>
      </c>
      <c r="I29" s="122">
        <v>0.4895833333333333</v>
      </c>
      <c r="J29" s="124">
        <v>8.29</v>
      </c>
      <c r="K29" s="125">
        <v>20.6</v>
      </c>
      <c r="L29" s="126">
        <f t="shared" si="1"/>
        <v>0.83</v>
      </c>
      <c r="M29" s="113" t="s">
        <v>12</v>
      </c>
      <c r="N29" s="117" t="s">
        <v>13</v>
      </c>
      <c r="O29" s="132" t="s">
        <v>136</v>
      </c>
      <c r="Q29" s="24"/>
      <c r="R29" s="24"/>
      <c r="S29" s="24"/>
      <c r="T29" s="24"/>
      <c r="U29" s="24"/>
      <c r="V29" s="24"/>
      <c r="W29" s="24"/>
      <c r="X29" s="24"/>
      <c r="Y29" s="24"/>
      <c r="Z29" s="24"/>
      <c r="AA29" s="24"/>
      <c r="AB29" s="24"/>
      <c r="AC29" s="24"/>
    </row>
    <row r="30" ht="15.75" customHeight="1">
      <c r="A30" s="130" t="s">
        <v>163</v>
      </c>
      <c r="B30" s="127">
        <v>45532.0</v>
      </c>
      <c r="C30" s="138">
        <v>0.3229166666666667</v>
      </c>
      <c r="D30" s="111">
        <v>45533.0</v>
      </c>
      <c r="E30" s="112">
        <v>0.4777777777777778</v>
      </c>
      <c r="F30" s="113">
        <v>9.1</v>
      </c>
      <c r="G30" s="113">
        <v>21.8</v>
      </c>
      <c r="H30" s="141">
        <v>45538.0</v>
      </c>
      <c r="I30" s="112">
        <v>0.4909722222222222</v>
      </c>
      <c r="J30" s="114">
        <v>8.29</v>
      </c>
      <c r="K30" s="128">
        <v>20.6</v>
      </c>
      <c r="L30" s="129">
        <f t="shared" si="1"/>
        <v>0.81</v>
      </c>
      <c r="M30" s="113" t="s">
        <v>12</v>
      </c>
      <c r="N30" s="117" t="s">
        <v>13</v>
      </c>
      <c r="O30" s="132" t="s">
        <v>136</v>
      </c>
      <c r="Q30" s="24"/>
      <c r="R30" s="24"/>
      <c r="S30" s="24"/>
      <c r="T30" s="24"/>
      <c r="U30" s="24"/>
      <c r="V30" s="24"/>
      <c r="W30" s="24"/>
      <c r="X30" s="24"/>
      <c r="Y30" s="24"/>
      <c r="Z30" s="24"/>
      <c r="AA30" s="24"/>
      <c r="AB30" s="24"/>
      <c r="AC30" s="24"/>
    </row>
    <row r="31" ht="15.75" customHeight="1">
      <c r="A31" s="130" t="s">
        <v>164</v>
      </c>
      <c r="B31" s="127">
        <v>45532.0</v>
      </c>
      <c r="C31" s="112">
        <v>0.3229166666666667</v>
      </c>
      <c r="D31" s="111">
        <v>45533.0</v>
      </c>
      <c r="E31" s="112">
        <v>0.48055555555555557</v>
      </c>
      <c r="F31" s="113">
        <v>8.48</v>
      </c>
      <c r="G31" s="113">
        <v>21.4</v>
      </c>
      <c r="H31" s="141">
        <v>45538.0</v>
      </c>
      <c r="I31" s="112">
        <v>0.49444444444444446</v>
      </c>
      <c r="J31" s="114">
        <v>8.15</v>
      </c>
      <c r="K31" s="128">
        <v>20.8</v>
      </c>
      <c r="L31" s="129">
        <f t="shared" si="1"/>
        <v>0.33</v>
      </c>
      <c r="M31" s="113" t="s">
        <v>12</v>
      </c>
      <c r="N31" s="117" t="s">
        <v>13</v>
      </c>
      <c r="O31" s="132" t="s">
        <v>136</v>
      </c>
      <c r="Q31" s="24"/>
      <c r="R31" s="24"/>
      <c r="S31" s="24"/>
      <c r="T31" s="24"/>
      <c r="U31" s="24"/>
      <c r="V31" s="24"/>
      <c r="W31" s="24"/>
      <c r="X31" s="24"/>
      <c r="Y31" s="24"/>
      <c r="Z31" s="24"/>
      <c r="AA31" s="24"/>
      <c r="AB31" s="24"/>
      <c r="AC31" s="24"/>
    </row>
    <row r="32" ht="15.75" customHeight="1">
      <c r="A32" s="130" t="s">
        <v>165</v>
      </c>
      <c r="B32" s="127">
        <v>45532.0</v>
      </c>
      <c r="C32" s="143">
        <v>0.3326388888888889</v>
      </c>
      <c r="D32" s="111">
        <v>45533.0</v>
      </c>
      <c r="E32" s="143">
        <v>0.48680555555555555</v>
      </c>
      <c r="F32" s="144">
        <v>8.35</v>
      </c>
      <c r="G32" s="144">
        <v>22.3</v>
      </c>
      <c r="H32" s="141">
        <v>45538.0</v>
      </c>
      <c r="I32" s="112">
        <v>0.49722222222222223</v>
      </c>
      <c r="J32" s="145">
        <v>7.88</v>
      </c>
      <c r="K32" s="146">
        <v>20.6</v>
      </c>
      <c r="L32" s="129">
        <f t="shared" si="1"/>
        <v>0.47</v>
      </c>
      <c r="M32" s="113" t="s">
        <v>12</v>
      </c>
      <c r="N32" s="117" t="s">
        <v>13</v>
      </c>
      <c r="O32" s="132" t="s">
        <v>136</v>
      </c>
      <c r="Q32" s="24"/>
      <c r="R32" s="24"/>
      <c r="S32" s="24"/>
      <c r="T32" s="24"/>
      <c r="U32" s="24"/>
      <c r="V32" s="24"/>
      <c r="W32" s="24"/>
      <c r="X32" s="24"/>
      <c r="Y32" s="24"/>
      <c r="Z32" s="24"/>
      <c r="AA32" s="24"/>
      <c r="AB32" s="24"/>
      <c r="AC32" s="24"/>
    </row>
    <row r="33" ht="15.75" customHeight="1">
      <c r="A33" s="147" t="s">
        <v>166</v>
      </c>
      <c r="B33" s="127">
        <v>45532.0</v>
      </c>
      <c r="C33" s="143">
        <v>0.3326388888888889</v>
      </c>
      <c r="D33" s="111">
        <v>45533.0</v>
      </c>
      <c r="E33" s="143">
        <v>0.4888888888888889</v>
      </c>
      <c r="F33" s="144">
        <v>8.25</v>
      </c>
      <c r="G33" s="144">
        <v>22.0</v>
      </c>
      <c r="H33" s="141">
        <v>45538.0</v>
      </c>
      <c r="I33" s="143">
        <v>0.49930555555555556</v>
      </c>
      <c r="J33" s="145">
        <v>7.38</v>
      </c>
      <c r="K33" s="146">
        <v>20.5</v>
      </c>
      <c r="L33" s="129">
        <f t="shared" si="1"/>
        <v>0.87</v>
      </c>
      <c r="M33" s="113" t="s">
        <v>12</v>
      </c>
      <c r="N33" s="117" t="s">
        <v>13</v>
      </c>
      <c r="O33" s="132" t="s">
        <v>136</v>
      </c>
      <c r="P33" s="148"/>
      <c r="Q33" s="24"/>
      <c r="R33" s="24"/>
      <c r="S33" s="24"/>
      <c r="T33" s="24"/>
      <c r="U33" s="24"/>
      <c r="V33" s="24"/>
      <c r="W33" s="24"/>
      <c r="X33" s="24"/>
      <c r="Y33" s="24"/>
      <c r="Z33" s="24"/>
      <c r="AA33" s="24"/>
      <c r="AB33" s="24"/>
      <c r="AC33" s="24"/>
    </row>
    <row r="34" ht="15.75" customHeight="1">
      <c r="A34" s="130" t="s">
        <v>167</v>
      </c>
      <c r="B34" s="127">
        <v>45532.0</v>
      </c>
      <c r="C34" s="143">
        <v>0.34930555555555554</v>
      </c>
      <c r="D34" s="111">
        <v>45533.0</v>
      </c>
      <c r="E34" s="143">
        <v>0.49444444444444446</v>
      </c>
      <c r="F34" s="144">
        <v>8.13</v>
      </c>
      <c r="G34" s="144">
        <v>22.0</v>
      </c>
      <c r="H34" s="141">
        <v>45538.0</v>
      </c>
      <c r="I34" s="143">
        <v>0.5027777777777778</v>
      </c>
      <c r="J34" s="145">
        <v>8.08</v>
      </c>
      <c r="K34" s="146">
        <v>20.4</v>
      </c>
      <c r="L34" s="129">
        <f t="shared" si="1"/>
        <v>0.05</v>
      </c>
      <c r="M34" s="113" t="s">
        <v>12</v>
      </c>
      <c r="N34" s="117" t="s">
        <v>13</v>
      </c>
      <c r="O34" s="132" t="s">
        <v>136</v>
      </c>
      <c r="P34" s="148"/>
      <c r="Q34" s="24"/>
      <c r="R34" s="24"/>
      <c r="S34" s="24"/>
      <c r="T34" s="24"/>
      <c r="U34" s="24"/>
      <c r="V34" s="24"/>
      <c r="W34" s="24"/>
      <c r="X34" s="24"/>
      <c r="Y34" s="24"/>
      <c r="Z34" s="24"/>
      <c r="AA34" s="24"/>
      <c r="AB34" s="24"/>
      <c r="AC34" s="24"/>
    </row>
    <row r="35" ht="15.75" customHeight="1">
      <c r="A35" s="147" t="s">
        <v>168</v>
      </c>
      <c r="B35" s="127">
        <v>45532.0</v>
      </c>
      <c r="C35" s="143">
        <v>0.34930555555555554</v>
      </c>
      <c r="D35" s="111">
        <v>45533.0</v>
      </c>
      <c r="E35" s="112">
        <v>0.4979166666666667</v>
      </c>
      <c r="F35" s="113">
        <v>8.07</v>
      </c>
      <c r="G35" s="113">
        <v>20.7</v>
      </c>
      <c r="H35" s="141">
        <v>45538.0</v>
      </c>
      <c r="I35" s="112">
        <v>0.5048611111111111</v>
      </c>
      <c r="J35" s="114">
        <v>7.82</v>
      </c>
      <c r="K35" s="128">
        <v>20.3</v>
      </c>
      <c r="L35" s="129">
        <f t="shared" si="1"/>
        <v>0.25</v>
      </c>
      <c r="M35" s="113" t="s">
        <v>12</v>
      </c>
      <c r="N35" s="117" t="s">
        <v>13</v>
      </c>
      <c r="O35" s="132" t="s">
        <v>136</v>
      </c>
      <c r="Q35" s="24"/>
      <c r="R35" s="24"/>
      <c r="S35" s="24"/>
      <c r="T35" s="24"/>
      <c r="U35" s="24"/>
      <c r="V35" s="24"/>
      <c r="W35" s="24"/>
      <c r="X35" s="24"/>
      <c r="Y35" s="24"/>
      <c r="Z35" s="24"/>
      <c r="AA35" s="24"/>
      <c r="AB35" s="24"/>
      <c r="AC35" s="24"/>
    </row>
    <row r="36" ht="15.75" customHeight="1">
      <c r="A36" s="130" t="s">
        <v>169</v>
      </c>
      <c r="B36" s="127">
        <v>45532.0</v>
      </c>
      <c r="C36" s="112">
        <v>0.3597222222222222</v>
      </c>
      <c r="D36" s="111">
        <v>45533.0</v>
      </c>
      <c r="E36" s="112">
        <v>0.5041666666666667</v>
      </c>
      <c r="F36" s="113">
        <v>8.07</v>
      </c>
      <c r="G36" s="113">
        <v>22.5</v>
      </c>
      <c r="H36" s="141">
        <v>45538.0</v>
      </c>
      <c r="I36" s="112">
        <v>0.5069444444444444</v>
      </c>
      <c r="J36" s="114">
        <v>7.97</v>
      </c>
      <c r="K36" s="128">
        <v>21.8</v>
      </c>
      <c r="L36" s="129">
        <f t="shared" si="1"/>
        <v>0.1</v>
      </c>
      <c r="M36" s="113" t="s">
        <v>12</v>
      </c>
      <c r="N36" s="117" t="s">
        <v>13</v>
      </c>
      <c r="O36" s="132" t="s">
        <v>136</v>
      </c>
      <c r="Q36" s="24"/>
      <c r="R36" s="24"/>
      <c r="S36" s="24"/>
      <c r="T36" s="24"/>
      <c r="U36" s="24"/>
      <c r="V36" s="24"/>
      <c r="W36" s="24"/>
      <c r="X36" s="24"/>
      <c r="Y36" s="24"/>
      <c r="Z36" s="24"/>
      <c r="AA36" s="24"/>
      <c r="AB36" s="24"/>
      <c r="AC36" s="24"/>
    </row>
    <row r="37" ht="15.75" customHeight="1">
      <c r="A37" s="147" t="s">
        <v>170</v>
      </c>
      <c r="B37" s="127">
        <v>45532.0</v>
      </c>
      <c r="C37" s="112">
        <v>0.3597222222222222</v>
      </c>
      <c r="D37" s="111">
        <v>45533.0</v>
      </c>
      <c r="E37" s="112">
        <v>0.5069444444444444</v>
      </c>
      <c r="F37" s="113">
        <v>8.01</v>
      </c>
      <c r="G37" s="113">
        <v>22.3</v>
      </c>
      <c r="H37" s="141">
        <v>45538.0</v>
      </c>
      <c r="I37" s="112">
        <v>0.5090277777777777</v>
      </c>
      <c r="J37" s="114">
        <v>7.95</v>
      </c>
      <c r="K37" s="128">
        <v>22.1</v>
      </c>
      <c r="L37" s="129">
        <f t="shared" si="1"/>
        <v>0.06</v>
      </c>
      <c r="M37" s="113" t="s">
        <v>12</v>
      </c>
      <c r="N37" s="117" t="s">
        <v>13</v>
      </c>
      <c r="O37" s="132" t="s">
        <v>136</v>
      </c>
      <c r="Q37" s="24"/>
      <c r="R37" s="24"/>
      <c r="S37" s="24"/>
      <c r="T37" s="24"/>
      <c r="U37" s="24"/>
      <c r="V37" s="24"/>
      <c r="W37" s="24"/>
      <c r="X37" s="24"/>
      <c r="Y37" s="24"/>
      <c r="Z37" s="24"/>
      <c r="AA37" s="24"/>
      <c r="AB37" s="24"/>
      <c r="AC37" s="24"/>
    </row>
    <row r="38" ht="15.75" customHeight="1">
      <c r="A38" s="147" t="s">
        <v>171</v>
      </c>
      <c r="B38" s="127">
        <v>45532.0</v>
      </c>
      <c r="C38" s="143">
        <v>0.37777777777777777</v>
      </c>
      <c r="D38" s="127">
        <v>45533.0</v>
      </c>
      <c r="E38" s="143">
        <v>0.5131944444444444</v>
      </c>
      <c r="F38" s="144">
        <v>8.15</v>
      </c>
      <c r="G38" s="144">
        <v>22.2</v>
      </c>
      <c r="H38" s="141">
        <v>45538.0</v>
      </c>
      <c r="I38" s="143">
        <v>0.5118055555555555</v>
      </c>
      <c r="J38" s="145">
        <v>7.91</v>
      </c>
      <c r="K38" s="146">
        <v>20.1</v>
      </c>
      <c r="L38" s="129">
        <f t="shared" si="1"/>
        <v>0.24</v>
      </c>
      <c r="M38" s="113" t="s">
        <v>12</v>
      </c>
      <c r="N38" s="117" t="s">
        <v>13</v>
      </c>
      <c r="O38" s="132" t="s">
        <v>136</v>
      </c>
    </row>
    <row r="39" ht="15.0" customHeight="1">
      <c r="A39" s="147" t="s">
        <v>172</v>
      </c>
      <c r="B39" s="127">
        <v>45532.0</v>
      </c>
      <c r="C39" s="143">
        <v>0.37777777777777777</v>
      </c>
      <c r="D39" s="127">
        <v>45533.0</v>
      </c>
      <c r="E39" s="143">
        <v>0.5194444444444445</v>
      </c>
      <c r="F39" s="144">
        <v>7.76</v>
      </c>
      <c r="G39" s="144">
        <v>23.0</v>
      </c>
      <c r="H39" s="141">
        <v>45538.0</v>
      </c>
      <c r="I39" s="143">
        <v>0.5145833333333333</v>
      </c>
      <c r="J39" s="145">
        <v>7.29</v>
      </c>
      <c r="K39" s="149">
        <v>20.7</v>
      </c>
      <c r="L39" s="129">
        <f t="shared" si="1"/>
        <v>0.47</v>
      </c>
      <c r="M39" s="113" t="s">
        <v>12</v>
      </c>
      <c r="N39" s="117" t="s">
        <v>13</v>
      </c>
      <c r="O39" s="132" t="s">
        <v>136</v>
      </c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</row>
    <row r="40" ht="15.75" customHeight="1">
      <c r="A40" s="135" t="s">
        <v>173</v>
      </c>
      <c r="B40" s="120">
        <v>45532.0</v>
      </c>
      <c r="C40" s="122">
        <v>0.3888888888888889</v>
      </c>
      <c r="D40" s="120">
        <v>45533.0</v>
      </c>
      <c r="E40" s="122">
        <v>0.5534722222222223</v>
      </c>
      <c r="F40" s="123">
        <v>7.97</v>
      </c>
      <c r="G40" s="123">
        <v>18.6</v>
      </c>
      <c r="H40" s="142">
        <v>45538.0</v>
      </c>
      <c r="I40" s="122">
        <v>0.5208333333333334</v>
      </c>
      <c r="J40" s="124">
        <v>6.39</v>
      </c>
      <c r="K40" s="125">
        <v>20.9</v>
      </c>
      <c r="L40" s="126">
        <f t="shared" si="1"/>
        <v>1.58</v>
      </c>
      <c r="M40" s="113" t="s">
        <v>12</v>
      </c>
      <c r="N40" s="117" t="s">
        <v>13</v>
      </c>
      <c r="O40" s="132" t="s">
        <v>136</v>
      </c>
      <c r="P40" s="80"/>
      <c r="Q40" s="24"/>
      <c r="R40" s="24"/>
      <c r="S40" s="24"/>
      <c r="T40" s="24"/>
      <c r="U40" s="24"/>
      <c r="V40" s="24"/>
      <c r="W40" s="24"/>
      <c r="X40" s="24"/>
      <c r="Y40" s="24"/>
      <c r="Z40" s="24"/>
      <c r="AA40" s="24"/>
      <c r="AB40" s="24"/>
      <c r="AC40" s="24"/>
    </row>
    <row r="41" ht="15.0" customHeight="1">
      <c r="A41" s="135" t="s">
        <v>174</v>
      </c>
      <c r="B41" s="120">
        <v>45532.0</v>
      </c>
      <c r="C41" s="122">
        <v>0.3888888888888889</v>
      </c>
      <c r="D41" s="120">
        <v>45533.0</v>
      </c>
      <c r="E41" s="136">
        <v>0.5513888888888889</v>
      </c>
      <c r="F41" s="123">
        <v>8.09</v>
      </c>
      <c r="G41" s="123">
        <v>20.0</v>
      </c>
      <c r="H41" s="142">
        <v>45538.0</v>
      </c>
      <c r="I41" s="122">
        <v>0.51875</v>
      </c>
      <c r="J41" s="124">
        <v>7.75</v>
      </c>
      <c r="K41" s="125">
        <v>21.2</v>
      </c>
      <c r="L41" s="126">
        <f t="shared" si="1"/>
        <v>0.34</v>
      </c>
      <c r="M41" s="113" t="s">
        <v>12</v>
      </c>
      <c r="N41" s="117" t="s">
        <v>13</v>
      </c>
      <c r="O41" s="132" t="s">
        <v>136</v>
      </c>
      <c r="Q41" s="24"/>
      <c r="R41" s="24"/>
      <c r="S41" s="24"/>
      <c r="T41" s="24"/>
      <c r="U41" s="24"/>
      <c r="V41" s="24"/>
      <c r="W41" s="24"/>
      <c r="X41" s="24"/>
      <c r="Y41" s="24"/>
      <c r="Z41" s="24"/>
      <c r="AA41" s="24"/>
      <c r="AB41" s="24"/>
      <c r="AC41" s="24"/>
    </row>
    <row r="42" ht="15.0" customHeight="1">
      <c r="A42" s="130" t="s">
        <v>175</v>
      </c>
      <c r="B42" s="127">
        <v>45532.0</v>
      </c>
      <c r="C42" s="112">
        <v>0.3888888888888889</v>
      </c>
      <c r="D42" s="127">
        <v>45533.0</v>
      </c>
      <c r="E42" s="139">
        <v>0.55</v>
      </c>
      <c r="F42" s="113">
        <v>7.98</v>
      </c>
      <c r="G42" s="113">
        <v>20.2</v>
      </c>
      <c r="H42" s="141">
        <v>45538.0</v>
      </c>
      <c r="I42" s="112">
        <v>0.5222222222222223</v>
      </c>
      <c r="J42" s="114">
        <v>7.62</v>
      </c>
      <c r="K42" s="128">
        <v>21.1</v>
      </c>
      <c r="L42" s="129">
        <f t="shared" si="1"/>
        <v>0.36</v>
      </c>
      <c r="M42" s="113" t="s">
        <v>12</v>
      </c>
      <c r="N42" s="117" t="s">
        <v>13</v>
      </c>
      <c r="O42" s="132" t="s">
        <v>136</v>
      </c>
      <c r="Q42" s="24"/>
      <c r="R42" s="24"/>
      <c r="S42" s="24"/>
      <c r="T42" s="24"/>
      <c r="U42" s="24"/>
      <c r="V42" s="24"/>
      <c r="W42" s="24"/>
      <c r="X42" s="24"/>
      <c r="Y42" s="24"/>
      <c r="Z42" s="24"/>
      <c r="AA42" s="24"/>
      <c r="AB42" s="24"/>
      <c r="AC42" s="24"/>
    </row>
    <row r="43" ht="15.0" customHeight="1">
      <c r="A43" s="130" t="s">
        <v>176</v>
      </c>
      <c r="B43" s="127">
        <v>45532.0</v>
      </c>
      <c r="C43" s="112">
        <v>0.3888888888888889</v>
      </c>
      <c r="D43" s="127">
        <v>45533.0</v>
      </c>
      <c r="E43" s="112">
        <v>0.5569444444444445</v>
      </c>
      <c r="F43" s="114">
        <v>8.29</v>
      </c>
      <c r="G43" s="128">
        <v>19.8</v>
      </c>
      <c r="H43" s="141">
        <v>45538.0</v>
      </c>
      <c r="I43" s="112">
        <v>0.5229166666666667</v>
      </c>
      <c r="J43" s="114">
        <v>7.79</v>
      </c>
      <c r="K43" s="128">
        <v>21.0</v>
      </c>
      <c r="L43" s="129">
        <f t="shared" si="1"/>
        <v>0.5</v>
      </c>
      <c r="M43" s="113" t="s">
        <v>12</v>
      </c>
      <c r="N43" s="117" t="s">
        <v>13</v>
      </c>
      <c r="O43" s="132" t="s">
        <v>136</v>
      </c>
      <c r="Q43" s="24"/>
      <c r="R43" s="24"/>
      <c r="S43" s="24"/>
      <c r="T43" s="24"/>
      <c r="U43" s="24"/>
      <c r="V43" s="24"/>
      <c r="W43" s="24"/>
      <c r="X43" s="24"/>
      <c r="Y43" s="24"/>
      <c r="Z43" s="24"/>
      <c r="AA43" s="24"/>
      <c r="AB43" s="24"/>
      <c r="AC43" s="24"/>
    </row>
    <row r="44" ht="15.75" customHeight="1">
      <c r="A44" s="108" t="s">
        <v>135</v>
      </c>
      <c r="B44" s="109" t="s">
        <v>70</v>
      </c>
      <c r="C44" s="110" t="s">
        <v>70</v>
      </c>
      <c r="D44" s="111">
        <v>45543.0</v>
      </c>
      <c r="E44" s="112">
        <v>0.7951388888888888</v>
      </c>
      <c r="F44" s="113">
        <v>8.51</v>
      </c>
      <c r="G44" s="113">
        <v>26.2</v>
      </c>
      <c r="H44" s="141">
        <v>45548.0</v>
      </c>
      <c r="I44" s="112">
        <v>0.925</v>
      </c>
      <c r="J44" s="114">
        <v>8.51</v>
      </c>
      <c r="K44" s="128">
        <v>25.6</v>
      </c>
      <c r="L44" s="129">
        <f t="shared" ref="L44:L49" si="2">F45-J44</f>
        <v>0.43</v>
      </c>
      <c r="M44" s="113" t="s">
        <v>12</v>
      </c>
      <c r="N44" s="117" t="s">
        <v>13</v>
      </c>
      <c r="O44" s="132" t="s">
        <v>136</v>
      </c>
      <c r="Q44" s="24"/>
      <c r="R44" s="24"/>
      <c r="S44" s="24"/>
      <c r="T44" s="24"/>
      <c r="U44" s="24"/>
      <c r="V44" s="24"/>
      <c r="W44" s="24"/>
      <c r="X44" s="24"/>
      <c r="Y44" s="24"/>
      <c r="Z44" s="24"/>
      <c r="AA44" s="24"/>
      <c r="AB44" s="24"/>
      <c r="AC44" s="24"/>
    </row>
    <row r="45" ht="15.75" customHeight="1">
      <c r="A45" s="130" t="s">
        <v>177</v>
      </c>
      <c r="B45" s="111">
        <v>45542.0</v>
      </c>
      <c r="C45" s="112">
        <v>0.4409722222222222</v>
      </c>
      <c r="D45" s="111">
        <v>45543.0</v>
      </c>
      <c r="E45" s="112">
        <v>0.7965277777777777</v>
      </c>
      <c r="F45" s="114">
        <v>8.94</v>
      </c>
      <c r="G45" s="113">
        <v>20.0</v>
      </c>
      <c r="H45" s="111">
        <v>45548.0</v>
      </c>
      <c r="I45" s="112">
        <v>0.43333333333333335</v>
      </c>
      <c r="J45" s="114">
        <v>8.47</v>
      </c>
      <c r="K45" s="128">
        <v>18.2</v>
      </c>
      <c r="L45" s="129">
        <f t="shared" si="2"/>
        <v>0.27</v>
      </c>
      <c r="M45" s="113" t="s">
        <v>12</v>
      </c>
      <c r="N45" s="117" t="s">
        <v>13</v>
      </c>
      <c r="O45" s="132" t="s">
        <v>136</v>
      </c>
      <c r="Q45" s="24"/>
      <c r="R45" s="24"/>
      <c r="S45" s="24"/>
      <c r="T45" s="24"/>
      <c r="U45" s="24"/>
      <c r="V45" s="24"/>
      <c r="W45" s="24"/>
      <c r="X45" s="24"/>
      <c r="Y45" s="24"/>
      <c r="Z45" s="24"/>
      <c r="AA45" s="24"/>
      <c r="AB45" s="24"/>
      <c r="AC45" s="24"/>
    </row>
    <row r="46" ht="15.75" customHeight="1">
      <c r="A46" s="130" t="s">
        <v>178</v>
      </c>
      <c r="B46" s="111">
        <v>45542.0</v>
      </c>
      <c r="C46" s="112">
        <v>0.4409722222222222</v>
      </c>
      <c r="D46" s="111">
        <v>45543.0</v>
      </c>
      <c r="E46" s="112">
        <v>0.7979166666666667</v>
      </c>
      <c r="F46" s="114">
        <v>8.74</v>
      </c>
      <c r="G46" s="113">
        <v>20.9</v>
      </c>
      <c r="H46" s="111">
        <v>45548.0</v>
      </c>
      <c r="I46" s="112">
        <v>0.44027777777777777</v>
      </c>
      <c r="J46" s="114">
        <v>8.4</v>
      </c>
      <c r="K46" s="128">
        <v>19.2</v>
      </c>
      <c r="L46" s="129">
        <f t="shared" si="2"/>
        <v>0.02</v>
      </c>
      <c r="M46" s="113" t="s">
        <v>12</v>
      </c>
      <c r="N46" s="117" t="s">
        <v>13</v>
      </c>
      <c r="O46" s="132" t="s">
        <v>136</v>
      </c>
      <c r="Q46" s="24"/>
      <c r="R46" s="24"/>
      <c r="S46" s="24"/>
      <c r="T46" s="24"/>
      <c r="U46" s="24"/>
      <c r="V46" s="24"/>
      <c r="W46" s="24"/>
      <c r="X46" s="24"/>
      <c r="Y46" s="24"/>
      <c r="Z46" s="24"/>
      <c r="AA46" s="24"/>
      <c r="AB46" s="24"/>
      <c r="AC46" s="24"/>
    </row>
    <row r="47" ht="15.75" customHeight="1">
      <c r="A47" s="130" t="s">
        <v>179</v>
      </c>
      <c r="B47" s="111">
        <v>45542.0</v>
      </c>
      <c r="C47" s="138">
        <v>0.48125</v>
      </c>
      <c r="D47" s="111">
        <v>45543.0</v>
      </c>
      <c r="E47" s="112">
        <v>0.7986111111111112</v>
      </c>
      <c r="F47" s="114">
        <v>8.42</v>
      </c>
      <c r="G47" s="113">
        <v>21.1</v>
      </c>
      <c r="H47" s="111">
        <v>45548.0</v>
      </c>
      <c r="I47" s="112">
        <v>0.45208333333333334</v>
      </c>
      <c r="J47" s="114">
        <v>8.57</v>
      </c>
      <c r="K47" s="128">
        <v>20.8</v>
      </c>
      <c r="L47" s="129">
        <f t="shared" si="2"/>
        <v>0.08</v>
      </c>
      <c r="M47" s="113" t="s">
        <v>12</v>
      </c>
      <c r="N47" s="117" t="s">
        <v>13</v>
      </c>
      <c r="O47" s="132" t="s">
        <v>136</v>
      </c>
      <c r="Q47" s="24"/>
      <c r="R47" s="24"/>
      <c r="S47" s="24"/>
      <c r="T47" s="24"/>
      <c r="U47" s="24"/>
      <c r="V47" s="24"/>
      <c r="W47" s="24"/>
      <c r="X47" s="24"/>
      <c r="Y47" s="24"/>
      <c r="Z47" s="24"/>
      <c r="AA47" s="24"/>
      <c r="AB47" s="24"/>
      <c r="AC47" s="24"/>
    </row>
    <row r="48" ht="15.75" customHeight="1">
      <c r="A48" s="130" t="s">
        <v>180</v>
      </c>
      <c r="B48" s="111">
        <v>45542.0</v>
      </c>
      <c r="C48" s="138">
        <v>0.48125</v>
      </c>
      <c r="D48" s="111">
        <v>45543.0</v>
      </c>
      <c r="E48" s="112">
        <v>0.8069444444444445</v>
      </c>
      <c r="F48" s="114">
        <v>8.65</v>
      </c>
      <c r="G48" s="113">
        <v>19.3</v>
      </c>
      <c r="H48" s="111">
        <v>45548.0</v>
      </c>
      <c r="I48" s="138">
        <v>0.45555555555555555</v>
      </c>
      <c r="J48" s="130">
        <v>8.49</v>
      </c>
      <c r="K48" s="131">
        <v>19.6</v>
      </c>
      <c r="L48" s="129">
        <f t="shared" si="2"/>
        <v>0.09</v>
      </c>
      <c r="M48" s="113" t="s">
        <v>12</v>
      </c>
      <c r="N48" s="117" t="s">
        <v>13</v>
      </c>
      <c r="O48" s="132" t="s">
        <v>136</v>
      </c>
      <c r="Q48" s="24"/>
      <c r="R48" s="24"/>
      <c r="S48" s="24"/>
      <c r="T48" s="24"/>
      <c r="U48" s="24"/>
      <c r="V48" s="24"/>
      <c r="W48" s="24"/>
      <c r="X48" s="24"/>
      <c r="Y48" s="24"/>
      <c r="Z48" s="24"/>
      <c r="AA48" s="24"/>
      <c r="AB48" s="24"/>
      <c r="AC48" s="24"/>
    </row>
    <row r="49" ht="15.75" customHeight="1">
      <c r="A49" s="130" t="s">
        <v>181</v>
      </c>
      <c r="B49" s="111">
        <v>45542.0</v>
      </c>
      <c r="C49" s="138">
        <v>0.5472222222222223</v>
      </c>
      <c r="D49" s="111">
        <v>45543.0</v>
      </c>
      <c r="E49" s="112">
        <v>0.8125</v>
      </c>
      <c r="F49" s="113">
        <v>8.58</v>
      </c>
      <c r="G49" s="113">
        <v>21.6</v>
      </c>
      <c r="H49" s="111">
        <v>45548.0</v>
      </c>
      <c r="I49" s="138">
        <v>0.4673611111111111</v>
      </c>
      <c r="J49" s="130">
        <v>8.46</v>
      </c>
      <c r="K49" s="131">
        <v>20.3</v>
      </c>
      <c r="L49" s="129">
        <f t="shared" si="2"/>
        <v>0</v>
      </c>
      <c r="M49" s="113" t="s">
        <v>12</v>
      </c>
      <c r="N49" s="117" t="s">
        <v>13</v>
      </c>
      <c r="O49" s="132" t="s">
        <v>136</v>
      </c>
      <c r="Q49" s="24"/>
      <c r="R49" s="24"/>
      <c r="S49" s="24"/>
      <c r="T49" s="24"/>
      <c r="U49" s="24"/>
      <c r="V49" s="24"/>
      <c r="W49" s="24"/>
      <c r="X49" s="24"/>
      <c r="Y49" s="24"/>
      <c r="Z49" s="24"/>
      <c r="AA49" s="24"/>
      <c r="AB49" s="24"/>
      <c r="AC49" s="24"/>
    </row>
    <row r="50">
      <c r="A50" s="130" t="s">
        <v>182</v>
      </c>
      <c r="B50" s="111">
        <v>45542.0</v>
      </c>
      <c r="C50" s="138">
        <v>0.5472222222222223</v>
      </c>
      <c r="D50" s="111">
        <v>45543.0</v>
      </c>
      <c r="E50" s="112">
        <v>0.8145833333333333</v>
      </c>
      <c r="F50" s="113">
        <v>8.46</v>
      </c>
      <c r="G50" s="113">
        <v>21.1</v>
      </c>
      <c r="H50" s="111">
        <v>45548.0</v>
      </c>
      <c r="I50" s="112">
        <v>0.4701388888888889</v>
      </c>
      <c r="J50" s="114">
        <v>8.15</v>
      </c>
      <c r="K50" s="128">
        <v>20.7</v>
      </c>
      <c r="L50" s="129">
        <f t="shared" ref="L50:L64" si="3">F50-J50</f>
        <v>0.31</v>
      </c>
      <c r="M50" s="113" t="s">
        <v>12</v>
      </c>
      <c r="N50" s="117" t="s">
        <v>13</v>
      </c>
      <c r="O50" s="132" t="s">
        <v>136</v>
      </c>
      <c r="Q50" s="24"/>
      <c r="R50" s="24"/>
      <c r="S50" s="24"/>
      <c r="T50" s="24"/>
      <c r="U50" s="24"/>
      <c r="V50" s="24"/>
      <c r="W50" s="24"/>
      <c r="X50" s="24"/>
      <c r="Y50" s="24"/>
      <c r="Z50" s="24"/>
      <c r="AA50" s="24"/>
      <c r="AB50" s="24"/>
      <c r="AC50" s="24"/>
    </row>
    <row r="51">
      <c r="A51" s="130" t="s">
        <v>183</v>
      </c>
      <c r="B51" s="111">
        <v>45543.0</v>
      </c>
      <c r="C51" s="139">
        <v>0.3284722222222222</v>
      </c>
      <c r="D51" s="111">
        <v>45543.0</v>
      </c>
      <c r="E51" s="112">
        <v>0.8277777777777777</v>
      </c>
      <c r="F51" s="113">
        <v>8.26</v>
      </c>
      <c r="G51" s="113">
        <v>23.0</v>
      </c>
      <c r="H51" s="111">
        <v>45548.0</v>
      </c>
      <c r="I51" s="112">
        <v>0.47152777777777777</v>
      </c>
      <c r="J51" s="114">
        <v>7.22</v>
      </c>
      <c r="K51" s="128">
        <v>20.4</v>
      </c>
      <c r="L51" s="129">
        <f t="shared" si="3"/>
        <v>1.04</v>
      </c>
      <c r="M51" s="113" t="s">
        <v>12</v>
      </c>
      <c r="N51" s="117" t="s">
        <v>13</v>
      </c>
      <c r="O51" s="132" t="s">
        <v>136</v>
      </c>
      <c r="Q51" s="24"/>
      <c r="R51" s="24"/>
      <c r="S51" s="24"/>
      <c r="T51" s="24"/>
      <c r="U51" s="24"/>
      <c r="V51" s="24"/>
      <c r="W51" s="24"/>
      <c r="X51" s="24"/>
      <c r="Y51" s="24"/>
      <c r="Z51" s="24"/>
      <c r="AA51" s="24"/>
      <c r="AB51" s="24"/>
      <c r="AC51" s="24"/>
    </row>
    <row r="52">
      <c r="A52" s="130" t="s">
        <v>184</v>
      </c>
      <c r="B52" s="111">
        <v>45543.0</v>
      </c>
      <c r="C52" s="139">
        <v>0.3284722222222222</v>
      </c>
      <c r="D52" s="111">
        <v>45543.0</v>
      </c>
      <c r="E52" s="112">
        <v>0.8298611111111112</v>
      </c>
      <c r="F52" s="113">
        <v>8.39</v>
      </c>
      <c r="G52" s="113">
        <v>23.5</v>
      </c>
      <c r="H52" s="111">
        <v>45548.0</v>
      </c>
      <c r="I52" s="112">
        <v>0.47291666666666665</v>
      </c>
      <c r="J52" s="113">
        <v>7.41</v>
      </c>
      <c r="K52" s="128">
        <v>20.6</v>
      </c>
      <c r="L52" s="129">
        <f t="shared" si="3"/>
        <v>0.98</v>
      </c>
      <c r="M52" s="113" t="s">
        <v>12</v>
      </c>
      <c r="N52" s="117" t="s">
        <v>13</v>
      </c>
      <c r="O52" s="132" t="s">
        <v>136</v>
      </c>
      <c r="Q52" s="24"/>
      <c r="R52" s="24"/>
      <c r="S52" s="24"/>
      <c r="T52" s="24"/>
      <c r="U52" s="24"/>
      <c r="V52" s="24"/>
      <c r="W52" s="24"/>
      <c r="X52" s="24"/>
      <c r="Y52" s="24"/>
      <c r="Z52" s="24"/>
      <c r="AA52" s="24"/>
      <c r="AB52" s="24"/>
      <c r="AC52" s="24"/>
    </row>
    <row r="53" ht="15.75" customHeight="1">
      <c r="A53" s="135" t="s">
        <v>185</v>
      </c>
      <c r="B53" s="120">
        <v>45543.0</v>
      </c>
      <c r="C53" s="136">
        <v>0.3541666666666667</v>
      </c>
      <c r="D53" s="120">
        <v>45543.0</v>
      </c>
      <c r="E53" s="122">
        <v>0.8402777777777778</v>
      </c>
      <c r="F53" s="123">
        <v>8.45</v>
      </c>
      <c r="G53" s="123">
        <v>21.8</v>
      </c>
      <c r="H53" s="120">
        <v>45548.0</v>
      </c>
      <c r="I53" s="122">
        <v>0.48819444444444443</v>
      </c>
      <c r="J53" s="124">
        <v>7.27</v>
      </c>
      <c r="K53" s="125">
        <v>18.0</v>
      </c>
      <c r="L53" s="126">
        <f t="shared" si="3"/>
        <v>1.18</v>
      </c>
      <c r="M53" s="113" t="s">
        <v>12</v>
      </c>
      <c r="N53" s="117" t="s">
        <v>13</v>
      </c>
      <c r="O53" s="132" t="s">
        <v>136</v>
      </c>
      <c r="P53" s="57"/>
      <c r="Q53" s="24"/>
      <c r="R53" s="24"/>
      <c r="S53" s="24"/>
      <c r="T53" s="24"/>
      <c r="U53" s="24"/>
      <c r="V53" s="24"/>
      <c r="W53" s="24"/>
      <c r="X53" s="24"/>
      <c r="Y53" s="24"/>
      <c r="Z53" s="24"/>
      <c r="AA53" s="24"/>
      <c r="AB53" s="24"/>
      <c r="AC53" s="24"/>
    </row>
    <row r="54" ht="15.75" customHeight="1">
      <c r="A54" s="135" t="s">
        <v>186</v>
      </c>
      <c r="B54" s="120">
        <v>45543.0</v>
      </c>
      <c r="C54" s="136">
        <v>0.3541666666666667</v>
      </c>
      <c r="D54" s="120">
        <v>45543.0</v>
      </c>
      <c r="E54" s="122">
        <v>0.8388888888888889</v>
      </c>
      <c r="F54" s="123">
        <v>8.15</v>
      </c>
      <c r="G54" s="123">
        <v>21.9</v>
      </c>
      <c r="H54" s="120">
        <v>45548.0</v>
      </c>
      <c r="I54" s="122">
        <v>0.47708333333333336</v>
      </c>
      <c r="J54" s="124">
        <v>7.93</v>
      </c>
      <c r="K54" s="125">
        <v>18.2</v>
      </c>
      <c r="L54" s="126">
        <f t="shared" si="3"/>
        <v>0.22</v>
      </c>
      <c r="M54" s="113" t="s">
        <v>12</v>
      </c>
      <c r="N54" s="117" t="s">
        <v>13</v>
      </c>
      <c r="O54" s="132" t="s">
        <v>136</v>
      </c>
      <c r="P54" s="57"/>
      <c r="Q54" s="24"/>
      <c r="R54" s="24"/>
      <c r="S54" s="24"/>
      <c r="T54" s="24"/>
      <c r="U54" s="24"/>
      <c r="V54" s="24"/>
      <c r="W54" s="24"/>
      <c r="X54" s="24"/>
      <c r="Y54" s="24"/>
      <c r="Z54" s="24"/>
      <c r="AA54" s="24"/>
      <c r="AB54" s="24"/>
      <c r="AC54" s="24"/>
    </row>
    <row r="55" ht="15.75" customHeight="1">
      <c r="A55" s="130" t="s">
        <v>187</v>
      </c>
      <c r="B55" s="111">
        <v>45543.0</v>
      </c>
      <c r="C55" s="139">
        <v>0.3541666666666667</v>
      </c>
      <c r="D55" s="111">
        <v>45543.0</v>
      </c>
      <c r="E55" s="112">
        <v>0.8381944444444445</v>
      </c>
      <c r="F55" s="113">
        <v>8.45</v>
      </c>
      <c r="G55" s="113">
        <v>22.0</v>
      </c>
      <c r="H55" s="111">
        <v>45548.0</v>
      </c>
      <c r="I55" s="112">
        <v>0.4756944444444444</v>
      </c>
      <c r="J55" s="114">
        <v>8.15</v>
      </c>
      <c r="K55" s="128">
        <v>18.0</v>
      </c>
      <c r="L55" s="129">
        <f t="shared" si="3"/>
        <v>0.3</v>
      </c>
      <c r="M55" s="113" t="s">
        <v>12</v>
      </c>
      <c r="N55" s="117" t="s">
        <v>13</v>
      </c>
      <c r="O55" s="132" t="s">
        <v>136</v>
      </c>
      <c r="Q55" s="24"/>
      <c r="R55" s="24"/>
      <c r="S55" s="24"/>
      <c r="T55" s="24"/>
      <c r="U55" s="24"/>
      <c r="V55" s="24"/>
      <c r="W55" s="24"/>
      <c r="X55" s="24"/>
      <c r="Y55" s="24"/>
      <c r="Z55" s="24"/>
      <c r="AA55" s="24"/>
      <c r="AB55" s="24"/>
      <c r="AC55" s="24"/>
    </row>
    <row r="56" ht="15.75" customHeight="1">
      <c r="A56" s="130" t="s">
        <v>188</v>
      </c>
      <c r="B56" s="111">
        <v>45543.0</v>
      </c>
      <c r="C56" s="139">
        <v>0.3541666666666667</v>
      </c>
      <c r="D56" s="111">
        <v>45543.0</v>
      </c>
      <c r="E56" s="112">
        <v>0.84375</v>
      </c>
      <c r="F56" s="113">
        <v>8.8</v>
      </c>
      <c r="G56" s="113">
        <v>22.3</v>
      </c>
      <c r="H56" s="111">
        <v>45548.0</v>
      </c>
      <c r="I56" s="112">
        <v>0.4909722222222222</v>
      </c>
      <c r="J56" s="114">
        <v>7.9</v>
      </c>
      <c r="K56" s="128">
        <v>18.0</v>
      </c>
      <c r="L56" s="129">
        <f t="shared" si="3"/>
        <v>0.9</v>
      </c>
      <c r="M56" s="113" t="s">
        <v>12</v>
      </c>
      <c r="N56" s="117" t="s">
        <v>13</v>
      </c>
      <c r="O56" s="132" t="s">
        <v>136</v>
      </c>
      <c r="Q56" s="24"/>
      <c r="R56" s="24"/>
      <c r="S56" s="24"/>
      <c r="T56" s="24"/>
      <c r="U56" s="24"/>
      <c r="V56" s="24"/>
      <c r="W56" s="24"/>
      <c r="X56" s="24"/>
      <c r="Y56" s="24"/>
      <c r="Z56" s="24"/>
      <c r="AA56" s="24"/>
      <c r="AB56" s="24"/>
      <c r="AC56" s="24"/>
    </row>
    <row r="57" ht="15.75" customHeight="1">
      <c r="A57" s="130" t="s">
        <v>189</v>
      </c>
      <c r="B57" s="111">
        <v>45543.0</v>
      </c>
      <c r="C57" s="139">
        <v>0.39444444444444443</v>
      </c>
      <c r="D57" s="111">
        <v>45543.0</v>
      </c>
      <c r="E57" s="112">
        <v>0.8506944444444444</v>
      </c>
      <c r="F57" s="113">
        <v>8.08</v>
      </c>
      <c r="G57" s="113">
        <v>23.7</v>
      </c>
      <c r="H57" s="111">
        <v>45548.0</v>
      </c>
      <c r="I57" s="112">
        <v>0.5201388888888889</v>
      </c>
      <c r="J57" s="114">
        <v>7.55</v>
      </c>
      <c r="K57" s="128">
        <v>20.2</v>
      </c>
      <c r="L57" s="129">
        <f t="shared" si="3"/>
        <v>0.53</v>
      </c>
      <c r="M57" s="113" t="s">
        <v>12</v>
      </c>
      <c r="N57" s="117" t="s">
        <v>13</v>
      </c>
      <c r="O57" s="132" t="s">
        <v>136</v>
      </c>
      <c r="Q57" s="24"/>
      <c r="R57" s="24"/>
      <c r="S57" s="24"/>
      <c r="T57" s="24"/>
      <c r="U57" s="24"/>
      <c r="V57" s="24"/>
      <c r="W57" s="24"/>
      <c r="X57" s="24"/>
      <c r="Y57" s="24"/>
      <c r="Z57" s="24"/>
      <c r="AA57" s="24"/>
      <c r="AB57" s="24"/>
      <c r="AC57" s="24"/>
    </row>
    <row r="58" ht="15.75" customHeight="1">
      <c r="A58" s="130" t="s">
        <v>190</v>
      </c>
      <c r="B58" s="111">
        <v>45543.0</v>
      </c>
      <c r="C58" s="139">
        <v>0.39444444444444443</v>
      </c>
      <c r="D58" s="111">
        <v>45543.0</v>
      </c>
      <c r="E58" s="112">
        <v>0.8513888888888889</v>
      </c>
      <c r="F58" s="113">
        <v>7.58</v>
      </c>
      <c r="G58" s="113">
        <v>23.6</v>
      </c>
      <c r="H58" s="111">
        <v>45548.0</v>
      </c>
      <c r="I58" s="112">
        <v>0.5215277777777778</v>
      </c>
      <c r="J58" s="114">
        <v>7.51</v>
      </c>
      <c r="K58" s="128">
        <v>20.1</v>
      </c>
      <c r="L58" s="129">
        <f t="shared" si="3"/>
        <v>0.07</v>
      </c>
      <c r="M58" s="113" t="s">
        <v>12</v>
      </c>
      <c r="N58" s="117" t="s">
        <v>13</v>
      </c>
      <c r="O58" s="132" t="s">
        <v>136</v>
      </c>
      <c r="Q58" s="24"/>
      <c r="R58" s="24"/>
      <c r="S58" s="24"/>
      <c r="T58" s="24"/>
      <c r="U58" s="24"/>
      <c r="V58" s="24"/>
      <c r="W58" s="24"/>
      <c r="X58" s="24"/>
      <c r="Y58" s="24"/>
      <c r="Z58" s="24"/>
      <c r="AA58" s="24"/>
      <c r="AB58" s="24"/>
      <c r="AC58" s="24"/>
    </row>
    <row r="59" ht="15.75" customHeight="1">
      <c r="A59" s="130" t="s">
        <v>191</v>
      </c>
      <c r="B59" s="111">
        <v>45543.0</v>
      </c>
      <c r="C59" s="139">
        <v>0.44305555555555554</v>
      </c>
      <c r="D59" s="111">
        <v>45543.0</v>
      </c>
      <c r="E59" s="112">
        <v>0.8548611111111111</v>
      </c>
      <c r="F59" s="113">
        <v>8.06</v>
      </c>
      <c r="G59" s="113">
        <v>22.0</v>
      </c>
      <c r="H59" s="111">
        <v>45548.0</v>
      </c>
      <c r="I59" s="112">
        <v>0.5319444444444444</v>
      </c>
      <c r="J59" s="114">
        <v>7.55</v>
      </c>
      <c r="K59" s="128">
        <v>20.1</v>
      </c>
      <c r="L59" s="129">
        <f t="shared" si="3"/>
        <v>0.51</v>
      </c>
      <c r="M59" s="113" t="s">
        <v>12</v>
      </c>
      <c r="N59" s="117" t="s">
        <v>13</v>
      </c>
      <c r="O59" s="132" t="s">
        <v>136</v>
      </c>
      <c r="Q59" s="24"/>
      <c r="R59" s="24"/>
      <c r="S59" s="24"/>
      <c r="T59" s="24"/>
      <c r="U59" s="24"/>
      <c r="V59" s="24"/>
      <c r="W59" s="24"/>
      <c r="X59" s="24"/>
      <c r="Y59" s="24"/>
      <c r="Z59" s="24"/>
      <c r="AA59" s="24"/>
      <c r="AB59" s="24"/>
      <c r="AC59" s="24"/>
    </row>
    <row r="60" ht="15.0" customHeight="1">
      <c r="A60" s="130" t="s">
        <v>192</v>
      </c>
      <c r="B60" s="111">
        <v>45543.0</v>
      </c>
      <c r="C60" s="139">
        <v>0.44305555555555554</v>
      </c>
      <c r="D60" s="111">
        <v>45543.0</v>
      </c>
      <c r="E60" s="112">
        <v>0.8569444444444444</v>
      </c>
      <c r="F60" s="113">
        <v>8.36</v>
      </c>
      <c r="G60" s="113">
        <v>22.6</v>
      </c>
      <c r="H60" s="111">
        <v>45548.0</v>
      </c>
      <c r="I60" s="112">
        <v>0.5340277777777778</v>
      </c>
      <c r="J60" s="114">
        <v>8.01</v>
      </c>
      <c r="K60" s="115">
        <v>20.7</v>
      </c>
      <c r="L60" s="129">
        <f t="shared" si="3"/>
        <v>0.35</v>
      </c>
      <c r="M60" s="113" t="s">
        <v>12</v>
      </c>
      <c r="N60" s="117" t="s">
        <v>13</v>
      </c>
      <c r="O60" s="132" t="s">
        <v>136</v>
      </c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</row>
    <row r="61" ht="15.75" customHeight="1">
      <c r="A61" s="130" t="s">
        <v>193</v>
      </c>
      <c r="B61" s="111">
        <v>45543.0</v>
      </c>
      <c r="C61" s="112">
        <v>0.4597222222222222</v>
      </c>
      <c r="D61" s="111">
        <v>45543.0</v>
      </c>
      <c r="E61" s="112">
        <v>0.8631944444444445</v>
      </c>
      <c r="F61" s="113">
        <v>8.17</v>
      </c>
      <c r="G61" s="113">
        <v>22.7</v>
      </c>
      <c r="H61" s="111">
        <v>45548.0</v>
      </c>
      <c r="I61" s="112">
        <v>0.5493055555555556</v>
      </c>
      <c r="J61" s="114">
        <v>7.94</v>
      </c>
      <c r="K61" s="128">
        <v>19.9</v>
      </c>
      <c r="L61" s="129">
        <f t="shared" si="3"/>
        <v>0.23</v>
      </c>
      <c r="M61" s="113" t="s">
        <v>12</v>
      </c>
      <c r="N61" s="117" t="s">
        <v>13</v>
      </c>
      <c r="O61" s="132" t="s">
        <v>136</v>
      </c>
    </row>
    <row r="62" ht="15.75" customHeight="1">
      <c r="A62" s="130" t="s">
        <v>194</v>
      </c>
      <c r="B62" s="111">
        <v>45543.0</v>
      </c>
      <c r="C62" s="112">
        <v>0.4597222222222222</v>
      </c>
      <c r="D62" s="111">
        <v>45543.0</v>
      </c>
      <c r="E62" s="112">
        <v>0.8652777777777778</v>
      </c>
      <c r="F62" s="113">
        <v>8.35</v>
      </c>
      <c r="G62" s="113">
        <v>22.4</v>
      </c>
      <c r="H62" s="111">
        <v>45548.0</v>
      </c>
      <c r="I62" s="112">
        <v>0.5513888888888889</v>
      </c>
      <c r="J62" s="114">
        <v>8.2</v>
      </c>
      <c r="K62" s="128">
        <v>19.3</v>
      </c>
      <c r="L62" s="129">
        <f t="shared" si="3"/>
        <v>0.15</v>
      </c>
      <c r="M62" s="113" t="s">
        <v>12</v>
      </c>
      <c r="N62" s="117" t="s">
        <v>13</v>
      </c>
      <c r="O62" s="132" t="s">
        <v>136</v>
      </c>
      <c r="P62" s="80"/>
      <c r="Q62" s="24"/>
      <c r="R62" s="24"/>
      <c r="S62" s="24"/>
      <c r="T62" s="24"/>
      <c r="U62" s="24"/>
      <c r="V62" s="24"/>
      <c r="W62" s="24"/>
      <c r="X62" s="24"/>
      <c r="Y62" s="24"/>
      <c r="Z62" s="24"/>
      <c r="AA62" s="24"/>
      <c r="AB62" s="24"/>
      <c r="AC62" s="24"/>
    </row>
    <row r="63" ht="15.0" customHeight="1">
      <c r="A63" s="130" t="s">
        <v>195</v>
      </c>
      <c r="B63" s="111">
        <v>45543.0</v>
      </c>
      <c r="C63" s="138">
        <v>0.4895833333333333</v>
      </c>
      <c r="D63" s="111">
        <v>45543.0</v>
      </c>
      <c r="E63" s="140" t="s">
        <v>196</v>
      </c>
      <c r="F63" s="113">
        <v>7.97</v>
      </c>
      <c r="G63" s="113">
        <v>23.0</v>
      </c>
      <c r="H63" s="111">
        <v>45548.0</v>
      </c>
      <c r="I63" s="112">
        <v>0.5527777777777778</v>
      </c>
      <c r="J63" s="114">
        <v>7.41</v>
      </c>
      <c r="K63" s="128">
        <v>19.1</v>
      </c>
      <c r="L63" s="129">
        <f t="shared" si="3"/>
        <v>0.56</v>
      </c>
      <c r="M63" s="113" t="s">
        <v>12</v>
      </c>
      <c r="N63" s="117" t="s">
        <v>13</v>
      </c>
      <c r="O63" s="132" t="s">
        <v>136</v>
      </c>
      <c r="Q63" s="24"/>
      <c r="R63" s="24"/>
      <c r="S63" s="24"/>
      <c r="T63" s="24"/>
      <c r="U63" s="24"/>
      <c r="V63" s="24"/>
      <c r="W63" s="24"/>
      <c r="X63" s="24"/>
      <c r="Y63" s="24"/>
      <c r="Z63" s="24"/>
      <c r="AA63" s="24"/>
      <c r="AB63" s="24"/>
      <c r="AC63" s="24"/>
    </row>
    <row r="64" ht="15.0" customHeight="1">
      <c r="A64" s="130" t="s">
        <v>197</v>
      </c>
      <c r="B64" s="111">
        <v>45543.0</v>
      </c>
      <c r="C64" s="138">
        <v>0.4895833333333333</v>
      </c>
      <c r="D64" s="111">
        <v>45543.0</v>
      </c>
      <c r="E64" s="112">
        <v>0.8722222222222222</v>
      </c>
      <c r="F64" s="113">
        <v>8.31</v>
      </c>
      <c r="G64" s="113">
        <v>23.0</v>
      </c>
      <c r="H64" s="111">
        <v>45548.0</v>
      </c>
      <c r="I64" s="112">
        <v>0.5493055555555556</v>
      </c>
      <c r="J64" s="114">
        <v>8.22</v>
      </c>
      <c r="K64" s="128">
        <v>19.5</v>
      </c>
      <c r="L64" s="129">
        <f t="shared" si="3"/>
        <v>0.09</v>
      </c>
      <c r="M64" s="113" t="s">
        <v>12</v>
      </c>
      <c r="N64" s="117" t="s">
        <v>13</v>
      </c>
      <c r="O64" s="132" t="s">
        <v>136</v>
      </c>
      <c r="Q64" s="24"/>
      <c r="R64" s="24"/>
      <c r="S64" s="24"/>
      <c r="T64" s="24"/>
      <c r="U64" s="24"/>
      <c r="V64" s="24"/>
      <c r="W64" s="24"/>
      <c r="X64" s="24"/>
      <c r="Y64" s="24"/>
      <c r="Z64" s="24"/>
      <c r="AA64" s="24"/>
      <c r="AB64" s="24"/>
      <c r="AC64" s="24"/>
    </row>
    <row r="65" ht="30.75" customHeight="1">
      <c r="A65" s="108" t="s">
        <v>135</v>
      </c>
      <c r="B65" s="109" t="s">
        <v>70</v>
      </c>
      <c r="C65" s="110" t="s">
        <v>70</v>
      </c>
      <c r="D65" s="111">
        <v>45546.0</v>
      </c>
      <c r="E65" s="112">
        <v>0.4326388888888889</v>
      </c>
      <c r="F65" s="113">
        <v>8.16</v>
      </c>
      <c r="G65" s="113">
        <v>26.1</v>
      </c>
      <c r="H65" s="111">
        <v>45551.0</v>
      </c>
      <c r="I65" s="112">
        <v>0.6368055555555555</v>
      </c>
      <c r="J65" s="114">
        <v>8.35</v>
      </c>
      <c r="K65" s="115">
        <v>25.1</v>
      </c>
      <c r="L65" s="129"/>
      <c r="M65" s="113" t="s">
        <v>12</v>
      </c>
      <c r="N65" s="117" t="s">
        <v>13</v>
      </c>
      <c r="O65" s="132" t="s">
        <v>136</v>
      </c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</row>
    <row r="66" ht="15.75" customHeight="1">
      <c r="A66" s="135" t="s">
        <v>198</v>
      </c>
      <c r="B66" s="120">
        <v>45545.0</v>
      </c>
      <c r="C66" s="122">
        <v>0.29444444444444445</v>
      </c>
      <c r="D66" s="120">
        <v>45546.0</v>
      </c>
      <c r="E66" s="122">
        <v>0.44583333333333336</v>
      </c>
      <c r="F66" s="123">
        <v>8.71</v>
      </c>
      <c r="G66" s="123">
        <v>22.8</v>
      </c>
      <c r="H66" s="120">
        <v>45551.0</v>
      </c>
      <c r="I66" s="122">
        <v>0.6395833333333333</v>
      </c>
      <c r="J66" s="124">
        <v>6.03</v>
      </c>
      <c r="K66" s="125">
        <v>19.4</v>
      </c>
      <c r="L66" s="126">
        <f t="shared" ref="L66:L87" si="4">F66-J66</f>
        <v>2.68</v>
      </c>
      <c r="M66" s="113" t="s">
        <v>12</v>
      </c>
      <c r="N66" s="117" t="s">
        <v>13</v>
      </c>
      <c r="O66" s="132" t="s">
        <v>136</v>
      </c>
      <c r="P66" s="57"/>
      <c r="Q66" s="24"/>
      <c r="R66" s="24"/>
      <c r="S66" s="24"/>
      <c r="T66" s="24"/>
      <c r="U66" s="24"/>
      <c r="V66" s="24"/>
      <c r="W66" s="24"/>
      <c r="X66" s="24"/>
      <c r="Y66" s="24"/>
      <c r="Z66" s="24"/>
      <c r="AA66" s="24"/>
      <c r="AB66" s="24"/>
      <c r="AC66" s="24"/>
    </row>
    <row r="67" ht="15.75" customHeight="1">
      <c r="A67" s="135" t="s">
        <v>199</v>
      </c>
      <c r="B67" s="120">
        <v>45545.0</v>
      </c>
      <c r="C67" s="122">
        <v>0.29444444444444445</v>
      </c>
      <c r="D67" s="120">
        <v>45546.0</v>
      </c>
      <c r="E67" s="122">
        <v>0.44375</v>
      </c>
      <c r="F67" s="123">
        <v>8.72</v>
      </c>
      <c r="G67" s="123">
        <v>22.8</v>
      </c>
      <c r="H67" s="120">
        <v>45551.0</v>
      </c>
      <c r="I67" s="122">
        <v>0.6444444444444445</v>
      </c>
      <c r="J67" s="124">
        <v>8.61</v>
      </c>
      <c r="K67" s="125">
        <v>17.3</v>
      </c>
      <c r="L67" s="126">
        <f t="shared" si="4"/>
        <v>0.11</v>
      </c>
      <c r="M67" s="113" t="s">
        <v>12</v>
      </c>
      <c r="N67" s="117" t="s">
        <v>13</v>
      </c>
      <c r="O67" s="132" t="s">
        <v>136</v>
      </c>
      <c r="P67" s="57"/>
      <c r="Q67" s="24"/>
      <c r="R67" s="24"/>
      <c r="S67" s="24"/>
      <c r="T67" s="24"/>
      <c r="U67" s="24"/>
      <c r="V67" s="24"/>
      <c r="W67" s="24"/>
      <c r="X67" s="24"/>
      <c r="Y67" s="24"/>
      <c r="Z67" s="24"/>
      <c r="AA67" s="24"/>
      <c r="AB67" s="24"/>
      <c r="AC67" s="24"/>
    </row>
    <row r="68" ht="15.75" customHeight="1">
      <c r="A68" s="130" t="s">
        <v>200</v>
      </c>
      <c r="B68" s="111">
        <v>45545.0</v>
      </c>
      <c r="C68" s="143">
        <v>0.29444444444444445</v>
      </c>
      <c r="D68" s="111">
        <v>45546.0</v>
      </c>
      <c r="E68" s="112">
        <v>0.4423611111111111</v>
      </c>
      <c r="F68" s="113">
        <v>8.71</v>
      </c>
      <c r="G68" s="113">
        <v>22.6</v>
      </c>
      <c r="H68" s="111">
        <v>45551.0</v>
      </c>
      <c r="I68" s="112">
        <v>0.6506944444444445</v>
      </c>
      <c r="J68" s="114">
        <v>8.57</v>
      </c>
      <c r="K68" s="128">
        <v>20.0</v>
      </c>
      <c r="L68" s="129">
        <f t="shared" si="4"/>
        <v>0.14</v>
      </c>
      <c r="M68" s="113" t="s">
        <v>12</v>
      </c>
      <c r="N68" s="117" t="s">
        <v>13</v>
      </c>
      <c r="O68" s="132" t="s">
        <v>136</v>
      </c>
      <c r="Q68" s="24"/>
      <c r="R68" s="24"/>
      <c r="S68" s="24"/>
      <c r="T68" s="24"/>
      <c r="U68" s="24"/>
      <c r="V68" s="24"/>
      <c r="W68" s="24"/>
      <c r="X68" s="24"/>
      <c r="Y68" s="24"/>
      <c r="Z68" s="24"/>
      <c r="AA68" s="24"/>
      <c r="AB68" s="24"/>
      <c r="AC68" s="24"/>
    </row>
    <row r="69" ht="15.75" customHeight="1">
      <c r="A69" s="130" t="s">
        <v>201</v>
      </c>
      <c r="B69" s="111">
        <v>45545.0</v>
      </c>
      <c r="C69" s="143">
        <v>0.29444444444444445</v>
      </c>
      <c r="D69" s="111">
        <v>45546.0</v>
      </c>
      <c r="E69" s="112">
        <v>0.4486111111111111</v>
      </c>
      <c r="F69" s="113">
        <v>7.52</v>
      </c>
      <c r="G69" s="113">
        <v>22.3</v>
      </c>
      <c r="H69" s="111">
        <v>45551.0</v>
      </c>
      <c r="I69" s="112">
        <v>0.6534722222222222</v>
      </c>
      <c r="J69" s="114">
        <v>7.3</v>
      </c>
      <c r="K69" s="128">
        <v>20.1</v>
      </c>
      <c r="L69" s="129">
        <f t="shared" si="4"/>
        <v>0.22</v>
      </c>
      <c r="M69" s="113" t="s">
        <v>12</v>
      </c>
      <c r="N69" s="117" t="s">
        <v>13</v>
      </c>
      <c r="O69" s="132" t="s">
        <v>136</v>
      </c>
      <c r="Q69" s="24"/>
      <c r="R69" s="24"/>
      <c r="S69" s="24"/>
      <c r="T69" s="24"/>
      <c r="U69" s="24"/>
      <c r="V69" s="24"/>
      <c r="W69" s="24"/>
      <c r="X69" s="24"/>
      <c r="Y69" s="24"/>
      <c r="Z69" s="24"/>
      <c r="AA69" s="24"/>
      <c r="AB69" s="24"/>
      <c r="AC69" s="24"/>
    </row>
    <row r="70" ht="15.75" customHeight="1">
      <c r="A70" s="130" t="s">
        <v>202</v>
      </c>
      <c r="B70" s="111">
        <v>45545.0</v>
      </c>
      <c r="C70" s="112">
        <v>0.3145833333333333</v>
      </c>
      <c r="D70" s="111">
        <v>45546.0</v>
      </c>
      <c r="E70" s="112">
        <v>0.46597222222222223</v>
      </c>
      <c r="F70" s="113">
        <v>8.58</v>
      </c>
      <c r="G70" s="113">
        <v>22.5</v>
      </c>
      <c r="H70" s="111">
        <v>45551.0</v>
      </c>
      <c r="I70" s="112">
        <v>0.6555555555555556</v>
      </c>
      <c r="J70" s="114">
        <v>8.27</v>
      </c>
      <c r="K70" s="128">
        <v>19.9</v>
      </c>
      <c r="L70" s="129">
        <f t="shared" si="4"/>
        <v>0.31</v>
      </c>
      <c r="M70" s="113" t="s">
        <v>12</v>
      </c>
      <c r="N70" s="117" t="s">
        <v>13</v>
      </c>
      <c r="O70" s="132" t="s">
        <v>136</v>
      </c>
      <c r="Q70" s="24"/>
      <c r="R70" s="24"/>
      <c r="S70" s="24"/>
      <c r="T70" s="24"/>
      <c r="U70" s="24"/>
      <c r="V70" s="24"/>
      <c r="W70" s="24"/>
      <c r="X70" s="24"/>
      <c r="Y70" s="24"/>
      <c r="Z70" s="24"/>
      <c r="AA70" s="24"/>
      <c r="AB70" s="24"/>
      <c r="AC70" s="24"/>
    </row>
    <row r="71" ht="15.75" customHeight="1">
      <c r="A71" s="130" t="s">
        <v>203</v>
      </c>
      <c r="B71" s="111">
        <v>45545.0</v>
      </c>
      <c r="C71" s="112">
        <v>0.3145833333333333</v>
      </c>
      <c r="D71" s="111">
        <v>45546.0</v>
      </c>
      <c r="E71" s="112">
        <v>0.46875</v>
      </c>
      <c r="F71" s="113">
        <v>8.5</v>
      </c>
      <c r="G71" s="113">
        <v>22.5</v>
      </c>
      <c r="H71" s="111">
        <v>45551.0</v>
      </c>
      <c r="I71" s="112">
        <v>0.6576388888888889</v>
      </c>
      <c r="J71" s="114">
        <v>7.52</v>
      </c>
      <c r="K71" s="128">
        <v>20.2</v>
      </c>
      <c r="L71" s="129">
        <f t="shared" si="4"/>
        <v>0.98</v>
      </c>
      <c r="M71" s="113" t="s">
        <v>12</v>
      </c>
      <c r="N71" s="117" t="s">
        <v>13</v>
      </c>
      <c r="O71" s="132" t="s">
        <v>136</v>
      </c>
      <c r="Q71" s="24"/>
      <c r="R71" s="24"/>
      <c r="S71" s="24"/>
      <c r="T71" s="24"/>
      <c r="U71" s="24"/>
      <c r="V71" s="24"/>
      <c r="W71" s="24"/>
      <c r="X71" s="24"/>
      <c r="Y71" s="24"/>
      <c r="Z71" s="24"/>
      <c r="AA71" s="24"/>
      <c r="AB71" s="24"/>
      <c r="AC71" s="24"/>
    </row>
    <row r="72" ht="15.75" customHeight="1">
      <c r="A72" s="130" t="s">
        <v>204</v>
      </c>
      <c r="B72" s="111">
        <v>45545.0</v>
      </c>
      <c r="C72" s="112">
        <v>0.3326388888888889</v>
      </c>
      <c r="D72" s="111">
        <v>45546.0</v>
      </c>
      <c r="E72" s="112">
        <v>0.47430555555555554</v>
      </c>
      <c r="F72" s="113">
        <v>8.23</v>
      </c>
      <c r="G72" s="113">
        <v>22.3</v>
      </c>
      <c r="H72" s="111">
        <v>45551.0</v>
      </c>
      <c r="I72" s="112">
        <v>0.6583333333333333</v>
      </c>
      <c r="J72" s="114">
        <v>7.45</v>
      </c>
      <c r="K72" s="128">
        <v>20.4</v>
      </c>
      <c r="L72" s="129">
        <f t="shared" si="4"/>
        <v>0.78</v>
      </c>
      <c r="M72" s="113" t="s">
        <v>12</v>
      </c>
      <c r="N72" s="117" t="s">
        <v>13</v>
      </c>
      <c r="O72" s="132" t="s">
        <v>136</v>
      </c>
      <c r="Q72" s="24"/>
      <c r="R72" s="24"/>
      <c r="S72" s="24"/>
      <c r="T72" s="24"/>
      <c r="U72" s="24"/>
      <c r="V72" s="24"/>
      <c r="W72" s="24"/>
      <c r="X72" s="24"/>
      <c r="Y72" s="24"/>
      <c r="Z72" s="24"/>
      <c r="AA72" s="24"/>
      <c r="AB72" s="24"/>
      <c r="AC72" s="24"/>
    </row>
    <row r="73" ht="15.75" customHeight="1">
      <c r="A73" s="130" t="s">
        <v>205</v>
      </c>
      <c r="B73" s="111">
        <v>45545.0</v>
      </c>
      <c r="C73" s="112">
        <v>0.3326388888888889</v>
      </c>
      <c r="D73" s="111">
        <v>45546.0</v>
      </c>
      <c r="E73" s="112">
        <v>0.47638888888888886</v>
      </c>
      <c r="F73" s="113">
        <v>8.06</v>
      </c>
      <c r="G73" s="113">
        <v>22.4</v>
      </c>
      <c r="H73" s="111">
        <v>45551.0</v>
      </c>
      <c r="I73" s="112">
        <v>0.6597222222222222</v>
      </c>
      <c r="J73" s="114">
        <v>7.15</v>
      </c>
      <c r="K73" s="128">
        <v>20.6</v>
      </c>
      <c r="L73" s="129">
        <f t="shared" si="4"/>
        <v>0.91</v>
      </c>
      <c r="M73" s="113" t="s">
        <v>12</v>
      </c>
      <c r="N73" s="117" t="s">
        <v>13</v>
      </c>
      <c r="O73" s="132" t="s">
        <v>136</v>
      </c>
      <c r="Q73" s="24"/>
      <c r="R73" s="24"/>
      <c r="S73" s="24"/>
      <c r="T73" s="24"/>
      <c r="U73" s="24"/>
      <c r="V73" s="24"/>
      <c r="W73" s="24"/>
      <c r="X73" s="24"/>
      <c r="Y73" s="24"/>
      <c r="Z73" s="24"/>
      <c r="AA73" s="24"/>
      <c r="AB73" s="24"/>
      <c r="AC73" s="24"/>
    </row>
    <row r="74" ht="15.75" customHeight="1">
      <c r="A74" s="130" t="s">
        <v>206</v>
      </c>
      <c r="B74" s="111">
        <v>45545.0</v>
      </c>
      <c r="C74" s="112">
        <v>0.3472222222222222</v>
      </c>
      <c r="D74" s="111">
        <v>45546.0</v>
      </c>
      <c r="E74" s="112">
        <v>0.49722222222222223</v>
      </c>
      <c r="F74" s="113">
        <v>8.15</v>
      </c>
      <c r="G74" s="113">
        <v>23.0</v>
      </c>
      <c r="H74" s="111">
        <v>45551.0</v>
      </c>
      <c r="I74" s="112">
        <v>0.6604166666666667</v>
      </c>
      <c r="J74" s="114">
        <v>7.44</v>
      </c>
      <c r="K74" s="128">
        <v>20.0</v>
      </c>
      <c r="L74" s="129">
        <f t="shared" si="4"/>
        <v>0.71</v>
      </c>
      <c r="M74" s="113" t="s">
        <v>12</v>
      </c>
      <c r="N74" s="117" t="s">
        <v>13</v>
      </c>
      <c r="O74" s="132" t="s">
        <v>136</v>
      </c>
      <c r="Q74" s="24"/>
      <c r="R74" s="24"/>
      <c r="S74" s="24"/>
      <c r="T74" s="24"/>
      <c r="U74" s="24"/>
      <c r="V74" s="24"/>
      <c r="W74" s="24"/>
      <c r="X74" s="24"/>
      <c r="Y74" s="24"/>
      <c r="Z74" s="24"/>
      <c r="AA74" s="24"/>
      <c r="AB74" s="24"/>
      <c r="AC74" s="24"/>
    </row>
    <row r="75" ht="15.75" customHeight="1">
      <c r="A75" s="130" t="s">
        <v>207</v>
      </c>
      <c r="B75" s="111">
        <v>45545.0</v>
      </c>
      <c r="C75" s="112">
        <v>0.3472222222222222</v>
      </c>
      <c r="D75" s="111">
        <v>45546.0</v>
      </c>
      <c r="E75" s="112">
        <v>0.4979166666666667</v>
      </c>
      <c r="F75" s="113">
        <v>8.07</v>
      </c>
      <c r="G75" s="113">
        <v>22.6</v>
      </c>
      <c r="H75" s="111">
        <v>45551.0</v>
      </c>
      <c r="I75" s="112">
        <v>0.6611111111111111</v>
      </c>
      <c r="J75" s="114">
        <v>7.61</v>
      </c>
      <c r="K75" s="128">
        <v>19.8</v>
      </c>
      <c r="L75" s="129">
        <f t="shared" si="4"/>
        <v>0.46</v>
      </c>
      <c r="M75" s="113" t="s">
        <v>12</v>
      </c>
      <c r="N75" s="117" t="s">
        <v>13</v>
      </c>
      <c r="O75" s="132" t="s">
        <v>136</v>
      </c>
      <c r="Q75" s="24"/>
      <c r="R75" s="24"/>
      <c r="S75" s="24"/>
      <c r="T75" s="24"/>
      <c r="U75" s="24"/>
      <c r="V75" s="24"/>
      <c r="W75" s="24"/>
      <c r="X75" s="24"/>
      <c r="Y75" s="24"/>
      <c r="Z75" s="24"/>
      <c r="AA75" s="24"/>
      <c r="AB75" s="24"/>
      <c r="AC75" s="24"/>
    </row>
    <row r="76" ht="15.75" customHeight="1">
      <c r="A76" s="130" t="s">
        <v>208</v>
      </c>
      <c r="B76" s="111">
        <v>45545.0</v>
      </c>
      <c r="C76" s="112">
        <v>0.36736111111111114</v>
      </c>
      <c r="D76" s="111">
        <v>45546.0</v>
      </c>
      <c r="E76" s="112">
        <v>0.5013888888888889</v>
      </c>
      <c r="F76" s="113">
        <v>8.63</v>
      </c>
      <c r="G76" s="113">
        <v>22.1</v>
      </c>
      <c r="H76" s="111">
        <v>45551.0</v>
      </c>
      <c r="I76" s="112">
        <v>0.6625</v>
      </c>
      <c r="J76" s="114">
        <v>7.69</v>
      </c>
      <c r="K76" s="128">
        <v>20.4</v>
      </c>
      <c r="L76" s="129">
        <f t="shared" si="4"/>
        <v>0.94</v>
      </c>
      <c r="M76" s="113" t="s">
        <v>12</v>
      </c>
      <c r="N76" s="117" t="s">
        <v>13</v>
      </c>
      <c r="O76" s="132" t="s">
        <v>136</v>
      </c>
      <c r="Q76" s="24"/>
      <c r="R76" s="24"/>
      <c r="S76" s="24"/>
      <c r="T76" s="24"/>
      <c r="U76" s="24"/>
      <c r="V76" s="24"/>
      <c r="W76" s="24"/>
      <c r="X76" s="24"/>
      <c r="Y76" s="24"/>
      <c r="Z76" s="24"/>
      <c r="AA76" s="24"/>
      <c r="AB76" s="24"/>
      <c r="AC76" s="24"/>
    </row>
    <row r="77" ht="15.0" customHeight="1">
      <c r="A77" s="130" t="s">
        <v>209</v>
      </c>
      <c r="B77" s="111">
        <v>45545.0</v>
      </c>
      <c r="C77" s="112">
        <v>0.36736111111111114</v>
      </c>
      <c r="D77" s="111">
        <v>45546.0</v>
      </c>
      <c r="E77" s="112">
        <v>0.5048611111111111</v>
      </c>
      <c r="F77" s="113">
        <v>8.15</v>
      </c>
      <c r="G77" s="113">
        <v>22.2</v>
      </c>
      <c r="H77" s="111">
        <v>45551.0</v>
      </c>
      <c r="I77" s="112">
        <v>0.6638888888888889</v>
      </c>
      <c r="J77" s="114">
        <v>7.24</v>
      </c>
      <c r="K77" s="115">
        <v>20.7</v>
      </c>
      <c r="L77" s="129">
        <f t="shared" si="4"/>
        <v>0.91</v>
      </c>
      <c r="M77" s="113" t="s">
        <v>12</v>
      </c>
      <c r="N77" s="117" t="s">
        <v>13</v>
      </c>
      <c r="O77" s="132" t="s">
        <v>136</v>
      </c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</row>
    <row r="78" ht="15.75" customHeight="1">
      <c r="A78" s="130" t="s">
        <v>210</v>
      </c>
      <c r="B78" s="111">
        <v>45545.0</v>
      </c>
      <c r="C78" s="112">
        <v>0.38055555555555554</v>
      </c>
      <c r="D78" s="111">
        <v>45546.0</v>
      </c>
      <c r="E78" s="112">
        <v>0.5131944444444444</v>
      </c>
      <c r="F78" s="113">
        <v>8.18</v>
      </c>
      <c r="G78" s="113">
        <v>22.8</v>
      </c>
      <c r="H78" s="111">
        <v>45551.0</v>
      </c>
      <c r="I78" s="112">
        <v>0.6645833333333333</v>
      </c>
      <c r="J78" s="114">
        <v>7.67</v>
      </c>
      <c r="K78" s="128">
        <v>19.8</v>
      </c>
      <c r="L78" s="129">
        <f t="shared" si="4"/>
        <v>0.51</v>
      </c>
      <c r="M78" s="113" t="s">
        <v>12</v>
      </c>
      <c r="N78" s="117" t="s">
        <v>13</v>
      </c>
      <c r="O78" s="132" t="s">
        <v>136</v>
      </c>
    </row>
    <row r="79" ht="15.75" customHeight="1">
      <c r="A79" s="130" t="s">
        <v>211</v>
      </c>
      <c r="B79" s="111">
        <v>45545.0</v>
      </c>
      <c r="C79" s="112">
        <v>0.38055555555555554</v>
      </c>
      <c r="D79" s="111">
        <v>45546.0</v>
      </c>
      <c r="E79" s="112">
        <v>0.5159722222222223</v>
      </c>
      <c r="F79" s="113">
        <v>8.12</v>
      </c>
      <c r="G79" s="113">
        <v>22.6</v>
      </c>
      <c r="H79" s="111">
        <v>45551.0</v>
      </c>
      <c r="I79" s="112">
        <v>0.6652777777777777</v>
      </c>
      <c r="J79" s="114">
        <v>7.35</v>
      </c>
      <c r="K79" s="128">
        <v>19.6</v>
      </c>
      <c r="L79" s="129">
        <f t="shared" si="4"/>
        <v>0.77</v>
      </c>
      <c r="M79" s="113" t="s">
        <v>12</v>
      </c>
      <c r="N79" s="117" t="s">
        <v>13</v>
      </c>
      <c r="O79" s="132" t="s">
        <v>136</v>
      </c>
    </row>
    <row r="80" ht="15.0" customHeight="1">
      <c r="A80" s="135" t="s">
        <v>212</v>
      </c>
      <c r="B80" s="120">
        <v>45545.0</v>
      </c>
      <c r="C80" s="150">
        <v>0.4013888888888889</v>
      </c>
      <c r="D80" s="120">
        <v>45546.0</v>
      </c>
      <c r="E80" s="122">
        <v>0.5208333333333334</v>
      </c>
      <c r="F80" s="123">
        <v>8.56</v>
      </c>
      <c r="G80" s="123">
        <v>22.5</v>
      </c>
      <c r="H80" s="120">
        <v>45551.0</v>
      </c>
      <c r="I80" s="122">
        <v>0.6680555555555555</v>
      </c>
      <c r="J80" s="124">
        <v>6.669</v>
      </c>
      <c r="K80" s="125">
        <v>19.5</v>
      </c>
      <c r="L80" s="126">
        <f t="shared" si="4"/>
        <v>1.891</v>
      </c>
      <c r="M80" s="113" t="s">
        <v>12</v>
      </c>
      <c r="N80" s="117" t="s">
        <v>13</v>
      </c>
      <c r="O80" s="132" t="s">
        <v>136</v>
      </c>
      <c r="Q80" s="24"/>
      <c r="R80" s="24"/>
      <c r="S80" s="24"/>
      <c r="T80" s="24"/>
      <c r="U80" s="24"/>
      <c r="V80" s="24"/>
      <c r="W80" s="24"/>
      <c r="X80" s="24"/>
      <c r="Y80" s="24"/>
      <c r="Z80" s="24"/>
      <c r="AA80" s="24"/>
      <c r="AB80" s="24"/>
      <c r="AC80" s="24"/>
    </row>
    <row r="81" ht="15.75" customHeight="1">
      <c r="A81" s="135" t="s">
        <v>213</v>
      </c>
      <c r="B81" s="120">
        <v>45545.0</v>
      </c>
      <c r="C81" s="150">
        <v>0.4013888888888889</v>
      </c>
      <c r="D81" s="120">
        <v>45546.0</v>
      </c>
      <c r="E81" s="122">
        <v>0.5222222222222223</v>
      </c>
      <c r="F81" s="123">
        <v>8.56</v>
      </c>
      <c r="G81" s="123">
        <v>22.9</v>
      </c>
      <c r="H81" s="120">
        <v>45551.0</v>
      </c>
      <c r="I81" s="122">
        <v>0.66875</v>
      </c>
      <c r="J81" s="124">
        <v>7.89</v>
      </c>
      <c r="K81" s="125">
        <v>19.8</v>
      </c>
      <c r="L81" s="126">
        <f t="shared" si="4"/>
        <v>0.67</v>
      </c>
      <c r="M81" s="113" t="s">
        <v>12</v>
      </c>
      <c r="N81" s="117" t="s">
        <v>13</v>
      </c>
      <c r="O81" s="132" t="s">
        <v>136</v>
      </c>
      <c r="Q81" s="24"/>
      <c r="R81" s="24"/>
      <c r="S81" s="24"/>
      <c r="T81" s="24"/>
      <c r="U81" s="24"/>
      <c r="V81" s="24"/>
      <c r="W81" s="24"/>
      <c r="X81" s="24"/>
      <c r="Y81" s="24"/>
      <c r="Z81" s="24"/>
      <c r="AA81" s="24"/>
      <c r="AB81" s="24"/>
      <c r="AC81" s="24"/>
    </row>
    <row r="82" ht="15.75" customHeight="1">
      <c r="A82" s="130" t="s">
        <v>214</v>
      </c>
      <c r="B82" s="111">
        <v>45545.0</v>
      </c>
      <c r="C82" s="138">
        <v>0.4013888888888889</v>
      </c>
      <c r="D82" s="111">
        <v>45546.0</v>
      </c>
      <c r="E82" s="112">
        <v>0.5236111111111111</v>
      </c>
      <c r="F82" s="113">
        <v>8.56</v>
      </c>
      <c r="G82" s="113">
        <v>23.0</v>
      </c>
      <c r="H82" s="111">
        <v>45551.0</v>
      </c>
      <c r="I82" s="112">
        <v>0.1701388888888889</v>
      </c>
      <c r="J82" s="114">
        <v>8.07</v>
      </c>
      <c r="K82" s="128">
        <v>19.6</v>
      </c>
      <c r="L82" s="129">
        <f t="shared" si="4"/>
        <v>0.49</v>
      </c>
      <c r="M82" s="113" t="s">
        <v>12</v>
      </c>
      <c r="N82" s="117" t="s">
        <v>13</v>
      </c>
      <c r="O82" s="132" t="s">
        <v>136</v>
      </c>
      <c r="Q82" s="24"/>
      <c r="R82" s="24"/>
      <c r="S82" s="24"/>
      <c r="T82" s="24"/>
      <c r="U82" s="24"/>
      <c r="V82" s="24"/>
      <c r="W82" s="24"/>
      <c r="X82" s="24"/>
      <c r="Y82" s="24"/>
      <c r="Z82" s="24"/>
      <c r="AA82" s="24"/>
      <c r="AB82" s="24"/>
      <c r="AC82" s="24"/>
    </row>
    <row r="83" ht="15.75" customHeight="1">
      <c r="A83" s="130" t="s">
        <v>215</v>
      </c>
      <c r="B83" s="111">
        <v>45545.0</v>
      </c>
      <c r="C83" s="138">
        <v>0.4013888888888889</v>
      </c>
      <c r="D83" s="111">
        <v>45546.0</v>
      </c>
      <c r="E83" s="112">
        <v>0.5284722222222222</v>
      </c>
      <c r="F83" s="113">
        <v>8.57</v>
      </c>
      <c r="G83" s="113">
        <v>23.0</v>
      </c>
      <c r="H83" s="111">
        <v>45551.0</v>
      </c>
      <c r="I83" s="112">
        <v>0.6715277777777777</v>
      </c>
      <c r="J83" s="114">
        <v>7.98</v>
      </c>
      <c r="K83" s="128">
        <v>19.6</v>
      </c>
      <c r="L83" s="129">
        <f t="shared" si="4"/>
        <v>0.59</v>
      </c>
      <c r="M83" s="113" t="s">
        <v>12</v>
      </c>
      <c r="N83" s="117" t="s">
        <v>13</v>
      </c>
      <c r="O83" s="132" t="s">
        <v>136</v>
      </c>
      <c r="P83" s="80"/>
      <c r="Q83" s="24"/>
      <c r="R83" s="24"/>
      <c r="S83" s="24"/>
      <c r="T83" s="24"/>
      <c r="U83" s="24"/>
      <c r="V83" s="24"/>
      <c r="W83" s="24"/>
      <c r="X83" s="24"/>
      <c r="Y83" s="24"/>
      <c r="Z83" s="24"/>
      <c r="AA83" s="24"/>
      <c r="AB83" s="24"/>
      <c r="AC83" s="24"/>
    </row>
    <row r="84" ht="15.75" customHeight="1">
      <c r="A84" s="130" t="s">
        <v>216</v>
      </c>
      <c r="B84" s="111">
        <v>45545.0</v>
      </c>
      <c r="C84" s="138">
        <v>0.4395833333333333</v>
      </c>
      <c r="D84" s="111">
        <v>45546.0</v>
      </c>
      <c r="E84" s="151">
        <v>0.5416666666666666</v>
      </c>
      <c r="F84" s="113">
        <v>8.56</v>
      </c>
      <c r="G84" s="113">
        <v>22.5</v>
      </c>
      <c r="H84" s="111">
        <v>45551.0</v>
      </c>
      <c r="I84" s="112">
        <v>0.6736111111111112</v>
      </c>
      <c r="J84" s="114">
        <v>8.14</v>
      </c>
      <c r="K84" s="128">
        <v>20.0</v>
      </c>
      <c r="L84" s="129">
        <f t="shared" si="4"/>
        <v>0.42</v>
      </c>
      <c r="M84" s="113" t="s">
        <v>12</v>
      </c>
      <c r="N84" s="117" t="s">
        <v>13</v>
      </c>
      <c r="O84" s="132" t="s">
        <v>136</v>
      </c>
      <c r="Q84" s="24"/>
      <c r="R84" s="24"/>
      <c r="S84" s="24"/>
      <c r="T84" s="24"/>
      <c r="U84" s="24"/>
      <c r="V84" s="24"/>
      <c r="W84" s="24"/>
      <c r="X84" s="24"/>
      <c r="Y84" s="24"/>
      <c r="Z84" s="24"/>
      <c r="AA84" s="24"/>
      <c r="AB84" s="24"/>
      <c r="AC84" s="24"/>
    </row>
    <row r="85" ht="19.5" customHeight="1">
      <c r="A85" s="130" t="s">
        <v>217</v>
      </c>
      <c r="B85" s="111">
        <v>45545.0</v>
      </c>
      <c r="C85" s="138">
        <v>0.4395833333333333</v>
      </c>
      <c r="D85" s="111">
        <v>45546.0</v>
      </c>
      <c r="E85" s="112">
        <v>0.5444444444444444</v>
      </c>
      <c r="F85" s="113">
        <v>8.07</v>
      </c>
      <c r="G85" s="113">
        <v>22.6</v>
      </c>
      <c r="H85" s="111">
        <v>45551.0</v>
      </c>
      <c r="I85" s="138">
        <v>0.6743055555555556</v>
      </c>
      <c r="J85" s="131">
        <v>7.36</v>
      </c>
      <c r="K85" s="131">
        <v>20.3</v>
      </c>
      <c r="L85" s="129">
        <f t="shared" si="4"/>
        <v>0.71</v>
      </c>
      <c r="M85" s="113" t="s">
        <v>12</v>
      </c>
      <c r="N85" s="117" t="s">
        <v>13</v>
      </c>
      <c r="O85" s="132" t="s">
        <v>136</v>
      </c>
      <c r="Q85" s="24"/>
      <c r="R85" s="24"/>
      <c r="S85" s="24"/>
      <c r="T85" s="24"/>
      <c r="U85" s="24"/>
      <c r="V85" s="24"/>
      <c r="W85" s="24"/>
      <c r="X85" s="24"/>
      <c r="Y85" s="24"/>
      <c r="Z85" s="24"/>
      <c r="AA85" s="24"/>
      <c r="AB85" s="24"/>
      <c r="AC85" s="24"/>
    </row>
    <row r="86" ht="18.0" customHeight="1">
      <c r="A86" s="130" t="s">
        <v>218</v>
      </c>
      <c r="B86" s="111">
        <v>45545.0</v>
      </c>
      <c r="C86" s="138">
        <v>0.46597222222222223</v>
      </c>
      <c r="D86" s="111">
        <v>45546.0</v>
      </c>
      <c r="E86" s="112">
        <v>0.5131944444444444</v>
      </c>
      <c r="F86" s="113">
        <v>8.5</v>
      </c>
      <c r="G86" s="113">
        <v>22.8</v>
      </c>
      <c r="H86" s="111">
        <v>45551.0</v>
      </c>
      <c r="I86" s="112">
        <v>0.675</v>
      </c>
      <c r="J86" s="114">
        <v>8.01</v>
      </c>
      <c r="K86" s="128">
        <v>19.8</v>
      </c>
      <c r="L86" s="129">
        <f t="shared" si="4"/>
        <v>0.49</v>
      </c>
      <c r="M86" s="113" t="s">
        <v>12</v>
      </c>
      <c r="N86" s="117" t="s">
        <v>13</v>
      </c>
      <c r="O86" s="132" t="s">
        <v>136</v>
      </c>
      <c r="Q86" s="24"/>
      <c r="R86" s="24"/>
      <c r="S86" s="24"/>
      <c r="T86" s="24"/>
      <c r="U86" s="24"/>
      <c r="V86" s="24"/>
      <c r="W86" s="24"/>
      <c r="X86" s="24"/>
      <c r="Y86" s="24"/>
      <c r="Z86" s="24"/>
      <c r="AA86" s="24"/>
      <c r="AB86" s="24"/>
      <c r="AC86" s="24"/>
    </row>
    <row r="87" ht="15.75" customHeight="1">
      <c r="A87" s="130" t="s">
        <v>219</v>
      </c>
      <c r="B87" s="111">
        <v>45545.0</v>
      </c>
      <c r="C87" s="138">
        <v>0.46597222222222223</v>
      </c>
      <c r="D87" s="111">
        <v>45546.0</v>
      </c>
      <c r="E87" s="112">
        <v>0.5152777777777777</v>
      </c>
      <c r="F87" s="113">
        <v>8.34</v>
      </c>
      <c r="G87" s="113">
        <v>22.5</v>
      </c>
      <c r="H87" s="111">
        <v>45551.0</v>
      </c>
      <c r="I87" s="112">
        <v>0.6770833333333334</v>
      </c>
      <c r="J87" s="114">
        <v>8.19</v>
      </c>
      <c r="K87" s="128">
        <v>19.8</v>
      </c>
      <c r="L87" s="129">
        <f t="shared" si="4"/>
        <v>0.15</v>
      </c>
      <c r="M87" s="113" t="s">
        <v>12</v>
      </c>
      <c r="N87" s="117" t="s">
        <v>13</v>
      </c>
      <c r="O87" s="132" t="s">
        <v>136</v>
      </c>
      <c r="Q87" s="24"/>
      <c r="R87" s="24"/>
      <c r="S87" s="24"/>
      <c r="T87" s="24"/>
      <c r="U87" s="24"/>
      <c r="V87" s="24"/>
      <c r="W87" s="24"/>
      <c r="X87" s="24"/>
      <c r="Y87" s="24"/>
      <c r="Z87" s="24"/>
      <c r="AA87" s="24"/>
      <c r="AB87" s="24"/>
      <c r="AC87" s="24"/>
    </row>
    <row r="88" ht="26.25" customHeight="1">
      <c r="A88" s="108" t="s">
        <v>135</v>
      </c>
      <c r="B88" s="109" t="s">
        <v>70</v>
      </c>
      <c r="C88" s="110" t="s">
        <v>70</v>
      </c>
      <c r="D88" s="141">
        <v>45548.0</v>
      </c>
      <c r="E88" s="112">
        <v>0.4326388888888889</v>
      </c>
      <c r="F88" s="113">
        <v>8.18</v>
      </c>
      <c r="G88" s="113">
        <v>25.9</v>
      </c>
      <c r="H88" s="141">
        <v>45553.0</v>
      </c>
      <c r="I88" s="112">
        <v>0.6076388888888888</v>
      </c>
      <c r="J88" s="114">
        <v>8.27</v>
      </c>
      <c r="K88" s="128">
        <v>25.6</v>
      </c>
      <c r="L88" s="110" t="s">
        <v>70</v>
      </c>
      <c r="M88" s="113" t="s">
        <v>12</v>
      </c>
      <c r="N88" s="117" t="s">
        <v>13</v>
      </c>
      <c r="O88" s="132" t="s">
        <v>136</v>
      </c>
      <c r="Q88" s="24"/>
      <c r="R88" s="24"/>
      <c r="S88" s="24"/>
      <c r="T88" s="24"/>
      <c r="U88" s="24"/>
      <c r="V88" s="24"/>
      <c r="W88" s="24"/>
      <c r="X88" s="24"/>
      <c r="Y88" s="24"/>
      <c r="Z88" s="24"/>
      <c r="AA88" s="24"/>
      <c r="AB88" s="24"/>
      <c r="AC88" s="24"/>
    </row>
    <row r="89" ht="26.25" customHeight="1">
      <c r="A89" s="130" t="s">
        <v>220</v>
      </c>
      <c r="B89" s="111">
        <v>45547.0</v>
      </c>
      <c r="C89" s="138">
        <v>0.34791666666666665</v>
      </c>
      <c r="D89" s="141">
        <v>45548.0</v>
      </c>
      <c r="E89" s="112">
        <v>0.5645833333333333</v>
      </c>
      <c r="F89" s="113">
        <v>7.87</v>
      </c>
      <c r="G89" s="113">
        <v>23.0</v>
      </c>
      <c r="H89" s="141">
        <v>45553.0</v>
      </c>
      <c r="I89" s="112">
        <v>0.6097222222222223</v>
      </c>
      <c r="J89" s="114">
        <v>7.72</v>
      </c>
      <c r="K89" s="128">
        <v>18.8</v>
      </c>
      <c r="L89" s="129">
        <f t="shared" ref="L89:L108" si="5">F89-J89</f>
        <v>0.15</v>
      </c>
      <c r="M89" s="113" t="s">
        <v>12</v>
      </c>
      <c r="N89" s="117" t="s">
        <v>13</v>
      </c>
      <c r="O89" s="132" t="s">
        <v>136</v>
      </c>
      <c r="Q89" s="24"/>
      <c r="R89" s="24"/>
      <c r="S89" s="24"/>
      <c r="T89" s="24"/>
      <c r="U89" s="24"/>
      <c r="V89" s="24"/>
      <c r="W89" s="24"/>
      <c r="X89" s="24"/>
      <c r="Y89" s="24"/>
      <c r="Z89" s="24"/>
      <c r="AA89" s="24"/>
      <c r="AB89" s="24"/>
      <c r="AC89" s="24"/>
    </row>
    <row r="90" ht="15.75" customHeight="1">
      <c r="A90" s="130" t="s">
        <v>221</v>
      </c>
      <c r="B90" s="111">
        <v>45547.0</v>
      </c>
      <c r="C90" s="138">
        <v>0.34791666666666665</v>
      </c>
      <c r="D90" s="141">
        <v>45548.0</v>
      </c>
      <c r="E90" s="112">
        <v>0.5673611111111111</v>
      </c>
      <c r="F90" s="113">
        <v>8.29</v>
      </c>
      <c r="G90" s="113">
        <v>22.5</v>
      </c>
      <c r="H90" s="141">
        <v>45553.0</v>
      </c>
      <c r="I90" s="112">
        <v>0.6118055555555556</v>
      </c>
      <c r="J90" s="113">
        <v>7.93</v>
      </c>
      <c r="K90" s="128">
        <v>18.7</v>
      </c>
      <c r="L90" s="129">
        <f t="shared" si="5"/>
        <v>0.36</v>
      </c>
      <c r="M90" s="113" t="s">
        <v>12</v>
      </c>
      <c r="N90" s="117" t="s">
        <v>13</v>
      </c>
      <c r="O90" s="152" t="s">
        <v>222</v>
      </c>
      <c r="Q90" s="153"/>
      <c r="R90" s="153"/>
      <c r="S90" s="153"/>
      <c r="T90" s="153"/>
      <c r="U90" s="153"/>
      <c r="V90" s="153"/>
      <c r="W90" s="153"/>
      <c r="X90" s="153"/>
      <c r="Y90" s="153"/>
      <c r="Z90" s="153"/>
      <c r="AA90" s="153"/>
      <c r="AB90" s="153"/>
      <c r="AC90" s="153"/>
    </row>
    <row r="91">
      <c r="A91" s="130" t="s">
        <v>223</v>
      </c>
      <c r="B91" s="111">
        <v>45547.0</v>
      </c>
      <c r="C91" s="138">
        <v>0.36319444444444443</v>
      </c>
      <c r="D91" s="141">
        <v>45548.0</v>
      </c>
      <c r="E91" s="112">
        <v>0.5729166666666666</v>
      </c>
      <c r="F91" s="131">
        <v>8.78</v>
      </c>
      <c r="G91" s="130">
        <v>22.8</v>
      </c>
      <c r="H91" s="141">
        <v>45553.0</v>
      </c>
      <c r="I91" s="138">
        <v>0.6131944444444445</v>
      </c>
      <c r="J91" s="131">
        <v>8.05</v>
      </c>
      <c r="K91" s="131">
        <v>17.4</v>
      </c>
      <c r="L91" s="154">
        <f t="shared" si="5"/>
        <v>0.73</v>
      </c>
      <c r="M91" s="113" t="s">
        <v>12</v>
      </c>
      <c r="N91" s="117" t="s">
        <v>13</v>
      </c>
      <c r="O91" s="152" t="s">
        <v>222</v>
      </c>
      <c r="P91" s="155"/>
      <c r="Q91" s="155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>
      <c r="A92" s="130" t="s">
        <v>224</v>
      </c>
      <c r="B92" s="111">
        <v>45547.0</v>
      </c>
      <c r="C92" s="138">
        <v>0.36319444444444443</v>
      </c>
      <c r="D92" s="141">
        <v>45548.0</v>
      </c>
      <c r="E92" s="112">
        <v>0.5756944444444444</v>
      </c>
      <c r="F92" s="131">
        <v>8.47</v>
      </c>
      <c r="G92" s="130">
        <v>22.7</v>
      </c>
      <c r="H92" s="141">
        <v>45553.0</v>
      </c>
      <c r="I92" s="138">
        <v>0.6159722222222223</v>
      </c>
      <c r="J92" s="131">
        <v>8.01</v>
      </c>
      <c r="K92" s="131">
        <v>17.7</v>
      </c>
      <c r="L92" s="129">
        <f t="shared" si="5"/>
        <v>0.46</v>
      </c>
      <c r="M92" s="113" t="s">
        <v>12</v>
      </c>
      <c r="N92" s="117" t="s">
        <v>13</v>
      </c>
      <c r="O92" s="152" t="s">
        <v>222</v>
      </c>
      <c r="P92" s="155"/>
      <c r="Q92" s="155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35" t="s">
        <v>225</v>
      </c>
      <c r="B93" s="120">
        <v>45547.0</v>
      </c>
      <c r="C93" s="150">
        <v>0.4041666666666667</v>
      </c>
      <c r="D93" s="142">
        <v>45548.0</v>
      </c>
      <c r="E93" s="122">
        <v>0.5861111111111111</v>
      </c>
      <c r="F93" s="123">
        <v>7.86</v>
      </c>
      <c r="G93" s="123">
        <v>22.7</v>
      </c>
      <c r="H93" s="142">
        <v>45553.0</v>
      </c>
      <c r="I93" s="122">
        <v>0.6194444444444445</v>
      </c>
      <c r="J93" s="124">
        <v>6.42</v>
      </c>
      <c r="K93" s="125">
        <v>18.8</v>
      </c>
      <c r="L93" s="126">
        <f t="shared" si="5"/>
        <v>1.44</v>
      </c>
      <c r="M93" s="113" t="s">
        <v>12</v>
      </c>
      <c r="N93" s="117" t="s">
        <v>13</v>
      </c>
      <c r="O93" s="152" t="s">
        <v>222</v>
      </c>
      <c r="P93" s="155"/>
      <c r="Q93" s="15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35" t="s">
        <v>226</v>
      </c>
      <c r="B94" s="120">
        <v>45547.0</v>
      </c>
      <c r="C94" s="150">
        <v>0.4041666666666667</v>
      </c>
      <c r="D94" s="142">
        <v>45548.0</v>
      </c>
      <c r="E94" s="122">
        <v>0.5840277777777778</v>
      </c>
      <c r="F94" s="123">
        <v>7.86</v>
      </c>
      <c r="G94" s="123">
        <v>22.7</v>
      </c>
      <c r="H94" s="142">
        <v>45553.0</v>
      </c>
      <c r="I94" s="122">
        <v>0.6180555555555556</v>
      </c>
      <c r="J94" s="124">
        <v>7.59</v>
      </c>
      <c r="K94" s="125">
        <v>19.0</v>
      </c>
      <c r="L94" s="126">
        <f t="shared" si="5"/>
        <v>0.27</v>
      </c>
      <c r="M94" s="113" t="s">
        <v>12</v>
      </c>
      <c r="N94" s="117" t="s">
        <v>13</v>
      </c>
      <c r="O94" s="152" t="s">
        <v>222</v>
      </c>
      <c r="P94" s="155"/>
      <c r="Q94" s="15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30" t="s">
        <v>227</v>
      </c>
      <c r="B95" s="111">
        <v>45547.0</v>
      </c>
      <c r="C95" s="138">
        <v>0.4041666666666667</v>
      </c>
      <c r="D95" s="141">
        <v>45548.0</v>
      </c>
      <c r="E95" s="112">
        <v>0.5826388888888889</v>
      </c>
      <c r="F95" s="113">
        <v>7.86</v>
      </c>
      <c r="G95" s="113">
        <v>22.7</v>
      </c>
      <c r="H95" s="141">
        <v>45553.0</v>
      </c>
      <c r="I95" s="138">
        <v>0.6222222222222222</v>
      </c>
      <c r="J95" s="113">
        <v>7.58</v>
      </c>
      <c r="K95" s="128">
        <v>18.9</v>
      </c>
      <c r="L95" s="129">
        <f t="shared" si="5"/>
        <v>0.28</v>
      </c>
      <c r="M95" s="113" t="s">
        <v>12</v>
      </c>
      <c r="N95" s="117" t="s">
        <v>13</v>
      </c>
      <c r="O95" s="152" t="s">
        <v>222</v>
      </c>
      <c r="P95" s="156"/>
      <c r="Q95" s="15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0" customHeight="1">
      <c r="A96" s="130" t="s">
        <v>228</v>
      </c>
      <c r="B96" s="111">
        <v>45547.0</v>
      </c>
      <c r="C96" s="138">
        <v>0.4041666666666667</v>
      </c>
      <c r="D96" s="141">
        <v>45548.0</v>
      </c>
      <c r="E96" s="112">
        <v>0.5861111111111111</v>
      </c>
      <c r="F96" s="131">
        <v>7.99</v>
      </c>
      <c r="G96" s="130">
        <v>22.7</v>
      </c>
      <c r="H96" s="141">
        <v>45553.0</v>
      </c>
      <c r="I96" s="138">
        <v>0.6236111111111111</v>
      </c>
      <c r="J96" s="131">
        <v>7.57</v>
      </c>
      <c r="K96" s="131">
        <v>19.0</v>
      </c>
      <c r="L96" s="129">
        <f t="shared" si="5"/>
        <v>0.42</v>
      </c>
      <c r="M96" s="113" t="s">
        <v>12</v>
      </c>
      <c r="N96" s="117" t="s">
        <v>13</v>
      </c>
      <c r="O96" s="152" t="s">
        <v>222</v>
      </c>
      <c r="P96" s="155"/>
      <c r="Q96" s="15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0" customHeight="1">
      <c r="A97" s="130" t="s">
        <v>229</v>
      </c>
      <c r="B97" s="111">
        <v>45547.0</v>
      </c>
      <c r="C97" s="138">
        <v>0.4270833333333333</v>
      </c>
      <c r="D97" s="141">
        <v>45548.0</v>
      </c>
      <c r="E97" s="112">
        <v>0.6291666666666667</v>
      </c>
      <c r="F97" s="131">
        <v>8.2</v>
      </c>
      <c r="G97" s="130">
        <v>21.2</v>
      </c>
      <c r="H97" s="141">
        <v>45553.0</v>
      </c>
      <c r="I97" s="138">
        <v>0.6284722222222222</v>
      </c>
      <c r="J97" s="131">
        <v>7.89</v>
      </c>
      <c r="K97" s="131">
        <v>18.4</v>
      </c>
      <c r="L97" s="129">
        <f t="shared" si="5"/>
        <v>0.31</v>
      </c>
      <c r="M97" s="113" t="s">
        <v>12</v>
      </c>
      <c r="N97" s="117" t="s">
        <v>13</v>
      </c>
      <c r="O97" s="152" t="s">
        <v>222</v>
      </c>
      <c r="P97" s="155"/>
      <c r="Q97" s="15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30" t="s">
        <v>230</v>
      </c>
      <c r="B98" s="111">
        <v>45547.0</v>
      </c>
      <c r="C98" s="138">
        <v>0.4270833333333333</v>
      </c>
      <c r="D98" s="141">
        <v>45548.0</v>
      </c>
      <c r="E98" s="112">
        <v>0.6326388888888889</v>
      </c>
      <c r="F98" s="131">
        <v>8.67</v>
      </c>
      <c r="G98" s="130">
        <v>21.2</v>
      </c>
      <c r="H98" s="141">
        <v>45553.0</v>
      </c>
      <c r="I98" s="112">
        <v>0.6298611111111111</v>
      </c>
      <c r="J98" s="113">
        <v>8.01</v>
      </c>
      <c r="K98" s="128">
        <v>19.2</v>
      </c>
      <c r="L98" s="129">
        <f t="shared" si="5"/>
        <v>0.66</v>
      </c>
      <c r="M98" s="113" t="s">
        <v>12</v>
      </c>
      <c r="N98" s="117" t="s">
        <v>13</v>
      </c>
      <c r="O98" s="152" t="s">
        <v>222</v>
      </c>
      <c r="P98" s="155"/>
      <c r="Q98" s="15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30" t="s">
        <v>231</v>
      </c>
      <c r="B99" s="111">
        <v>45547.0</v>
      </c>
      <c r="C99" s="138">
        <v>0.45694444444444443</v>
      </c>
      <c r="D99" s="141">
        <v>45548.0</v>
      </c>
      <c r="E99" s="112">
        <v>0.6340277777777777</v>
      </c>
      <c r="F99" s="113">
        <v>8.15</v>
      </c>
      <c r="G99" s="113">
        <v>21.9</v>
      </c>
      <c r="H99" s="141">
        <v>45553.0</v>
      </c>
      <c r="I99" s="112">
        <v>0.6319444444444444</v>
      </c>
      <c r="J99" s="113">
        <v>7.45</v>
      </c>
      <c r="K99" s="128">
        <v>19.6</v>
      </c>
      <c r="L99" s="129">
        <f t="shared" si="5"/>
        <v>0.7</v>
      </c>
      <c r="M99" s="113" t="s">
        <v>12</v>
      </c>
      <c r="N99" s="117" t="s">
        <v>13</v>
      </c>
      <c r="O99" s="152" t="s">
        <v>222</v>
      </c>
      <c r="P99" s="155"/>
      <c r="Q99" s="15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30" t="s">
        <v>232</v>
      </c>
      <c r="B100" s="111">
        <v>45547.0</v>
      </c>
      <c r="C100" s="138">
        <v>0.45694444444444443</v>
      </c>
      <c r="D100" s="141">
        <v>45548.0</v>
      </c>
      <c r="E100" s="112">
        <v>0.6354166666666666</v>
      </c>
      <c r="F100" s="113">
        <v>8.13</v>
      </c>
      <c r="G100" s="113">
        <v>21.5</v>
      </c>
      <c r="H100" s="141">
        <v>45553.0</v>
      </c>
      <c r="I100" s="112">
        <v>0.6333333333333333</v>
      </c>
      <c r="J100" s="113">
        <v>7.66</v>
      </c>
      <c r="K100" s="128">
        <v>20.0</v>
      </c>
      <c r="L100" s="129">
        <f t="shared" si="5"/>
        <v>0.47</v>
      </c>
      <c r="M100" s="113" t="s">
        <v>12</v>
      </c>
      <c r="N100" s="117" t="s">
        <v>13</v>
      </c>
      <c r="O100" s="152" t="s">
        <v>222</v>
      </c>
      <c r="P100" s="155"/>
      <c r="Q100" s="15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30" t="s">
        <v>233</v>
      </c>
      <c r="B101" s="111">
        <v>45547.0</v>
      </c>
      <c r="C101" s="138">
        <v>0.4673611111111111</v>
      </c>
      <c r="D101" s="141">
        <v>45548.0</v>
      </c>
      <c r="E101" s="112">
        <v>0.6368055555555555</v>
      </c>
      <c r="F101" s="113">
        <v>7.87</v>
      </c>
      <c r="G101" s="113">
        <v>22.0</v>
      </c>
      <c r="H101" s="141">
        <v>45553.0</v>
      </c>
      <c r="I101" s="112">
        <v>0.13472222222222222</v>
      </c>
      <c r="J101" s="113">
        <v>7.66</v>
      </c>
      <c r="K101" s="128">
        <v>19.4</v>
      </c>
      <c r="L101" s="129">
        <f t="shared" si="5"/>
        <v>0.21</v>
      </c>
      <c r="M101" s="113" t="s">
        <v>12</v>
      </c>
      <c r="N101" s="117" t="s">
        <v>13</v>
      </c>
      <c r="O101" s="152" t="s">
        <v>222</v>
      </c>
      <c r="P101" s="155"/>
      <c r="Q101" s="15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30" t="s">
        <v>234</v>
      </c>
      <c r="B102" s="111">
        <v>45547.0</v>
      </c>
      <c r="C102" s="138">
        <v>0.4673611111111111</v>
      </c>
      <c r="D102" s="141">
        <v>45548.0</v>
      </c>
      <c r="E102" s="112">
        <v>0.6375</v>
      </c>
      <c r="F102" s="113">
        <v>7.74</v>
      </c>
      <c r="G102" s="113">
        <v>21.6</v>
      </c>
      <c r="H102" s="141">
        <v>45553.0</v>
      </c>
      <c r="I102" s="112">
        <v>0.6368055555555555</v>
      </c>
      <c r="J102" s="113">
        <v>7.48</v>
      </c>
      <c r="K102" s="128">
        <v>19.8</v>
      </c>
      <c r="L102" s="129">
        <f t="shared" si="5"/>
        <v>0.26</v>
      </c>
      <c r="M102" s="113" t="s">
        <v>12</v>
      </c>
      <c r="N102" s="117" t="s">
        <v>13</v>
      </c>
      <c r="O102" s="152" t="s">
        <v>222</v>
      </c>
      <c r="P102" s="155"/>
      <c r="Q102" s="15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30" t="s">
        <v>235</v>
      </c>
      <c r="B103" s="111">
        <v>45547.0</v>
      </c>
      <c r="C103" s="138">
        <v>0.4791666666666667</v>
      </c>
      <c r="D103" s="141">
        <v>45548.0</v>
      </c>
      <c r="E103" s="112">
        <v>0.6402777777777777</v>
      </c>
      <c r="F103" s="113">
        <v>7.56</v>
      </c>
      <c r="G103" s="113">
        <v>22.0</v>
      </c>
      <c r="H103" s="141">
        <v>45553.0</v>
      </c>
      <c r="I103" s="112">
        <v>0.6402777777777777</v>
      </c>
      <c r="J103" s="113">
        <v>7.24</v>
      </c>
      <c r="K103" s="128">
        <v>20.2</v>
      </c>
      <c r="L103" s="129">
        <f t="shared" si="5"/>
        <v>0.32</v>
      </c>
      <c r="M103" s="113" t="s">
        <v>12</v>
      </c>
      <c r="N103" s="117" t="s">
        <v>13</v>
      </c>
      <c r="O103" s="152" t="s">
        <v>222</v>
      </c>
      <c r="P103" s="155"/>
      <c r="Q103" s="15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30" t="s">
        <v>236</v>
      </c>
      <c r="B104" s="111">
        <v>45547.0</v>
      </c>
      <c r="C104" s="138">
        <v>0.4791666666666667</v>
      </c>
      <c r="D104" s="141">
        <v>45548.0</v>
      </c>
      <c r="E104" s="112">
        <v>0.6416666666666667</v>
      </c>
      <c r="F104" s="113">
        <v>7.25</v>
      </c>
      <c r="G104" s="113">
        <v>22.5</v>
      </c>
      <c r="H104" s="141">
        <v>45553.0</v>
      </c>
      <c r="I104" s="112">
        <v>0.6430555555555556</v>
      </c>
      <c r="J104" s="113">
        <v>7.37</v>
      </c>
      <c r="K104" s="128">
        <v>20.4</v>
      </c>
      <c r="L104" s="129">
        <f t="shared" si="5"/>
        <v>-0.12</v>
      </c>
      <c r="M104" s="113" t="s">
        <v>12</v>
      </c>
      <c r="N104" s="117" t="s">
        <v>13</v>
      </c>
      <c r="O104" s="152" t="s">
        <v>222</v>
      </c>
      <c r="P104" s="155"/>
      <c r="Q104" s="15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35" t="s">
        <v>237</v>
      </c>
      <c r="B105" s="120">
        <v>45547.0</v>
      </c>
      <c r="C105" s="150">
        <v>0.4895833333333333</v>
      </c>
      <c r="D105" s="142">
        <v>45548.0</v>
      </c>
      <c r="E105" s="122">
        <v>0.6458333333333334</v>
      </c>
      <c r="F105" s="123">
        <v>7.77</v>
      </c>
      <c r="G105" s="123">
        <v>22.6</v>
      </c>
      <c r="H105" s="142">
        <v>45553.0</v>
      </c>
      <c r="I105" s="122">
        <v>0.6444444444444445</v>
      </c>
      <c r="J105" s="123">
        <v>5.66</v>
      </c>
      <c r="K105" s="125">
        <v>19.9</v>
      </c>
      <c r="L105" s="126">
        <f t="shared" si="5"/>
        <v>2.11</v>
      </c>
      <c r="M105" s="113" t="s">
        <v>12</v>
      </c>
      <c r="N105" s="117" t="s">
        <v>13</v>
      </c>
      <c r="O105" s="152" t="s">
        <v>222</v>
      </c>
      <c r="P105" s="155"/>
      <c r="Q105" s="15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35" t="s">
        <v>238</v>
      </c>
      <c r="B106" s="120">
        <v>45547.0</v>
      </c>
      <c r="C106" s="150">
        <v>0.4895833333333333</v>
      </c>
      <c r="D106" s="142">
        <v>45548.0</v>
      </c>
      <c r="E106" s="122">
        <v>0.6472222222222223</v>
      </c>
      <c r="F106" s="123">
        <v>7.59</v>
      </c>
      <c r="G106" s="123">
        <v>23.1</v>
      </c>
      <c r="H106" s="142">
        <v>45553.0</v>
      </c>
      <c r="I106" s="122">
        <v>0.6458333333333334</v>
      </c>
      <c r="J106" s="123">
        <v>7.07</v>
      </c>
      <c r="K106" s="125">
        <v>19.8</v>
      </c>
      <c r="L106" s="126">
        <f t="shared" si="5"/>
        <v>0.52</v>
      </c>
      <c r="M106" s="113" t="s">
        <v>12</v>
      </c>
      <c r="N106" s="117" t="s">
        <v>13</v>
      </c>
      <c r="O106" s="152" t="s">
        <v>222</v>
      </c>
      <c r="P106" s="155"/>
      <c r="Q106" s="15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30" t="s">
        <v>239</v>
      </c>
      <c r="B107" s="111">
        <v>45547.0</v>
      </c>
      <c r="C107" s="138">
        <v>0.4895833333333333</v>
      </c>
      <c r="D107" s="141">
        <v>45548.0</v>
      </c>
      <c r="E107" s="112">
        <v>0.65</v>
      </c>
      <c r="F107" s="113">
        <v>7.68</v>
      </c>
      <c r="G107" s="113">
        <v>23.2</v>
      </c>
      <c r="H107" s="141">
        <v>45553.0</v>
      </c>
      <c r="I107" s="112">
        <v>0.6479166666666667</v>
      </c>
      <c r="J107" s="113">
        <v>7.15</v>
      </c>
      <c r="K107" s="128">
        <v>20.5</v>
      </c>
      <c r="L107" s="129">
        <f t="shared" si="5"/>
        <v>0.53</v>
      </c>
      <c r="M107" s="113" t="s">
        <v>12</v>
      </c>
      <c r="N107" s="117" t="s">
        <v>13</v>
      </c>
      <c r="O107" s="152" t="s">
        <v>222</v>
      </c>
      <c r="P107" s="155"/>
      <c r="Q107" s="155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30" t="s">
        <v>240</v>
      </c>
      <c r="B108" s="111">
        <v>45547.0</v>
      </c>
      <c r="C108" s="138">
        <v>0.4895833333333333</v>
      </c>
      <c r="D108" s="141">
        <v>45548.0</v>
      </c>
      <c r="E108" s="112">
        <v>0.6527777777777778</v>
      </c>
      <c r="F108" s="113">
        <v>7.7</v>
      </c>
      <c r="G108" s="113">
        <v>23.2</v>
      </c>
      <c r="H108" s="141">
        <v>45553.0</v>
      </c>
      <c r="I108" s="143">
        <v>0.6493055555555556</v>
      </c>
      <c r="J108" s="144">
        <v>6.87</v>
      </c>
      <c r="K108" s="146">
        <v>20.7</v>
      </c>
      <c r="L108" s="129">
        <f t="shared" si="5"/>
        <v>0.83</v>
      </c>
      <c r="M108" s="113" t="s">
        <v>12</v>
      </c>
      <c r="N108" s="117" t="s">
        <v>13</v>
      </c>
      <c r="O108" s="152" t="s">
        <v>222</v>
      </c>
      <c r="P108" s="155"/>
      <c r="Q108" s="15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27.0" customHeight="1">
      <c r="A109" s="130" t="s">
        <v>135</v>
      </c>
      <c r="B109" s="109" t="s">
        <v>70</v>
      </c>
      <c r="C109" s="110" t="s">
        <v>70</v>
      </c>
      <c r="D109" s="141">
        <v>45551.0</v>
      </c>
      <c r="E109" s="112">
        <v>0.6520833333333333</v>
      </c>
      <c r="F109" s="113">
        <v>8.28</v>
      </c>
      <c r="G109" s="113">
        <v>24.9</v>
      </c>
      <c r="H109" s="157">
        <v>45556.0</v>
      </c>
      <c r="I109" s="138">
        <v>0.32916666666666666</v>
      </c>
      <c r="J109" s="114">
        <v>8.34</v>
      </c>
      <c r="K109" s="128">
        <v>25.1</v>
      </c>
      <c r="L109" s="110" t="s">
        <v>70</v>
      </c>
      <c r="M109" s="113" t="s">
        <v>12</v>
      </c>
      <c r="N109" s="117" t="s">
        <v>13</v>
      </c>
      <c r="O109" s="152" t="s">
        <v>222</v>
      </c>
      <c r="Q109" s="83"/>
      <c r="R109" s="83"/>
      <c r="S109" s="83"/>
      <c r="T109" s="83"/>
      <c r="U109" s="83"/>
      <c r="V109" s="83"/>
      <c r="W109" s="83"/>
      <c r="X109" s="83"/>
      <c r="Y109" s="83"/>
      <c r="Z109" s="83"/>
      <c r="AA109" s="83"/>
      <c r="AB109" s="83"/>
      <c r="AC109" s="83"/>
    </row>
    <row r="110">
      <c r="A110" s="130" t="s">
        <v>241</v>
      </c>
      <c r="B110" s="157">
        <v>45551.0</v>
      </c>
      <c r="C110" s="138">
        <v>0.2638888888888889</v>
      </c>
      <c r="D110" s="141">
        <v>45551.0</v>
      </c>
      <c r="E110" s="112">
        <v>0.6951388888888889</v>
      </c>
      <c r="F110" s="131">
        <v>7.81</v>
      </c>
      <c r="G110" s="130">
        <v>22.3</v>
      </c>
      <c r="H110" s="157">
        <v>45556.0</v>
      </c>
      <c r="I110" s="138">
        <v>0.33125</v>
      </c>
      <c r="J110" s="131">
        <v>7.78</v>
      </c>
      <c r="K110" s="131">
        <v>17.9</v>
      </c>
      <c r="L110" s="129">
        <f t="shared" ref="L110:L117" si="6">F110-J110</f>
        <v>0.03</v>
      </c>
      <c r="M110" s="113" t="s">
        <v>12</v>
      </c>
      <c r="N110" s="117" t="s">
        <v>13</v>
      </c>
      <c r="O110" s="152" t="s">
        <v>222</v>
      </c>
      <c r="P110" s="155"/>
      <c r="Q110" s="155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>
      <c r="A111" s="130" t="s">
        <v>242</v>
      </c>
      <c r="B111" s="157">
        <v>45551.0</v>
      </c>
      <c r="C111" s="138">
        <v>0.2638888888888889</v>
      </c>
      <c r="D111" s="141">
        <v>45551.0</v>
      </c>
      <c r="E111" s="112">
        <v>0.6972222222222222</v>
      </c>
      <c r="F111" s="131">
        <v>7.95</v>
      </c>
      <c r="G111" s="130">
        <v>21.7</v>
      </c>
      <c r="H111" s="157">
        <v>45556.0</v>
      </c>
      <c r="I111" s="138">
        <v>0.3326388888888889</v>
      </c>
      <c r="J111" s="131">
        <v>7.75</v>
      </c>
      <c r="K111" s="131">
        <v>17.0</v>
      </c>
      <c r="L111" s="129">
        <f t="shared" si="6"/>
        <v>0.2</v>
      </c>
      <c r="M111" s="113" t="s">
        <v>12</v>
      </c>
      <c r="N111" s="117" t="s">
        <v>13</v>
      </c>
      <c r="O111" s="152" t="s">
        <v>222</v>
      </c>
      <c r="P111" s="155"/>
      <c r="Q111" s="155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>
      <c r="A112" s="130" t="s">
        <v>243</v>
      </c>
      <c r="B112" s="157">
        <v>45551.0</v>
      </c>
      <c r="C112" s="138">
        <v>0.2708333333333333</v>
      </c>
      <c r="D112" s="141">
        <v>45551.0</v>
      </c>
      <c r="E112" s="112">
        <v>0.6986111111111111</v>
      </c>
      <c r="F112" s="131">
        <v>8.9</v>
      </c>
      <c r="G112" s="130">
        <v>20.6</v>
      </c>
      <c r="H112" s="157">
        <v>45556.0</v>
      </c>
      <c r="I112" s="138">
        <v>0.33402777777777776</v>
      </c>
      <c r="J112" s="131">
        <v>8.0</v>
      </c>
      <c r="K112" s="131">
        <v>19.1</v>
      </c>
      <c r="L112" s="129">
        <f t="shared" si="6"/>
        <v>0.9</v>
      </c>
      <c r="M112" s="113" t="s">
        <v>12</v>
      </c>
      <c r="N112" s="117" t="s">
        <v>13</v>
      </c>
      <c r="O112" s="152" t="s">
        <v>222</v>
      </c>
      <c r="P112" s="155"/>
      <c r="Q112" s="155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30" t="s">
        <v>244</v>
      </c>
      <c r="B113" s="157">
        <v>45551.0</v>
      </c>
      <c r="C113" s="138">
        <v>0.2708333333333333</v>
      </c>
      <c r="D113" s="141">
        <v>45551.0</v>
      </c>
      <c r="E113" s="112">
        <v>0.6993055555555555</v>
      </c>
      <c r="F113" s="113">
        <v>7.99</v>
      </c>
      <c r="G113" s="113">
        <v>21.2</v>
      </c>
      <c r="H113" s="157">
        <v>45556.0</v>
      </c>
      <c r="I113" s="138">
        <v>0.33541666666666664</v>
      </c>
      <c r="J113" s="113">
        <v>7.89</v>
      </c>
      <c r="K113" s="128">
        <v>19.4</v>
      </c>
      <c r="L113" s="129">
        <f t="shared" si="6"/>
        <v>0.1</v>
      </c>
      <c r="M113" s="113" t="s">
        <v>12</v>
      </c>
      <c r="N113" s="117" t="s">
        <v>13</v>
      </c>
      <c r="O113" s="152" t="s">
        <v>222</v>
      </c>
      <c r="P113" s="156"/>
      <c r="Q113" s="15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0" customHeight="1">
      <c r="A114" s="130" t="s">
        <v>245</v>
      </c>
      <c r="B114" s="157">
        <v>45551.0</v>
      </c>
      <c r="C114" s="138">
        <v>0.3854166666666667</v>
      </c>
      <c r="D114" s="141">
        <v>45551.0</v>
      </c>
      <c r="E114" s="112">
        <v>0.7006944444444444</v>
      </c>
      <c r="F114" s="113">
        <v>8.66</v>
      </c>
      <c r="G114" s="113">
        <v>20.9</v>
      </c>
      <c r="H114" s="157">
        <v>45556.0</v>
      </c>
      <c r="I114" s="138">
        <v>0.3375</v>
      </c>
      <c r="J114" s="114">
        <v>8.4</v>
      </c>
      <c r="K114" s="128">
        <v>17.6</v>
      </c>
      <c r="L114" s="129">
        <f t="shared" si="6"/>
        <v>0.26</v>
      </c>
      <c r="M114" s="113" t="s">
        <v>12</v>
      </c>
      <c r="N114" s="117" t="s">
        <v>13</v>
      </c>
      <c r="O114" s="152" t="s">
        <v>222</v>
      </c>
      <c r="P114" s="155"/>
      <c r="Q114" s="15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0" customHeight="1">
      <c r="A115" s="130" t="s">
        <v>246</v>
      </c>
      <c r="B115" s="157">
        <v>45551.0</v>
      </c>
      <c r="C115" s="138">
        <v>0.3854166666666667</v>
      </c>
      <c r="D115" s="141">
        <v>45551.0</v>
      </c>
      <c r="E115" s="112">
        <v>0.7020833333333333</v>
      </c>
      <c r="F115" s="113">
        <v>8.24</v>
      </c>
      <c r="G115" s="113">
        <v>20.9</v>
      </c>
      <c r="H115" s="157">
        <v>45556.0</v>
      </c>
      <c r="I115" s="138">
        <v>0.3388888888888889</v>
      </c>
      <c r="J115" s="113">
        <v>8.12</v>
      </c>
      <c r="K115" s="113">
        <v>18.5</v>
      </c>
      <c r="L115" s="129">
        <f t="shared" si="6"/>
        <v>0.12</v>
      </c>
      <c r="M115" s="113" t="s">
        <v>12</v>
      </c>
      <c r="N115" s="117" t="s">
        <v>13</v>
      </c>
      <c r="O115" s="152" t="s">
        <v>222</v>
      </c>
      <c r="P115" s="155"/>
      <c r="Q115" s="15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30" t="s">
        <v>247</v>
      </c>
      <c r="B116" s="157">
        <v>45551.0</v>
      </c>
      <c r="C116" s="138">
        <v>0.39444444444444443</v>
      </c>
      <c r="D116" s="141">
        <v>45551.0</v>
      </c>
      <c r="E116" s="158">
        <v>0.7027777777777777</v>
      </c>
      <c r="F116" s="113">
        <v>8.36</v>
      </c>
      <c r="G116" s="113">
        <v>20.1</v>
      </c>
      <c r="H116" s="157">
        <v>45556.0</v>
      </c>
      <c r="I116" s="138">
        <v>0.3402777777777778</v>
      </c>
      <c r="J116" s="113">
        <v>7.95</v>
      </c>
      <c r="K116" s="128">
        <v>19.5</v>
      </c>
      <c r="L116" s="129">
        <f t="shared" si="6"/>
        <v>0.41</v>
      </c>
      <c r="M116" s="113" t="s">
        <v>12</v>
      </c>
      <c r="N116" s="117" t="s">
        <v>13</v>
      </c>
      <c r="O116" s="152" t="s">
        <v>222</v>
      </c>
      <c r="P116" s="155"/>
      <c r="Q116" s="15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30" t="s">
        <v>248</v>
      </c>
      <c r="B117" s="157">
        <v>45551.0</v>
      </c>
      <c r="C117" s="138">
        <v>0.39444444444444443</v>
      </c>
      <c r="D117" s="141">
        <v>45551.0</v>
      </c>
      <c r="E117" s="112">
        <v>0.7041666666666667</v>
      </c>
      <c r="F117" s="113">
        <v>8.36</v>
      </c>
      <c r="G117" s="113">
        <v>20.4</v>
      </c>
      <c r="H117" s="157">
        <v>45556.0</v>
      </c>
      <c r="I117" s="138">
        <v>0.3416666666666667</v>
      </c>
      <c r="J117" s="113">
        <v>7.93</v>
      </c>
      <c r="K117" s="128">
        <v>20.3</v>
      </c>
      <c r="L117" s="159">
        <f t="shared" si="6"/>
        <v>0.43</v>
      </c>
      <c r="M117" s="113" t="s">
        <v>12</v>
      </c>
      <c r="N117" s="160" t="s">
        <v>13</v>
      </c>
      <c r="O117" s="161" t="s">
        <v>222</v>
      </c>
      <c r="P117" s="155"/>
      <c r="Q117" s="15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62"/>
      <c r="B118" s="163"/>
      <c r="C118" s="164"/>
      <c r="D118" s="163"/>
      <c r="E118" s="163"/>
      <c r="F118" s="163"/>
      <c r="G118" s="163"/>
      <c r="H118" s="163"/>
      <c r="I118" s="164"/>
      <c r="J118" s="163"/>
      <c r="K118" s="165"/>
      <c r="L118" s="163"/>
      <c r="M118" s="163"/>
      <c r="N118" s="166"/>
      <c r="O118" s="167"/>
      <c r="P118" s="168"/>
    </row>
    <row r="119" ht="15.75" customHeight="1">
      <c r="A119" s="162"/>
      <c r="B119" s="163"/>
      <c r="C119" s="164"/>
      <c r="D119" s="163"/>
      <c r="E119" s="163"/>
      <c r="F119" s="163"/>
      <c r="G119" s="163"/>
      <c r="H119" s="163"/>
      <c r="I119" s="164"/>
      <c r="J119" s="163"/>
      <c r="K119" s="165"/>
      <c r="L119" s="163"/>
      <c r="M119" s="163"/>
      <c r="N119" s="169"/>
      <c r="O119" s="167"/>
      <c r="P119" s="168"/>
    </row>
    <row r="120" ht="15.75" customHeight="1">
      <c r="A120" s="162"/>
      <c r="B120" s="163"/>
      <c r="C120" s="164"/>
      <c r="D120" s="163"/>
      <c r="E120" s="163"/>
      <c r="F120" s="163"/>
      <c r="G120" s="163"/>
      <c r="H120" s="163"/>
      <c r="I120" s="164"/>
      <c r="J120" s="163"/>
      <c r="K120" s="165"/>
      <c r="L120" s="163"/>
      <c r="M120" s="163"/>
      <c r="N120" s="169"/>
      <c r="O120" s="167"/>
      <c r="P120" s="170"/>
    </row>
    <row r="121" ht="15.75" customHeight="1">
      <c r="A121" s="162"/>
      <c r="B121" s="163"/>
      <c r="C121" s="164"/>
      <c r="D121" s="163"/>
      <c r="E121" s="163"/>
      <c r="F121" s="163"/>
      <c r="G121" s="163"/>
      <c r="H121" s="163"/>
      <c r="I121" s="164"/>
      <c r="J121" s="163"/>
      <c r="K121" s="165"/>
      <c r="L121" s="163"/>
      <c r="M121" s="163"/>
      <c r="N121" s="169"/>
      <c r="O121" s="167"/>
      <c r="P121" s="171"/>
    </row>
    <row r="122" ht="15.75" customHeight="1">
      <c r="A122" s="162"/>
      <c r="B122" s="163"/>
      <c r="C122" s="164"/>
      <c r="D122" s="163"/>
      <c r="E122" s="163"/>
      <c r="F122" s="163"/>
      <c r="G122" s="163"/>
      <c r="H122" s="163"/>
      <c r="I122" s="164"/>
      <c r="J122" s="163"/>
      <c r="K122" s="165"/>
      <c r="L122" s="163"/>
      <c r="M122" s="163"/>
      <c r="N122" s="169"/>
      <c r="O122" s="167"/>
      <c r="P122" s="168"/>
    </row>
    <row r="123" ht="15.75" customHeight="1">
      <c r="A123" s="162"/>
      <c r="B123" s="163"/>
      <c r="C123" s="164"/>
      <c r="D123" s="163"/>
      <c r="E123" s="163"/>
      <c r="F123" s="163"/>
      <c r="G123" s="163"/>
      <c r="H123" s="163"/>
      <c r="I123" s="164"/>
      <c r="J123" s="163"/>
      <c r="K123" s="165"/>
      <c r="L123" s="163"/>
      <c r="M123" s="163"/>
      <c r="N123" s="169"/>
      <c r="O123" s="172"/>
      <c r="P123" s="168"/>
    </row>
    <row r="124" ht="15.75" customHeight="1">
      <c r="A124" s="162"/>
      <c r="B124" s="163"/>
      <c r="C124" s="164"/>
      <c r="D124" s="163"/>
      <c r="E124" s="163"/>
      <c r="F124" s="163"/>
      <c r="G124" s="163"/>
      <c r="H124" s="163"/>
      <c r="I124" s="164"/>
      <c r="J124" s="163"/>
      <c r="K124" s="165"/>
      <c r="L124" s="163"/>
      <c r="M124" s="163"/>
      <c r="N124" s="169"/>
      <c r="O124" s="173"/>
      <c r="P124" s="168"/>
    </row>
    <row r="125" ht="15.75" customHeight="1">
      <c r="A125" s="162"/>
      <c r="B125" s="163"/>
      <c r="C125" s="164"/>
      <c r="D125" s="163"/>
      <c r="E125" s="163"/>
      <c r="F125" s="163"/>
      <c r="G125" s="163"/>
      <c r="H125" s="163"/>
      <c r="I125" s="164"/>
      <c r="J125" s="163"/>
      <c r="K125" s="165"/>
      <c r="L125" s="163"/>
      <c r="M125" s="163"/>
      <c r="N125" s="169"/>
      <c r="O125" s="173"/>
      <c r="P125" s="168"/>
    </row>
    <row r="126" ht="15.75" customHeight="1">
      <c r="A126" s="162"/>
      <c r="B126" s="163"/>
      <c r="C126" s="164"/>
      <c r="D126" s="163"/>
      <c r="E126" s="163"/>
      <c r="F126" s="163"/>
      <c r="G126" s="163"/>
      <c r="H126" s="163"/>
      <c r="I126" s="164"/>
      <c r="J126" s="163"/>
      <c r="K126" s="165"/>
      <c r="L126" s="163"/>
      <c r="M126" s="163"/>
      <c r="N126" s="169"/>
      <c r="O126" s="173"/>
      <c r="P126" s="168"/>
    </row>
    <row r="127" ht="15.75" customHeight="1">
      <c r="A127" s="162"/>
      <c r="B127" s="163"/>
      <c r="C127" s="164"/>
      <c r="D127" s="163"/>
      <c r="E127" s="163"/>
      <c r="F127" s="163"/>
      <c r="G127" s="163"/>
      <c r="H127" s="163"/>
      <c r="I127" s="164"/>
      <c r="J127" s="163"/>
      <c r="K127" s="165"/>
      <c r="L127" s="163"/>
      <c r="M127" s="163"/>
      <c r="N127" s="169"/>
      <c r="O127" s="173"/>
      <c r="P127" s="168"/>
    </row>
    <row r="128" ht="15.75" customHeight="1">
      <c r="A128" s="162"/>
      <c r="B128" s="163"/>
      <c r="C128" s="164"/>
      <c r="D128" s="163"/>
      <c r="E128" s="163"/>
      <c r="F128" s="163"/>
      <c r="G128" s="163"/>
      <c r="H128" s="163"/>
      <c r="I128" s="164"/>
      <c r="J128" s="163"/>
      <c r="K128" s="165"/>
      <c r="L128" s="163"/>
      <c r="M128" s="163"/>
      <c r="N128" s="169"/>
      <c r="O128" s="173"/>
      <c r="P128" s="168"/>
    </row>
    <row r="129" ht="15.75" customHeight="1">
      <c r="A129" s="162"/>
      <c r="B129" s="163"/>
      <c r="C129" s="164"/>
      <c r="D129" s="163"/>
      <c r="E129" s="163"/>
      <c r="F129" s="163"/>
      <c r="G129" s="163"/>
      <c r="H129" s="163"/>
      <c r="I129" s="164"/>
      <c r="J129" s="163"/>
      <c r="K129" s="165"/>
      <c r="L129" s="163"/>
      <c r="M129" s="163"/>
      <c r="N129" s="169"/>
      <c r="O129" s="173"/>
      <c r="P129" s="168"/>
    </row>
    <row r="130" ht="15.75" customHeight="1">
      <c r="A130" s="162"/>
      <c r="B130" s="163"/>
      <c r="C130" s="164"/>
      <c r="D130" s="163"/>
      <c r="E130" s="163"/>
      <c r="F130" s="163"/>
      <c r="G130" s="163"/>
      <c r="H130" s="163"/>
      <c r="I130" s="164"/>
      <c r="J130" s="163"/>
      <c r="K130" s="165"/>
      <c r="L130" s="163"/>
      <c r="M130" s="163"/>
      <c r="N130" s="169"/>
      <c r="O130" s="173"/>
      <c r="P130" s="168"/>
    </row>
    <row r="131" ht="15.75" customHeight="1">
      <c r="A131" s="162"/>
      <c r="B131" s="163"/>
      <c r="C131" s="164"/>
      <c r="D131" s="163"/>
      <c r="E131" s="163"/>
      <c r="F131" s="163"/>
      <c r="G131" s="163"/>
      <c r="H131" s="163"/>
      <c r="I131" s="164"/>
      <c r="J131" s="163"/>
      <c r="K131" s="165"/>
      <c r="L131" s="163"/>
      <c r="M131" s="163"/>
      <c r="N131" s="169"/>
      <c r="O131" s="173"/>
      <c r="P131" s="168"/>
    </row>
    <row r="132" ht="15.75" customHeight="1">
      <c r="A132" s="162"/>
      <c r="B132" s="163"/>
      <c r="C132" s="164"/>
      <c r="D132" s="163"/>
      <c r="E132" s="163"/>
      <c r="F132" s="163"/>
      <c r="G132" s="163"/>
      <c r="H132" s="163"/>
      <c r="I132" s="164"/>
      <c r="J132" s="163"/>
      <c r="K132" s="165"/>
      <c r="L132" s="163"/>
      <c r="M132" s="163"/>
      <c r="N132" s="169"/>
      <c r="O132" s="173"/>
      <c r="P132" s="168"/>
    </row>
    <row r="133" ht="15.75" customHeight="1">
      <c r="A133" s="162"/>
      <c r="B133" s="163"/>
      <c r="C133" s="164"/>
      <c r="D133" s="163"/>
      <c r="E133" s="163"/>
      <c r="F133" s="163"/>
      <c r="G133" s="163"/>
      <c r="H133" s="163"/>
      <c r="I133" s="164"/>
      <c r="J133" s="163"/>
      <c r="K133" s="165"/>
      <c r="L133" s="163"/>
      <c r="M133" s="163"/>
      <c r="N133" s="169"/>
      <c r="O133" s="173"/>
      <c r="P133" s="168"/>
    </row>
    <row r="134" ht="15.75" customHeight="1">
      <c r="A134" s="162"/>
      <c r="B134" s="163"/>
      <c r="C134" s="164"/>
      <c r="D134" s="163"/>
      <c r="E134" s="163"/>
      <c r="F134" s="163"/>
      <c r="G134" s="163"/>
      <c r="H134" s="163"/>
      <c r="I134" s="164"/>
      <c r="J134" s="163"/>
      <c r="K134" s="165"/>
      <c r="L134" s="163"/>
      <c r="M134" s="163"/>
      <c r="N134" s="169"/>
      <c r="O134" s="173"/>
      <c r="P134" s="168"/>
    </row>
    <row r="135" ht="15.75" customHeight="1">
      <c r="A135" s="162"/>
      <c r="B135" s="163"/>
      <c r="C135" s="164"/>
      <c r="D135" s="163"/>
      <c r="E135" s="163"/>
      <c r="F135" s="163"/>
      <c r="G135" s="163"/>
      <c r="H135" s="163"/>
      <c r="I135" s="164"/>
      <c r="J135" s="163"/>
      <c r="K135" s="165"/>
      <c r="L135" s="163"/>
      <c r="M135" s="163"/>
      <c r="N135" s="169"/>
      <c r="O135" s="173"/>
      <c r="P135" s="168"/>
    </row>
    <row r="136" ht="15.75" customHeight="1">
      <c r="A136" s="162"/>
      <c r="B136" s="163"/>
      <c r="C136" s="164"/>
      <c r="D136" s="163"/>
      <c r="E136" s="163"/>
      <c r="F136" s="163"/>
      <c r="G136" s="163"/>
      <c r="H136" s="163"/>
      <c r="I136" s="164"/>
      <c r="J136" s="163"/>
      <c r="K136" s="165"/>
      <c r="L136" s="163"/>
      <c r="M136" s="163"/>
      <c r="N136" s="169"/>
      <c r="O136" s="173"/>
      <c r="P136" s="168"/>
    </row>
    <row r="137" ht="15.75" customHeight="1">
      <c r="A137" s="162"/>
      <c r="B137" s="163"/>
      <c r="C137" s="164"/>
      <c r="D137" s="163"/>
      <c r="E137" s="163"/>
      <c r="F137" s="163"/>
      <c r="G137" s="163"/>
      <c r="H137" s="163"/>
      <c r="I137" s="164"/>
      <c r="J137" s="163"/>
      <c r="K137" s="165"/>
      <c r="L137" s="163"/>
      <c r="M137" s="163"/>
      <c r="N137" s="169"/>
      <c r="O137" s="173"/>
      <c r="P137" s="168"/>
    </row>
    <row r="138" ht="15.75" customHeight="1">
      <c r="A138" s="162"/>
      <c r="B138" s="163"/>
      <c r="C138" s="164"/>
      <c r="D138" s="163"/>
      <c r="E138" s="163"/>
      <c r="F138" s="163"/>
      <c r="G138" s="163"/>
      <c r="H138" s="163"/>
      <c r="I138" s="164"/>
      <c r="J138" s="163"/>
      <c r="K138" s="165"/>
      <c r="L138" s="163"/>
      <c r="M138" s="163"/>
      <c r="N138" s="169"/>
      <c r="O138" s="173"/>
      <c r="P138" s="168"/>
    </row>
    <row r="139" ht="15.75" customHeight="1">
      <c r="A139" s="162"/>
      <c r="B139" s="163"/>
      <c r="C139" s="164"/>
      <c r="D139" s="163"/>
      <c r="E139" s="163"/>
      <c r="F139" s="163"/>
      <c r="G139" s="163"/>
      <c r="H139" s="163"/>
      <c r="I139" s="164"/>
      <c r="J139" s="163"/>
      <c r="K139" s="165"/>
      <c r="L139" s="163"/>
      <c r="M139" s="163"/>
      <c r="N139" s="169"/>
      <c r="O139" s="173"/>
      <c r="P139" s="168"/>
    </row>
    <row r="140" ht="15.75" customHeight="1">
      <c r="A140" s="162"/>
      <c r="B140" s="163"/>
      <c r="C140" s="164"/>
      <c r="D140" s="163"/>
      <c r="E140" s="163"/>
      <c r="F140" s="163"/>
      <c r="G140" s="163"/>
      <c r="H140" s="163"/>
      <c r="I140" s="164"/>
      <c r="J140" s="163"/>
      <c r="K140" s="165"/>
      <c r="L140" s="163"/>
      <c r="M140" s="163"/>
      <c r="N140" s="169"/>
      <c r="O140" s="173"/>
      <c r="P140" s="168"/>
    </row>
    <row r="141" ht="15.75" customHeight="1">
      <c r="A141" s="162"/>
      <c r="B141" s="163"/>
      <c r="C141" s="164"/>
      <c r="D141" s="163"/>
      <c r="E141" s="163"/>
      <c r="F141" s="163"/>
      <c r="G141" s="163"/>
      <c r="H141" s="163"/>
      <c r="I141" s="164"/>
      <c r="J141" s="163"/>
      <c r="K141" s="165"/>
      <c r="L141" s="163"/>
      <c r="M141" s="163"/>
      <c r="N141" s="169"/>
      <c r="O141" s="173"/>
      <c r="P141" s="168"/>
    </row>
    <row r="142" ht="15.75" customHeight="1">
      <c r="A142" s="162"/>
      <c r="B142" s="163"/>
      <c r="C142" s="164"/>
      <c r="D142" s="163"/>
      <c r="E142" s="163"/>
      <c r="F142" s="163"/>
      <c r="G142" s="163"/>
      <c r="H142" s="163"/>
      <c r="I142" s="164"/>
      <c r="J142" s="163"/>
      <c r="K142" s="165"/>
      <c r="L142" s="163"/>
      <c r="M142" s="163"/>
      <c r="N142" s="169"/>
      <c r="O142" s="173"/>
      <c r="P142" s="168"/>
    </row>
    <row r="143" ht="15.75" customHeight="1">
      <c r="A143" s="162"/>
      <c r="B143" s="163"/>
      <c r="C143" s="164"/>
      <c r="D143" s="163"/>
      <c r="E143" s="163"/>
      <c r="F143" s="163"/>
      <c r="G143" s="163"/>
      <c r="H143" s="163"/>
      <c r="I143" s="164"/>
      <c r="J143" s="163"/>
      <c r="K143" s="165"/>
      <c r="L143" s="163"/>
      <c r="M143" s="163"/>
      <c r="N143" s="169"/>
      <c r="O143" s="173"/>
      <c r="P143" s="168"/>
    </row>
    <row r="144" ht="15.75" customHeight="1">
      <c r="A144" s="162"/>
      <c r="B144" s="163"/>
      <c r="C144" s="164"/>
      <c r="D144" s="163"/>
      <c r="E144" s="163"/>
      <c r="F144" s="163"/>
      <c r="G144" s="163"/>
      <c r="H144" s="163"/>
      <c r="I144" s="164"/>
      <c r="J144" s="163"/>
      <c r="K144" s="165"/>
      <c r="L144" s="163"/>
      <c r="M144" s="163"/>
      <c r="N144" s="169"/>
      <c r="O144" s="173"/>
      <c r="P144" s="168"/>
    </row>
    <row r="145" ht="15.75" customHeight="1">
      <c r="A145" s="162"/>
      <c r="B145" s="163"/>
      <c r="C145" s="164"/>
      <c r="D145" s="163"/>
      <c r="E145" s="163"/>
      <c r="F145" s="163"/>
      <c r="G145" s="163"/>
      <c r="H145" s="163"/>
      <c r="I145" s="164"/>
      <c r="J145" s="163"/>
      <c r="K145" s="165"/>
      <c r="L145" s="163"/>
      <c r="M145" s="163"/>
      <c r="N145" s="169"/>
      <c r="O145" s="173"/>
      <c r="P145" s="168"/>
    </row>
    <row r="146" ht="15.75" customHeight="1">
      <c r="A146" s="162"/>
      <c r="B146" s="163"/>
      <c r="C146" s="164"/>
      <c r="D146" s="163"/>
      <c r="E146" s="163"/>
      <c r="F146" s="163"/>
      <c r="G146" s="163"/>
      <c r="H146" s="163"/>
      <c r="I146" s="164"/>
      <c r="J146" s="163"/>
      <c r="K146" s="165"/>
      <c r="L146" s="163"/>
      <c r="M146" s="163"/>
      <c r="N146" s="169"/>
      <c r="O146" s="173"/>
      <c r="P146" s="168"/>
    </row>
    <row r="147" ht="15.75" customHeight="1">
      <c r="A147" s="162"/>
      <c r="B147" s="163"/>
      <c r="C147" s="164"/>
      <c r="D147" s="163"/>
      <c r="E147" s="163"/>
      <c r="F147" s="163"/>
      <c r="G147" s="163"/>
      <c r="H147" s="163"/>
      <c r="I147" s="164"/>
      <c r="J147" s="163"/>
      <c r="K147" s="165"/>
      <c r="L147" s="163"/>
      <c r="M147" s="163"/>
      <c r="N147" s="169"/>
      <c r="O147" s="173"/>
      <c r="P147" s="168"/>
    </row>
    <row r="148" ht="15.75" customHeight="1">
      <c r="A148" s="162"/>
      <c r="B148" s="163"/>
      <c r="C148" s="164"/>
      <c r="D148" s="163"/>
      <c r="E148" s="163"/>
      <c r="F148" s="163"/>
      <c r="G148" s="163"/>
      <c r="H148" s="163"/>
      <c r="I148" s="164"/>
      <c r="J148" s="163"/>
      <c r="K148" s="165"/>
      <c r="L148" s="163"/>
      <c r="M148" s="163"/>
      <c r="N148" s="169"/>
      <c r="O148" s="173"/>
      <c r="P148" s="168"/>
    </row>
    <row r="149" ht="15.75" customHeight="1">
      <c r="A149" s="162"/>
      <c r="B149" s="163"/>
      <c r="C149" s="164"/>
      <c r="D149" s="163"/>
      <c r="E149" s="163"/>
      <c r="F149" s="163"/>
      <c r="G149" s="163"/>
      <c r="H149" s="163"/>
      <c r="I149" s="164"/>
      <c r="J149" s="163"/>
      <c r="K149" s="165"/>
      <c r="L149" s="163"/>
      <c r="M149" s="163"/>
      <c r="N149" s="169"/>
      <c r="O149" s="173"/>
      <c r="P149" s="168"/>
    </row>
    <row r="150" ht="15.75" customHeight="1">
      <c r="A150" s="162"/>
      <c r="B150" s="163"/>
      <c r="C150" s="164"/>
      <c r="D150" s="163"/>
      <c r="E150" s="163"/>
      <c r="F150" s="163"/>
      <c r="G150" s="163"/>
      <c r="H150" s="163"/>
      <c r="I150" s="164"/>
      <c r="J150" s="163"/>
      <c r="K150" s="165"/>
      <c r="L150" s="163"/>
      <c r="M150" s="163"/>
      <c r="N150" s="169"/>
      <c r="O150" s="173"/>
      <c r="P150" s="168"/>
    </row>
    <row r="151" ht="15.75" customHeight="1">
      <c r="A151" s="162"/>
      <c r="B151" s="163"/>
      <c r="C151" s="164"/>
      <c r="D151" s="163"/>
      <c r="E151" s="163"/>
      <c r="F151" s="163"/>
      <c r="G151" s="163"/>
      <c r="H151" s="163"/>
      <c r="I151" s="164"/>
      <c r="J151" s="163"/>
      <c r="K151" s="165"/>
      <c r="L151" s="163"/>
      <c r="M151" s="163"/>
      <c r="N151" s="169"/>
      <c r="O151" s="173"/>
      <c r="P151" s="168"/>
    </row>
    <row r="152" ht="15.75" customHeight="1">
      <c r="A152" s="162"/>
      <c r="B152" s="163"/>
      <c r="C152" s="164"/>
      <c r="D152" s="163"/>
      <c r="E152" s="163"/>
      <c r="F152" s="163"/>
      <c r="G152" s="163"/>
      <c r="H152" s="163"/>
      <c r="I152" s="164"/>
      <c r="J152" s="163"/>
      <c r="K152" s="165"/>
      <c r="L152" s="163"/>
      <c r="M152" s="163"/>
      <c r="N152" s="169"/>
      <c r="O152" s="173"/>
      <c r="P152" s="168"/>
    </row>
    <row r="153" ht="15.75" customHeight="1">
      <c r="A153" s="162"/>
      <c r="B153" s="163"/>
      <c r="C153" s="164"/>
      <c r="D153" s="163"/>
      <c r="E153" s="163"/>
      <c r="F153" s="163"/>
      <c r="G153" s="163"/>
      <c r="H153" s="163"/>
      <c r="I153" s="164"/>
      <c r="J153" s="163"/>
      <c r="K153" s="165"/>
      <c r="L153" s="163"/>
      <c r="M153" s="163"/>
      <c r="N153" s="169"/>
      <c r="O153" s="173"/>
      <c r="P153" s="168"/>
    </row>
    <row r="154" ht="15.75" customHeight="1">
      <c r="A154" s="162"/>
      <c r="B154" s="163"/>
      <c r="C154" s="164"/>
      <c r="D154" s="163"/>
      <c r="E154" s="163"/>
      <c r="F154" s="163"/>
      <c r="G154" s="163"/>
      <c r="H154" s="163"/>
      <c r="I154" s="164"/>
      <c r="J154" s="163"/>
      <c r="K154" s="165"/>
      <c r="L154" s="163"/>
      <c r="M154" s="163"/>
      <c r="N154" s="169"/>
      <c r="O154" s="173"/>
      <c r="P154" s="168"/>
    </row>
    <row r="155" ht="15.75" customHeight="1">
      <c r="A155" s="162"/>
      <c r="B155" s="163"/>
      <c r="C155" s="164"/>
      <c r="D155" s="163"/>
      <c r="E155" s="163"/>
      <c r="F155" s="163"/>
      <c r="G155" s="163"/>
      <c r="H155" s="163"/>
      <c r="I155" s="164"/>
      <c r="J155" s="163"/>
      <c r="K155" s="165"/>
      <c r="L155" s="163"/>
      <c r="M155" s="163"/>
      <c r="N155" s="169"/>
      <c r="O155" s="173"/>
      <c r="P155" s="168"/>
    </row>
    <row r="156" ht="15.75" customHeight="1">
      <c r="A156" s="162"/>
      <c r="B156" s="163"/>
      <c r="C156" s="164"/>
      <c r="D156" s="163"/>
      <c r="E156" s="163"/>
      <c r="F156" s="163"/>
      <c r="G156" s="163"/>
      <c r="H156" s="163"/>
      <c r="I156" s="164"/>
      <c r="J156" s="163"/>
      <c r="K156" s="165"/>
      <c r="L156" s="163"/>
      <c r="M156" s="163"/>
      <c r="N156" s="169"/>
      <c r="O156" s="173"/>
      <c r="P156" s="168"/>
    </row>
    <row r="157" ht="15.75" customHeight="1">
      <c r="A157" s="162"/>
      <c r="B157" s="163"/>
      <c r="C157" s="164"/>
      <c r="D157" s="163"/>
      <c r="E157" s="163"/>
      <c r="F157" s="163"/>
      <c r="G157" s="163"/>
      <c r="H157" s="163"/>
      <c r="I157" s="164"/>
      <c r="J157" s="163"/>
      <c r="K157" s="165"/>
      <c r="L157" s="163"/>
      <c r="M157" s="163"/>
      <c r="N157" s="169"/>
      <c r="O157" s="173"/>
      <c r="P157" s="168"/>
    </row>
    <row r="158" ht="15.75" customHeight="1">
      <c r="A158" s="162"/>
      <c r="B158" s="163"/>
      <c r="C158" s="164"/>
      <c r="D158" s="163"/>
      <c r="E158" s="163"/>
      <c r="F158" s="163"/>
      <c r="G158" s="163"/>
      <c r="H158" s="163"/>
      <c r="I158" s="164"/>
      <c r="J158" s="163"/>
      <c r="K158" s="165"/>
      <c r="L158" s="163"/>
      <c r="M158" s="163"/>
      <c r="N158" s="169"/>
      <c r="O158" s="173"/>
      <c r="P158" s="168"/>
    </row>
    <row r="159" ht="15.75" customHeight="1">
      <c r="A159" s="162"/>
      <c r="B159" s="163"/>
      <c r="C159" s="164"/>
      <c r="D159" s="163"/>
      <c r="E159" s="163"/>
      <c r="F159" s="163"/>
      <c r="G159" s="163"/>
      <c r="H159" s="163"/>
      <c r="I159" s="164"/>
      <c r="J159" s="163"/>
      <c r="K159" s="165"/>
      <c r="L159" s="163"/>
      <c r="M159" s="163"/>
      <c r="N159" s="169"/>
      <c r="O159" s="173"/>
      <c r="P159" s="168"/>
    </row>
    <row r="160" ht="15.75" customHeight="1">
      <c r="A160" s="162"/>
      <c r="B160" s="163"/>
      <c r="C160" s="164"/>
      <c r="D160" s="163"/>
      <c r="E160" s="163"/>
      <c r="F160" s="163"/>
      <c r="G160" s="163"/>
      <c r="H160" s="163"/>
      <c r="I160" s="164"/>
      <c r="J160" s="163"/>
      <c r="K160" s="165"/>
      <c r="L160" s="163"/>
      <c r="M160" s="163"/>
      <c r="N160" s="169"/>
      <c r="O160" s="173"/>
      <c r="P160" s="168"/>
    </row>
    <row r="161" ht="15.75" customHeight="1">
      <c r="A161" s="162"/>
      <c r="B161" s="163"/>
      <c r="C161" s="164"/>
      <c r="D161" s="163"/>
      <c r="E161" s="163"/>
      <c r="F161" s="163"/>
      <c r="G161" s="163"/>
      <c r="H161" s="163"/>
      <c r="I161" s="164"/>
      <c r="J161" s="163"/>
      <c r="K161" s="165"/>
      <c r="L161" s="163"/>
      <c r="M161" s="163"/>
      <c r="N161" s="169"/>
      <c r="O161" s="173"/>
      <c r="P161" s="168"/>
    </row>
    <row r="162" ht="15.75" customHeight="1">
      <c r="A162" s="162"/>
      <c r="B162" s="163"/>
      <c r="C162" s="164"/>
      <c r="D162" s="163"/>
      <c r="E162" s="163"/>
      <c r="F162" s="163"/>
      <c r="G162" s="163"/>
      <c r="H162" s="163"/>
      <c r="I162" s="164"/>
      <c r="J162" s="163"/>
      <c r="K162" s="165"/>
      <c r="L162" s="163"/>
      <c r="M162" s="163"/>
      <c r="N162" s="169"/>
      <c r="O162" s="173"/>
      <c r="P162" s="168"/>
    </row>
    <row r="163" ht="15.75" customHeight="1">
      <c r="A163" s="162"/>
      <c r="B163" s="163"/>
      <c r="C163" s="164"/>
      <c r="D163" s="163"/>
      <c r="E163" s="163"/>
      <c r="F163" s="163"/>
      <c r="G163" s="163"/>
      <c r="H163" s="163"/>
      <c r="I163" s="164"/>
      <c r="J163" s="163"/>
      <c r="K163" s="165"/>
      <c r="L163" s="163"/>
      <c r="M163" s="163"/>
      <c r="N163" s="169"/>
      <c r="O163" s="173"/>
      <c r="P163" s="168"/>
    </row>
    <row r="164" ht="15.75" customHeight="1">
      <c r="A164" s="162"/>
      <c r="B164" s="174"/>
      <c r="C164" s="175"/>
      <c r="D164" s="176"/>
      <c r="E164" s="175"/>
      <c r="F164" s="177"/>
      <c r="G164" s="177"/>
      <c r="H164" s="176"/>
      <c r="I164" s="175"/>
      <c r="J164" s="163"/>
      <c r="K164" s="165"/>
      <c r="L164" s="163"/>
      <c r="M164" s="163"/>
      <c r="N164" s="169"/>
      <c r="O164" s="173"/>
      <c r="P164" s="168"/>
    </row>
    <row r="165" ht="15.75" customHeight="1">
      <c r="A165" s="162"/>
      <c r="B165" s="174"/>
      <c r="C165" s="175"/>
      <c r="D165" s="176"/>
      <c r="E165" s="175"/>
      <c r="F165" s="177"/>
      <c r="G165" s="177"/>
      <c r="H165" s="176"/>
      <c r="I165" s="175"/>
      <c r="J165" s="163"/>
      <c r="K165" s="165"/>
      <c r="L165" s="163"/>
      <c r="M165" s="163"/>
      <c r="N165" s="169"/>
      <c r="O165" s="173"/>
      <c r="P165" s="168"/>
    </row>
    <row r="166" ht="15.75" customHeight="1">
      <c r="A166" s="162"/>
      <c r="B166" s="174"/>
      <c r="C166" s="175"/>
      <c r="D166" s="176"/>
      <c r="E166" s="175"/>
      <c r="F166" s="177"/>
      <c r="G166" s="177"/>
      <c r="H166" s="176"/>
      <c r="I166" s="175"/>
      <c r="J166" s="163"/>
      <c r="K166" s="165"/>
      <c r="L166" s="163"/>
      <c r="M166" s="163"/>
      <c r="N166" s="169"/>
      <c r="O166" s="173"/>
      <c r="P166" s="168"/>
    </row>
    <row r="167" ht="15.75" customHeight="1">
      <c r="A167" s="162"/>
      <c r="B167" s="174"/>
      <c r="C167" s="175"/>
      <c r="D167" s="176"/>
      <c r="E167" s="175"/>
      <c r="F167" s="177"/>
      <c r="G167" s="177"/>
      <c r="H167" s="176"/>
      <c r="I167" s="175"/>
      <c r="J167" s="163"/>
      <c r="K167" s="165"/>
      <c r="L167" s="163"/>
      <c r="M167" s="163"/>
      <c r="N167" s="169"/>
      <c r="O167" s="173"/>
      <c r="P167" s="168"/>
    </row>
    <row r="168" ht="15.75" customHeight="1">
      <c r="A168" s="162"/>
      <c r="B168" s="174"/>
      <c r="C168" s="175"/>
      <c r="D168" s="176"/>
      <c r="E168" s="175"/>
      <c r="F168" s="177"/>
      <c r="G168" s="177"/>
      <c r="H168" s="176"/>
      <c r="I168" s="175"/>
      <c r="J168" s="163"/>
      <c r="K168" s="165"/>
      <c r="L168" s="163"/>
      <c r="M168" s="163"/>
      <c r="N168" s="169"/>
      <c r="O168" s="173"/>
      <c r="P168" s="168"/>
    </row>
    <row r="169" ht="15.75" customHeight="1">
      <c r="A169" s="162"/>
      <c r="B169" s="174"/>
      <c r="C169" s="175"/>
      <c r="D169" s="176"/>
      <c r="E169" s="175"/>
      <c r="F169" s="177"/>
      <c r="G169" s="177"/>
      <c r="H169" s="176"/>
      <c r="I169" s="175"/>
      <c r="J169" s="163"/>
      <c r="K169" s="165"/>
      <c r="L169" s="163"/>
      <c r="M169" s="163"/>
      <c r="N169" s="169"/>
      <c r="O169" s="173"/>
      <c r="P169" s="168"/>
    </row>
    <row r="170" ht="15.75" customHeight="1">
      <c r="A170" s="162"/>
      <c r="B170" s="174"/>
      <c r="C170" s="175"/>
      <c r="D170" s="176"/>
      <c r="E170" s="175"/>
      <c r="F170" s="177"/>
      <c r="G170" s="177"/>
      <c r="H170" s="176"/>
      <c r="I170" s="175"/>
      <c r="J170" s="163"/>
      <c r="K170" s="165"/>
      <c r="L170" s="163"/>
      <c r="M170" s="163"/>
      <c r="N170" s="169"/>
      <c r="O170" s="173"/>
      <c r="P170" s="168"/>
    </row>
    <row r="171" ht="15.75" customHeight="1">
      <c r="A171" s="162"/>
      <c r="B171" s="174"/>
      <c r="C171" s="175"/>
      <c r="D171" s="176"/>
      <c r="E171" s="175"/>
      <c r="F171" s="177"/>
      <c r="G171" s="177"/>
      <c r="H171" s="176"/>
      <c r="I171" s="175"/>
      <c r="J171" s="163"/>
      <c r="K171" s="165"/>
      <c r="L171" s="163"/>
      <c r="M171" s="163"/>
      <c r="N171" s="169"/>
      <c r="O171" s="173"/>
      <c r="P171" s="168"/>
    </row>
    <row r="172" ht="15.75" customHeight="1">
      <c r="A172" s="162"/>
      <c r="B172" s="174"/>
      <c r="C172" s="175"/>
      <c r="D172" s="176"/>
      <c r="E172" s="175"/>
      <c r="F172" s="177"/>
      <c r="G172" s="177"/>
      <c r="H172" s="176"/>
      <c r="I172" s="175"/>
      <c r="J172" s="163"/>
      <c r="K172" s="165"/>
      <c r="L172" s="163"/>
      <c r="M172" s="163"/>
      <c r="N172" s="169"/>
      <c r="O172" s="173"/>
      <c r="P172" s="168"/>
    </row>
    <row r="173" ht="15.75" customHeight="1">
      <c r="A173" s="162"/>
      <c r="B173" s="174"/>
      <c r="C173" s="175"/>
      <c r="D173" s="176"/>
      <c r="E173" s="175"/>
      <c r="F173" s="177"/>
      <c r="G173" s="177"/>
      <c r="H173" s="176"/>
      <c r="I173" s="175"/>
      <c r="J173" s="163"/>
      <c r="K173" s="165"/>
      <c r="L173" s="163"/>
      <c r="M173" s="163"/>
      <c r="N173" s="169"/>
      <c r="O173" s="173"/>
      <c r="P173" s="168"/>
    </row>
    <row r="174" ht="15.75" customHeight="1">
      <c r="A174" s="162"/>
      <c r="B174" s="174"/>
      <c r="C174" s="175"/>
      <c r="D174" s="176"/>
      <c r="E174" s="175"/>
      <c r="F174" s="177"/>
      <c r="G174" s="177"/>
      <c r="H174" s="176"/>
      <c r="I174" s="175"/>
      <c r="J174" s="163"/>
      <c r="K174" s="165"/>
      <c r="L174" s="163"/>
      <c r="M174" s="163"/>
      <c r="N174" s="169"/>
      <c r="O174" s="173"/>
      <c r="P174" s="168"/>
    </row>
    <row r="175" ht="15.75" customHeight="1">
      <c r="A175" s="162"/>
      <c r="B175" s="174"/>
      <c r="C175" s="175"/>
      <c r="D175" s="176"/>
      <c r="E175" s="175"/>
      <c r="F175" s="177"/>
      <c r="G175" s="177"/>
      <c r="H175" s="176"/>
      <c r="I175" s="175"/>
      <c r="J175" s="163"/>
      <c r="K175" s="165"/>
      <c r="L175" s="163"/>
      <c r="M175" s="163"/>
      <c r="N175" s="169"/>
      <c r="O175" s="173"/>
      <c r="P175" s="168"/>
    </row>
    <row r="176" ht="15.75" customHeight="1">
      <c r="A176" s="162"/>
      <c r="B176" s="174"/>
      <c r="C176" s="175"/>
      <c r="D176" s="176"/>
      <c r="E176" s="175"/>
      <c r="F176" s="177"/>
      <c r="G176" s="177"/>
      <c r="H176" s="176"/>
      <c r="I176" s="175"/>
      <c r="J176" s="163"/>
      <c r="K176" s="165"/>
      <c r="L176" s="163"/>
      <c r="M176" s="163"/>
      <c r="N176" s="169"/>
      <c r="O176" s="173"/>
      <c r="P176" s="168"/>
    </row>
    <row r="177" ht="15.75" customHeight="1">
      <c r="A177" s="162"/>
      <c r="B177" s="174"/>
      <c r="C177" s="175"/>
      <c r="D177" s="176"/>
      <c r="E177" s="175"/>
      <c r="F177" s="177"/>
      <c r="G177" s="177"/>
      <c r="H177" s="176"/>
      <c r="I177" s="175"/>
      <c r="J177" s="163"/>
      <c r="K177" s="165"/>
      <c r="L177" s="163"/>
      <c r="M177" s="163"/>
      <c r="N177" s="169"/>
      <c r="O177" s="173"/>
      <c r="P177" s="168"/>
    </row>
    <row r="178" ht="15.75" customHeight="1">
      <c r="A178" s="162"/>
      <c r="B178" s="174"/>
      <c r="C178" s="175"/>
      <c r="D178" s="176"/>
      <c r="E178" s="175"/>
      <c r="F178" s="177"/>
      <c r="G178" s="177"/>
      <c r="H178" s="176"/>
      <c r="I178" s="175"/>
      <c r="J178" s="163"/>
      <c r="K178" s="165"/>
      <c r="L178" s="163"/>
      <c r="M178" s="163"/>
      <c r="N178" s="169"/>
      <c r="O178" s="173"/>
      <c r="P178" s="168"/>
    </row>
    <row r="179" ht="15.75" customHeight="1">
      <c r="A179" s="162"/>
      <c r="B179" s="174"/>
      <c r="C179" s="175"/>
      <c r="D179" s="176"/>
      <c r="E179" s="175"/>
      <c r="F179" s="177"/>
      <c r="G179" s="177"/>
      <c r="H179" s="176"/>
      <c r="I179" s="175"/>
      <c r="J179" s="163"/>
      <c r="K179" s="165"/>
      <c r="L179" s="163"/>
      <c r="M179" s="163"/>
      <c r="N179" s="169"/>
      <c r="O179" s="173"/>
      <c r="P179" s="168"/>
    </row>
    <row r="180" ht="15.75" customHeight="1">
      <c r="A180" s="162"/>
      <c r="B180" s="174"/>
      <c r="C180" s="175"/>
      <c r="D180" s="176"/>
      <c r="E180" s="175"/>
      <c r="F180" s="177"/>
      <c r="G180" s="177"/>
      <c r="H180" s="176"/>
      <c r="I180" s="175"/>
      <c r="J180" s="163"/>
      <c r="K180" s="165"/>
      <c r="L180" s="163"/>
      <c r="M180" s="163"/>
      <c r="N180" s="169"/>
      <c r="O180" s="173"/>
      <c r="P180" s="168"/>
    </row>
    <row r="181" ht="15.75" customHeight="1">
      <c r="A181" s="162"/>
      <c r="B181" s="174"/>
      <c r="C181" s="175"/>
      <c r="D181" s="176"/>
      <c r="E181" s="175"/>
      <c r="F181" s="177"/>
      <c r="G181" s="177"/>
      <c r="H181" s="176"/>
      <c r="I181" s="175"/>
      <c r="J181" s="163"/>
      <c r="K181" s="165"/>
      <c r="L181" s="163"/>
      <c r="M181" s="163"/>
      <c r="N181" s="169"/>
      <c r="O181" s="173"/>
      <c r="P181" s="168"/>
    </row>
    <row r="182" ht="15.75" customHeight="1">
      <c r="A182" s="162"/>
      <c r="B182" s="174"/>
      <c r="C182" s="175"/>
      <c r="D182" s="176"/>
      <c r="E182" s="175"/>
      <c r="F182" s="177"/>
      <c r="G182" s="177"/>
      <c r="H182" s="176"/>
      <c r="I182" s="175"/>
      <c r="J182" s="163"/>
      <c r="K182" s="165"/>
      <c r="L182" s="163"/>
      <c r="M182" s="163"/>
      <c r="N182" s="169"/>
      <c r="O182" s="173"/>
      <c r="P182" s="168"/>
    </row>
    <row r="183" ht="15.75" customHeight="1">
      <c r="A183" s="162"/>
      <c r="B183" s="174"/>
      <c r="C183" s="175"/>
      <c r="D183" s="176"/>
      <c r="E183" s="175"/>
      <c r="F183" s="177"/>
      <c r="G183" s="177"/>
      <c r="H183" s="176"/>
      <c r="I183" s="175"/>
      <c r="J183" s="163"/>
      <c r="K183" s="165"/>
      <c r="L183" s="163"/>
      <c r="M183" s="163"/>
      <c r="N183" s="169"/>
      <c r="O183" s="173"/>
      <c r="P183" s="168"/>
    </row>
    <row r="184" ht="15.75" customHeight="1">
      <c r="A184" s="162"/>
      <c r="B184" s="174"/>
      <c r="C184" s="175"/>
      <c r="D184" s="176"/>
      <c r="E184" s="175"/>
      <c r="F184" s="177"/>
      <c r="G184" s="177"/>
      <c r="H184" s="176"/>
      <c r="I184" s="175"/>
      <c r="J184" s="163"/>
      <c r="K184" s="165"/>
      <c r="L184" s="163"/>
      <c r="M184" s="163"/>
      <c r="N184" s="169"/>
      <c r="O184" s="173"/>
      <c r="P184" s="168"/>
    </row>
    <row r="185" ht="15.75" customHeight="1">
      <c r="A185" s="162"/>
      <c r="B185" s="174"/>
      <c r="C185" s="175"/>
      <c r="D185" s="176"/>
      <c r="E185" s="175"/>
      <c r="F185" s="177"/>
      <c r="G185" s="177"/>
      <c r="H185" s="176"/>
      <c r="I185" s="175"/>
      <c r="J185" s="163"/>
      <c r="K185" s="165"/>
      <c r="L185" s="163"/>
      <c r="M185" s="163"/>
      <c r="N185" s="169"/>
      <c r="O185" s="173"/>
      <c r="P185" s="168"/>
    </row>
    <row r="186" ht="15.75" customHeight="1">
      <c r="A186" s="162"/>
      <c r="B186" s="174"/>
      <c r="C186" s="175"/>
      <c r="D186" s="176"/>
      <c r="E186" s="175"/>
      <c r="F186" s="177"/>
      <c r="G186" s="177"/>
      <c r="H186" s="176"/>
      <c r="I186" s="175"/>
      <c r="J186" s="163"/>
      <c r="K186" s="165"/>
      <c r="L186" s="163"/>
      <c r="M186" s="163"/>
      <c r="N186" s="169"/>
      <c r="O186" s="173"/>
      <c r="P186" s="168"/>
    </row>
    <row r="187" ht="15.75" customHeight="1">
      <c r="A187" s="162"/>
      <c r="B187" s="174"/>
      <c r="C187" s="175"/>
      <c r="D187" s="176"/>
      <c r="E187" s="175"/>
      <c r="F187" s="177"/>
      <c r="G187" s="177"/>
      <c r="H187" s="176"/>
      <c r="I187" s="175"/>
      <c r="J187" s="163"/>
      <c r="K187" s="165"/>
      <c r="L187" s="163"/>
      <c r="M187" s="163"/>
      <c r="N187" s="169"/>
      <c r="O187" s="173"/>
      <c r="P187" s="168"/>
    </row>
    <row r="188" ht="15.75" customHeight="1">
      <c r="A188" s="162"/>
      <c r="B188" s="174"/>
      <c r="C188" s="175"/>
      <c r="D188" s="176"/>
      <c r="E188" s="175"/>
      <c r="F188" s="177"/>
      <c r="G188" s="177"/>
      <c r="H188" s="176"/>
      <c r="I188" s="175"/>
      <c r="J188" s="163"/>
      <c r="K188" s="165"/>
      <c r="L188" s="163"/>
      <c r="M188" s="163"/>
      <c r="N188" s="169"/>
      <c r="O188" s="173"/>
      <c r="P188" s="168"/>
    </row>
    <row r="189" ht="15.75" customHeight="1">
      <c r="A189" s="162"/>
      <c r="B189" s="174"/>
      <c r="C189" s="175"/>
      <c r="D189" s="176"/>
      <c r="E189" s="175"/>
      <c r="F189" s="177"/>
      <c r="G189" s="177"/>
      <c r="H189" s="176"/>
      <c r="I189" s="175"/>
      <c r="J189" s="163"/>
      <c r="K189" s="165"/>
      <c r="L189" s="163"/>
      <c r="M189" s="163"/>
      <c r="N189" s="169"/>
      <c r="O189" s="173"/>
      <c r="P189" s="168"/>
    </row>
    <row r="190" ht="15.75" customHeight="1">
      <c r="A190" s="162"/>
      <c r="B190" s="174"/>
      <c r="C190" s="175"/>
      <c r="D190" s="176"/>
      <c r="E190" s="175"/>
      <c r="F190" s="177"/>
      <c r="G190" s="177"/>
      <c r="H190" s="176"/>
      <c r="I190" s="175"/>
      <c r="J190" s="163"/>
      <c r="K190" s="165"/>
      <c r="L190" s="163"/>
      <c r="M190" s="163"/>
      <c r="N190" s="169"/>
      <c r="O190" s="173"/>
      <c r="P190" s="168"/>
    </row>
    <row r="191" ht="15.75" customHeight="1">
      <c r="A191" s="162"/>
      <c r="B191" s="174"/>
      <c r="C191" s="175"/>
      <c r="D191" s="176"/>
      <c r="E191" s="175"/>
      <c r="F191" s="177"/>
      <c r="G191" s="177"/>
      <c r="H191" s="176"/>
      <c r="I191" s="175"/>
      <c r="J191" s="163"/>
      <c r="K191" s="165"/>
      <c r="L191" s="163"/>
      <c r="M191" s="163"/>
      <c r="N191" s="169"/>
      <c r="O191" s="173"/>
      <c r="P191" s="168"/>
    </row>
    <row r="192" ht="15.75" customHeight="1">
      <c r="A192" s="162"/>
      <c r="B192" s="174"/>
      <c r="C192" s="175"/>
      <c r="D192" s="176"/>
      <c r="E192" s="175"/>
      <c r="F192" s="177"/>
      <c r="G192" s="177"/>
      <c r="H192" s="176"/>
      <c r="I192" s="175"/>
      <c r="J192" s="163"/>
      <c r="K192" s="165"/>
      <c r="L192" s="163"/>
      <c r="M192" s="163"/>
      <c r="N192" s="169"/>
      <c r="O192" s="173"/>
      <c r="P192" s="168"/>
    </row>
    <row r="193" ht="15.75" customHeight="1">
      <c r="A193" s="162"/>
      <c r="B193" s="174"/>
      <c r="C193" s="175"/>
      <c r="D193" s="176"/>
      <c r="E193" s="175"/>
      <c r="F193" s="177"/>
      <c r="G193" s="177"/>
      <c r="H193" s="176"/>
      <c r="I193" s="175"/>
      <c r="J193" s="163"/>
      <c r="K193" s="165"/>
      <c r="L193" s="163"/>
      <c r="M193" s="163"/>
      <c r="N193" s="169"/>
      <c r="O193" s="173"/>
      <c r="P193" s="168"/>
    </row>
    <row r="194" ht="15.75" customHeight="1">
      <c r="A194" s="162"/>
      <c r="B194" s="174"/>
      <c r="C194" s="175"/>
      <c r="D194" s="176"/>
      <c r="E194" s="175"/>
      <c r="F194" s="177"/>
      <c r="G194" s="177"/>
      <c r="H194" s="176"/>
      <c r="I194" s="175"/>
      <c r="J194" s="163"/>
      <c r="K194" s="165"/>
      <c r="L194" s="163"/>
      <c r="M194" s="163"/>
      <c r="N194" s="169"/>
      <c r="O194" s="173"/>
      <c r="P194" s="168"/>
    </row>
    <row r="195" ht="15.75" customHeight="1">
      <c r="A195" s="162"/>
      <c r="B195" s="174"/>
      <c r="C195" s="175"/>
      <c r="D195" s="176"/>
      <c r="E195" s="175"/>
      <c r="F195" s="177"/>
      <c r="G195" s="177"/>
      <c r="H195" s="176"/>
      <c r="I195" s="175"/>
      <c r="J195" s="163"/>
      <c r="K195" s="165"/>
      <c r="L195" s="163"/>
      <c r="M195" s="163"/>
      <c r="N195" s="169"/>
      <c r="O195" s="173"/>
      <c r="P195" s="168"/>
    </row>
    <row r="196" ht="15.75" customHeight="1">
      <c r="A196" s="162"/>
      <c r="B196" s="174"/>
      <c r="C196" s="175"/>
      <c r="D196" s="176"/>
      <c r="E196" s="175"/>
      <c r="F196" s="177"/>
      <c r="G196" s="177"/>
      <c r="H196" s="176"/>
      <c r="I196" s="175"/>
      <c r="J196" s="163"/>
      <c r="K196" s="165"/>
      <c r="L196" s="163"/>
      <c r="M196" s="163"/>
      <c r="N196" s="169"/>
      <c r="O196" s="173"/>
      <c r="P196" s="168"/>
    </row>
    <row r="197" ht="15.75" customHeight="1">
      <c r="A197" s="162"/>
      <c r="B197" s="174"/>
      <c r="C197" s="175"/>
      <c r="D197" s="176"/>
      <c r="E197" s="175"/>
      <c r="F197" s="177"/>
      <c r="G197" s="177"/>
      <c r="H197" s="176"/>
      <c r="I197" s="175"/>
      <c r="J197" s="163"/>
      <c r="K197" s="165"/>
      <c r="L197" s="163"/>
      <c r="M197" s="163"/>
      <c r="N197" s="169"/>
      <c r="O197" s="173"/>
      <c r="P197" s="168"/>
    </row>
    <row r="198" ht="15.75" customHeight="1">
      <c r="A198" s="162"/>
      <c r="B198" s="174"/>
      <c r="C198" s="175"/>
      <c r="D198" s="176"/>
      <c r="E198" s="175"/>
      <c r="F198" s="177"/>
      <c r="G198" s="177"/>
      <c r="H198" s="176"/>
      <c r="I198" s="175"/>
      <c r="J198" s="163"/>
      <c r="K198" s="165"/>
      <c r="L198" s="163"/>
      <c r="M198" s="163"/>
      <c r="N198" s="169"/>
      <c r="O198" s="173"/>
      <c r="P198" s="168"/>
    </row>
    <row r="199" ht="15.75" customHeight="1">
      <c r="A199" s="162"/>
      <c r="B199" s="174"/>
      <c r="C199" s="175"/>
      <c r="D199" s="176"/>
      <c r="E199" s="175"/>
      <c r="F199" s="177"/>
      <c r="G199" s="177"/>
      <c r="H199" s="176"/>
      <c r="I199" s="175"/>
      <c r="J199" s="163"/>
      <c r="K199" s="165"/>
      <c r="L199" s="163"/>
      <c r="M199" s="163"/>
      <c r="N199" s="169"/>
      <c r="O199" s="173"/>
      <c r="P199" s="168"/>
    </row>
    <row r="200" ht="15.75" customHeight="1">
      <c r="A200" s="162"/>
      <c r="B200" s="174"/>
      <c r="C200" s="175"/>
      <c r="D200" s="176"/>
      <c r="E200" s="175"/>
      <c r="F200" s="177"/>
      <c r="G200" s="177"/>
      <c r="H200" s="176"/>
      <c r="I200" s="175"/>
      <c r="J200" s="163"/>
      <c r="K200" s="165"/>
      <c r="L200" s="163"/>
      <c r="M200" s="163"/>
      <c r="N200" s="169"/>
      <c r="O200" s="173"/>
      <c r="P200" s="168"/>
    </row>
    <row r="201" ht="15.75" customHeight="1">
      <c r="A201" s="162"/>
      <c r="B201" s="174"/>
      <c r="C201" s="175"/>
      <c r="D201" s="176"/>
      <c r="E201" s="175"/>
      <c r="F201" s="177"/>
      <c r="G201" s="177"/>
      <c r="H201" s="176"/>
      <c r="I201" s="175"/>
      <c r="J201" s="163"/>
      <c r="K201" s="165"/>
      <c r="L201" s="163"/>
      <c r="M201" s="163"/>
      <c r="N201" s="169"/>
      <c r="O201" s="173"/>
      <c r="P201" s="168"/>
    </row>
    <row r="202" ht="15.75" customHeight="1">
      <c r="A202" s="162"/>
      <c r="B202" s="174"/>
      <c r="C202" s="175"/>
      <c r="D202" s="176"/>
      <c r="E202" s="175"/>
      <c r="F202" s="177"/>
      <c r="G202" s="177"/>
      <c r="H202" s="176"/>
      <c r="I202" s="175"/>
      <c r="J202" s="163"/>
      <c r="K202" s="165"/>
      <c r="L202" s="163"/>
      <c r="M202" s="163"/>
      <c r="N202" s="169"/>
      <c r="O202" s="173"/>
      <c r="P202" s="168"/>
    </row>
    <row r="203" ht="15.75" customHeight="1">
      <c r="A203" s="162"/>
      <c r="B203" s="174"/>
      <c r="C203" s="175"/>
      <c r="D203" s="176"/>
      <c r="E203" s="175"/>
      <c r="F203" s="177"/>
      <c r="G203" s="177"/>
      <c r="H203" s="176"/>
      <c r="I203" s="175"/>
      <c r="J203" s="163"/>
      <c r="K203" s="165"/>
      <c r="L203" s="163"/>
      <c r="M203" s="163"/>
      <c r="N203" s="169"/>
      <c r="O203" s="173"/>
      <c r="P203" s="168"/>
    </row>
    <row r="204" ht="15.75" customHeight="1">
      <c r="A204" s="162"/>
      <c r="B204" s="174"/>
      <c r="C204" s="175"/>
      <c r="D204" s="176"/>
      <c r="E204" s="175"/>
      <c r="F204" s="177"/>
      <c r="G204" s="177"/>
      <c r="H204" s="176"/>
      <c r="I204" s="175"/>
      <c r="J204" s="163"/>
      <c r="K204" s="165"/>
      <c r="L204" s="163"/>
      <c r="M204" s="163"/>
      <c r="N204" s="169"/>
      <c r="O204" s="173"/>
      <c r="P204" s="168"/>
    </row>
    <row r="205" ht="15.75" customHeight="1">
      <c r="A205" s="162"/>
      <c r="B205" s="174"/>
      <c r="C205" s="175"/>
      <c r="D205" s="176"/>
      <c r="E205" s="175"/>
      <c r="F205" s="177"/>
      <c r="G205" s="177"/>
      <c r="H205" s="176"/>
      <c r="I205" s="175"/>
      <c r="J205" s="163"/>
      <c r="K205" s="165"/>
      <c r="L205" s="163"/>
      <c r="M205" s="163"/>
      <c r="N205" s="169"/>
      <c r="O205" s="173"/>
      <c r="P205" s="168"/>
    </row>
    <row r="206" ht="15.75" customHeight="1">
      <c r="A206" s="162"/>
      <c r="B206" s="174"/>
      <c r="C206" s="175"/>
      <c r="D206" s="176"/>
      <c r="E206" s="175"/>
      <c r="F206" s="177"/>
      <c r="G206" s="177"/>
      <c r="H206" s="176"/>
      <c r="I206" s="175"/>
      <c r="J206" s="163"/>
      <c r="K206" s="165"/>
      <c r="L206" s="163"/>
      <c r="M206" s="163"/>
      <c r="N206" s="169"/>
      <c r="O206" s="173"/>
      <c r="P206" s="168"/>
    </row>
    <row r="207" ht="15.75" customHeight="1">
      <c r="A207" s="162"/>
      <c r="B207" s="174"/>
      <c r="C207" s="175"/>
      <c r="D207" s="176"/>
      <c r="E207" s="175"/>
      <c r="F207" s="177"/>
      <c r="G207" s="177"/>
      <c r="H207" s="176"/>
      <c r="I207" s="175"/>
      <c r="J207" s="163"/>
      <c r="K207" s="165"/>
      <c r="L207" s="163"/>
      <c r="M207" s="163"/>
      <c r="N207" s="169"/>
      <c r="O207" s="173"/>
      <c r="P207" s="168"/>
    </row>
    <row r="208" ht="15.75" customHeight="1">
      <c r="A208" s="162"/>
      <c r="B208" s="174"/>
      <c r="C208" s="175"/>
      <c r="D208" s="176"/>
      <c r="E208" s="175"/>
      <c r="F208" s="177"/>
      <c r="G208" s="177"/>
      <c r="H208" s="176"/>
      <c r="I208" s="175"/>
      <c r="J208" s="163"/>
      <c r="K208" s="165"/>
      <c r="L208" s="163"/>
      <c r="M208" s="163"/>
      <c r="N208" s="169"/>
      <c r="O208" s="173"/>
      <c r="P208" s="168"/>
    </row>
    <row r="209" ht="15.75" customHeight="1">
      <c r="A209" s="162"/>
      <c r="B209" s="174"/>
      <c r="C209" s="175"/>
      <c r="D209" s="176"/>
      <c r="E209" s="175"/>
      <c r="F209" s="177"/>
      <c r="G209" s="177"/>
      <c r="H209" s="176"/>
      <c r="I209" s="175"/>
      <c r="J209" s="163"/>
      <c r="K209" s="165"/>
      <c r="L209" s="163"/>
      <c r="M209" s="163"/>
      <c r="N209" s="169"/>
      <c r="O209" s="173"/>
      <c r="P209" s="168"/>
    </row>
    <row r="210" ht="15.75" customHeight="1">
      <c r="A210" s="162"/>
      <c r="B210" s="174"/>
      <c r="C210" s="175"/>
      <c r="D210" s="176"/>
      <c r="E210" s="175"/>
      <c r="F210" s="177"/>
      <c r="G210" s="177"/>
      <c r="H210" s="176"/>
      <c r="I210" s="175"/>
      <c r="J210" s="163"/>
      <c r="K210" s="165"/>
      <c r="L210" s="163"/>
      <c r="M210" s="163"/>
      <c r="N210" s="169"/>
      <c r="O210" s="173"/>
      <c r="P210" s="168"/>
    </row>
    <row r="211" ht="15.75" customHeight="1">
      <c r="A211" s="162"/>
      <c r="B211" s="174"/>
      <c r="C211" s="175"/>
      <c r="D211" s="176"/>
      <c r="E211" s="175"/>
      <c r="F211" s="177"/>
      <c r="G211" s="177"/>
      <c r="H211" s="176"/>
      <c r="I211" s="175"/>
      <c r="J211" s="163"/>
      <c r="K211" s="165"/>
      <c r="L211" s="163"/>
      <c r="M211" s="163"/>
      <c r="N211" s="169"/>
      <c r="O211" s="173"/>
      <c r="P211" s="168"/>
    </row>
    <row r="212" ht="15.75" customHeight="1">
      <c r="A212" s="162"/>
      <c r="B212" s="174"/>
      <c r="C212" s="175"/>
      <c r="D212" s="176"/>
      <c r="E212" s="175"/>
      <c r="F212" s="177"/>
      <c r="G212" s="177"/>
      <c r="H212" s="176"/>
      <c r="I212" s="175"/>
      <c r="J212" s="163"/>
      <c r="K212" s="165"/>
      <c r="L212" s="163"/>
      <c r="M212" s="163"/>
      <c r="N212" s="169"/>
      <c r="O212" s="173"/>
      <c r="P212" s="168"/>
    </row>
    <row r="213" ht="15.75" customHeight="1">
      <c r="A213" s="162"/>
      <c r="B213" s="174"/>
      <c r="C213" s="175"/>
      <c r="D213" s="176"/>
      <c r="E213" s="175"/>
      <c r="F213" s="177"/>
      <c r="G213" s="177"/>
      <c r="H213" s="176"/>
      <c r="I213" s="175"/>
      <c r="J213" s="163"/>
      <c r="K213" s="165"/>
      <c r="L213" s="163"/>
      <c r="M213" s="163"/>
      <c r="N213" s="169"/>
      <c r="O213" s="173"/>
      <c r="P213" s="168"/>
    </row>
    <row r="214" ht="15.75" customHeight="1">
      <c r="A214" s="162"/>
      <c r="B214" s="174"/>
      <c r="C214" s="175"/>
      <c r="D214" s="176"/>
      <c r="E214" s="175"/>
      <c r="F214" s="177"/>
      <c r="G214" s="177"/>
      <c r="H214" s="176"/>
      <c r="I214" s="175"/>
      <c r="J214" s="163"/>
      <c r="K214" s="165"/>
      <c r="L214" s="163"/>
      <c r="M214" s="163"/>
      <c r="N214" s="169"/>
      <c r="O214" s="173"/>
      <c r="P214" s="168"/>
    </row>
    <row r="215" ht="15.75" customHeight="1">
      <c r="A215" s="162"/>
      <c r="B215" s="174"/>
      <c r="C215" s="175"/>
      <c r="D215" s="176"/>
      <c r="E215" s="175"/>
      <c r="F215" s="177"/>
      <c r="G215" s="177"/>
      <c r="H215" s="176"/>
      <c r="I215" s="175"/>
      <c r="J215" s="163"/>
      <c r="K215" s="165"/>
      <c r="L215" s="163"/>
      <c r="M215" s="163"/>
      <c r="N215" s="169"/>
      <c r="O215" s="173"/>
      <c r="P215" s="168"/>
    </row>
    <row r="216" ht="15.75" customHeight="1">
      <c r="A216" s="162"/>
      <c r="B216" s="174"/>
      <c r="C216" s="175"/>
      <c r="D216" s="176"/>
      <c r="E216" s="175"/>
      <c r="F216" s="177"/>
      <c r="G216" s="177"/>
      <c r="H216" s="176"/>
      <c r="I216" s="175"/>
      <c r="J216" s="163"/>
      <c r="K216" s="165"/>
      <c r="L216" s="163"/>
      <c r="M216" s="163"/>
      <c r="N216" s="169"/>
      <c r="O216" s="173"/>
      <c r="P216" s="168"/>
    </row>
    <row r="217" ht="15.75" customHeight="1">
      <c r="A217" s="162"/>
      <c r="B217" s="174"/>
      <c r="C217" s="175"/>
      <c r="D217" s="176"/>
      <c r="E217" s="175"/>
      <c r="F217" s="177"/>
      <c r="G217" s="177"/>
      <c r="H217" s="176"/>
      <c r="I217" s="175"/>
      <c r="J217" s="163"/>
      <c r="K217" s="165"/>
      <c r="L217" s="163"/>
      <c r="M217" s="163"/>
      <c r="N217" s="169"/>
      <c r="O217" s="173"/>
      <c r="P217" s="168"/>
    </row>
    <row r="218" ht="15.75" customHeight="1">
      <c r="A218" s="162"/>
      <c r="B218" s="174"/>
      <c r="C218" s="175"/>
      <c r="D218" s="176"/>
      <c r="E218" s="175"/>
      <c r="F218" s="177"/>
      <c r="G218" s="177"/>
      <c r="H218" s="176"/>
      <c r="I218" s="175"/>
      <c r="J218" s="163"/>
      <c r="K218" s="165"/>
      <c r="L218" s="163"/>
      <c r="M218" s="163"/>
      <c r="N218" s="169"/>
      <c r="O218" s="173"/>
      <c r="P218" s="168"/>
    </row>
    <row r="219" ht="15.75" customHeight="1">
      <c r="A219" s="162"/>
      <c r="B219" s="174"/>
      <c r="C219" s="175"/>
      <c r="D219" s="176"/>
      <c r="E219" s="175"/>
      <c r="F219" s="177"/>
      <c r="G219" s="177"/>
      <c r="H219" s="176"/>
      <c r="I219" s="175"/>
      <c r="J219" s="163"/>
      <c r="K219" s="165"/>
      <c r="L219" s="163"/>
      <c r="M219" s="163"/>
      <c r="N219" s="169"/>
      <c r="O219" s="173"/>
      <c r="P219" s="168"/>
    </row>
    <row r="220" ht="15.75" customHeight="1">
      <c r="A220" s="162"/>
      <c r="B220" s="174"/>
      <c r="C220" s="175"/>
      <c r="D220" s="176"/>
      <c r="E220" s="175"/>
      <c r="F220" s="177"/>
      <c r="G220" s="177"/>
      <c r="H220" s="176"/>
      <c r="I220" s="175"/>
      <c r="J220" s="163"/>
      <c r="K220" s="165"/>
      <c r="L220" s="163"/>
      <c r="M220" s="163"/>
      <c r="N220" s="169"/>
      <c r="O220" s="173"/>
      <c r="P220" s="168"/>
    </row>
    <row r="221" ht="15.75" customHeight="1">
      <c r="A221" s="162"/>
      <c r="B221" s="174"/>
      <c r="C221" s="175"/>
      <c r="D221" s="176"/>
      <c r="E221" s="175"/>
      <c r="F221" s="177"/>
      <c r="G221" s="177"/>
      <c r="H221" s="176"/>
      <c r="I221" s="175"/>
      <c r="J221" s="163"/>
      <c r="K221" s="165"/>
      <c r="L221" s="163"/>
      <c r="M221" s="163"/>
      <c r="N221" s="169"/>
      <c r="O221" s="173"/>
      <c r="P221" s="168"/>
    </row>
    <row r="222" ht="15.75" customHeight="1">
      <c r="A222" s="162"/>
      <c r="B222" s="174"/>
      <c r="C222" s="175"/>
      <c r="D222" s="176"/>
      <c r="E222" s="175"/>
      <c r="F222" s="177"/>
      <c r="G222" s="177"/>
      <c r="H222" s="176"/>
      <c r="I222" s="175"/>
      <c r="J222" s="163"/>
      <c r="K222" s="165"/>
      <c r="L222" s="163"/>
      <c r="M222" s="163"/>
      <c r="N222" s="169"/>
      <c r="O222" s="173"/>
      <c r="P222" s="168"/>
    </row>
    <row r="223" ht="15.75" customHeight="1">
      <c r="A223" s="162"/>
      <c r="B223" s="174"/>
      <c r="C223" s="175"/>
      <c r="D223" s="176"/>
      <c r="E223" s="175"/>
      <c r="F223" s="177"/>
      <c r="G223" s="177"/>
      <c r="H223" s="176"/>
      <c r="I223" s="175"/>
      <c r="J223" s="163"/>
      <c r="K223" s="165"/>
      <c r="L223" s="163"/>
      <c r="M223" s="163"/>
      <c r="N223" s="169"/>
      <c r="O223" s="173"/>
      <c r="P223" s="168"/>
    </row>
    <row r="224" ht="15.75" customHeight="1">
      <c r="A224" s="162"/>
      <c r="B224" s="174"/>
      <c r="C224" s="175"/>
      <c r="D224" s="176"/>
      <c r="E224" s="175"/>
      <c r="F224" s="177"/>
      <c r="G224" s="177"/>
      <c r="H224" s="176"/>
      <c r="I224" s="175"/>
      <c r="J224" s="163"/>
      <c r="K224" s="165"/>
      <c r="L224" s="163"/>
      <c r="M224" s="163"/>
      <c r="N224" s="169"/>
      <c r="O224" s="173"/>
      <c r="P224" s="168"/>
    </row>
    <row r="225" ht="15.75" customHeight="1">
      <c r="A225" s="162"/>
      <c r="B225" s="174"/>
      <c r="C225" s="175"/>
      <c r="D225" s="176"/>
      <c r="E225" s="175"/>
      <c r="F225" s="177"/>
      <c r="G225" s="177"/>
      <c r="H225" s="176"/>
      <c r="I225" s="175"/>
      <c r="J225" s="163"/>
      <c r="K225" s="165"/>
      <c r="L225" s="163"/>
      <c r="M225" s="163"/>
      <c r="N225" s="169"/>
      <c r="O225" s="173"/>
      <c r="P225" s="168"/>
    </row>
    <row r="226" ht="15.75" customHeight="1">
      <c r="A226" s="162"/>
      <c r="B226" s="174"/>
      <c r="C226" s="175"/>
      <c r="D226" s="176"/>
      <c r="E226" s="175"/>
      <c r="F226" s="177"/>
      <c r="G226" s="177"/>
      <c r="H226" s="176"/>
      <c r="I226" s="175"/>
      <c r="J226" s="163"/>
      <c r="K226" s="165"/>
      <c r="L226" s="163"/>
      <c r="M226" s="163"/>
      <c r="N226" s="169"/>
      <c r="O226" s="173"/>
      <c r="P226" s="168"/>
    </row>
    <row r="227" ht="15.75" customHeight="1">
      <c r="A227" s="162"/>
      <c r="B227" s="174"/>
      <c r="C227" s="175"/>
      <c r="D227" s="176"/>
      <c r="E227" s="175"/>
      <c r="F227" s="177"/>
      <c r="G227" s="177"/>
      <c r="H227" s="176"/>
      <c r="I227" s="175"/>
      <c r="J227" s="163"/>
      <c r="K227" s="165"/>
      <c r="L227" s="163"/>
      <c r="M227" s="163"/>
      <c r="N227" s="169"/>
      <c r="O227" s="173"/>
      <c r="P227" s="168"/>
    </row>
    <row r="228" ht="15.75" customHeight="1">
      <c r="A228" s="162"/>
      <c r="B228" s="174"/>
      <c r="C228" s="175"/>
      <c r="D228" s="176"/>
      <c r="E228" s="175"/>
      <c r="F228" s="177"/>
      <c r="G228" s="177"/>
      <c r="H228" s="176"/>
      <c r="I228" s="175"/>
      <c r="J228" s="163"/>
      <c r="K228" s="165"/>
      <c r="L228" s="163"/>
      <c r="M228" s="163"/>
      <c r="N228" s="169"/>
      <c r="O228" s="173"/>
      <c r="P228" s="168"/>
    </row>
    <row r="229" ht="15.75" customHeight="1">
      <c r="A229" s="162"/>
      <c r="B229" s="174"/>
      <c r="C229" s="175"/>
      <c r="D229" s="176"/>
      <c r="E229" s="175"/>
      <c r="F229" s="177"/>
      <c r="G229" s="177"/>
      <c r="H229" s="176"/>
      <c r="I229" s="175"/>
      <c r="J229" s="163"/>
      <c r="K229" s="165"/>
      <c r="L229" s="163"/>
      <c r="M229" s="163"/>
      <c r="N229" s="169"/>
      <c r="O229" s="173"/>
      <c r="P229" s="168"/>
    </row>
    <row r="230" ht="15.75" customHeight="1">
      <c r="A230" s="162"/>
      <c r="B230" s="174"/>
      <c r="C230" s="175"/>
      <c r="D230" s="176"/>
      <c r="E230" s="175"/>
      <c r="F230" s="177"/>
      <c r="G230" s="177"/>
      <c r="H230" s="176"/>
      <c r="I230" s="175"/>
      <c r="J230" s="163"/>
      <c r="K230" s="165"/>
      <c r="L230" s="163"/>
      <c r="M230" s="163"/>
      <c r="N230" s="169"/>
      <c r="O230" s="173"/>
      <c r="P230" s="168"/>
    </row>
    <row r="231" ht="15.75" customHeight="1">
      <c r="A231" s="162"/>
      <c r="B231" s="174"/>
      <c r="C231" s="175"/>
      <c r="D231" s="176"/>
      <c r="E231" s="175"/>
      <c r="F231" s="177"/>
      <c r="G231" s="177"/>
      <c r="H231" s="176"/>
      <c r="I231" s="175"/>
      <c r="J231" s="163"/>
      <c r="K231" s="165"/>
      <c r="L231" s="163"/>
      <c r="M231" s="163"/>
      <c r="N231" s="169"/>
      <c r="O231" s="173"/>
      <c r="P231" s="168"/>
    </row>
    <row r="232" ht="15.75" customHeight="1">
      <c r="A232" s="162"/>
      <c r="B232" s="174"/>
      <c r="C232" s="175"/>
      <c r="D232" s="176"/>
      <c r="E232" s="175"/>
      <c r="F232" s="177"/>
      <c r="G232" s="177"/>
      <c r="H232" s="176"/>
      <c r="I232" s="175"/>
      <c r="J232" s="163"/>
      <c r="K232" s="165"/>
      <c r="L232" s="163"/>
      <c r="M232" s="163"/>
      <c r="N232" s="169"/>
      <c r="O232" s="173"/>
      <c r="P232" s="168"/>
    </row>
    <row r="233" ht="15.75" customHeight="1">
      <c r="A233" s="162"/>
      <c r="B233" s="174"/>
      <c r="C233" s="175"/>
      <c r="D233" s="176"/>
      <c r="E233" s="175"/>
      <c r="F233" s="177"/>
      <c r="G233" s="177"/>
      <c r="H233" s="176"/>
      <c r="I233" s="175"/>
      <c r="J233" s="163"/>
      <c r="K233" s="165"/>
      <c r="L233" s="163"/>
      <c r="M233" s="163"/>
      <c r="N233" s="169"/>
      <c r="O233" s="173"/>
      <c r="P233" s="168"/>
    </row>
    <row r="234" ht="15.75" customHeight="1">
      <c r="A234" s="162"/>
      <c r="B234" s="174"/>
      <c r="C234" s="175"/>
      <c r="D234" s="176"/>
      <c r="E234" s="175"/>
      <c r="F234" s="177"/>
      <c r="G234" s="177"/>
      <c r="H234" s="176"/>
      <c r="I234" s="175"/>
      <c r="J234" s="163"/>
      <c r="K234" s="165"/>
      <c r="L234" s="163"/>
      <c r="M234" s="163"/>
      <c r="N234" s="169"/>
      <c r="O234" s="173"/>
      <c r="P234" s="168"/>
    </row>
    <row r="235" ht="15.75" customHeight="1">
      <c r="A235" s="162"/>
      <c r="B235" s="174"/>
      <c r="C235" s="175"/>
      <c r="D235" s="176"/>
      <c r="E235" s="175"/>
      <c r="F235" s="177"/>
      <c r="G235" s="177"/>
      <c r="H235" s="176"/>
      <c r="I235" s="175"/>
      <c r="J235" s="163"/>
      <c r="K235" s="165"/>
      <c r="L235" s="163"/>
      <c r="M235" s="163"/>
      <c r="N235" s="169"/>
      <c r="O235" s="173"/>
      <c r="P235" s="168"/>
    </row>
    <row r="236" ht="15.75" customHeight="1">
      <c r="A236" s="162"/>
      <c r="B236" s="174"/>
      <c r="C236" s="175"/>
      <c r="D236" s="176"/>
      <c r="E236" s="175"/>
      <c r="F236" s="177"/>
      <c r="G236" s="177"/>
      <c r="H236" s="176"/>
      <c r="I236" s="175"/>
      <c r="J236" s="163"/>
      <c r="K236" s="165"/>
      <c r="L236" s="163"/>
      <c r="M236" s="163"/>
      <c r="N236" s="169"/>
      <c r="O236" s="173"/>
      <c r="P236" s="168"/>
    </row>
    <row r="237" ht="15.75" customHeight="1">
      <c r="A237" s="162"/>
      <c r="B237" s="174"/>
      <c r="C237" s="175"/>
      <c r="D237" s="176"/>
      <c r="E237" s="175"/>
      <c r="F237" s="177"/>
      <c r="G237" s="177"/>
      <c r="H237" s="176"/>
      <c r="I237" s="175"/>
      <c r="J237" s="163"/>
      <c r="K237" s="165"/>
      <c r="L237" s="163"/>
      <c r="M237" s="163"/>
      <c r="N237" s="169"/>
      <c r="O237" s="173"/>
      <c r="P237" s="168"/>
    </row>
    <row r="238" ht="15.75" customHeight="1">
      <c r="A238" s="162"/>
      <c r="B238" s="174"/>
      <c r="C238" s="175"/>
      <c r="D238" s="176"/>
      <c r="E238" s="175"/>
      <c r="F238" s="177"/>
      <c r="G238" s="177"/>
      <c r="H238" s="176"/>
      <c r="I238" s="175"/>
      <c r="J238" s="163"/>
      <c r="K238" s="165"/>
      <c r="L238" s="163"/>
      <c r="M238" s="163"/>
      <c r="N238" s="169"/>
      <c r="O238" s="173"/>
      <c r="P238" s="168"/>
    </row>
    <row r="239" ht="15.75" customHeight="1">
      <c r="A239" s="162"/>
      <c r="B239" s="174"/>
      <c r="C239" s="175"/>
      <c r="D239" s="176"/>
      <c r="E239" s="175"/>
      <c r="F239" s="177"/>
      <c r="G239" s="177"/>
      <c r="H239" s="176"/>
      <c r="I239" s="175"/>
      <c r="J239" s="163"/>
      <c r="K239" s="165"/>
      <c r="L239" s="163"/>
      <c r="M239" s="163"/>
      <c r="N239" s="169"/>
      <c r="O239" s="173"/>
      <c r="P239" s="168"/>
    </row>
    <row r="240" ht="15.75" customHeight="1">
      <c r="A240" s="162"/>
      <c r="B240" s="174"/>
      <c r="C240" s="175"/>
      <c r="D240" s="176"/>
      <c r="E240" s="175"/>
      <c r="F240" s="177"/>
      <c r="G240" s="177"/>
      <c r="H240" s="176"/>
      <c r="I240" s="175"/>
      <c r="J240" s="163"/>
      <c r="K240" s="165"/>
      <c r="L240" s="163"/>
      <c r="M240" s="163"/>
      <c r="N240" s="169"/>
      <c r="O240" s="173"/>
      <c r="P240" s="168"/>
    </row>
    <row r="241" ht="15.75" customHeight="1">
      <c r="A241" s="162"/>
      <c r="B241" s="174"/>
      <c r="C241" s="175"/>
      <c r="D241" s="176"/>
      <c r="E241" s="175"/>
      <c r="F241" s="177"/>
      <c r="G241" s="177"/>
      <c r="H241" s="176"/>
      <c r="I241" s="175"/>
      <c r="J241" s="163"/>
      <c r="K241" s="165"/>
      <c r="L241" s="163"/>
      <c r="M241" s="163"/>
      <c r="N241" s="169"/>
      <c r="O241" s="173"/>
      <c r="P241" s="168"/>
    </row>
    <row r="242" ht="15.75" customHeight="1">
      <c r="A242" s="162"/>
      <c r="B242" s="174"/>
      <c r="C242" s="175"/>
      <c r="D242" s="176"/>
      <c r="E242" s="175"/>
      <c r="F242" s="177"/>
      <c r="G242" s="177"/>
      <c r="H242" s="176"/>
      <c r="I242" s="175"/>
      <c r="J242" s="163"/>
      <c r="K242" s="165"/>
      <c r="L242" s="163"/>
      <c r="M242" s="163"/>
      <c r="N242" s="169"/>
      <c r="O242" s="173"/>
      <c r="P242" s="168"/>
    </row>
    <row r="243" ht="15.75" customHeight="1">
      <c r="A243" s="162"/>
      <c r="B243" s="174"/>
      <c r="C243" s="175"/>
      <c r="D243" s="176"/>
      <c r="E243" s="175"/>
      <c r="F243" s="177"/>
      <c r="G243" s="177"/>
      <c r="H243" s="176"/>
      <c r="I243" s="175"/>
      <c r="J243" s="163"/>
      <c r="K243" s="165"/>
      <c r="L243" s="163"/>
      <c r="M243" s="163"/>
      <c r="N243" s="169"/>
      <c r="O243" s="173"/>
      <c r="P243" s="168"/>
    </row>
    <row r="244" ht="15.75" customHeight="1">
      <c r="A244" s="162"/>
      <c r="B244" s="174"/>
      <c r="C244" s="175"/>
      <c r="D244" s="176"/>
      <c r="E244" s="175"/>
      <c r="F244" s="177"/>
      <c r="G244" s="177"/>
      <c r="H244" s="176"/>
      <c r="I244" s="175"/>
      <c r="J244" s="163"/>
      <c r="K244" s="165"/>
      <c r="L244" s="163"/>
      <c r="M244" s="163"/>
      <c r="N244" s="169"/>
      <c r="O244" s="173"/>
      <c r="P244" s="168"/>
    </row>
    <row r="245" ht="15.75" customHeight="1">
      <c r="A245" s="162"/>
      <c r="B245" s="174"/>
      <c r="C245" s="175"/>
      <c r="D245" s="176"/>
      <c r="E245" s="175"/>
      <c r="F245" s="177"/>
      <c r="G245" s="177"/>
      <c r="H245" s="176"/>
      <c r="I245" s="175"/>
      <c r="J245" s="163"/>
      <c r="K245" s="165"/>
      <c r="L245" s="163"/>
      <c r="M245" s="163"/>
      <c r="N245" s="169"/>
      <c r="O245" s="173"/>
      <c r="P245" s="168"/>
    </row>
    <row r="246" ht="15.75" customHeight="1">
      <c r="A246" s="162"/>
      <c r="B246" s="174"/>
      <c r="C246" s="175"/>
      <c r="D246" s="176"/>
      <c r="E246" s="175"/>
      <c r="F246" s="177"/>
      <c r="G246" s="177"/>
      <c r="H246" s="176"/>
      <c r="I246" s="175"/>
      <c r="J246" s="163"/>
      <c r="K246" s="165"/>
      <c r="L246" s="163"/>
      <c r="M246" s="163"/>
      <c r="N246" s="169"/>
      <c r="O246" s="173"/>
      <c r="P246" s="168"/>
    </row>
    <row r="247" ht="15.75" customHeight="1">
      <c r="A247" s="162"/>
      <c r="B247" s="174"/>
      <c r="C247" s="175"/>
      <c r="D247" s="176"/>
      <c r="E247" s="175"/>
      <c r="F247" s="177"/>
      <c r="G247" s="177"/>
      <c r="H247" s="176"/>
      <c r="I247" s="175"/>
      <c r="J247" s="163"/>
      <c r="K247" s="165"/>
      <c r="L247" s="163"/>
      <c r="M247" s="163"/>
      <c r="N247" s="169"/>
      <c r="O247" s="173"/>
      <c r="P247" s="168"/>
    </row>
    <row r="248" ht="15.75" customHeight="1">
      <c r="A248" s="162"/>
      <c r="B248" s="174"/>
      <c r="C248" s="175"/>
      <c r="D248" s="176"/>
      <c r="E248" s="175"/>
      <c r="F248" s="177"/>
      <c r="G248" s="177"/>
      <c r="H248" s="176"/>
      <c r="I248" s="175"/>
      <c r="J248" s="163"/>
      <c r="K248" s="165"/>
      <c r="L248" s="163"/>
      <c r="M248" s="163"/>
      <c r="N248" s="169"/>
      <c r="O248" s="173"/>
      <c r="P248" s="168"/>
    </row>
    <row r="249" ht="15.75" customHeight="1">
      <c r="A249" s="162"/>
      <c r="B249" s="174"/>
      <c r="C249" s="175"/>
      <c r="D249" s="176"/>
      <c r="E249" s="175"/>
      <c r="F249" s="177"/>
      <c r="G249" s="177"/>
      <c r="H249" s="176"/>
      <c r="I249" s="175"/>
      <c r="J249" s="163"/>
      <c r="K249" s="165"/>
      <c r="L249" s="163"/>
      <c r="M249" s="163"/>
      <c r="N249" s="169"/>
      <c r="O249" s="173"/>
      <c r="P249" s="168"/>
    </row>
    <row r="250" ht="15.75" customHeight="1">
      <c r="A250" s="162"/>
      <c r="B250" s="174"/>
      <c r="C250" s="175"/>
      <c r="D250" s="176"/>
      <c r="E250" s="175"/>
      <c r="F250" s="177"/>
      <c r="G250" s="177"/>
      <c r="H250" s="176"/>
      <c r="I250" s="175"/>
      <c r="J250" s="163"/>
      <c r="K250" s="165"/>
      <c r="L250" s="163"/>
      <c r="M250" s="163"/>
      <c r="N250" s="169"/>
      <c r="O250" s="173"/>
      <c r="P250" s="168"/>
    </row>
    <row r="251" ht="15.75" customHeight="1">
      <c r="A251" s="162"/>
      <c r="B251" s="174"/>
      <c r="C251" s="175"/>
      <c r="D251" s="176"/>
      <c r="E251" s="175"/>
      <c r="F251" s="177"/>
      <c r="G251" s="177"/>
      <c r="H251" s="176"/>
      <c r="I251" s="175"/>
      <c r="J251" s="163"/>
      <c r="K251" s="165"/>
      <c r="L251" s="163"/>
      <c r="M251" s="163"/>
      <c r="N251" s="169"/>
      <c r="O251" s="173"/>
      <c r="P251" s="168"/>
    </row>
    <row r="252" ht="15.75" customHeight="1">
      <c r="A252" s="162"/>
      <c r="B252" s="174"/>
      <c r="C252" s="175"/>
      <c r="D252" s="176"/>
      <c r="E252" s="175"/>
      <c r="F252" s="177"/>
      <c r="G252" s="177"/>
      <c r="H252" s="176"/>
      <c r="I252" s="175"/>
      <c r="J252" s="163"/>
      <c r="K252" s="165"/>
      <c r="L252" s="163"/>
      <c r="M252" s="163"/>
      <c r="N252" s="169"/>
      <c r="O252" s="173"/>
      <c r="P252" s="168"/>
    </row>
    <row r="253" ht="15.75" customHeight="1">
      <c r="A253" s="162"/>
      <c r="B253" s="174"/>
      <c r="C253" s="175"/>
      <c r="D253" s="176"/>
      <c r="E253" s="175"/>
      <c r="F253" s="177"/>
      <c r="G253" s="177"/>
      <c r="H253" s="176"/>
      <c r="I253" s="175"/>
      <c r="J253" s="163"/>
      <c r="K253" s="165"/>
      <c r="L253" s="163"/>
      <c r="M253" s="163"/>
      <c r="N253" s="169"/>
      <c r="O253" s="173"/>
      <c r="P253" s="168"/>
    </row>
    <row r="254" ht="15.75" customHeight="1">
      <c r="A254" s="162"/>
      <c r="B254" s="174"/>
      <c r="C254" s="175"/>
      <c r="D254" s="176"/>
      <c r="E254" s="175"/>
      <c r="F254" s="177"/>
      <c r="G254" s="177"/>
      <c r="H254" s="176"/>
      <c r="I254" s="175"/>
      <c r="J254" s="163"/>
      <c r="K254" s="165"/>
      <c r="L254" s="163"/>
      <c r="M254" s="163"/>
      <c r="N254" s="169"/>
      <c r="O254" s="173"/>
      <c r="P254" s="168"/>
    </row>
    <row r="255" ht="15.75" customHeight="1">
      <c r="A255" s="162"/>
      <c r="B255" s="174"/>
      <c r="C255" s="175"/>
      <c r="D255" s="176"/>
      <c r="E255" s="175"/>
      <c r="F255" s="177"/>
      <c r="G255" s="177"/>
      <c r="H255" s="176"/>
      <c r="I255" s="175"/>
      <c r="J255" s="163"/>
      <c r="K255" s="165"/>
      <c r="L255" s="163"/>
      <c r="M255" s="163"/>
      <c r="N255" s="169"/>
      <c r="O255" s="173"/>
      <c r="P255" s="168"/>
    </row>
    <row r="256" ht="15.75" customHeight="1">
      <c r="A256" s="162"/>
      <c r="B256" s="174"/>
      <c r="C256" s="175"/>
      <c r="D256" s="176"/>
      <c r="E256" s="175"/>
      <c r="F256" s="177"/>
      <c r="G256" s="177"/>
      <c r="H256" s="176"/>
      <c r="I256" s="175"/>
      <c r="J256" s="163"/>
      <c r="K256" s="165"/>
      <c r="L256" s="163"/>
      <c r="M256" s="163"/>
      <c r="N256" s="169"/>
      <c r="O256" s="173"/>
      <c r="P256" s="168"/>
    </row>
    <row r="257" ht="15.75" customHeight="1">
      <c r="A257" s="162"/>
      <c r="B257" s="174"/>
      <c r="C257" s="175"/>
      <c r="D257" s="176"/>
      <c r="E257" s="175"/>
      <c r="F257" s="177"/>
      <c r="G257" s="177"/>
      <c r="H257" s="176"/>
      <c r="I257" s="175"/>
      <c r="J257" s="163"/>
      <c r="K257" s="165"/>
      <c r="L257" s="163"/>
      <c r="M257" s="163"/>
      <c r="N257" s="169"/>
      <c r="O257" s="173"/>
      <c r="P257" s="168"/>
    </row>
    <row r="258" ht="15.75" customHeight="1">
      <c r="A258" s="162"/>
      <c r="B258" s="174"/>
      <c r="C258" s="175"/>
      <c r="D258" s="176"/>
      <c r="E258" s="175"/>
      <c r="F258" s="177"/>
      <c r="G258" s="177"/>
      <c r="H258" s="176"/>
      <c r="I258" s="175"/>
      <c r="J258" s="163"/>
      <c r="K258" s="165"/>
      <c r="L258" s="163"/>
      <c r="M258" s="163"/>
      <c r="N258" s="169"/>
      <c r="O258" s="173"/>
      <c r="P258" s="168"/>
    </row>
    <row r="259" ht="15.75" customHeight="1">
      <c r="A259" s="162"/>
      <c r="B259" s="174"/>
      <c r="C259" s="175"/>
      <c r="D259" s="176"/>
      <c r="E259" s="175"/>
      <c r="F259" s="177"/>
      <c r="G259" s="177"/>
      <c r="H259" s="176"/>
      <c r="I259" s="175"/>
      <c r="J259" s="163"/>
      <c r="K259" s="165"/>
      <c r="L259" s="163"/>
      <c r="M259" s="163"/>
      <c r="N259" s="169"/>
      <c r="O259" s="173"/>
      <c r="P259" s="168"/>
    </row>
    <row r="260" ht="15.75" customHeight="1">
      <c r="A260" s="162"/>
      <c r="B260" s="174"/>
      <c r="C260" s="175"/>
      <c r="D260" s="176"/>
      <c r="E260" s="175"/>
      <c r="F260" s="177"/>
      <c r="G260" s="177"/>
      <c r="H260" s="176"/>
      <c r="I260" s="175"/>
      <c r="J260" s="163"/>
      <c r="K260" s="165"/>
      <c r="L260" s="163"/>
      <c r="M260" s="163"/>
      <c r="N260" s="169"/>
      <c r="O260" s="173"/>
      <c r="P260" s="168"/>
    </row>
    <row r="261" ht="15.75" customHeight="1">
      <c r="A261" s="162"/>
      <c r="B261" s="174"/>
      <c r="C261" s="175"/>
      <c r="D261" s="176"/>
      <c r="E261" s="175"/>
      <c r="F261" s="177"/>
      <c r="G261" s="177"/>
      <c r="H261" s="176"/>
      <c r="I261" s="175"/>
      <c r="J261" s="163"/>
      <c r="K261" s="165"/>
      <c r="L261" s="163"/>
      <c r="M261" s="163"/>
      <c r="N261" s="169"/>
      <c r="O261" s="173"/>
      <c r="P261" s="168"/>
    </row>
    <row r="262" ht="15.75" customHeight="1">
      <c r="A262" s="162"/>
      <c r="B262" s="174"/>
      <c r="C262" s="175"/>
      <c r="D262" s="176"/>
      <c r="E262" s="175"/>
      <c r="F262" s="177"/>
      <c r="G262" s="177"/>
      <c r="H262" s="176"/>
      <c r="I262" s="175"/>
      <c r="J262" s="163"/>
      <c r="K262" s="165"/>
      <c r="L262" s="163"/>
      <c r="M262" s="163"/>
      <c r="N262" s="169"/>
      <c r="O262" s="173"/>
      <c r="P262" s="168"/>
    </row>
    <row r="263" ht="15.75" customHeight="1">
      <c r="A263" s="162"/>
      <c r="B263" s="174"/>
      <c r="C263" s="175"/>
      <c r="D263" s="176"/>
      <c r="E263" s="175"/>
      <c r="F263" s="177"/>
      <c r="G263" s="177"/>
      <c r="H263" s="176"/>
      <c r="I263" s="175"/>
      <c r="J263" s="163"/>
      <c r="K263" s="165"/>
      <c r="L263" s="163"/>
      <c r="M263" s="163"/>
      <c r="N263" s="169"/>
      <c r="O263" s="173"/>
      <c r="P263" s="168"/>
    </row>
    <row r="264" ht="15.75" customHeight="1">
      <c r="A264" s="162"/>
      <c r="B264" s="174"/>
      <c r="C264" s="175"/>
      <c r="D264" s="176"/>
      <c r="E264" s="175"/>
      <c r="F264" s="177"/>
      <c r="G264" s="177"/>
      <c r="H264" s="176"/>
      <c r="I264" s="175"/>
      <c r="J264" s="163"/>
      <c r="K264" s="165"/>
      <c r="L264" s="163"/>
      <c r="M264" s="163"/>
      <c r="N264" s="169"/>
      <c r="O264" s="173"/>
      <c r="P264" s="168"/>
    </row>
    <row r="265" ht="15.75" customHeight="1">
      <c r="A265" s="162"/>
      <c r="B265" s="174"/>
      <c r="C265" s="175"/>
      <c r="D265" s="176"/>
      <c r="E265" s="175"/>
      <c r="F265" s="177"/>
      <c r="G265" s="177"/>
      <c r="H265" s="176"/>
      <c r="I265" s="175"/>
      <c r="J265" s="163"/>
      <c r="K265" s="165"/>
      <c r="L265" s="163"/>
      <c r="M265" s="163"/>
      <c r="N265" s="169"/>
      <c r="O265" s="173"/>
      <c r="P265" s="168"/>
    </row>
    <row r="266" ht="15.75" customHeight="1">
      <c r="A266" s="162"/>
      <c r="B266" s="174"/>
      <c r="C266" s="175"/>
      <c r="D266" s="176"/>
      <c r="E266" s="175"/>
      <c r="F266" s="177"/>
      <c r="G266" s="177"/>
      <c r="H266" s="176"/>
      <c r="I266" s="175"/>
      <c r="J266" s="163"/>
      <c r="K266" s="165"/>
      <c r="L266" s="163"/>
      <c r="M266" s="163"/>
      <c r="N266" s="169"/>
      <c r="O266" s="173"/>
      <c r="P266" s="168"/>
    </row>
    <row r="267" ht="15.75" customHeight="1">
      <c r="A267" s="162"/>
      <c r="B267" s="174"/>
      <c r="C267" s="175"/>
      <c r="D267" s="176"/>
      <c r="E267" s="175"/>
      <c r="F267" s="177"/>
      <c r="G267" s="177"/>
      <c r="H267" s="176"/>
      <c r="I267" s="175"/>
      <c r="J267" s="163"/>
      <c r="K267" s="165"/>
      <c r="L267" s="163"/>
      <c r="M267" s="163"/>
      <c r="N267" s="169"/>
      <c r="O267" s="173"/>
      <c r="P267" s="168"/>
    </row>
    <row r="268" ht="15.75" customHeight="1">
      <c r="A268" s="162"/>
      <c r="B268" s="174"/>
      <c r="C268" s="175"/>
      <c r="D268" s="176"/>
      <c r="E268" s="175"/>
      <c r="F268" s="177"/>
      <c r="G268" s="177"/>
      <c r="H268" s="176"/>
      <c r="I268" s="175"/>
      <c r="J268" s="163"/>
      <c r="K268" s="165"/>
      <c r="L268" s="163"/>
      <c r="M268" s="163"/>
      <c r="N268" s="169"/>
      <c r="O268" s="173"/>
      <c r="P268" s="168"/>
    </row>
    <row r="269" ht="15.75" customHeight="1">
      <c r="A269" s="162"/>
      <c r="B269" s="174"/>
      <c r="C269" s="175"/>
      <c r="D269" s="176"/>
      <c r="E269" s="175"/>
      <c r="F269" s="177"/>
      <c r="G269" s="177"/>
      <c r="H269" s="176"/>
      <c r="I269" s="175"/>
      <c r="J269" s="163"/>
      <c r="K269" s="165"/>
      <c r="L269" s="163"/>
      <c r="M269" s="163"/>
      <c r="N269" s="169"/>
      <c r="O269" s="173"/>
      <c r="P269" s="168"/>
    </row>
    <row r="270" ht="15.75" customHeight="1">
      <c r="A270" s="162"/>
      <c r="B270" s="174"/>
      <c r="C270" s="175"/>
      <c r="D270" s="176"/>
      <c r="E270" s="175"/>
      <c r="F270" s="177"/>
      <c r="G270" s="177"/>
      <c r="H270" s="176"/>
      <c r="I270" s="175"/>
      <c r="J270" s="163"/>
      <c r="K270" s="165"/>
      <c r="L270" s="163"/>
      <c r="M270" s="163"/>
      <c r="N270" s="169"/>
      <c r="O270" s="173"/>
      <c r="P270" s="168"/>
    </row>
    <row r="271" ht="15.75" customHeight="1">
      <c r="A271" s="162"/>
      <c r="B271" s="174"/>
      <c r="C271" s="175"/>
      <c r="D271" s="176"/>
      <c r="E271" s="175"/>
      <c r="F271" s="177"/>
      <c r="G271" s="177"/>
      <c r="H271" s="176"/>
      <c r="I271" s="175"/>
      <c r="J271" s="163"/>
      <c r="K271" s="165"/>
      <c r="L271" s="163"/>
      <c r="M271" s="163"/>
      <c r="N271" s="169"/>
      <c r="O271" s="173"/>
      <c r="P271" s="168"/>
    </row>
    <row r="272" ht="15.75" customHeight="1">
      <c r="A272" s="162"/>
      <c r="B272" s="174"/>
      <c r="C272" s="175"/>
      <c r="D272" s="176"/>
      <c r="E272" s="175"/>
      <c r="F272" s="177"/>
      <c r="G272" s="177"/>
      <c r="H272" s="176"/>
      <c r="I272" s="175"/>
      <c r="J272" s="163"/>
      <c r="K272" s="165"/>
      <c r="L272" s="163"/>
      <c r="M272" s="163"/>
      <c r="N272" s="169"/>
      <c r="O272" s="173"/>
      <c r="P272" s="168"/>
    </row>
    <row r="273" ht="15.75" customHeight="1">
      <c r="A273" s="162"/>
      <c r="B273" s="174"/>
      <c r="C273" s="175"/>
      <c r="D273" s="176"/>
      <c r="E273" s="175"/>
      <c r="F273" s="177"/>
      <c r="G273" s="177"/>
      <c r="H273" s="176"/>
      <c r="I273" s="175"/>
      <c r="J273" s="163"/>
      <c r="K273" s="165"/>
      <c r="L273" s="163"/>
      <c r="M273" s="163"/>
      <c r="N273" s="169"/>
      <c r="O273" s="173"/>
      <c r="P273" s="168"/>
    </row>
    <row r="274" ht="15.75" customHeight="1">
      <c r="A274" s="162"/>
      <c r="B274" s="174"/>
      <c r="C274" s="175"/>
      <c r="D274" s="176"/>
      <c r="E274" s="175"/>
      <c r="F274" s="177"/>
      <c r="G274" s="177"/>
      <c r="H274" s="176"/>
      <c r="I274" s="175"/>
      <c r="J274" s="163"/>
      <c r="K274" s="165"/>
      <c r="L274" s="163"/>
      <c r="M274" s="163"/>
      <c r="N274" s="169"/>
      <c r="O274" s="173"/>
      <c r="P274" s="168"/>
    </row>
    <row r="275" ht="15.75" customHeight="1">
      <c r="A275" s="162"/>
      <c r="B275" s="174"/>
      <c r="C275" s="175"/>
      <c r="D275" s="176"/>
      <c r="E275" s="175"/>
      <c r="F275" s="177"/>
      <c r="G275" s="177"/>
      <c r="H275" s="176"/>
      <c r="I275" s="175"/>
      <c r="J275" s="163"/>
      <c r="K275" s="165"/>
      <c r="L275" s="163"/>
      <c r="M275" s="163"/>
      <c r="N275" s="169"/>
      <c r="O275" s="173"/>
      <c r="P275" s="168"/>
    </row>
    <row r="276" ht="15.75" customHeight="1">
      <c r="A276" s="162"/>
      <c r="B276" s="174"/>
      <c r="C276" s="175"/>
      <c r="D276" s="176"/>
      <c r="E276" s="175"/>
      <c r="F276" s="177"/>
      <c r="G276" s="177"/>
      <c r="H276" s="176"/>
      <c r="I276" s="175"/>
      <c r="J276" s="163"/>
      <c r="K276" s="165"/>
      <c r="L276" s="163"/>
      <c r="M276" s="163"/>
      <c r="N276" s="169"/>
      <c r="O276" s="173"/>
      <c r="P276" s="168"/>
    </row>
    <row r="277" ht="15.75" customHeight="1">
      <c r="A277" s="162"/>
      <c r="B277" s="174"/>
      <c r="C277" s="175"/>
      <c r="D277" s="176"/>
      <c r="E277" s="175"/>
      <c r="F277" s="177"/>
      <c r="G277" s="177"/>
      <c r="H277" s="176"/>
      <c r="I277" s="175"/>
      <c r="J277" s="163"/>
      <c r="K277" s="165"/>
      <c r="L277" s="163"/>
      <c r="M277" s="163"/>
      <c r="N277" s="169"/>
      <c r="O277" s="173"/>
      <c r="P277" s="168"/>
    </row>
    <row r="278" ht="15.75" customHeight="1">
      <c r="A278" s="162"/>
      <c r="B278" s="174"/>
      <c r="C278" s="175"/>
      <c r="D278" s="176"/>
      <c r="E278" s="175"/>
      <c r="F278" s="177"/>
      <c r="G278" s="177"/>
      <c r="H278" s="176"/>
      <c r="I278" s="175"/>
      <c r="J278" s="163"/>
      <c r="K278" s="165"/>
      <c r="L278" s="163"/>
      <c r="M278" s="163"/>
      <c r="N278" s="169"/>
      <c r="O278" s="173"/>
      <c r="P278" s="168"/>
    </row>
    <row r="279" ht="15.75" customHeight="1">
      <c r="A279" s="162"/>
      <c r="B279" s="174"/>
      <c r="C279" s="175"/>
      <c r="D279" s="176"/>
      <c r="E279" s="175"/>
      <c r="F279" s="177"/>
      <c r="G279" s="177"/>
      <c r="H279" s="176"/>
      <c r="I279" s="175"/>
      <c r="J279" s="163"/>
      <c r="K279" s="165"/>
      <c r="L279" s="163"/>
      <c r="M279" s="163"/>
      <c r="N279" s="169"/>
      <c r="O279" s="173"/>
      <c r="P279" s="168"/>
    </row>
    <row r="280" ht="15.75" customHeight="1">
      <c r="A280" s="162"/>
      <c r="B280" s="174"/>
      <c r="C280" s="175"/>
      <c r="D280" s="176"/>
      <c r="E280" s="175"/>
      <c r="F280" s="177"/>
      <c r="G280" s="177"/>
      <c r="H280" s="176"/>
      <c r="I280" s="175"/>
      <c r="J280" s="163"/>
      <c r="K280" s="165"/>
      <c r="L280" s="163"/>
      <c r="M280" s="163"/>
      <c r="N280" s="169"/>
      <c r="O280" s="173"/>
      <c r="P280" s="168"/>
    </row>
    <row r="281" ht="15.75" customHeight="1">
      <c r="A281" s="162"/>
      <c r="B281" s="174"/>
      <c r="C281" s="175"/>
      <c r="D281" s="176"/>
      <c r="E281" s="175"/>
      <c r="F281" s="177"/>
      <c r="G281" s="177"/>
      <c r="H281" s="176"/>
      <c r="I281" s="175"/>
      <c r="J281" s="163"/>
      <c r="K281" s="165"/>
      <c r="L281" s="163"/>
      <c r="M281" s="163"/>
      <c r="N281" s="169"/>
      <c r="O281" s="173"/>
      <c r="P281" s="168"/>
    </row>
    <row r="282" ht="15.75" customHeight="1">
      <c r="A282" s="162"/>
      <c r="B282" s="174"/>
      <c r="C282" s="175"/>
      <c r="D282" s="176"/>
      <c r="E282" s="175"/>
      <c r="F282" s="177"/>
      <c r="G282" s="177"/>
      <c r="H282" s="176"/>
      <c r="I282" s="175"/>
      <c r="J282" s="163"/>
      <c r="K282" s="165"/>
      <c r="L282" s="163"/>
      <c r="M282" s="163"/>
      <c r="N282" s="169"/>
      <c r="O282" s="173"/>
      <c r="P282" s="168"/>
    </row>
    <row r="283" ht="15.75" customHeight="1">
      <c r="A283" s="162"/>
      <c r="B283" s="174"/>
      <c r="C283" s="175"/>
      <c r="D283" s="176"/>
      <c r="E283" s="175"/>
      <c r="F283" s="177"/>
      <c r="G283" s="177"/>
      <c r="H283" s="176"/>
      <c r="I283" s="175"/>
      <c r="J283" s="163"/>
      <c r="K283" s="165"/>
      <c r="L283" s="163"/>
      <c r="M283" s="163"/>
      <c r="N283" s="169"/>
      <c r="O283" s="173"/>
      <c r="P283" s="168"/>
    </row>
    <row r="284" ht="15.75" customHeight="1">
      <c r="A284" s="162"/>
      <c r="B284" s="174"/>
      <c r="C284" s="175"/>
      <c r="D284" s="176"/>
      <c r="E284" s="175"/>
      <c r="F284" s="177"/>
      <c r="G284" s="177"/>
      <c r="H284" s="176"/>
      <c r="I284" s="175"/>
      <c r="J284" s="163"/>
      <c r="K284" s="165"/>
      <c r="L284" s="163"/>
      <c r="M284" s="163"/>
      <c r="N284" s="169"/>
      <c r="O284" s="173"/>
      <c r="P284" s="168"/>
    </row>
    <row r="285" ht="15.75" customHeight="1">
      <c r="A285" s="162"/>
      <c r="B285" s="174"/>
      <c r="C285" s="175"/>
      <c r="D285" s="176"/>
      <c r="E285" s="175"/>
      <c r="F285" s="177"/>
      <c r="G285" s="177"/>
      <c r="H285" s="176"/>
      <c r="I285" s="175"/>
      <c r="J285" s="163"/>
      <c r="K285" s="165"/>
      <c r="L285" s="163"/>
      <c r="M285" s="163"/>
      <c r="N285" s="169"/>
      <c r="O285" s="173"/>
      <c r="P285" s="168"/>
    </row>
    <row r="286" ht="15.75" customHeight="1">
      <c r="A286" s="162"/>
      <c r="B286" s="174"/>
      <c r="C286" s="175"/>
      <c r="D286" s="176"/>
      <c r="E286" s="175"/>
      <c r="F286" s="177"/>
      <c r="G286" s="177"/>
      <c r="H286" s="176"/>
      <c r="I286" s="175"/>
      <c r="J286" s="163"/>
      <c r="K286" s="165"/>
      <c r="L286" s="163"/>
      <c r="M286" s="163"/>
      <c r="N286" s="169"/>
      <c r="O286" s="173"/>
      <c r="P286" s="168"/>
    </row>
    <row r="287" ht="15.75" customHeight="1">
      <c r="A287" s="162"/>
      <c r="B287" s="174"/>
      <c r="C287" s="175"/>
      <c r="D287" s="176"/>
      <c r="E287" s="175"/>
      <c r="F287" s="177"/>
      <c r="G287" s="177"/>
      <c r="H287" s="176"/>
      <c r="I287" s="175"/>
      <c r="J287" s="163"/>
      <c r="K287" s="165"/>
      <c r="L287" s="163"/>
      <c r="M287" s="163"/>
      <c r="N287" s="169"/>
      <c r="O287" s="173"/>
      <c r="P287" s="168"/>
    </row>
    <row r="288" ht="15.75" customHeight="1">
      <c r="A288" s="162"/>
      <c r="B288" s="174"/>
      <c r="C288" s="175"/>
      <c r="D288" s="176"/>
      <c r="E288" s="175"/>
      <c r="F288" s="177"/>
      <c r="G288" s="177"/>
      <c r="H288" s="176"/>
      <c r="I288" s="175"/>
      <c r="J288" s="163"/>
      <c r="K288" s="165"/>
      <c r="L288" s="163"/>
      <c r="M288" s="163"/>
      <c r="N288" s="169"/>
      <c r="O288" s="173"/>
      <c r="P288" s="168"/>
    </row>
    <row r="289" ht="15.75" customHeight="1">
      <c r="A289" s="162"/>
      <c r="B289" s="174"/>
      <c r="C289" s="175"/>
      <c r="D289" s="176"/>
      <c r="E289" s="175"/>
      <c r="F289" s="177"/>
      <c r="G289" s="177"/>
      <c r="H289" s="176"/>
      <c r="I289" s="175"/>
      <c r="J289" s="163"/>
      <c r="K289" s="165"/>
      <c r="L289" s="163"/>
      <c r="M289" s="163"/>
      <c r="N289" s="169"/>
      <c r="O289" s="173"/>
      <c r="P289" s="168"/>
    </row>
    <row r="290" ht="15.75" customHeight="1">
      <c r="A290" s="162"/>
      <c r="B290" s="174"/>
      <c r="C290" s="175"/>
      <c r="D290" s="176"/>
      <c r="E290" s="175"/>
      <c r="F290" s="177"/>
      <c r="G290" s="177"/>
      <c r="H290" s="176"/>
      <c r="I290" s="175"/>
      <c r="J290" s="163"/>
      <c r="K290" s="165"/>
      <c r="L290" s="163"/>
      <c r="M290" s="163"/>
      <c r="N290" s="169"/>
      <c r="O290" s="173"/>
      <c r="P290" s="168"/>
    </row>
    <row r="291" ht="15.75" customHeight="1">
      <c r="A291" s="162"/>
      <c r="B291" s="174"/>
      <c r="C291" s="175"/>
      <c r="D291" s="176"/>
      <c r="E291" s="175"/>
      <c r="F291" s="177"/>
      <c r="G291" s="177"/>
      <c r="H291" s="176"/>
      <c r="I291" s="175"/>
      <c r="J291" s="163"/>
      <c r="K291" s="165"/>
      <c r="L291" s="163"/>
      <c r="M291" s="163"/>
      <c r="N291" s="169"/>
      <c r="O291" s="173"/>
      <c r="P291" s="168"/>
    </row>
    <row r="292" ht="15.75" customHeight="1">
      <c r="A292" s="162"/>
      <c r="B292" s="174"/>
      <c r="C292" s="175"/>
      <c r="D292" s="176"/>
      <c r="E292" s="175"/>
      <c r="F292" s="177"/>
      <c r="G292" s="177"/>
      <c r="H292" s="176"/>
      <c r="I292" s="175"/>
      <c r="J292" s="163"/>
      <c r="K292" s="165"/>
      <c r="L292" s="163"/>
      <c r="M292" s="163"/>
      <c r="N292" s="169"/>
      <c r="O292" s="173"/>
      <c r="P292" s="168"/>
    </row>
    <row r="293" ht="15.75" customHeight="1">
      <c r="A293" s="162"/>
      <c r="B293" s="174"/>
      <c r="C293" s="175"/>
      <c r="D293" s="176"/>
      <c r="E293" s="175"/>
      <c r="F293" s="177"/>
      <c r="G293" s="177"/>
      <c r="H293" s="176"/>
      <c r="I293" s="175"/>
      <c r="J293" s="163"/>
      <c r="K293" s="165"/>
      <c r="L293" s="163"/>
      <c r="M293" s="163"/>
      <c r="N293" s="169"/>
      <c r="O293" s="173"/>
      <c r="P293" s="168"/>
    </row>
    <row r="294" ht="15.75" customHeight="1">
      <c r="A294" s="162"/>
      <c r="B294" s="174"/>
      <c r="C294" s="175"/>
      <c r="D294" s="176"/>
      <c r="E294" s="175"/>
      <c r="F294" s="177"/>
      <c r="G294" s="177"/>
      <c r="H294" s="176"/>
      <c r="I294" s="175"/>
      <c r="J294" s="163"/>
      <c r="K294" s="165"/>
      <c r="L294" s="163"/>
      <c r="M294" s="163"/>
      <c r="N294" s="169"/>
      <c r="O294" s="173"/>
      <c r="P294" s="168"/>
    </row>
    <row r="295" ht="15.75" customHeight="1">
      <c r="A295" s="162"/>
      <c r="B295" s="174"/>
      <c r="C295" s="175"/>
      <c r="D295" s="176"/>
      <c r="E295" s="175"/>
      <c r="F295" s="177"/>
      <c r="G295" s="177"/>
      <c r="H295" s="176"/>
      <c r="I295" s="175"/>
      <c r="J295" s="163"/>
      <c r="K295" s="165"/>
      <c r="L295" s="163"/>
      <c r="M295" s="163"/>
      <c r="N295" s="169"/>
      <c r="O295" s="173"/>
      <c r="P295" s="168"/>
    </row>
    <row r="296" ht="15.75" customHeight="1">
      <c r="A296" s="162"/>
      <c r="B296" s="174"/>
      <c r="C296" s="175"/>
      <c r="D296" s="176"/>
      <c r="E296" s="175"/>
      <c r="F296" s="177"/>
      <c r="G296" s="177"/>
      <c r="H296" s="176"/>
      <c r="I296" s="175"/>
      <c r="J296" s="163"/>
      <c r="K296" s="165"/>
      <c r="L296" s="163"/>
      <c r="M296" s="163"/>
      <c r="N296" s="169"/>
      <c r="O296" s="173"/>
      <c r="P296" s="168"/>
    </row>
    <row r="297" ht="15.75" customHeight="1">
      <c r="A297" s="162"/>
      <c r="B297" s="174"/>
      <c r="C297" s="175"/>
      <c r="D297" s="176"/>
      <c r="E297" s="175"/>
      <c r="F297" s="177"/>
      <c r="G297" s="177"/>
      <c r="H297" s="176"/>
      <c r="I297" s="175"/>
      <c r="J297" s="163"/>
      <c r="K297" s="165"/>
      <c r="L297" s="163"/>
      <c r="M297" s="163"/>
      <c r="N297" s="169"/>
      <c r="O297" s="173"/>
      <c r="P297" s="168"/>
    </row>
    <row r="298" ht="15.75" customHeight="1">
      <c r="A298" s="162"/>
      <c r="B298" s="174"/>
      <c r="C298" s="175"/>
      <c r="D298" s="176"/>
      <c r="E298" s="175"/>
      <c r="F298" s="177"/>
      <c r="G298" s="177"/>
      <c r="H298" s="176"/>
      <c r="I298" s="175"/>
      <c r="J298" s="163"/>
      <c r="K298" s="165"/>
      <c r="L298" s="163"/>
      <c r="M298" s="163"/>
      <c r="N298" s="169"/>
      <c r="O298" s="173"/>
      <c r="P298" s="168"/>
    </row>
    <row r="299" ht="15.75" customHeight="1">
      <c r="A299" s="162"/>
      <c r="B299" s="174"/>
      <c r="C299" s="175"/>
      <c r="D299" s="176"/>
      <c r="E299" s="175"/>
      <c r="F299" s="177"/>
      <c r="G299" s="177"/>
      <c r="H299" s="176"/>
      <c r="I299" s="175"/>
      <c r="J299" s="163"/>
      <c r="K299" s="165"/>
      <c r="L299" s="163"/>
      <c r="M299" s="163"/>
      <c r="N299" s="169"/>
      <c r="O299" s="173"/>
      <c r="P299" s="168"/>
    </row>
    <row r="300" ht="15.75" customHeight="1">
      <c r="A300" s="162"/>
      <c r="B300" s="174"/>
      <c r="C300" s="175"/>
      <c r="D300" s="176"/>
      <c r="E300" s="175"/>
      <c r="F300" s="177"/>
      <c r="G300" s="177"/>
      <c r="H300" s="176"/>
      <c r="I300" s="175"/>
      <c r="J300" s="163"/>
      <c r="K300" s="165"/>
      <c r="L300" s="163"/>
      <c r="M300" s="163"/>
      <c r="N300" s="169"/>
      <c r="O300" s="173"/>
      <c r="P300" s="168"/>
    </row>
    <row r="301" ht="15.75" customHeight="1">
      <c r="A301" s="162"/>
      <c r="B301" s="174"/>
      <c r="C301" s="175"/>
      <c r="D301" s="176"/>
      <c r="E301" s="175"/>
      <c r="F301" s="177"/>
      <c r="G301" s="177"/>
      <c r="H301" s="176"/>
      <c r="I301" s="175"/>
      <c r="J301" s="163"/>
      <c r="K301" s="165"/>
      <c r="L301" s="163"/>
      <c r="M301" s="163"/>
      <c r="N301" s="169"/>
      <c r="O301" s="173"/>
      <c r="P301" s="168"/>
    </row>
    <row r="302" ht="15.75" customHeight="1">
      <c r="A302" s="162"/>
      <c r="B302" s="174"/>
      <c r="C302" s="175"/>
      <c r="D302" s="176"/>
      <c r="E302" s="175"/>
      <c r="F302" s="177"/>
      <c r="G302" s="177"/>
      <c r="H302" s="176"/>
      <c r="I302" s="175"/>
      <c r="J302" s="163"/>
      <c r="K302" s="165"/>
      <c r="L302" s="163"/>
      <c r="M302" s="163"/>
      <c r="N302" s="169"/>
      <c r="O302" s="173"/>
      <c r="P302" s="168"/>
    </row>
    <row r="303" ht="15.75" customHeight="1">
      <c r="A303" s="162"/>
      <c r="B303" s="174"/>
      <c r="C303" s="175"/>
      <c r="D303" s="176"/>
      <c r="E303" s="175"/>
      <c r="F303" s="177"/>
      <c r="G303" s="177"/>
      <c r="H303" s="176"/>
      <c r="I303" s="175"/>
      <c r="J303" s="163"/>
      <c r="K303" s="165"/>
      <c r="L303" s="163"/>
      <c r="M303" s="163"/>
      <c r="N303" s="169"/>
      <c r="O303" s="173"/>
      <c r="P303" s="168"/>
    </row>
    <row r="304" ht="15.75" customHeight="1">
      <c r="A304" s="162"/>
      <c r="B304" s="174"/>
      <c r="C304" s="175"/>
      <c r="D304" s="176"/>
      <c r="E304" s="175"/>
      <c r="F304" s="177"/>
      <c r="G304" s="177"/>
      <c r="H304" s="176"/>
      <c r="I304" s="175"/>
      <c r="J304" s="163"/>
      <c r="K304" s="165"/>
      <c r="L304" s="163"/>
      <c r="M304" s="163"/>
      <c r="N304" s="169"/>
      <c r="O304" s="173"/>
      <c r="P304" s="168"/>
    </row>
    <row r="305" ht="15.75" customHeight="1">
      <c r="A305" s="162"/>
      <c r="B305" s="174"/>
      <c r="C305" s="175"/>
      <c r="D305" s="176"/>
      <c r="E305" s="175"/>
      <c r="F305" s="177"/>
      <c r="G305" s="177"/>
      <c r="H305" s="176"/>
      <c r="I305" s="175"/>
      <c r="J305" s="163"/>
      <c r="K305" s="165"/>
      <c r="L305" s="163"/>
      <c r="M305" s="163"/>
      <c r="N305" s="169"/>
      <c r="O305" s="173"/>
      <c r="P305" s="168"/>
    </row>
    <row r="306" ht="15.75" customHeight="1">
      <c r="A306" s="162"/>
      <c r="B306" s="174"/>
      <c r="C306" s="175"/>
      <c r="D306" s="176"/>
      <c r="E306" s="175"/>
      <c r="F306" s="177"/>
      <c r="G306" s="177"/>
      <c r="H306" s="176"/>
      <c r="I306" s="175"/>
      <c r="J306" s="163"/>
      <c r="K306" s="165"/>
      <c r="L306" s="163"/>
      <c r="M306" s="163"/>
      <c r="N306" s="169"/>
      <c r="O306" s="173"/>
      <c r="P306" s="168"/>
    </row>
    <row r="307" ht="15.75" customHeight="1">
      <c r="A307" s="162"/>
      <c r="B307" s="174"/>
      <c r="C307" s="175"/>
      <c r="D307" s="176"/>
      <c r="E307" s="175"/>
      <c r="F307" s="177"/>
      <c r="G307" s="177"/>
      <c r="H307" s="176"/>
      <c r="I307" s="175"/>
      <c r="J307" s="163"/>
      <c r="K307" s="165"/>
      <c r="L307" s="163"/>
      <c r="M307" s="163"/>
      <c r="N307" s="169"/>
      <c r="O307" s="173"/>
      <c r="P307" s="168"/>
    </row>
    <row r="308" ht="15.75" customHeight="1">
      <c r="A308" s="162"/>
      <c r="B308" s="174"/>
      <c r="C308" s="175"/>
      <c r="D308" s="176"/>
      <c r="E308" s="175"/>
      <c r="F308" s="177"/>
      <c r="G308" s="177"/>
      <c r="H308" s="176"/>
      <c r="I308" s="175"/>
      <c r="J308" s="163"/>
      <c r="K308" s="165"/>
      <c r="L308" s="163"/>
      <c r="M308" s="163"/>
      <c r="N308" s="169"/>
      <c r="O308" s="173"/>
      <c r="P308" s="168"/>
    </row>
    <row r="309" ht="15.75" customHeight="1">
      <c r="A309" s="162"/>
      <c r="B309" s="174"/>
      <c r="C309" s="175"/>
      <c r="D309" s="176"/>
      <c r="E309" s="175"/>
      <c r="F309" s="177"/>
      <c r="G309" s="177"/>
      <c r="H309" s="176"/>
      <c r="I309" s="175"/>
      <c r="J309" s="163"/>
      <c r="K309" s="165"/>
      <c r="L309" s="163"/>
      <c r="M309" s="163"/>
      <c r="N309" s="169"/>
      <c r="O309" s="173"/>
      <c r="P309" s="168"/>
    </row>
    <row r="310" ht="15.75" customHeight="1">
      <c r="A310" s="162"/>
      <c r="B310" s="174"/>
      <c r="C310" s="175"/>
      <c r="D310" s="176"/>
      <c r="E310" s="175"/>
      <c r="F310" s="177"/>
      <c r="G310" s="177"/>
      <c r="H310" s="176"/>
      <c r="I310" s="175"/>
      <c r="J310" s="163"/>
      <c r="K310" s="165"/>
      <c r="L310" s="163"/>
      <c r="M310" s="163"/>
      <c r="N310" s="169"/>
      <c r="O310" s="173"/>
      <c r="P310" s="168"/>
    </row>
    <row r="311" ht="15.75" customHeight="1">
      <c r="A311" s="162"/>
      <c r="B311" s="174"/>
      <c r="C311" s="175"/>
      <c r="D311" s="176"/>
      <c r="E311" s="175"/>
      <c r="F311" s="177"/>
      <c r="G311" s="177"/>
      <c r="H311" s="176"/>
      <c r="I311" s="175"/>
      <c r="J311" s="163"/>
      <c r="K311" s="165"/>
      <c r="L311" s="163"/>
      <c r="M311" s="163"/>
      <c r="N311" s="169"/>
      <c r="O311" s="173"/>
      <c r="P311" s="168"/>
    </row>
    <row r="312" ht="15.75" customHeight="1">
      <c r="A312" s="162"/>
      <c r="B312" s="174"/>
      <c r="C312" s="175"/>
      <c r="D312" s="176"/>
      <c r="E312" s="175"/>
      <c r="F312" s="177"/>
      <c r="G312" s="177"/>
      <c r="H312" s="176"/>
      <c r="I312" s="175"/>
      <c r="J312" s="163"/>
      <c r="K312" s="165"/>
      <c r="L312" s="163"/>
      <c r="M312" s="163"/>
      <c r="N312" s="169"/>
      <c r="O312" s="173"/>
      <c r="P312" s="168"/>
    </row>
    <row r="313" ht="15.75" customHeight="1">
      <c r="A313" s="162"/>
      <c r="B313" s="174"/>
      <c r="C313" s="175"/>
      <c r="D313" s="176"/>
      <c r="E313" s="175"/>
      <c r="F313" s="177"/>
      <c r="G313" s="177"/>
      <c r="H313" s="176"/>
      <c r="I313" s="175"/>
      <c r="J313" s="163"/>
      <c r="K313" s="165"/>
      <c r="L313" s="163"/>
      <c r="M313" s="163"/>
      <c r="N313" s="169"/>
      <c r="O313" s="173"/>
      <c r="P313" s="168"/>
    </row>
    <row r="314" ht="15.75" customHeight="1">
      <c r="A314" s="162"/>
      <c r="B314" s="174"/>
      <c r="C314" s="175"/>
      <c r="D314" s="176"/>
      <c r="E314" s="175"/>
      <c r="F314" s="177"/>
      <c r="G314" s="177"/>
      <c r="H314" s="176"/>
      <c r="I314" s="175"/>
      <c r="J314" s="163"/>
      <c r="K314" s="165"/>
      <c r="L314" s="163"/>
      <c r="M314" s="163"/>
      <c r="N314" s="169"/>
      <c r="O314" s="173"/>
      <c r="P314" s="168"/>
    </row>
    <row r="315" ht="15.75" customHeight="1">
      <c r="A315" s="162"/>
      <c r="B315" s="174"/>
      <c r="C315" s="175"/>
      <c r="D315" s="176"/>
      <c r="E315" s="175"/>
      <c r="F315" s="177"/>
      <c r="G315" s="177"/>
      <c r="H315" s="176"/>
      <c r="I315" s="175"/>
      <c r="J315" s="163"/>
      <c r="K315" s="165"/>
      <c r="L315" s="163"/>
      <c r="M315" s="163"/>
      <c r="N315" s="169"/>
      <c r="O315" s="173"/>
      <c r="P315" s="168"/>
    </row>
    <row r="316" ht="15.75" customHeight="1">
      <c r="A316" s="162"/>
      <c r="B316" s="174"/>
      <c r="C316" s="175"/>
      <c r="D316" s="176"/>
      <c r="E316" s="175"/>
      <c r="F316" s="177"/>
      <c r="G316" s="177"/>
      <c r="H316" s="176"/>
      <c r="I316" s="175"/>
      <c r="J316" s="163"/>
      <c r="K316" s="165"/>
      <c r="L316" s="163"/>
      <c r="M316" s="163"/>
      <c r="N316" s="169"/>
      <c r="O316" s="173"/>
      <c r="P316" s="168"/>
    </row>
    <row r="317" ht="15.75" customHeight="1">
      <c r="A317" s="162"/>
      <c r="B317" s="174"/>
      <c r="C317" s="175"/>
      <c r="D317" s="176"/>
      <c r="E317" s="175"/>
      <c r="F317" s="177"/>
      <c r="G317" s="177"/>
      <c r="H317" s="176"/>
      <c r="I317" s="175"/>
      <c r="J317" s="163"/>
      <c r="K317" s="165"/>
      <c r="L317" s="163"/>
      <c r="M317" s="163"/>
      <c r="N317" s="169"/>
      <c r="O317" s="173"/>
      <c r="P317" s="168"/>
    </row>
    <row r="318" ht="15.75" customHeight="1">
      <c r="A318" s="162"/>
      <c r="B318" s="174"/>
      <c r="C318" s="175"/>
      <c r="D318" s="176"/>
      <c r="E318" s="175"/>
      <c r="F318" s="177"/>
      <c r="G318" s="177"/>
      <c r="H318" s="176"/>
      <c r="I318" s="175"/>
      <c r="J318" s="163"/>
      <c r="K318" s="165"/>
      <c r="L318" s="163"/>
      <c r="M318" s="163"/>
      <c r="N318" s="169"/>
      <c r="O318" s="173"/>
      <c r="P318" s="168"/>
    </row>
    <row r="319" ht="15.75" customHeight="1">
      <c r="A319" s="162"/>
      <c r="B319" s="174"/>
      <c r="C319" s="175"/>
      <c r="D319" s="176"/>
      <c r="E319" s="175"/>
      <c r="F319" s="177"/>
      <c r="G319" s="177"/>
      <c r="H319" s="176"/>
      <c r="I319" s="175"/>
      <c r="J319" s="163"/>
      <c r="K319" s="165"/>
      <c r="L319" s="163"/>
      <c r="M319" s="163"/>
      <c r="N319" s="169"/>
      <c r="O319" s="173"/>
      <c r="P319" s="168"/>
    </row>
    <row r="320" ht="15.75" customHeight="1">
      <c r="A320" s="162"/>
      <c r="B320" s="174"/>
      <c r="C320" s="175"/>
      <c r="D320" s="176"/>
      <c r="E320" s="175"/>
      <c r="F320" s="177"/>
      <c r="G320" s="177"/>
      <c r="H320" s="176"/>
      <c r="I320" s="175"/>
      <c r="J320" s="163"/>
      <c r="K320" s="165"/>
      <c r="L320" s="163"/>
      <c r="M320" s="163"/>
      <c r="N320" s="169"/>
      <c r="O320" s="173"/>
      <c r="P320" s="168"/>
    </row>
    <row r="321" ht="15.75" customHeight="1">
      <c r="A321" s="162"/>
      <c r="B321" s="174"/>
      <c r="C321" s="175"/>
      <c r="D321" s="176"/>
      <c r="E321" s="175"/>
      <c r="F321" s="177"/>
      <c r="G321" s="177"/>
      <c r="H321" s="176"/>
      <c r="I321" s="175"/>
      <c r="J321" s="163"/>
      <c r="K321" s="165"/>
      <c r="L321" s="163"/>
      <c r="M321" s="163"/>
      <c r="N321" s="169"/>
      <c r="O321" s="173"/>
      <c r="P321" s="168"/>
    </row>
    <row r="322" ht="15.75" customHeight="1">
      <c r="A322" s="162"/>
      <c r="B322" s="174"/>
      <c r="C322" s="175"/>
      <c r="D322" s="176"/>
      <c r="E322" s="175"/>
      <c r="F322" s="177"/>
      <c r="G322" s="177"/>
      <c r="H322" s="176"/>
      <c r="I322" s="175"/>
      <c r="J322" s="163"/>
      <c r="K322" s="165"/>
      <c r="L322" s="163"/>
      <c r="M322" s="163"/>
      <c r="N322" s="169"/>
      <c r="O322" s="173"/>
      <c r="P322" s="168"/>
    </row>
    <row r="323" ht="15.75" customHeight="1">
      <c r="A323" s="162"/>
      <c r="B323" s="174"/>
      <c r="C323" s="175"/>
      <c r="D323" s="176"/>
      <c r="E323" s="175"/>
      <c r="F323" s="177"/>
      <c r="G323" s="177"/>
      <c r="H323" s="176"/>
      <c r="I323" s="175"/>
      <c r="J323" s="163"/>
      <c r="K323" s="165"/>
      <c r="L323" s="163"/>
      <c r="M323" s="163"/>
      <c r="N323" s="169"/>
      <c r="O323" s="173"/>
      <c r="P323" s="168"/>
    </row>
    <row r="324" ht="15.75" customHeight="1">
      <c r="A324" s="162"/>
      <c r="B324" s="174"/>
      <c r="C324" s="175"/>
      <c r="D324" s="176"/>
      <c r="E324" s="175"/>
      <c r="F324" s="177"/>
      <c r="G324" s="177"/>
      <c r="H324" s="176"/>
      <c r="I324" s="175"/>
      <c r="J324" s="163"/>
      <c r="K324" s="165"/>
      <c r="L324" s="163"/>
      <c r="M324" s="163"/>
      <c r="N324" s="169"/>
      <c r="O324" s="173"/>
      <c r="P324" s="168"/>
    </row>
    <row r="325" ht="15.75" customHeight="1">
      <c r="A325" s="162"/>
      <c r="B325" s="174"/>
      <c r="C325" s="175"/>
      <c r="D325" s="176"/>
      <c r="E325" s="175"/>
      <c r="F325" s="177"/>
      <c r="G325" s="177"/>
      <c r="H325" s="176"/>
      <c r="I325" s="175"/>
      <c r="J325" s="163"/>
      <c r="K325" s="165"/>
      <c r="L325" s="163"/>
      <c r="M325" s="163"/>
      <c r="N325" s="169"/>
      <c r="O325" s="173"/>
      <c r="P325" s="168"/>
    </row>
    <row r="326" ht="15.75" customHeight="1">
      <c r="A326" s="162"/>
      <c r="B326" s="174"/>
      <c r="C326" s="175"/>
      <c r="D326" s="176"/>
      <c r="E326" s="175"/>
      <c r="F326" s="177"/>
      <c r="G326" s="177"/>
      <c r="H326" s="176"/>
      <c r="I326" s="175"/>
      <c r="J326" s="163"/>
      <c r="K326" s="165"/>
      <c r="L326" s="163"/>
      <c r="M326" s="163"/>
      <c r="N326" s="169"/>
      <c r="O326" s="173"/>
      <c r="P326" s="168"/>
    </row>
    <row r="327" ht="15.75" customHeight="1">
      <c r="A327" s="162"/>
      <c r="B327" s="174"/>
      <c r="C327" s="175"/>
      <c r="D327" s="176"/>
      <c r="E327" s="175"/>
      <c r="F327" s="177"/>
      <c r="G327" s="177"/>
      <c r="H327" s="176"/>
      <c r="I327" s="175"/>
      <c r="J327" s="163"/>
      <c r="K327" s="165"/>
      <c r="L327" s="163"/>
      <c r="M327" s="163"/>
      <c r="N327" s="169"/>
      <c r="O327" s="173"/>
      <c r="P327" s="168"/>
    </row>
    <row r="328" ht="15.75" customHeight="1">
      <c r="A328" s="162"/>
      <c r="B328" s="174"/>
      <c r="C328" s="175"/>
      <c r="D328" s="176"/>
      <c r="E328" s="175"/>
      <c r="F328" s="177"/>
      <c r="G328" s="177"/>
      <c r="H328" s="176"/>
      <c r="I328" s="175"/>
      <c r="J328" s="163"/>
      <c r="K328" s="165"/>
      <c r="L328" s="163"/>
      <c r="M328" s="163"/>
      <c r="N328" s="169"/>
      <c r="O328" s="173"/>
      <c r="P328" s="168"/>
    </row>
    <row r="329" ht="15.75" customHeight="1">
      <c r="A329" s="162"/>
      <c r="B329" s="174"/>
      <c r="C329" s="175"/>
      <c r="D329" s="176"/>
      <c r="E329" s="175"/>
      <c r="F329" s="177"/>
      <c r="G329" s="177"/>
      <c r="H329" s="176"/>
      <c r="I329" s="175"/>
      <c r="J329" s="163"/>
      <c r="K329" s="165"/>
      <c r="L329" s="163"/>
      <c r="M329" s="163"/>
      <c r="N329" s="169"/>
      <c r="O329" s="173"/>
      <c r="P329" s="168"/>
    </row>
    <row r="330" ht="15.75" customHeight="1">
      <c r="A330" s="162"/>
      <c r="B330" s="174"/>
      <c r="C330" s="175"/>
      <c r="D330" s="176"/>
      <c r="E330" s="175"/>
      <c r="F330" s="177"/>
      <c r="G330" s="177"/>
      <c r="H330" s="176"/>
      <c r="I330" s="175"/>
      <c r="J330" s="163"/>
      <c r="K330" s="165"/>
      <c r="L330" s="163"/>
      <c r="M330" s="163"/>
      <c r="N330" s="169"/>
      <c r="O330" s="173"/>
      <c r="P330" s="168"/>
    </row>
    <row r="331" ht="15.75" customHeight="1">
      <c r="A331" s="162"/>
      <c r="B331" s="174"/>
      <c r="C331" s="175"/>
      <c r="D331" s="176"/>
      <c r="E331" s="175"/>
      <c r="F331" s="177"/>
      <c r="G331" s="177"/>
      <c r="H331" s="176"/>
      <c r="I331" s="175"/>
      <c r="J331" s="163"/>
      <c r="K331" s="165"/>
      <c r="L331" s="163"/>
      <c r="M331" s="163"/>
      <c r="N331" s="169"/>
      <c r="O331" s="173"/>
      <c r="P331" s="168"/>
    </row>
    <row r="332" ht="15.75" customHeight="1">
      <c r="A332" s="162"/>
      <c r="B332" s="174"/>
      <c r="C332" s="175"/>
      <c r="D332" s="176"/>
      <c r="E332" s="175"/>
      <c r="F332" s="177"/>
      <c r="G332" s="177"/>
      <c r="H332" s="176"/>
      <c r="I332" s="175"/>
      <c r="J332" s="163"/>
      <c r="K332" s="165"/>
      <c r="L332" s="163"/>
      <c r="M332" s="163"/>
      <c r="N332" s="169"/>
      <c r="O332" s="173"/>
      <c r="P332" s="168"/>
    </row>
    <row r="333" ht="15.75" customHeight="1">
      <c r="A333" s="162"/>
      <c r="B333" s="174"/>
      <c r="C333" s="175"/>
      <c r="D333" s="176"/>
      <c r="E333" s="175"/>
      <c r="F333" s="177"/>
      <c r="G333" s="177"/>
      <c r="H333" s="176"/>
      <c r="I333" s="175"/>
      <c r="J333" s="163"/>
      <c r="K333" s="165"/>
      <c r="L333" s="163"/>
      <c r="M333" s="163"/>
      <c r="N333" s="169"/>
      <c r="O333" s="173"/>
      <c r="P333" s="168"/>
    </row>
    <row r="334" ht="15.75" customHeight="1">
      <c r="A334" s="162"/>
      <c r="B334" s="174"/>
      <c r="C334" s="175"/>
      <c r="D334" s="176"/>
      <c r="E334" s="175"/>
      <c r="F334" s="177"/>
      <c r="G334" s="177"/>
      <c r="H334" s="176"/>
      <c r="I334" s="175"/>
      <c r="J334" s="163"/>
      <c r="K334" s="165"/>
      <c r="L334" s="163"/>
      <c r="M334" s="163"/>
      <c r="N334" s="169"/>
      <c r="O334" s="173"/>
      <c r="P334" s="168"/>
    </row>
    <row r="335" ht="15.75" customHeight="1">
      <c r="A335" s="162"/>
      <c r="B335" s="174"/>
      <c r="C335" s="175"/>
      <c r="D335" s="176"/>
      <c r="E335" s="175"/>
      <c r="F335" s="177"/>
      <c r="G335" s="177"/>
      <c r="H335" s="176"/>
      <c r="I335" s="175"/>
      <c r="J335" s="163"/>
      <c r="K335" s="165"/>
      <c r="L335" s="163"/>
      <c r="M335" s="163"/>
      <c r="N335" s="169"/>
      <c r="O335" s="173"/>
      <c r="P335" s="168"/>
    </row>
    <row r="336" ht="15.75" customHeight="1">
      <c r="A336" s="162"/>
      <c r="B336" s="174"/>
      <c r="C336" s="175"/>
      <c r="D336" s="176"/>
      <c r="E336" s="175"/>
      <c r="F336" s="177"/>
      <c r="G336" s="177"/>
      <c r="H336" s="176"/>
      <c r="I336" s="175"/>
      <c r="J336" s="163"/>
      <c r="K336" s="165"/>
      <c r="L336" s="163"/>
      <c r="M336" s="163"/>
      <c r="N336" s="169"/>
      <c r="O336" s="173"/>
      <c r="P336" s="168"/>
    </row>
    <row r="337" ht="15.75" customHeight="1">
      <c r="A337" s="162"/>
      <c r="B337" s="174"/>
      <c r="C337" s="175"/>
      <c r="D337" s="176"/>
      <c r="E337" s="175"/>
      <c r="F337" s="177"/>
      <c r="G337" s="177"/>
      <c r="H337" s="176"/>
      <c r="I337" s="175"/>
      <c r="J337" s="163"/>
      <c r="K337" s="165"/>
      <c r="L337" s="163"/>
      <c r="M337" s="163"/>
      <c r="N337" s="169"/>
      <c r="O337" s="173"/>
      <c r="P337" s="168"/>
    </row>
    <row r="338" ht="15.75" customHeight="1">
      <c r="A338" s="162"/>
      <c r="B338" s="174"/>
      <c r="C338" s="175"/>
      <c r="D338" s="176"/>
      <c r="E338" s="175"/>
      <c r="F338" s="177"/>
      <c r="G338" s="177"/>
      <c r="H338" s="176"/>
      <c r="I338" s="175"/>
      <c r="J338" s="163"/>
      <c r="K338" s="165"/>
      <c r="L338" s="163"/>
      <c r="M338" s="163"/>
      <c r="N338" s="169"/>
      <c r="O338" s="173"/>
      <c r="P338" s="168"/>
    </row>
    <row r="339" ht="15.75" customHeight="1">
      <c r="A339" s="162"/>
      <c r="B339" s="174"/>
      <c r="C339" s="175"/>
      <c r="D339" s="176"/>
      <c r="E339" s="175"/>
      <c r="F339" s="177"/>
      <c r="G339" s="177"/>
      <c r="H339" s="176"/>
      <c r="I339" s="175"/>
      <c r="J339" s="163"/>
      <c r="K339" s="165"/>
      <c r="L339" s="163"/>
      <c r="M339" s="163"/>
      <c r="N339" s="169"/>
      <c r="O339" s="173"/>
      <c r="P339" s="168"/>
    </row>
    <row r="340" ht="15.75" customHeight="1">
      <c r="A340" s="162"/>
      <c r="B340" s="174"/>
      <c r="C340" s="175"/>
      <c r="D340" s="176"/>
      <c r="E340" s="175"/>
      <c r="F340" s="177"/>
      <c r="G340" s="177"/>
      <c r="H340" s="176"/>
      <c r="I340" s="175"/>
      <c r="J340" s="163"/>
      <c r="K340" s="165"/>
      <c r="L340" s="163"/>
      <c r="M340" s="163"/>
      <c r="N340" s="169"/>
      <c r="O340" s="173"/>
      <c r="P340" s="168"/>
    </row>
    <row r="341" ht="15.75" customHeight="1">
      <c r="A341" s="162"/>
      <c r="B341" s="174"/>
      <c r="C341" s="175"/>
      <c r="D341" s="176"/>
      <c r="E341" s="175"/>
      <c r="F341" s="177"/>
      <c r="G341" s="177"/>
      <c r="H341" s="176"/>
      <c r="I341" s="175"/>
      <c r="J341" s="163"/>
      <c r="K341" s="165"/>
      <c r="L341" s="163"/>
      <c r="M341" s="163"/>
      <c r="N341" s="169"/>
      <c r="O341" s="173"/>
      <c r="P341" s="168"/>
    </row>
    <row r="342" ht="15.75" customHeight="1">
      <c r="A342" s="162"/>
      <c r="B342" s="174"/>
      <c r="C342" s="175"/>
      <c r="D342" s="176"/>
      <c r="E342" s="175"/>
      <c r="F342" s="177"/>
      <c r="G342" s="177"/>
      <c r="H342" s="176"/>
      <c r="I342" s="175"/>
      <c r="J342" s="163"/>
      <c r="K342" s="165"/>
      <c r="L342" s="163"/>
      <c r="M342" s="163"/>
      <c r="N342" s="169"/>
      <c r="O342" s="173"/>
      <c r="P342" s="168"/>
    </row>
    <row r="343" ht="15.75" customHeight="1">
      <c r="A343" s="162"/>
      <c r="B343" s="174"/>
      <c r="C343" s="175"/>
      <c r="D343" s="176"/>
      <c r="E343" s="175"/>
      <c r="F343" s="177"/>
      <c r="G343" s="177"/>
      <c r="H343" s="176"/>
      <c r="I343" s="175"/>
      <c r="J343" s="163"/>
      <c r="K343" s="165"/>
      <c r="L343" s="163"/>
      <c r="M343" s="163"/>
      <c r="N343" s="169"/>
      <c r="O343" s="173"/>
      <c r="P343" s="168"/>
    </row>
    <row r="344" ht="15.75" customHeight="1">
      <c r="A344" s="162"/>
      <c r="B344" s="174"/>
      <c r="C344" s="175"/>
      <c r="D344" s="176"/>
      <c r="E344" s="175"/>
      <c r="F344" s="177"/>
      <c r="G344" s="177"/>
      <c r="H344" s="176"/>
      <c r="I344" s="175"/>
      <c r="J344" s="163"/>
      <c r="K344" s="165"/>
      <c r="L344" s="163"/>
      <c r="M344" s="163"/>
      <c r="N344" s="169"/>
      <c r="O344" s="173"/>
      <c r="P344" s="168"/>
    </row>
    <row r="345" ht="15.75" customHeight="1">
      <c r="A345" s="162"/>
      <c r="B345" s="174"/>
      <c r="C345" s="175"/>
      <c r="D345" s="176"/>
      <c r="E345" s="175"/>
      <c r="F345" s="177"/>
      <c r="G345" s="177"/>
      <c r="H345" s="176"/>
      <c r="I345" s="175"/>
      <c r="J345" s="163"/>
      <c r="K345" s="165"/>
      <c r="L345" s="163"/>
      <c r="M345" s="163"/>
      <c r="N345" s="169"/>
      <c r="O345" s="173"/>
      <c r="P345" s="168"/>
    </row>
    <row r="346" ht="15.75" customHeight="1">
      <c r="A346" s="162"/>
      <c r="B346" s="174"/>
      <c r="C346" s="175"/>
      <c r="D346" s="176"/>
      <c r="E346" s="175"/>
      <c r="F346" s="177"/>
      <c r="G346" s="177"/>
      <c r="H346" s="176"/>
      <c r="I346" s="175"/>
      <c r="J346" s="163"/>
      <c r="K346" s="165"/>
      <c r="L346" s="163"/>
      <c r="M346" s="163"/>
      <c r="N346" s="169"/>
      <c r="O346" s="173"/>
      <c r="P346" s="168"/>
    </row>
    <row r="347" ht="15.75" customHeight="1">
      <c r="A347" s="162"/>
      <c r="B347" s="174"/>
      <c r="C347" s="175"/>
      <c r="D347" s="176"/>
      <c r="E347" s="175"/>
      <c r="F347" s="177"/>
      <c r="G347" s="177"/>
      <c r="H347" s="176"/>
      <c r="I347" s="175"/>
      <c r="J347" s="163"/>
      <c r="K347" s="165"/>
      <c r="L347" s="163"/>
      <c r="M347" s="163"/>
      <c r="N347" s="169"/>
      <c r="O347" s="173"/>
      <c r="P347" s="168"/>
    </row>
    <row r="348" ht="15.75" customHeight="1">
      <c r="A348" s="162"/>
      <c r="B348" s="174"/>
      <c r="C348" s="175"/>
      <c r="D348" s="176"/>
      <c r="E348" s="175"/>
      <c r="F348" s="177"/>
      <c r="G348" s="177"/>
      <c r="H348" s="176"/>
      <c r="I348" s="175"/>
      <c r="J348" s="163"/>
      <c r="K348" s="165"/>
      <c r="L348" s="163"/>
      <c r="M348" s="163"/>
      <c r="N348" s="169"/>
      <c r="O348" s="173"/>
      <c r="P348" s="168"/>
    </row>
    <row r="349" ht="15.75" customHeight="1">
      <c r="A349" s="162"/>
      <c r="B349" s="174"/>
      <c r="C349" s="175"/>
      <c r="D349" s="176"/>
      <c r="E349" s="175"/>
      <c r="F349" s="177"/>
      <c r="G349" s="177"/>
      <c r="H349" s="176"/>
      <c r="I349" s="175"/>
      <c r="J349" s="163"/>
      <c r="K349" s="165"/>
      <c r="L349" s="163"/>
      <c r="M349" s="163"/>
      <c r="N349" s="169"/>
      <c r="O349" s="173"/>
      <c r="P349" s="168"/>
    </row>
    <row r="350" ht="15.75" customHeight="1">
      <c r="A350" s="162"/>
      <c r="B350" s="174"/>
      <c r="C350" s="175"/>
      <c r="D350" s="176"/>
      <c r="E350" s="175"/>
      <c r="F350" s="177"/>
      <c r="G350" s="177"/>
      <c r="H350" s="176"/>
      <c r="I350" s="175"/>
      <c r="J350" s="163"/>
      <c r="K350" s="165"/>
      <c r="L350" s="163"/>
      <c r="M350" s="163"/>
      <c r="N350" s="169"/>
      <c r="O350" s="173"/>
      <c r="P350" s="168"/>
    </row>
    <row r="351" ht="15.75" customHeight="1">
      <c r="A351" s="162"/>
      <c r="B351" s="174"/>
      <c r="C351" s="175"/>
      <c r="D351" s="176"/>
      <c r="E351" s="175"/>
      <c r="F351" s="177"/>
      <c r="G351" s="177"/>
      <c r="H351" s="176"/>
      <c r="I351" s="175"/>
      <c r="J351" s="163"/>
      <c r="K351" s="165"/>
      <c r="L351" s="163"/>
      <c r="M351" s="163"/>
      <c r="N351" s="169"/>
      <c r="O351" s="173"/>
      <c r="P351" s="168"/>
    </row>
    <row r="352" ht="15.75" customHeight="1">
      <c r="A352" s="162"/>
      <c r="B352" s="174"/>
      <c r="C352" s="175"/>
      <c r="D352" s="176"/>
      <c r="E352" s="175"/>
      <c r="F352" s="177"/>
      <c r="G352" s="177"/>
      <c r="H352" s="176"/>
      <c r="I352" s="175"/>
      <c r="J352" s="163"/>
      <c r="K352" s="165"/>
      <c r="L352" s="163"/>
      <c r="M352" s="163"/>
      <c r="N352" s="169"/>
      <c r="O352" s="173"/>
      <c r="P352" s="168"/>
    </row>
    <row r="353" ht="15.75" customHeight="1">
      <c r="A353" s="162"/>
      <c r="B353" s="174"/>
      <c r="C353" s="175"/>
      <c r="D353" s="176"/>
      <c r="E353" s="175"/>
      <c r="F353" s="177"/>
      <c r="G353" s="177"/>
      <c r="H353" s="176"/>
      <c r="I353" s="175"/>
      <c r="J353" s="163"/>
      <c r="K353" s="165"/>
      <c r="L353" s="163"/>
      <c r="M353" s="163"/>
      <c r="N353" s="169"/>
      <c r="O353" s="173"/>
      <c r="P353" s="168"/>
    </row>
    <row r="354" ht="15.75" customHeight="1">
      <c r="A354" s="162"/>
      <c r="B354" s="174"/>
      <c r="C354" s="175"/>
      <c r="D354" s="176"/>
      <c r="E354" s="175"/>
      <c r="F354" s="177"/>
      <c r="G354" s="177"/>
      <c r="H354" s="176"/>
      <c r="I354" s="175"/>
      <c r="J354" s="163"/>
      <c r="K354" s="165"/>
      <c r="L354" s="163"/>
      <c r="M354" s="163"/>
      <c r="N354" s="169"/>
      <c r="O354" s="173"/>
      <c r="P354" s="168"/>
    </row>
    <row r="355" ht="15.75" customHeight="1">
      <c r="A355" s="162"/>
      <c r="B355" s="174"/>
      <c r="C355" s="175"/>
      <c r="D355" s="176"/>
      <c r="E355" s="175"/>
      <c r="F355" s="177"/>
      <c r="G355" s="177"/>
      <c r="H355" s="176"/>
      <c r="I355" s="175"/>
      <c r="J355" s="163"/>
      <c r="K355" s="165"/>
      <c r="L355" s="163"/>
      <c r="M355" s="163"/>
      <c r="N355" s="169"/>
      <c r="O355" s="173"/>
      <c r="P355" s="168"/>
    </row>
    <row r="356" ht="15.75" customHeight="1">
      <c r="A356" s="162"/>
      <c r="B356" s="174"/>
      <c r="C356" s="175"/>
      <c r="D356" s="176"/>
      <c r="E356" s="175"/>
      <c r="F356" s="177"/>
      <c r="G356" s="177"/>
      <c r="H356" s="176"/>
      <c r="I356" s="175"/>
      <c r="J356" s="163"/>
      <c r="K356" s="165"/>
      <c r="L356" s="163"/>
      <c r="M356" s="163"/>
      <c r="N356" s="169"/>
      <c r="O356" s="173"/>
      <c r="P356" s="168"/>
    </row>
    <row r="357" ht="15.75" customHeight="1">
      <c r="A357" s="162"/>
      <c r="B357" s="174"/>
      <c r="C357" s="175"/>
      <c r="D357" s="176"/>
      <c r="E357" s="175"/>
      <c r="F357" s="177"/>
      <c r="G357" s="177"/>
      <c r="H357" s="176"/>
      <c r="I357" s="175"/>
      <c r="J357" s="163"/>
      <c r="K357" s="165"/>
      <c r="L357" s="163"/>
      <c r="M357" s="163"/>
      <c r="N357" s="169"/>
      <c r="O357" s="173"/>
      <c r="P357" s="168"/>
    </row>
    <row r="358" ht="15.75" customHeight="1">
      <c r="A358" s="162"/>
      <c r="B358" s="174"/>
      <c r="C358" s="175"/>
      <c r="D358" s="176"/>
      <c r="E358" s="175"/>
      <c r="F358" s="177"/>
      <c r="G358" s="177"/>
      <c r="H358" s="176"/>
      <c r="I358" s="175"/>
      <c r="J358" s="163"/>
      <c r="K358" s="165"/>
      <c r="L358" s="163"/>
      <c r="M358" s="163"/>
      <c r="N358" s="169"/>
      <c r="O358" s="173"/>
      <c r="P358" s="168"/>
    </row>
    <row r="359" ht="15.75" customHeight="1">
      <c r="A359" s="162"/>
      <c r="B359" s="174"/>
      <c r="C359" s="175"/>
      <c r="D359" s="176"/>
      <c r="E359" s="175"/>
      <c r="F359" s="177"/>
      <c r="G359" s="177"/>
      <c r="H359" s="176"/>
      <c r="I359" s="175"/>
      <c r="J359" s="163"/>
      <c r="K359" s="165"/>
      <c r="L359" s="163"/>
      <c r="M359" s="163"/>
      <c r="N359" s="169"/>
      <c r="O359" s="173"/>
      <c r="P359" s="168"/>
    </row>
    <row r="360" ht="15.75" customHeight="1">
      <c r="A360" s="162"/>
      <c r="B360" s="174"/>
      <c r="C360" s="175"/>
      <c r="D360" s="176"/>
      <c r="E360" s="175"/>
      <c r="F360" s="177"/>
      <c r="G360" s="177"/>
      <c r="H360" s="176"/>
      <c r="I360" s="175"/>
      <c r="J360" s="163"/>
      <c r="K360" s="165"/>
      <c r="L360" s="163"/>
      <c r="M360" s="163"/>
      <c r="N360" s="169"/>
      <c r="O360" s="173"/>
      <c r="P360" s="168"/>
    </row>
    <row r="361" ht="15.75" customHeight="1">
      <c r="A361" s="162"/>
      <c r="B361" s="174"/>
      <c r="C361" s="175"/>
      <c r="D361" s="176"/>
      <c r="E361" s="175"/>
      <c r="F361" s="177"/>
      <c r="G361" s="177"/>
      <c r="H361" s="176"/>
      <c r="I361" s="175"/>
      <c r="J361" s="163"/>
      <c r="K361" s="165"/>
      <c r="L361" s="163"/>
      <c r="M361" s="163"/>
      <c r="N361" s="169"/>
      <c r="O361" s="173"/>
      <c r="P361" s="168"/>
    </row>
    <row r="362" ht="15.75" customHeight="1">
      <c r="A362" s="162"/>
      <c r="B362" s="174"/>
      <c r="C362" s="175"/>
      <c r="D362" s="176"/>
      <c r="E362" s="175"/>
      <c r="F362" s="177"/>
      <c r="G362" s="177"/>
      <c r="H362" s="176"/>
      <c r="I362" s="175"/>
      <c r="J362" s="163"/>
      <c r="K362" s="165"/>
      <c r="L362" s="163"/>
      <c r="M362" s="163"/>
      <c r="N362" s="169"/>
      <c r="O362" s="173"/>
      <c r="P362" s="168"/>
    </row>
    <row r="363" ht="15.75" customHeight="1">
      <c r="A363" s="162"/>
      <c r="B363" s="174"/>
      <c r="C363" s="175"/>
      <c r="D363" s="176"/>
      <c r="E363" s="175"/>
      <c r="F363" s="177"/>
      <c r="G363" s="177"/>
      <c r="H363" s="176"/>
      <c r="I363" s="175"/>
      <c r="J363" s="163"/>
      <c r="K363" s="165"/>
      <c r="L363" s="163"/>
      <c r="M363" s="163"/>
      <c r="N363" s="169"/>
      <c r="O363" s="173"/>
      <c r="P363" s="168"/>
    </row>
    <row r="364" ht="15.75" customHeight="1">
      <c r="A364" s="162"/>
      <c r="B364" s="174"/>
      <c r="C364" s="175"/>
      <c r="D364" s="176"/>
      <c r="E364" s="175"/>
      <c r="F364" s="177"/>
      <c r="G364" s="177"/>
      <c r="H364" s="176"/>
      <c r="I364" s="175"/>
      <c r="J364" s="163"/>
      <c r="K364" s="165"/>
      <c r="L364" s="163"/>
      <c r="M364" s="163"/>
      <c r="N364" s="169"/>
      <c r="O364" s="173"/>
      <c r="P364" s="168"/>
    </row>
    <row r="365" ht="15.75" customHeight="1">
      <c r="A365" s="162"/>
      <c r="B365" s="174"/>
      <c r="C365" s="175"/>
      <c r="D365" s="176"/>
      <c r="E365" s="175"/>
      <c r="F365" s="177"/>
      <c r="G365" s="177"/>
      <c r="H365" s="176"/>
      <c r="I365" s="175"/>
      <c r="J365" s="163"/>
      <c r="K365" s="165"/>
      <c r="L365" s="163"/>
      <c r="M365" s="163"/>
      <c r="N365" s="169"/>
      <c r="O365" s="173"/>
      <c r="P365" s="168"/>
    </row>
    <row r="366" ht="15.75" customHeight="1">
      <c r="A366" s="162"/>
      <c r="B366" s="174"/>
      <c r="C366" s="175"/>
      <c r="D366" s="176"/>
      <c r="E366" s="175"/>
      <c r="F366" s="177"/>
      <c r="G366" s="177"/>
      <c r="H366" s="176"/>
      <c r="I366" s="175"/>
      <c r="J366" s="163"/>
      <c r="K366" s="165"/>
      <c r="L366" s="163"/>
      <c r="M366" s="163"/>
      <c r="N366" s="169"/>
      <c r="O366" s="173"/>
      <c r="P366" s="168"/>
    </row>
    <row r="367" ht="15.75" customHeight="1">
      <c r="A367" s="162"/>
      <c r="B367" s="174"/>
      <c r="C367" s="175"/>
      <c r="D367" s="176"/>
      <c r="E367" s="175"/>
      <c r="F367" s="177"/>
      <c r="G367" s="177"/>
      <c r="H367" s="176"/>
      <c r="I367" s="175"/>
      <c r="J367" s="163"/>
      <c r="K367" s="165"/>
      <c r="L367" s="163"/>
      <c r="M367" s="163"/>
      <c r="N367" s="169"/>
      <c r="O367" s="173"/>
      <c r="P367" s="168"/>
    </row>
    <row r="368" ht="15.75" customHeight="1">
      <c r="A368" s="162"/>
      <c r="B368" s="174"/>
      <c r="C368" s="175"/>
      <c r="D368" s="176"/>
      <c r="E368" s="175"/>
      <c r="F368" s="177"/>
      <c r="G368" s="177"/>
      <c r="H368" s="176"/>
      <c r="I368" s="175"/>
      <c r="J368" s="163"/>
      <c r="K368" s="165"/>
      <c r="L368" s="163"/>
      <c r="M368" s="163"/>
      <c r="N368" s="169"/>
      <c r="O368" s="173"/>
      <c r="P368" s="168"/>
    </row>
    <row r="369" ht="15.75" customHeight="1">
      <c r="A369" s="162"/>
      <c r="B369" s="174"/>
      <c r="C369" s="175"/>
      <c r="D369" s="176"/>
      <c r="E369" s="175"/>
      <c r="F369" s="177"/>
      <c r="G369" s="177"/>
      <c r="H369" s="176"/>
      <c r="I369" s="175"/>
      <c r="J369" s="163"/>
      <c r="K369" s="165"/>
      <c r="L369" s="163"/>
      <c r="M369" s="163"/>
      <c r="N369" s="169"/>
      <c r="O369" s="173"/>
      <c r="P369" s="168"/>
    </row>
    <row r="370" ht="15.75" customHeight="1">
      <c r="A370" s="162"/>
      <c r="B370" s="174"/>
      <c r="C370" s="175"/>
      <c r="D370" s="176"/>
      <c r="E370" s="175"/>
      <c r="F370" s="177"/>
      <c r="G370" s="177"/>
      <c r="H370" s="176"/>
      <c r="I370" s="175"/>
      <c r="J370" s="163"/>
      <c r="K370" s="165"/>
      <c r="L370" s="163"/>
      <c r="M370" s="163"/>
      <c r="N370" s="169"/>
      <c r="O370" s="173"/>
      <c r="P370" s="168"/>
    </row>
    <row r="371" ht="15.75" customHeight="1">
      <c r="A371" s="162"/>
      <c r="B371" s="174"/>
      <c r="C371" s="175"/>
      <c r="D371" s="176"/>
      <c r="E371" s="175"/>
      <c r="F371" s="177"/>
      <c r="G371" s="177"/>
      <c r="H371" s="176"/>
      <c r="I371" s="175"/>
      <c r="J371" s="163"/>
      <c r="K371" s="165"/>
      <c r="L371" s="163"/>
      <c r="M371" s="163"/>
      <c r="N371" s="169"/>
      <c r="O371" s="173"/>
      <c r="P371" s="168"/>
    </row>
    <row r="372" ht="15.75" customHeight="1">
      <c r="A372" s="162"/>
      <c r="B372" s="174"/>
      <c r="C372" s="175"/>
      <c r="D372" s="176"/>
      <c r="E372" s="175"/>
      <c r="F372" s="177"/>
      <c r="G372" s="177"/>
      <c r="H372" s="176"/>
      <c r="I372" s="175"/>
      <c r="J372" s="163"/>
      <c r="K372" s="165"/>
      <c r="L372" s="163"/>
      <c r="M372" s="163"/>
      <c r="N372" s="169"/>
      <c r="O372" s="173"/>
      <c r="P372" s="168"/>
    </row>
    <row r="373" ht="15.75" customHeight="1">
      <c r="A373" s="162"/>
      <c r="B373" s="174"/>
      <c r="C373" s="175"/>
      <c r="D373" s="176"/>
      <c r="E373" s="175"/>
      <c r="F373" s="177"/>
      <c r="G373" s="177"/>
      <c r="H373" s="176"/>
      <c r="I373" s="175"/>
      <c r="J373" s="163"/>
      <c r="K373" s="165"/>
      <c r="L373" s="163"/>
      <c r="M373" s="163"/>
      <c r="N373" s="169"/>
      <c r="O373" s="173"/>
      <c r="P373" s="168"/>
    </row>
    <row r="374" ht="15.75" customHeight="1">
      <c r="A374" s="162"/>
      <c r="B374" s="174"/>
      <c r="C374" s="175"/>
      <c r="D374" s="176"/>
      <c r="E374" s="175"/>
      <c r="F374" s="177"/>
      <c r="G374" s="177"/>
      <c r="H374" s="176"/>
      <c r="I374" s="175"/>
      <c r="J374" s="163"/>
      <c r="K374" s="165"/>
      <c r="L374" s="163"/>
      <c r="M374" s="163"/>
      <c r="N374" s="169"/>
      <c r="O374" s="173"/>
      <c r="P374" s="168"/>
    </row>
    <row r="375" ht="15.75" customHeight="1">
      <c r="A375" s="162"/>
      <c r="B375" s="174"/>
      <c r="C375" s="175"/>
      <c r="D375" s="176"/>
      <c r="E375" s="175"/>
      <c r="F375" s="177"/>
      <c r="G375" s="177"/>
      <c r="H375" s="176"/>
      <c r="I375" s="175"/>
      <c r="J375" s="163"/>
      <c r="K375" s="165"/>
      <c r="L375" s="163"/>
      <c r="M375" s="163"/>
      <c r="N375" s="169"/>
      <c r="O375" s="173"/>
      <c r="P375" s="168"/>
    </row>
    <row r="376" ht="15.75" customHeight="1">
      <c r="A376" s="162"/>
      <c r="B376" s="174"/>
      <c r="C376" s="175"/>
      <c r="D376" s="176"/>
      <c r="E376" s="175"/>
      <c r="F376" s="177"/>
      <c r="G376" s="177"/>
      <c r="H376" s="176"/>
      <c r="I376" s="175"/>
      <c r="J376" s="163"/>
      <c r="K376" s="165"/>
      <c r="L376" s="163"/>
      <c r="M376" s="163"/>
      <c r="N376" s="169"/>
      <c r="O376" s="173"/>
      <c r="P376" s="168"/>
    </row>
    <row r="377" ht="15.75" customHeight="1">
      <c r="A377" s="162"/>
      <c r="B377" s="174"/>
      <c r="C377" s="175"/>
      <c r="D377" s="176"/>
      <c r="E377" s="175"/>
      <c r="F377" s="177"/>
      <c r="G377" s="177"/>
      <c r="H377" s="176"/>
      <c r="I377" s="175"/>
      <c r="J377" s="163"/>
      <c r="K377" s="165"/>
      <c r="L377" s="163"/>
      <c r="M377" s="163"/>
      <c r="N377" s="169"/>
      <c r="O377" s="173"/>
      <c r="P377" s="168"/>
    </row>
    <row r="378" ht="15.75" customHeight="1">
      <c r="A378" s="162"/>
      <c r="B378" s="174"/>
      <c r="C378" s="175"/>
      <c r="D378" s="176"/>
      <c r="E378" s="175"/>
      <c r="F378" s="177"/>
      <c r="G378" s="177"/>
      <c r="H378" s="176"/>
      <c r="I378" s="175"/>
      <c r="J378" s="163"/>
      <c r="K378" s="165"/>
      <c r="L378" s="163"/>
      <c r="M378" s="163"/>
      <c r="N378" s="169"/>
      <c r="O378" s="173"/>
      <c r="P378" s="168"/>
    </row>
    <row r="379" ht="15.75" customHeight="1">
      <c r="A379" s="162"/>
      <c r="B379" s="174"/>
      <c r="C379" s="175"/>
      <c r="D379" s="176"/>
      <c r="E379" s="175"/>
      <c r="F379" s="177"/>
      <c r="G379" s="177"/>
      <c r="H379" s="176"/>
      <c r="I379" s="175"/>
      <c r="J379" s="163"/>
      <c r="K379" s="165"/>
      <c r="L379" s="163"/>
      <c r="M379" s="163"/>
      <c r="N379" s="169"/>
      <c r="O379" s="173"/>
      <c r="P379" s="168"/>
    </row>
    <row r="380" ht="15.75" customHeight="1">
      <c r="A380" s="162"/>
      <c r="B380" s="174"/>
      <c r="C380" s="175"/>
      <c r="D380" s="176"/>
      <c r="E380" s="175"/>
      <c r="F380" s="177"/>
      <c r="G380" s="177"/>
      <c r="H380" s="176"/>
      <c r="I380" s="175"/>
      <c r="J380" s="163"/>
      <c r="K380" s="165"/>
      <c r="L380" s="163"/>
      <c r="M380" s="163"/>
      <c r="N380" s="169"/>
      <c r="O380" s="173"/>
      <c r="P380" s="168"/>
    </row>
    <row r="381" ht="15.75" customHeight="1">
      <c r="A381" s="162"/>
      <c r="B381" s="174"/>
      <c r="C381" s="175"/>
      <c r="D381" s="176"/>
      <c r="E381" s="175"/>
      <c r="F381" s="177"/>
      <c r="G381" s="177"/>
      <c r="H381" s="176"/>
      <c r="I381" s="175"/>
      <c r="J381" s="163"/>
      <c r="K381" s="165"/>
      <c r="L381" s="163"/>
      <c r="M381" s="163"/>
      <c r="N381" s="169"/>
      <c r="O381" s="173"/>
      <c r="P381" s="168"/>
    </row>
    <row r="382" ht="15.75" customHeight="1">
      <c r="A382" s="162"/>
      <c r="B382" s="174"/>
      <c r="C382" s="175"/>
      <c r="D382" s="176"/>
      <c r="E382" s="175"/>
      <c r="F382" s="177"/>
      <c r="G382" s="177"/>
      <c r="H382" s="176"/>
      <c r="I382" s="175"/>
      <c r="J382" s="163"/>
      <c r="K382" s="165"/>
      <c r="L382" s="163"/>
      <c r="M382" s="163"/>
      <c r="N382" s="169"/>
      <c r="O382" s="173"/>
      <c r="P382" s="168"/>
    </row>
    <row r="383" ht="15.75" customHeight="1">
      <c r="A383" s="162"/>
      <c r="B383" s="174"/>
      <c r="C383" s="175"/>
      <c r="D383" s="176"/>
      <c r="E383" s="175"/>
      <c r="F383" s="177"/>
      <c r="G383" s="177"/>
      <c r="H383" s="176"/>
      <c r="I383" s="175"/>
      <c r="J383" s="163"/>
      <c r="K383" s="165"/>
      <c r="L383" s="163"/>
      <c r="M383" s="163"/>
      <c r="N383" s="169"/>
      <c r="O383" s="173"/>
      <c r="P383" s="168"/>
    </row>
    <row r="384" ht="15.75" customHeight="1">
      <c r="A384" s="162"/>
      <c r="B384" s="174"/>
      <c r="C384" s="175"/>
      <c r="D384" s="176"/>
      <c r="E384" s="175"/>
      <c r="F384" s="177"/>
      <c r="G384" s="177"/>
      <c r="H384" s="176"/>
      <c r="I384" s="175"/>
      <c r="J384" s="163"/>
      <c r="K384" s="165"/>
      <c r="L384" s="163"/>
      <c r="M384" s="163"/>
      <c r="N384" s="169"/>
      <c r="O384" s="173"/>
      <c r="P384" s="168"/>
    </row>
    <row r="385" ht="15.75" customHeight="1">
      <c r="A385" s="162"/>
      <c r="B385" s="174"/>
      <c r="C385" s="175"/>
      <c r="D385" s="176"/>
      <c r="E385" s="175"/>
      <c r="F385" s="177"/>
      <c r="G385" s="177"/>
      <c r="H385" s="176"/>
      <c r="I385" s="175"/>
      <c r="J385" s="163"/>
      <c r="K385" s="165"/>
      <c r="L385" s="163"/>
      <c r="M385" s="163"/>
      <c r="N385" s="169"/>
      <c r="O385" s="173"/>
      <c r="P385" s="168"/>
    </row>
    <row r="386" ht="15.75" customHeight="1">
      <c r="A386" s="162"/>
      <c r="B386" s="174"/>
      <c r="C386" s="175"/>
      <c r="D386" s="176"/>
      <c r="E386" s="175"/>
      <c r="F386" s="177"/>
      <c r="G386" s="177"/>
      <c r="H386" s="176"/>
      <c r="I386" s="175"/>
      <c r="J386" s="163"/>
      <c r="K386" s="165"/>
      <c r="L386" s="163"/>
      <c r="M386" s="163"/>
      <c r="N386" s="169"/>
      <c r="O386" s="173"/>
      <c r="P386" s="168"/>
    </row>
    <row r="387" ht="15.75" customHeight="1">
      <c r="A387" s="162"/>
      <c r="B387" s="174"/>
      <c r="C387" s="175"/>
      <c r="D387" s="176"/>
      <c r="E387" s="175"/>
      <c r="F387" s="177"/>
      <c r="G387" s="177"/>
      <c r="H387" s="176"/>
      <c r="I387" s="175"/>
      <c r="J387" s="163"/>
      <c r="K387" s="165"/>
      <c r="L387" s="163"/>
      <c r="M387" s="163"/>
      <c r="N387" s="169"/>
      <c r="O387" s="173"/>
      <c r="P387" s="168"/>
    </row>
    <row r="388" ht="15.75" customHeight="1">
      <c r="A388" s="162"/>
      <c r="B388" s="174"/>
      <c r="C388" s="175"/>
      <c r="D388" s="176"/>
      <c r="E388" s="175"/>
      <c r="F388" s="177"/>
      <c r="G388" s="177"/>
      <c r="H388" s="176"/>
      <c r="I388" s="175"/>
      <c r="J388" s="163"/>
      <c r="K388" s="165"/>
      <c r="L388" s="163"/>
      <c r="M388" s="163"/>
      <c r="N388" s="169"/>
      <c r="O388" s="173"/>
      <c r="P388" s="168"/>
    </row>
    <row r="389" ht="15.75" customHeight="1">
      <c r="A389" s="162"/>
      <c r="B389" s="174"/>
      <c r="C389" s="175"/>
      <c r="D389" s="176"/>
      <c r="E389" s="175"/>
      <c r="F389" s="177"/>
      <c r="G389" s="177"/>
      <c r="H389" s="176"/>
      <c r="I389" s="175"/>
      <c r="J389" s="163"/>
      <c r="K389" s="165"/>
      <c r="L389" s="163"/>
      <c r="M389" s="163"/>
      <c r="N389" s="169"/>
      <c r="O389" s="173"/>
      <c r="P389" s="168"/>
    </row>
    <row r="390" ht="15.75" customHeight="1">
      <c r="A390" s="162"/>
      <c r="B390" s="174"/>
      <c r="C390" s="175"/>
      <c r="D390" s="176"/>
      <c r="E390" s="175"/>
      <c r="F390" s="177"/>
      <c r="G390" s="177"/>
      <c r="H390" s="176"/>
      <c r="I390" s="175"/>
      <c r="J390" s="163"/>
      <c r="K390" s="165"/>
      <c r="L390" s="163"/>
      <c r="M390" s="163"/>
      <c r="N390" s="169"/>
      <c r="O390" s="173"/>
      <c r="P390" s="168"/>
    </row>
    <row r="391" ht="15.75" customHeight="1">
      <c r="A391" s="162"/>
      <c r="B391" s="174"/>
      <c r="C391" s="175"/>
      <c r="D391" s="176"/>
      <c r="E391" s="175"/>
      <c r="F391" s="177"/>
      <c r="G391" s="177"/>
      <c r="H391" s="176"/>
      <c r="I391" s="175"/>
      <c r="J391" s="163"/>
      <c r="K391" s="165"/>
      <c r="L391" s="163"/>
      <c r="M391" s="163"/>
      <c r="N391" s="169"/>
      <c r="O391" s="173"/>
      <c r="P391" s="168"/>
    </row>
    <row r="392" ht="15.75" customHeight="1">
      <c r="A392" s="162"/>
      <c r="B392" s="174"/>
      <c r="C392" s="175"/>
      <c r="D392" s="176"/>
      <c r="E392" s="175"/>
      <c r="F392" s="177"/>
      <c r="G392" s="177"/>
      <c r="H392" s="176"/>
      <c r="I392" s="175"/>
      <c r="J392" s="163"/>
      <c r="K392" s="165"/>
      <c r="L392" s="163"/>
      <c r="M392" s="163"/>
      <c r="N392" s="169"/>
      <c r="O392" s="173"/>
      <c r="P392" s="168"/>
    </row>
    <row r="393" ht="15.75" customHeight="1">
      <c r="A393" s="162"/>
      <c r="B393" s="174"/>
      <c r="C393" s="175"/>
      <c r="D393" s="176"/>
      <c r="E393" s="175"/>
      <c r="F393" s="177"/>
      <c r="G393" s="177"/>
      <c r="H393" s="176"/>
      <c r="I393" s="175"/>
      <c r="J393" s="163"/>
      <c r="K393" s="165"/>
      <c r="L393" s="163"/>
      <c r="M393" s="163"/>
      <c r="N393" s="169"/>
      <c r="O393" s="173"/>
      <c r="P393" s="168"/>
    </row>
    <row r="394" ht="15.75" customHeight="1">
      <c r="A394" s="162"/>
      <c r="B394" s="174"/>
      <c r="C394" s="175"/>
      <c r="D394" s="176"/>
      <c r="E394" s="175"/>
      <c r="F394" s="177"/>
      <c r="G394" s="177"/>
      <c r="H394" s="176"/>
      <c r="I394" s="175"/>
      <c r="J394" s="163"/>
      <c r="K394" s="165"/>
      <c r="L394" s="163"/>
      <c r="M394" s="163"/>
      <c r="N394" s="169"/>
      <c r="O394" s="173"/>
      <c r="P394" s="168"/>
    </row>
    <row r="395" ht="15.75" customHeight="1">
      <c r="A395" s="162"/>
      <c r="B395" s="174"/>
      <c r="C395" s="175"/>
      <c r="D395" s="176"/>
      <c r="E395" s="175"/>
      <c r="F395" s="177"/>
      <c r="G395" s="177"/>
      <c r="H395" s="176"/>
      <c r="I395" s="175"/>
      <c r="J395" s="163"/>
      <c r="K395" s="165"/>
      <c r="L395" s="163"/>
      <c r="M395" s="163"/>
      <c r="N395" s="169"/>
      <c r="O395" s="173"/>
      <c r="P395" s="168"/>
    </row>
    <row r="396" ht="15.75" customHeight="1">
      <c r="A396" s="162"/>
      <c r="B396" s="174"/>
      <c r="C396" s="175"/>
      <c r="D396" s="176"/>
      <c r="E396" s="175"/>
      <c r="F396" s="177"/>
      <c r="G396" s="177"/>
      <c r="H396" s="176"/>
      <c r="I396" s="175"/>
      <c r="J396" s="163"/>
      <c r="K396" s="165"/>
      <c r="L396" s="163"/>
      <c r="M396" s="163"/>
      <c r="N396" s="169"/>
      <c r="O396" s="173"/>
      <c r="P396" s="168"/>
    </row>
    <row r="397" ht="15.75" customHeight="1">
      <c r="A397" s="162"/>
      <c r="B397" s="174"/>
      <c r="C397" s="175"/>
      <c r="D397" s="176"/>
      <c r="E397" s="175"/>
      <c r="F397" s="177"/>
      <c r="G397" s="177"/>
      <c r="H397" s="176"/>
      <c r="I397" s="175"/>
      <c r="J397" s="163"/>
      <c r="K397" s="165"/>
      <c r="L397" s="163"/>
      <c r="M397" s="163"/>
      <c r="N397" s="169"/>
      <c r="O397" s="173"/>
      <c r="P397" s="168"/>
    </row>
    <row r="398" ht="15.75" customHeight="1">
      <c r="A398" s="162"/>
      <c r="B398" s="174"/>
      <c r="C398" s="175"/>
      <c r="D398" s="176"/>
      <c r="E398" s="175"/>
      <c r="F398" s="177"/>
      <c r="G398" s="177"/>
      <c r="H398" s="176"/>
      <c r="I398" s="175"/>
      <c r="J398" s="163"/>
      <c r="K398" s="165"/>
      <c r="L398" s="163"/>
      <c r="M398" s="163"/>
      <c r="N398" s="169"/>
      <c r="O398" s="173"/>
      <c r="P398" s="168"/>
    </row>
    <row r="399" ht="15.75" customHeight="1">
      <c r="A399" s="162"/>
      <c r="B399" s="174"/>
      <c r="C399" s="175"/>
      <c r="D399" s="176"/>
      <c r="E399" s="175"/>
      <c r="F399" s="177"/>
      <c r="G399" s="177"/>
      <c r="H399" s="176"/>
      <c r="I399" s="175"/>
      <c r="J399" s="163"/>
      <c r="K399" s="165"/>
      <c r="L399" s="163"/>
      <c r="M399" s="163"/>
      <c r="N399" s="169"/>
      <c r="O399" s="173"/>
      <c r="P399" s="168"/>
    </row>
    <row r="400" ht="15.75" customHeight="1">
      <c r="A400" s="162"/>
      <c r="B400" s="174"/>
      <c r="C400" s="175"/>
      <c r="D400" s="176"/>
      <c r="E400" s="175"/>
      <c r="F400" s="177"/>
      <c r="G400" s="177"/>
      <c r="H400" s="176"/>
      <c r="I400" s="175"/>
      <c r="J400" s="163"/>
      <c r="K400" s="165"/>
      <c r="L400" s="163"/>
      <c r="M400" s="163"/>
      <c r="N400" s="169"/>
      <c r="O400" s="173"/>
      <c r="P400" s="168"/>
    </row>
    <row r="401" ht="15.75" customHeight="1">
      <c r="A401" s="162"/>
      <c r="B401" s="174"/>
      <c r="C401" s="175"/>
      <c r="D401" s="176"/>
      <c r="E401" s="175"/>
      <c r="F401" s="177"/>
      <c r="G401" s="177"/>
      <c r="H401" s="176"/>
      <c r="I401" s="175"/>
      <c r="J401" s="163"/>
      <c r="K401" s="165"/>
      <c r="L401" s="163"/>
      <c r="M401" s="163"/>
      <c r="N401" s="169"/>
      <c r="O401" s="173"/>
      <c r="P401" s="168"/>
    </row>
    <row r="402" ht="15.75" customHeight="1">
      <c r="A402" s="162"/>
      <c r="B402" s="174"/>
      <c r="C402" s="175"/>
      <c r="D402" s="176"/>
      <c r="E402" s="175"/>
      <c r="F402" s="177"/>
      <c r="G402" s="177"/>
      <c r="H402" s="176"/>
      <c r="I402" s="175"/>
      <c r="J402" s="163"/>
      <c r="K402" s="165"/>
      <c r="L402" s="163"/>
      <c r="M402" s="163"/>
      <c r="N402" s="169"/>
      <c r="O402" s="173"/>
      <c r="P402" s="168"/>
    </row>
    <row r="403" ht="15.75" customHeight="1">
      <c r="A403" s="162"/>
      <c r="B403" s="174"/>
      <c r="C403" s="175"/>
      <c r="D403" s="176"/>
      <c r="E403" s="175"/>
      <c r="F403" s="177"/>
      <c r="G403" s="177"/>
      <c r="H403" s="176"/>
      <c r="I403" s="175"/>
      <c r="J403" s="163"/>
      <c r="K403" s="165"/>
      <c r="L403" s="163"/>
      <c r="M403" s="163"/>
      <c r="N403" s="169"/>
      <c r="O403" s="173"/>
      <c r="P403" s="168"/>
    </row>
    <row r="404" ht="15.75" customHeight="1">
      <c r="A404" s="162"/>
      <c r="B404" s="174"/>
      <c r="C404" s="175"/>
      <c r="D404" s="176"/>
      <c r="E404" s="175"/>
      <c r="F404" s="177"/>
      <c r="G404" s="177"/>
      <c r="H404" s="176"/>
      <c r="I404" s="175"/>
      <c r="J404" s="163"/>
      <c r="K404" s="165"/>
      <c r="L404" s="163"/>
      <c r="M404" s="163"/>
      <c r="N404" s="169"/>
      <c r="O404" s="173"/>
      <c r="P404" s="168"/>
    </row>
    <row r="405" ht="15.75" customHeight="1">
      <c r="A405" s="162"/>
      <c r="B405" s="174"/>
      <c r="C405" s="175"/>
      <c r="D405" s="176"/>
      <c r="E405" s="175"/>
      <c r="F405" s="177"/>
      <c r="G405" s="177"/>
      <c r="H405" s="176"/>
      <c r="I405" s="175"/>
      <c r="J405" s="163"/>
      <c r="K405" s="165"/>
      <c r="L405" s="163"/>
      <c r="M405" s="163"/>
      <c r="N405" s="169"/>
      <c r="O405" s="173"/>
      <c r="P405" s="168"/>
    </row>
    <row r="406" ht="15.75" customHeight="1">
      <c r="A406" s="162"/>
      <c r="B406" s="174"/>
      <c r="C406" s="175"/>
      <c r="D406" s="176"/>
      <c r="E406" s="175"/>
      <c r="F406" s="177"/>
      <c r="G406" s="177"/>
      <c r="H406" s="176"/>
      <c r="I406" s="175"/>
      <c r="J406" s="163"/>
      <c r="K406" s="165"/>
      <c r="L406" s="163"/>
      <c r="M406" s="163"/>
      <c r="N406" s="169"/>
      <c r="O406" s="173"/>
      <c r="P406" s="168"/>
    </row>
    <row r="407" ht="15.75" customHeight="1">
      <c r="A407" s="162"/>
      <c r="B407" s="174"/>
      <c r="C407" s="175"/>
      <c r="D407" s="176"/>
      <c r="E407" s="175"/>
      <c r="F407" s="177"/>
      <c r="G407" s="177"/>
      <c r="H407" s="176"/>
      <c r="I407" s="175"/>
      <c r="J407" s="163"/>
      <c r="K407" s="165"/>
      <c r="L407" s="163"/>
      <c r="M407" s="163"/>
      <c r="N407" s="169"/>
      <c r="O407" s="173"/>
      <c r="P407" s="168"/>
    </row>
    <row r="408" ht="15.75" customHeight="1">
      <c r="A408" s="162"/>
      <c r="B408" s="174"/>
      <c r="C408" s="175"/>
      <c r="D408" s="176"/>
      <c r="E408" s="175"/>
      <c r="F408" s="177"/>
      <c r="G408" s="177"/>
      <c r="H408" s="176"/>
      <c r="I408" s="175"/>
      <c r="J408" s="163"/>
      <c r="K408" s="165"/>
      <c r="L408" s="163"/>
      <c r="M408" s="163"/>
      <c r="N408" s="169"/>
      <c r="O408" s="173"/>
      <c r="P408" s="168"/>
    </row>
    <row r="409" ht="15.75" customHeight="1">
      <c r="A409" s="162"/>
      <c r="B409" s="174"/>
      <c r="C409" s="175"/>
      <c r="D409" s="176"/>
      <c r="E409" s="175"/>
      <c r="F409" s="177"/>
      <c r="G409" s="177"/>
      <c r="H409" s="176"/>
      <c r="I409" s="175"/>
      <c r="J409" s="163"/>
      <c r="K409" s="165"/>
      <c r="L409" s="163"/>
      <c r="M409" s="163"/>
      <c r="N409" s="169"/>
      <c r="O409" s="173"/>
      <c r="P409" s="168"/>
    </row>
    <row r="410" ht="15.75" customHeight="1">
      <c r="A410" s="162"/>
      <c r="B410" s="174"/>
      <c r="C410" s="175"/>
      <c r="D410" s="176"/>
      <c r="E410" s="175"/>
      <c r="F410" s="177"/>
      <c r="G410" s="177"/>
      <c r="H410" s="176"/>
      <c r="I410" s="175"/>
      <c r="J410" s="163"/>
      <c r="K410" s="165"/>
      <c r="L410" s="163"/>
      <c r="M410" s="163"/>
      <c r="N410" s="169"/>
      <c r="O410" s="173"/>
      <c r="P410" s="168"/>
    </row>
    <row r="411" ht="15.75" customHeight="1">
      <c r="A411" s="162"/>
      <c r="B411" s="174"/>
      <c r="C411" s="175"/>
      <c r="D411" s="176"/>
      <c r="E411" s="175"/>
      <c r="F411" s="177"/>
      <c r="G411" s="177"/>
      <c r="H411" s="176"/>
      <c r="I411" s="175"/>
      <c r="J411" s="163"/>
      <c r="K411" s="165"/>
      <c r="L411" s="163"/>
      <c r="M411" s="163"/>
      <c r="N411" s="169"/>
      <c r="O411" s="173"/>
      <c r="P411" s="168"/>
    </row>
    <row r="412" ht="15.75" customHeight="1">
      <c r="A412" s="162"/>
      <c r="B412" s="174"/>
      <c r="C412" s="175"/>
      <c r="D412" s="176"/>
      <c r="E412" s="175"/>
      <c r="F412" s="177"/>
      <c r="G412" s="177"/>
      <c r="H412" s="176"/>
      <c r="I412" s="175"/>
      <c r="J412" s="163"/>
      <c r="K412" s="165"/>
      <c r="L412" s="163"/>
      <c r="M412" s="163"/>
      <c r="N412" s="169"/>
      <c r="O412" s="173"/>
      <c r="P412" s="168"/>
    </row>
    <row r="413" ht="15.75" customHeight="1">
      <c r="A413" s="162"/>
      <c r="B413" s="174"/>
      <c r="C413" s="175"/>
      <c r="D413" s="176"/>
      <c r="E413" s="175"/>
      <c r="F413" s="177"/>
      <c r="G413" s="177"/>
      <c r="H413" s="176"/>
      <c r="I413" s="175"/>
      <c r="J413" s="163"/>
      <c r="K413" s="165"/>
      <c r="L413" s="163"/>
      <c r="M413" s="163"/>
      <c r="N413" s="169"/>
      <c r="O413" s="173"/>
      <c r="P413" s="168"/>
    </row>
    <row r="414" ht="15.75" customHeight="1">
      <c r="A414" s="162"/>
      <c r="B414" s="174"/>
      <c r="C414" s="175"/>
      <c r="D414" s="176"/>
      <c r="E414" s="175"/>
      <c r="F414" s="177"/>
      <c r="G414" s="177"/>
      <c r="H414" s="176"/>
      <c r="I414" s="175"/>
      <c r="J414" s="163"/>
      <c r="K414" s="165"/>
      <c r="L414" s="163"/>
      <c r="M414" s="163"/>
      <c r="N414" s="169"/>
      <c r="O414" s="173"/>
      <c r="P414" s="168"/>
    </row>
    <row r="415" ht="15.75" customHeight="1">
      <c r="A415" s="162"/>
      <c r="B415" s="174"/>
      <c r="C415" s="175"/>
      <c r="D415" s="176"/>
      <c r="E415" s="175"/>
      <c r="F415" s="177"/>
      <c r="G415" s="177"/>
      <c r="H415" s="176"/>
      <c r="I415" s="175"/>
      <c r="J415" s="163"/>
      <c r="K415" s="165"/>
      <c r="L415" s="163"/>
      <c r="M415" s="163"/>
      <c r="N415" s="169"/>
      <c r="O415" s="173"/>
      <c r="P415" s="168"/>
    </row>
    <row r="416" ht="15.75" customHeight="1">
      <c r="A416" s="162"/>
      <c r="B416" s="174"/>
      <c r="C416" s="175"/>
      <c r="D416" s="176"/>
      <c r="E416" s="175"/>
      <c r="F416" s="177"/>
      <c r="G416" s="177"/>
      <c r="H416" s="176"/>
      <c r="I416" s="175"/>
      <c r="J416" s="163"/>
      <c r="K416" s="165"/>
      <c r="L416" s="163"/>
      <c r="M416" s="163"/>
      <c r="N416" s="169"/>
      <c r="O416" s="173"/>
      <c r="P416" s="168"/>
    </row>
    <row r="417" ht="15.75" customHeight="1">
      <c r="A417" s="162"/>
      <c r="B417" s="174"/>
      <c r="C417" s="175"/>
      <c r="D417" s="176"/>
      <c r="E417" s="175"/>
      <c r="F417" s="177"/>
      <c r="G417" s="177"/>
      <c r="H417" s="176"/>
      <c r="I417" s="175"/>
      <c r="J417" s="163"/>
      <c r="K417" s="165"/>
      <c r="L417" s="163"/>
      <c r="M417" s="163"/>
      <c r="N417" s="169"/>
      <c r="O417" s="173"/>
      <c r="P417" s="168"/>
    </row>
    <row r="418" ht="15.75" customHeight="1">
      <c r="A418" s="162"/>
      <c r="B418" s="174"/>
      <c r="C418" s="175"/>
      <c r="D418" s="176"/>
      <c r="E418" s="175"/>
      <c r="F418" s="177"/>
      <c r="G418" s="177"/>
      <c r="H418" s="176"/>
      <c r="I418" s="175"/>
      <c r="J418" s="163"/>
      <c r="K418" s="165"/>
      <c r="L418" s="163"/>
      <c r="M418" s="163"/>
      <c r="N418" s="169"/>
      <c r="O418" s="173"/>
      <c r="P418" s="168"/>
    </row>
    <row r="419" ht="15.75" customHeight="1">
      <c r="A419" s="162"/>
      <c r="B419" s="174"/>
      <c r="C419" s="175"/>
      <c r="D419" s="176"/>
      <c r="E419" s="175"/>
      <c r="F419" s="177"/>
      <c r="G419" s="177"/>
      <c r="H419" s="176"/>
      <c r="I419" s="175"/>
      <c r="J419" s="163"/>
      <c r="K419" s="165"/>
      <c r="L419" s="163"/>
      <c r="M419" s="163"/>
      <c r="N419" s="169"/>
      <c r="O419" s="173"/>
      <c r="P419" s="168"/>
    </row>
    <row r="420" ht="15.75" customHeight="1">
      <c r="A420" s="162"/>
      <c r="B420" s="174"/>
      <c r="C420" s="175"/>
      <c r="D420" s="176"/>
      <c r="E420" s="175"/>
      <c r="F420" s="177"/>
      <c r="G420" s="177"/>
      <c r="H420" s="176"/>
      <c r="I420" s="175"/>
      <c r="J420" s="163"/>
      <c r="K420" s="165"/>
      <c r="L420" s="163"/>
      <c r="M420" s="163"/>
      <c r="N420" s="169"/>
      <c r="O420" s="173"/>
      <c r="P420" s="168"/>
    </row>
    <row r="421" ht="15.75" customHeight="1">
      <c r="A421" s="162"/>
      <c r="B421" s="174"/>
      <c r="C421" s="175"/>
      <c r="D421" s="176"/>
      <c r="E421" s="175"/>
      <c r="F421" s="177"/>
      <c r="G421" s="177"/>
      <c r="H421" s="176"/>
      <c r="I421" s="175"/>
      <c r="J421" s="163"/>
      <c r="K421" s="165"/>
      <c r="L421" s="163"/>
      <c r="M421" s="163"/>
      <c r="N421" s="169"/>
      <c r="O421" s="173"/>
      <c r="P421" s="168"/>
    </row>
    <row r="422" ht="15.75" customHeight="1">
      <c r="A422" s="162"/>
      <c r="B422" s="174"/>
      <c r="C422" s="175"/>
      <c r="D422" s="176"/>
      <c r="E422" s="175"/>
      <c r="F422" s="177"/>
      <c r="G422" s="177"/>
      <c r="H422" s="176"/>
      <c r="I422" s="175"/>
      <c r="J422" s="163"/>
      <c r="K422" s="165"/>
      <c r="L422" s="163"/>
      <c r="M422" s="163"/>
      <c r="N422" s="169"/>
      <c r="O422" s="173"/>
      <c r="P422" s="168"/>
    </row>
    <row r="423" ht="15.75" customHeight="1">
      <c r="A423" s="162"/>
      <c r="B423" s="174"/>
      <c r="C423" s="175"/>
      <c r="D423" s="176"/>
      <c r="E423" s="175"/>
      <c r="F423" s="177"/>
      <c r="G423" s="177"/>
      <c r="H423" s="176"/>
      <c r="I423" s="175"/>
      <c r="J423" s="163"/>
      <c r="K423" s="165"/>
      <c r="L423" s="163"/>
      <c r="M423" s="163"/>
      <c r="N423" s="169"/>
      <c r="O423" s="173"/>
      <c r="P423" s="168"/>
    </row>
    <row r="424" ht="15.75" customHeight="1">
      <c r="A424" s="162"/>
      <c r="B424" s="174"/>
      <c r="C424" s="175"/>
      <c r="D424" s="176"/>
      <c r="E424" s="175"/>
      <c r="F424" s="177"/>
      <c r="G424" s="177"/>
      <c r="H424" s="176"/>
      <c r="I424" s="175"/>
      <c r="J424" s="163"/>
      <c r="K424" s="165"/>
      <c r="L424" s="163"/>
      <c r="M424" s="163"/>
      <c r="N424" s="169"/>
      <c r="O424" s="173"/>
      <c r="P424" s="168"/>
    </row>
    <row r="425" ht="15.75" customHeight="1">
      <c r="A425" s="162"/>
      <c r="B425" s="174"/>
      <c r="C425" s="175"/>
      <c r="D425" s="176"/>
      <c r="E425" s="175"/>
      <c r="F425" s="177"/>
      <c r="G425" s="177"/>
      <c r="H425" s="176"/>
      <c r="I425" s="175"/>
      <c r="J425" s="163"/>
      <c r="K425" s="165"/>
      <c r="L425" s="163"/>
      <c r="M425" s="163"/>
      <c r="N425" s="169"/>
      <c r="O425" s="173"/>
      <c r="P425" s="168"/>
    </row>
    <row r="426" ht="15.75" customHeight="1">
      <c r="A426" s="162"/>
      <c r="B426" s="174"/>
      <c r="C426" s="175"/>
      <c r="D426" s="176"/>
      <c r="E426" s="175"/>
      <c r="F426" s="177"/>
      <c r="G426" s="177"/>
      <c r="H426" s="176"/>
      <c r="I426" s="175"/>
      <c r="J426" s="163"/>
      <c r="K426" s="165"/>
      <c r="L426" s="163"/>
      <c r="M426" s="163"/>
      <c r="N426" s="169"/>
      <c r="O426" s="173"/>
      <c r="P426" s="168"/>
    </row>
    <row r="427" ht="15.75" customHeight="1">
      <c r="A427" s="162"/>
      <c r="B427" s="174"/>
      <c r="C427" s="175"/>
      <c r="D427" s="176"/>
      <c r="E427" s="175"/>
      <c r="F427" s="177"/>
      <c r="G427" s="177"/>
      <c r="H427" s="176"/>
      <c r="I427" s="175"/>
      <c r="J427" s="163"/>
      <c r="K427" s="165"/>
      <c r="L427" s="163"/>
      <c r="M427" s="163"/>
      <c r="N427" s="169"/>
      <c r="O427" s="173"/>
      <c r="P427" s="168"/>
    </row>
    <row r="428" ht="15.75" customHeight="1">
      <c r="A428" s="162"/>
      <c r="B428" s="174"/>
      <c r="C428" s="175"/>
      <c r="D428" s="176"/>
      <c r="E428" s="175"/>
      <c r="F428" s="177"/>
      <c r="G428" s="177"/>
      <c r="H428" s="176"/>
      <c r="I428" s="175"/>
      <c r="J428" s="163"/>
      <c r="K428" s="165"/>
      <c r="L428" s="163"/>
      <c r="M428" s="163"/>
      <c r="N428" s="169"/>
      <c r="O428" s="173"/>
      <c r="P428" s="168"/>
    </row>
    <row r="429" ht="15.75" customHeight="1">
      <c r="A429" s="162"/>
      <c r="B429" s="174"/>
      <c r="C429" s="175"/>
      <c r="D429" s="176"/>
      <c r="E429" s="175"/>
      <c r="F429" s="177"/>
      <c r="G429" s="177"/>
      <c r="H429" s="176"/>
      <c r="I429" s="175"/>
      <c r="J429" s="163"/>
      <c r="K429" s="165"/>
      <c r="L429" s="163"/>
      <c r="M429" s="163"/>
      <c r="N429" s="169"/>
      <c r="O429" s="173"/>
      <c r="P429" s="168"/>
    </row>
    <row r="430" ht="15.75" customHeight="1">
      <c r="A430" s="162"/>
      <c r="B430" s="174"/>
      <c r="C430" s="175"/>
      <c r="D430" s="176"/>
      <c r="E430" s="175"/>
      <c r="F430" s="177"/>
      <c r="G430" s="177"/>
      <c r="H430" s="176"/>
      <c r="I430" s="175"/>
      <c r="J430" s="163"/>
      <c r="K430" s="165"/>
      <c r="L430" s="163"/>
      <c r="M430" s="163"/>
      <c r="N430" s="169"/>
      <c r="O430" s="173"/>
      <c r="P430" s="168"/>
    </row>
    <row r="431" ht="15.75" customHeight="1">
      <c r="A431" s="162"/>
      <c r="B431" s="174"/>
      <c r="C431" s="175"/>
      <c r="D431" s="176"/>
      <c r="E431" s="175"/>
      <c r="F431" s="177"/>
      <c r="G431" s="177"/>
      <c r="H431" s="176"/>
      <c r="I431" s="175"/>
      <c r="J431" s="163"/>
      <c r="K431" s="165"/>
      <c r="L431" s="163"/>
      <c r="M431" s="163"/>
      <c r="N431" s="169"/>
      <c r="O431" s="173"/>
      <c r="P431" s="168"/>
    </row>
    <row r="432" ht="15.75" customHeight="1">
      <c r="A432" s="162"/>
      <c r="B432" s="174"/>
      <c r="C432" s="175"/>
      <c r="D432" s="176"/>
      <c r="E432" s="175"/>
      <c r="F432" s="177"/>
      <c r="G432" s="177"/>
      <c r="H432" s="176"/>
      <c r="I432" s="175"/>
      <c r="J432" s="163"/>
      <c r="K432" s="165"/>
      <c r="L432" s="163"/>
      <c r="M432" s="163"/>
      <c r="N432" s="169"/>
      <c r="O432" s="173"/>
      <c r="P432" s="168"/>
    </row>
    <row r="433" ht="15.75" customHeight="1">
      <c r="A433" s="162"/>
      <c r="B433" s="174"/>
      <c r="C433" s="175"/>
      <c r="D433" s="176"/>
      <c r="E433" s="175"/>
      <c r="F433" s="177"/>
      <c r="G433" s="177"/>
      <c r="H433" s="176"/>
      <c r="I433" s="175"/>
      <c r="J433" s="163"/>
      <c r="K433" s="165"/>
      <c r="L433" s="163"/>
      <c r="M433" s="163"/>
      <c r="N433" s="169"/>
      <c r="O433" s="173"/>
      <c r="P433" s="168"/>
    </row>
    <row r="434" ht="15.75" customHeight="1">
      <c r="A434" s="162"/>
      <c r="B434" s="174"/>
      <c r="C434" s="175"/>
      <c r="D434" s="176"/>
      <c r="E434" s="175"/>
      <c r="F434" s="177"/>
      <c r="G434" s="177"/>
      <c r="H434" s="176"/>
      <c r="I434" s="175"/>
      <c r="J434" s="163"/>
      <c r="K434" s="165"/>
      <c r="L434" s="163"/>
      <c r="M434" s="163"/>
      <c r="N434" s="169"/>
      <c r="O434" s="173"/>
      <c r="P434" s="168"/>
    </row>
    <row r="435" ht="15.75" customHeight="1">
      <c r="A435" s="162"/>
      <c r="B435" s="174"/>
      <c r="C435" s="175"/>
      <c r="D435" s="176"/>
      <c r="E435" s="175"/>
      <c r="F435" s="177"/>
      <c r="G435" s="177"/>
      <c r="H435" s="176"/>
      <c r="I435" s="175"/>
      <c r="J435" s="163"/>
      <c r="K435" s="165"/>
      <c r="L435" s="163"/>
      <c r="M435" s="163"/>
      <c r="N435" s="169"/>
      <c r="O435" s="173"/>
      <c r="P435" s="168"/>
    </row>
    <row r="436" ht="15.75" customHeight="1">
      <c r="A436" s="162"/>
      <c r="B436" s="174"/>
      <c r="C436" s="175"/>
      <c r="D436" s="176"/>
      <c r="E436" s="175"/>
      <c r="F436" s="177"/>
      <c r="G436" s="177"/>
      <c r="H436" s="176"/>
      <c r="I436" s="175"/>
      <c r="J436" s="163"/>
      <c r="K436" s="165"/>
      <c r="L436" s="163"/>
      <c r="M436" s="163"/>
      <c r="N436" s="169"/>
      <c r="O436" s="173"/>
      <c r="P436" s="168"/>
    </row>
    <row r="437" ht="15.75" customHeight="1">
      <c r="A437" s="162"/>
      <c r="B437" s="174"/>
      <c r="C437" s="175"/>
      <c r="D437" s="176"/>
      <c r="E437" s="175"/>
      <c r="F437" s="177"/>
      <c r="G437" s="177"/>
      <c r="H437" s="176"/>
      <c r="I437" s="175"/>
      <c r="J437" s="163"/>
      <c r="K437" s="165"/>
      <c r="L437" s="163"/>
      <c r="M437" s="163"/>
      <c r="N437" s="169"/>
      <c r="O437" s="173"/>
      <c r="P437" s="168"/>
    </row>
    <row r="438" ht="15.75" customHeight="1">
      <c r="A438" s="162"/>
      <c r="B438" s="174"/>
      <c r="C438" s="175"/>
      <c r="D438" s="176"/>
      <c r="E438" s="175"/>
      <c r="F438" s="177"/>
      <c r="G438" s="177"/>
      <c r="H438" s="176"/>
      <c r="I438" s="175"/>
      <c r="J438" s="163"/>
      <c r="K438" s="165"/>
      <c r="L438" s="163"/>
      <c r="M438" s="163"/>
      <c r="N438" s="169"/>
      <c r="O438" s="173"/>
      <c r="P438" s="168"/>
    </row>
    <row r="439" ht="15.75" customHeight="1">
      <c r="A439" s="162"/>
      <c r="B439" s="174"/>
      <c r="C439" s="175"/>
      <c r="D439" s="176"/>
      <c r="E439" s="175"/>
      <c r="F439" s="177"/>
      <c r="G439" s="177"/>
      <c r="H439" s="176"/>
      <c r="I439" s="175"/>
      <c r="J439" s="163"/>
      <c r="K439" s="165"/>
      <c r="L439" s="163"/>
      <c r="M439" s="163"/>
      <c r="N439" s="169"/>
      <c r="O439" s="173"/>
      <c r="P439" s="168"/>
    </row>
    <row r="440" ht="15.75" customHeight="1">
      <c r="A440" s="162"/>
      <c r="B440" s="174"/>
      <c r="C440" s="175"/>
      <c r="D440" s="176"/>
      <c r="E440" s="175"/>
      <c r="F440" s="177"/>
      <c r="G440" s="177"/>
      <c r="H440" s="176"/>
      <c r="I440" s="175"/>
      <c r="J440" s="163"/>
      <c r="K440" s="165"/>
      <c r="L440" s="163"/>
      <c r="M440" s="163"/>
      <c r="N440" s="169"/>
      <c r="O440" s="173"/>
      <c r="P440" s="168"/>
    </row>
    <row r="441" ht="15.75" customHeight="1">
      <c r="A441" s="162"/>
      <c r="B441" s="174"/>
      <c r="C441" s="175"/>
      <c r="D441" s="176"/>
      <c r="E441" s="175"/>
      <c r="F441" s="177"/>
      <c r="G441" s="177"/>
      <c r="H441" s="176"/>
      <c r="I441" s="175"/>
      <c r="J441" s="163"/>
      <c r="K441" s="165"/>
      <c r="L441" s="163"/>
      <c r="M441" s="163"/>
      <c r="N441" s="169"/>
      <c r="O441" s="173"/>
      <c r="P441" s="168"/>
    </row>
    <row r="442" ht="15.75" customHeight="1">
      <c r="A442" s="162"/>
      <c r="B442" s="174"/>
      <c r="C442" s="175"/>
      <c r="D442" s="176"/>
      <c r="E442" s="175"/>
      <c r="F442" s="177"/>
      <c r="G442" s="177"/>
      <c r="H442" s="176"/>
      <c r="I442" s="175"/>
      <c r="J442" s="163"/>
      <c r="K442" s="165"/>
      <c r="L442" s="163"/>
      <c r="M442" s="163"/>
      <c r="N442" s="169"/>
      <c r="O442" s="173"/>
      <c r="P442" s="168"/>
    </row>
    <row r="443" ht="15.75" customHeight="1">
      <c r="A443" s="162"/>
      <c r="B443" s="174"/>
      <c r="C443" s="175"/>
      <c r="D443" s="176"/>
      <c r="E443" s="175"/>
      <c r="F443" s="177"/>
      <c r="G443" s="177"/>
      <c r="H443" s="176"/>
      <c r="I443" s="175"/>
      <c r="J443" s="163"/>
      <c r="K443" s="165"/>
      <c r="L443" s="163"/>
      <c r="M443" s="163"/>
      <c r="N443" s="169"/>
      <c r="O443" s="173"/>
      <c r="P443" s="168"/>
    </row>
    <row r="444" ht="15.75" customHeight="1">
      <c r="A444" s="162"/>
      <c r="B444" s="174"/>
      <c r="C444" s="175"/>
      <c r="D444" s="176"/>
      <c r="E444" s="175"/>
      <c r="F444" s="177"/>
      <c r="G444" s="177"/>
      <c r="H444" s="176"/>
      <c r="I444" s="175"/>
      <c r="J444" s="163"/>
      <c r="K444" s="165"/>
      <c r="L444" s="163"/>
      <c r="M444" s="163"/>
      <c r="N444" s="169"/>
      <c r="O444" s="173"/>
      <c r="P444" s="168"/>
    </row>
    <row r="445" ht="15.75" customHeight="1">
      <c r="A445" s="162"/>
      <c r="B445" s="174"/>
      <c r="C445" s="175"/>
      <c r="D445" s="176"/>
      <c r="E445" s="175"/>
      <c r="F445" s="177"/>
      <c r="G445" s="177"/>
      <c r="H445" s="176"/>
      <c r="I445" s="175"/>
      <c r="J445" s="163"/>
      <c r="K445" s="165"/>
      <c r="L445" s="163"/>
      <c r="M445" s="163"/>
      <c r="N445" s="169"/>
      <c r="O445" s="173"/>
      <c r="P445" s="168"/>
    </row>
    <row r="446" ht="15.75" customHeight="1">
      <c r="A446" s="162"/>
      <c r="B446" s="174"/>
      <c r="C446" s="175"/>
      <c r="D446" s="176"/>
      <c r="E446" s="175"/>
      <c r="F446" s="177"/>
      <c r="G446" s="177"/>
      <c r="H446" s="176"/>
      <c r="I446" s="175"/>
      <c r="J446" s="163"/>
      <c r="K446" s="165"/>
      <c r="L446" s="163"/>
      <c r="M446" s="163"/>
      <c r="N446" s="169"/>
      <c r="O446" s="173"/>
      <c r="P446" s="168"/>
    </row>
    <row r="447" ht="15.75" customHeight="1">
      <c r="A447" s="162"/>
      <c r="B447" s="174"/>
      <c r="C447" s="175"/>
      <c r="D447" s="176"/>
      <c r="E447" s="175"/>
      <c r="F447" s="177"/>
      <c r="G447" s="177"/>
      <c r="H447" s="176"/>
      <c r="I447" s="175"/>
      <c r="J447" s="163"/>
      <c r="K447" s="165"/>
      <c r="L447" s="163"/>
      <c r="M447" s="163"/>
      <c r="N447" s="169"/>
      <c r="O447" s="173"/>
      <c r="P447" s="168"/>
    </row>
    <row r="448" ht="15.75" customHeight="1">
      <c r="A448" s="162"/>
      <c r="B448" s="174"/>
      <c r="C448" s="175"/>
      <c r="D448" s="176"/>
      <c r="E448" s="175"/>
      <c r="F448" s="177"/>
      <c r="G448" s="177"/>
      <c r="H448" s="176"/>
      <c r="I448" s="175"/>
      <c r="J448" s="163"/>
      <c r="K448" s="165"/>
      <c r="L448" s="163"/>
      <c r="M448" s="163"/>
      <c r="N448" s="169"/>
      <c r="O448" s="173"/>
      <c r="P448" s="168"/>
    </row>
    <row r="449" ht="15.75" customHeight="1">
      <c r="A449" s="162"/>
      <c r="B449" s="174"/>
      <c r="C449" s="175"/>
      <c r="D449" s="176"/>
      <c r="E449" s="175"/>
      <c r="F449" s="177"/>
      <c r="G449" s="177"/>
      <c r="H449" s="176"/>
      <c r="I449" s="175"/>
      <c r="J449" s="163"/>
      <c r="K449" s="165"/>
      <c r="L449" s="163"/>
      <c r="M449" s="163"/>
      <c r="N449" s="169"/>
      <c r="O449" s="173"/>
      <c r="P449" s="168"/>
    </row>
    <row r="450" ht="15.75" customHeight="1">
      <c r="A450" s="162"/>
      <c r="B450" s="174"/>
      <c r="C450" s="175"/>
      <c r="D450" s="176"/>
      <c r="E450" s="175"/>
      <c r="F450" s="177"/>
      <c r="G450" s="177"/>
      <c r="H450" s="176"/>
      <c r="I450" s="175"/>
      <c r="J450" s="163"/>
      <c r="K450" s="165"/>
      <c r="L450" s="163"/>
      <c r="M450" s="163"/>
      <c r="N450" s="169"/>
      <c r="O450" s="173"/>
      <c r="P450" s="168"/>
    </row>
    <row r="451" ht="15.75" customHeight="1">
      <c r="A451" s="162"/>
      <c r="B451" s="174"/>
      <c r="C451" s="175"/>
      <c r="D451" s="176"/>
      <c r="E451" s="175"/>
      <c r="F451" s="177"/>
      <c r="G451" s="177"/>
      <c r="H451" s="176"/>
      <c r="I451" s="175"/>
      <c r="J451" s="163"/>
      <c r="K451" s="165"/>
      <c r="L451" s="163"/>
      <c r="M451" s="163"/>
      <c r="N451" s="169"/>
      <c r="O451" s="173"/>
      <c r="P451" s="168"/>
    </row>
    <row r="452" ht="15.75" customHeight="1">
      <c r="A452" s="162"/>
      <c r="B452" s="174"/>
      <c r="C452" s="175"/>
      <c r="D452" s="176"/>
      <c r="E452" s="175"/>
      <c r="F452" s="177"/>
      <c r="G452" s="177"/>
      <c r="H452" s="176"/>
      <c r="I452" s="175"/>
      <c r="J452" s="163"/>
      <c r="K452" s="165"/>
      <c r="L452" s="163"/>
      <c r="M452" s="163"/>
      <c r="N452" s="169"/>
      <c r="O452" s="173"/>
      <c r="P452" s="168"/>
    </row>
    <row r="453" ht="15.75" customHeight="1">
      <c r="A453" s="162"/>
      <c r="B453" s="174"/>
      <c r="C453" s="175"/>
      <c r="D453" s="176"/>
      <c r="E453" s="175"/>
      <c r="F453" s="177"/>
      <c r="G453" s="177"/>
      <c r="H453" s="176"/>
      <c r="I453" s="175"/>
      <c r="J453" s="163"/>
      <c r="K453" s="165"/>
      <c r="L453" s="163"/>
      <c r="M453" s="163"/>
      <c r="N453" s="169"/>
      <c r="O453" s="173"/>
      <c r="P453" s="168"/>
    </row>
    <row r="454" ht="15.75" customHeight="1">
      <c r="A454" s="162"/>
      <c r="B454" s="174"/>
      <c r="C454" s="175"/>
      <c r="D454" s="176"/>
      <c r="E454" s="175"/>
      <c r="F454" s="177"/>
      <c r="G454" s="177"/>
      <c r="H454" s="176"/>
      <c r="I454" s="175"/>
      <c r="J454" s="163"/>
      <c r="K454" s="165"/>
      <c r="L454" s="163"/>
      <c r="M454" s="163"/>
      <c r="N454" s="169"/>
      <c r="O454" s="173"/>
      <c r="P454" s="168"/>
    </row>
    <row r="455" ht="15.75" customHeight="1">
      <c r="A455" s="162"/>
      <c r="B455" s="174"/>
      <c r="C455" s="175"/>
      <c r="D455" s="176"/>
      <c r="E455" s="175"/>
      <c r="F455" s="177"/>
      <c r="G455" s="177"/>
      <c r="H455" s="176"/>
      <c r="I455" s="175"/>
      <c r="J455" s="163"/>
      <c r="K455" s="165"/>
      <c r="L455" s="163"/>
      <c r="M455" s="163"/>
      <c r="N455" s="169"/>
      <c r="O455" s="173"/>
      <c r="P455" s="168"/>
    </row>
    <row r="456" ht="15.75" customHeight="1">
      <c r="A456" s="162"/>
      <c r="B456" s="174"/>
      <c r="C456" s="175"/>
      <c r="D456" s="176"/>
      <c r="E456" s="175"/>
      <c r="F456" s="177"/>
      <c r="G456" s="177"/>
      <c r="H456" s="176"/>
      <c r="I456" s="175"/>
      <c r="J456" s="163"/>
      <c r="K456" s="165"/>
      <c r="L456" s="163"/>
      <c r="M456" s="163"/>
      <c r="N456" s="169"/>
      <c r="O456" s="173"/>
      <c r="P456" s="168"/>
    </row>
    <row r="457" ht="15.75" customHeight="1">
      <c r="A457" s="162"/>
      <c r="B457" s="174"/>
      <c r="C457" s="175"/>
      <c r="D457" s="176"/>
      <c r="E457" s="175"/>
      <c r="F457" s="177"/>
      <c r="G457" s="177"/>
      <c r="H457" s="176"/>
      <c r="I457" s="175"/>
      <c r="J457" s="163"/>
      <c r="K457" s="165"/>
      <c r="L457" s="163"/>
      <c r="M457" s="163"/>
      <c r="N457" s="169"/>
      <c r="O457" s="173"/>
      <c r="P457" s="168"/>
    </row>
    <row r="458" ht="15.75" customHeight="1">
      <c r="A458" s="162"/>
      <c r="B458" s="174"/>
      <c r="C458" s="175"/>
      <c r="D458" s="176"/>
      <c r="E458" s="175"/>
      <c r="F458" s="177"/>
      <c r="G458" s="177"/>
      <c r="H458" s="176"/>
      <c r="I458" s="175"/>
      <c r="J458" s="163"/>
      <c r="K458" s="165"/>
      <c r="L458" s="163"/>
      <c r="M458" s="163"/>
      <c r="N458" s="169"/>
      <c r="O458" s="173"/>
      <c r="P458" s="168"/>
    </row>
    <row r="459" ht="15.75" customHeight="1">
      <c r="A459" s="162"/>
      <c r="B459" s="174"/>
      <c r="C459" s="175"/>
      <c r="D459" s="176"/>
      <c r="E459" s="175"/>
      <c r="F459" s="177"/>
      <c r="G459" s="177"/>
      <c r="H459" s="176"/>
      <c r="I459" s="175"/>
      <c r="J459" s="163"/>
      <c r="K459" s="165"/>
      <c r="L459" s="163"/>
      <c r="M459" s="163"/>
      <c r="N459" s="169"/>
      <c r="O459" s="173"/>
      <c r="P459" s="168"/>
    </row>
    <row r="460" ht="15.75" customHeight="1">
      <c r="A460" s="162"/>
      <c r="B460" s="174"/>
      <c r="C460" s="175"/>
      <c r="D460" s="176"/>
      <c r="E460" s="175"/>
      <c r="F460" s="177"/>
      <c r="G460" s="177"/>
      <c r="H460" s="176"/>
      <c r="I460" s="175"/>
      <c r="J460" s="163"/>
      <c r="K460" s="165"/>
      <c r="L460" s="163"/>
      <c r="M460" s="163"/>
      <c r="N460" s="169"/>
      <c r="O460" s="173"/>
      <c r="P460" s="168"/>
    </row>
    <row r="461" ht="15.75" customHeight="1">
      <c r="A461" s="162"/>
      <c r="B461" s="174"/>
      <c r="C461" s="175"/>
      <c r="D461" s="176"/>
      <c r="E461" s="175"/>
      <c r="F461" s="177"/>
      <c r="G461" s="177"/>
      <c r="H461" s="176"/>
      <c r="I461" s="175"/>
      <c r="J461" s="163"/>
      <c r="K461" s="165"/>
      <c r="L461" s="163"/>
      <c r="M461" s="163"/>
      <c r="N461" s="169"/>
      <c r="O461" s="173"/>
      <c r="P461" s="168"/>
    </row>
    <row r="462" ht="15.75" customHeight="1">
      <c r="A462" s="162"/>
      <c r="B462" s="174"/>
      <c r="C462" s="175"/>
      <c r="D462" s="176"/>
      <c r="E462" s="175"/>
      <c r="F462" s="177"/>
      <c r="G462" s="177"/>
      <c r="H462" s="176"/>
      <c r="I462" s="175"/>
      <c r="J462" s="163"/>
      <c r="K462" s="165"/>
      <c r="L462" s="163"/>
      <c r="M462" s="163"/>
      <c r="N462" s="169"/>
      <c r="O462" s="173"/>
      <c r="P462" s="168"/>
    </row>
    <row r="463" ht="15.75" customHeight="1">
      <c r="A463" s="162"/>
      <c r="B463" s="174"/>
      <c r="C463" s="175"/>
      <c r="D463" s="176"/>
      <c r="E463" s="175"/>
      <c r="F463" s="177"/>
      <c r="G463" s="177"/>
      <c r="H463" s="176"/>
      <c r="I463" s="175"/>
      <c r="J463" s="163"/>
      <c r="K463" s="165"/>
      <c r="L463" s="163"/>
      <c r="M463" s="163"/>
      <c r="N463" s="169"/>
      <c r="O463" s="173"/>
      <c r="P463" s="168"/>
    </row>
    <row r="464" ht="15.75" customHeight="1">
      <c r="A464" s="162"/>
      <c r="B464" s="174"/>
      <c r="C464" s="175"/>
      <c r="D464" s="176"/>
      <c r="E464" s="175"/>
      <c r="F464" s="177"/>
      <c r="G464" s="177"/>
      <c r="H464" s="176"/>
      <c r="I464" s="175"/>
      <c r="J464" s="163"/>
      <c r="K464" s="165"/>
      <c r="L464" s="163"/>
      <c r="M464" s="163"/>
      <c r="N464" s="169"/>
      <c r="O464" s="173"/>
      <c r="P464" s="168"/>
    </row>
    <row r="465" ht="15.75" customHeight="1">
      <c r="A465" s="162"/>
      <c r="B465" s="174"/>
      <c r="C465" s="175"/>
      <c r="D465" s="176"/>
      <c r="E465" s="175"/>
      <c r="F465" s="177"/>
      <c r="G465" s="177"/>
      <c r="H465" s="176"/>
      <c r="I465" s="175"/>
      <c r="J465" s="163"/>
      <c r="K465" s="165"/>
      <c r="L465" s="163"/>
      <c r="M465" s="163"/>
      <c r="N465" s="169"/>
      <c r="O465" s="173"/>
      <c r="P465" s="168"/>
    </row>
    <row r="466" ht="15.75" customHeight="1">
      <c r="A466" s="162"/>
      <c r="B466" s="174"/>
      <c r="C466" s="175"/>
      <c r="D466" s="176"/>
      <c r="E466" s="175"/>
      <c r="F466" s="177"/>
      <c r="G466" s="177"/>
      <c r="H466" s="176"/>
      <c r="I466" s="175"/>
      <c r="J466" s="163"/>
      <c r="K466" s="165"/>
      <c r="L466" s="163"/>
      <c r="M466" s="163"/>
      <c r="N466" s="169"/>
      <c r="O466" s="173"/>
      <c r="P466" s="168"/>
    </row>
    <row r="467" ht="15.75" customHeight="1">
      <c r="A467" s="162"/>
      <c r="B467" s="174"/>
      <c r="C467" s="175"/>
      <c r="D467" s="176"/>
      <c r="E467" s="175"/>
      <c r="F467" s="177"/>
      <c r="G467" s="177"/>
      <c r="H467" s="176"/>
      <c r="I467" s="175"/>
      <c r="J467" s="163"/>
      <c r="K467" s="165"/>
      <c r="L467" s="163"/>
      <c r="M467" s="163"/>
      <c r="N467" s="169"/>
      <c r="O467" s="173"/>
      <c r="P467" s="168"/>
    </row>
    <row r="468" ht="15.75" customHeight="1">
      <c r="A468" s="162"/>
      <c r="B468" s="174"/>
      <c r="C468" s="175"/>
      <c r="D468" s="176"/>
      <c r="E468" s="175"/>
      <c r="F468" s="177"/>
      <c r="G468" s="177"/>
      <c r="H468" s="176"/>
      <c r="I468" s="175"/>
      <c r="J468" s="163"/>
      <c r="K468" s="165"/>
      <c r="L468" s="163"/>
      <c r="M468" s="163"/>
      <c r="N468" s="169"/>
      <c r="O468" s="173"/>
      <c r="P468" s="168"/>
    </row>
    <row r="469" ht="15.75" customHeight="1">
      <c r="A469" s="162"/>
      <c r="B469" s="174"/>
      <c r="C469" s="175"/>
      <c r="D469" s="176"/>
      <c r="E469" s="175"/>
      <c r="F469" s="177"/>
      <c r="G469" s="177"/>
      <c r="H469" s="176"/>
      <c r="I469" s="175"/>
      <c r="J469" s="163"/>
      <c r="K469" s="165"/>
      <c r="L469" s="163"/>
      <c r="M469" s="163"/>
      <c r="N469" s="169"/>
      <c r="O469" s="173"/>
      <c r="P469" s="168"/>
    </row>
    <row r="470" ht="15.75" customHeight="1">
      <c r="A470" s="162"/>
      <c r="B470" s="174"/>
      <c r="C470" s="175"/>
      <c r="D470" s="176"/>
      <c r="E470" s="175"/>
      <c r="F470" s="177"/>
      <c r="G470" s="177"/>
      <c r="H470" s="176"/>
      <c r="I470" s="175"/>
      <c r="J470" s="163"/>
      <c r="K470" s="165"/>
      <c r="L470" s="163"/>
      <c r="M470" s="163"/>
      <c r="N470" s="169"/>
      <c r="O470" s="173"/>
      <c r="P470" s="168"/>
    </row>
    <row r="471" ht="15.75" customHeight="1">
      <c r="A471" s="162"/>
      <c r="B471" s="174"/>
      <c r="C471" s="175"/>
      <c r="D471" s="176"/>
      <c r="E471" s="175"/>
      <c r="F471" s="177"/>
      <c r="G471" s="177"/>
      <c r="H471" s="176"/>
      <c r="I471" s="175"/>
      <c r="J471" s="163"/>
      <c r="K471" s="165"/>
      <c r="L471" s="163"/>
      <c r="M471" s="163"/>
      <c r="N471" s="169"/>
      <c r="O471" s="173"/>
      <c r="P471" s="168"/>
    </row>
    <row r="472" ht="15.75" customHeight="1">
      <c r="A472" s="162"/>
      <c r="B472" s="174"/>
      <c r="C472" s="175"/>
      <c r="D472" s="176"/>
      <c r="E472" s="175"/>
      <c r="F472" s="177"/>
      <c r="G472" s="177"/>
      <c r="H472" s="176"/>
      <c r="I472" s="175"/>
      <c r="J472" s="163"/>
      <c r="K472" s="165"/>
      <c r="L472" s="163"/>
      <c r="M472" s="163"/>
      <c r="N472" s="169"/>
      <c r="O472" s="173"/>
      <c r="P472" s="168"/>
    </row>
    <row r="473" ht="15.75" customHeight="1">
      <c r="A473" s="162"/>
      <c r="B473" s="174"/>
      <c r="C473" s="175"/>
      <c r="D473" s="176"/>
      <c r="E473" s="175"/>
      <c r="F473" s="177"/>
      <c r="G473" s="177"/>
      <c r="H473" s="176"/>
      <c r="I473" s="175"/>
      <c r="J473" s="163"/>
      <c r="K473" s="165"/>
      <c r="L473" s="163"/>
      <c r="M473" s="163"/>
      <c r="N473" s="169"/>
      <c r="O473" s="173"/>
      <c r="P473" s="168"/>
    </row>
    <row r="474" ht="15.75" customHeight="1">
      <c r="A474" s="162"/>
      <c r="B474" s="174"/>
      <c r="C474" s="175"/>
      <c r="D474" s="176"/>
      <c r="E474" s="175"/>
      <c r="F474" s="177"/>
      <c r="G474" s="177"/>
      <c r="H474" s="176"/>
      <c r="I474" s="175"/>
      <c r="J474" s="163"/>
      <c r="K474" s="165"/>
      <c r="L474" s="163"/>
      <c r="M474" s="163"/>
      <c r="N474" s="169"/>
      <c r="O474" s="173"/>
      <c r="P474" s="168"/>
    </row>
    <row r="475" ht="15.75" customHeight="1">
      <c r="A475" s="162"/>
      <c r="B475" s="174"/>
      <c r="C475" s="175"/>
      <c r="D475" s="176"/>
      <c r="E475" s="175"/>
      <c r="F475" s="177"/>
      <c r="G475" s="177"/>
      <c r="H475" s="176"/>
      <c r="I475" s="175"/>
      <c r="J475" s="163"/>
      <c r="K475" s="165"/>
      <c r="L475" s="163"/>
      <c r="M475" s="163"/>
      <c r="N475" s="169"/>
      <c r="O475" s="173"/>
      <c r="P475" s="168"/>
    </row>
    <row r="476" ht="15.75" customHeight="1">
      <c r="A476" s="162"/>
      <c r="B476" s="174"/>
      <c r="C476" s="175"/>
      <c r="D476" s="176"/>
      <c r="E476" s="175"/>
      <c r="F476" s="177"/>
      <c r="G476" s="177"/>
      <c r="H476" s="176"/>
      <c r="I476" s="175"/>
      <c r="J476" s="163"/>
      <c r="K476" s="165"/>
      <c r="L476" s="163"/>
      <c r="M476" s="163"/>
      <c r="N476" s="169"/>
      <c r="O476" s="173"/>
      <c r="P476" s="168"/>
    </row>
    <row r="477" ht="15.75" customHeight="1">
      <c r="A477" s="162"/>
      <c r="B477" s="174"/>
      <c r="C477" s="175"/>
      <c r="D477" s="176"/>
      <c r="E477" s="175"/>
      <c r="F477" s="177"/>
      <c r="G477" s="177"/>
      <c r="H477" s="176"/>
      <c r="I477" s="175"/>
      <c r="J477" s="163"/>
      <c r="K477" s="165"/>
      <c r="L477" s="163"/>
      <c r="M477" s="163"/>
      <c r="N477" s="169"/>
      <c r="O477" s="173"/>
      <c r="P477" s="168"/>
    </row>
    <row r="478" ht="15.75" customHeight="1">
      <c r="A478" s="162"/>
      <c r="B478" s="174"/>
      <c r="C478" s="175"/>
      <c r="D478" s="176"/>
      <c r="E478" s="175"/>
      <c r="F478" s="177"/>
      <c r="G478" s="177"/>
      <c r="H478" s="176"/>
      <c r="I478" s="175"/>
      <c r="J478" s="163"/>
      <c r="K478" s="165"/>
      <c r="L478" s="163"/>
      <c r="M478" s="163"/>
      <c r="N478" s="169"/>
      <c r="O478" s="173"/>
      <c r="P478" s="168"/>
    </row>
    <row r="479" ht="15.75" customHeight="1">
      <c r="A479" s="162"/>
      <c r="B479" s="174"/>
      <c r="C479" s="175"/>
      <c r="D479" s="176"/>
      <c r="E479" s="175"/>
      <c r="F479" s="177"/>
      <c r="G479" s="177"/>
      <c r="H479" s="176"/>
      <c r="I479" s="175"/>
      <c r="J479" s="163"/>
      <c r="K479" s="165"/>
      <c r="L479" s="163"/>
      <c r="M479" s="163"/>
      <c r="N479" s="169"/>
      <c r="O479" s="173"/>
      <c r="P479" s="168"/>
    </row>
    <row r="480" ht="15.75" customHeight="1">
      <c r="A480" s="162"/>
      <c r="B480" s="174"/>
      <c r="C480" s="175"/>
      <c r="D480" s="176"/>
      <c r="E480" s="175"/>
      <c r="F480" s="177"/>
      <c r="G480" s="177"/>
      <c r="H480" s="176"/>
      <c r="I480" s="175"/>
      <c r="J480" s="163"/>
      <c r="K480" s="165"/>
      <c r="L480" s="163"/>
      <c r="M480" s="163"/>
      <c r="N480" s="169"/>
      <c r="O480" s="173"/>
      <c r="P480" s="168"/>
    </row>
    <row r="481" ht="15.75" customHeight="1">
      <c r="A481" s="162"/>
      <c r="B481" s="174"/>
      <c r="C481" s="175"/>
      <c r="D481" s="176"/>
      <c r="E481" s="175"/>
      <c r="F481" s="177"/>
      <c r="G481" s="177"/>
      <c r="H481" s="176"/>
      <c r="I481" s="175"/>
      <c r="J481" s="163"/>
      <c r="K481" s="165"/>
      <c r="L481" s="163"/>
      <c r="M481" s="163"/>
      <c r="N481" s="169"/>
      <c r="O481" s="173"/>
      <c r="P481" s="168"/>
    </row>
    <row r="482" ht="15.75" customHeight="1">
      <c r="A482" s="162"/>
      <c r="B482" s="174"/>
      <c r="C482" s="175"/>
      <c r="D482" s="176"/>
      <c r="E482" s="175"/>
      <c r="F482" s="177"/>
      <c r="G482" s="177"/>
      <c r="H482" s="176"/>
      <c r="I482" s="175"/>
      <c r="J482" s="163"/>
      <c r="K482" s="165"/>
      <c r="L482" s="163"/>
      <c r="M482" s="163"/>
      <c r="N482" s="169"/>
      <c r="O482" s="173"/>
      <c r="P482" s="168"/>
    </row>
    <row r="483" ht="15.75" customHeight="1">
      <c r="A483" s="162"/>
      <c r="B483" s="174"/>
      <c r="C483" s="175"/>
      <c r="D483" s="176"/>
      <c r="E483" s="175"/>
      <c r="F483" s="177"/>
      <c r="G483" s="177"/>
      <c r="H483" s="176"/>
      <c r="I483" s="175"/>
      <c r="J483" s="163"/>
      <c r="K483" s="165"/>
      <c r="L483" s="163"/>
      <c r="M483" s="163"/>
      <c r="N483" s="169"/>
      <c r="O483" s="173"/>
      <c r="P483" s="168"/>
    </row>
    <row r="484" ht="15.75" customHeight="1">
      <c r="A484" s="162"/>
      <c r="B484" s="174"/>
      <c r="C484" s="175"/>
      <c r="D484" s="176"/>
      <c r="E484" s="175"/>
      <c r="F484" s="177"/>
      <c r="G484" s="177"/>
      <c r="H484" s="176"/>
      <c r="I484" s="175"/>
      <c r="J484" s="163"/>
      <c r="K484" s="165"/>
      <c r="L484" s="163"/>
      <c r="M484" s="163"/>
      <c r="N484" s="169"/>
      <c r="O484" s="173"/>
      <c r="P484" s="168"/>
    </row>
    <row r="485" ht="15.75" customHeight="1">
      <c r="A485" s="162"/>
      <c r="B485" s="174"/>
      <c r="C485" s="175"/>
      <c r="D485" s="176"/>
      <c r="E485" s="175"/>
      <c r="F485" s="177"/>
      <c r="G485" s="177"/>
      <c r="H485" s="176"/>
      <c r="I485" s="175"/>
      <c r="J485" s="163"/>
      <c r="K485" s="165"/>
      <c r="L485" s="163"/>
      <c r="M485" s="163"/>
      <c r="N485" s="169"/>
      <c r="O485" s="173"/>
      <c r="P485" s="168"/>
    </row>
    <row r="486" ht="15.75" customHeight="1">
      <c r="A486" s="162"/>
      <c r="B486" s="174"/>
      <c r="C486" s="175"/>
      <c r="D486" s="176"/>
      <c r="E486" s="175"/>
      <c r="F486" s="177"/>
      <c r="G486" s="177"/>
      <c r="H486" s="176"/>
      <c r="I486" s="175"/>
      <c r="J486" s="163"/>
      <c r="K486" s="165"/>
      <c r="L486" s="163"/>
      <c r="M486" s="163"/>
      <c r="N486" s="169"/>
      <c r="O486" s="173"/>
      <c r="P486" s="168"/>
    </row>
    <row r="487" ht="15.75" customHeight="1">
      <c r="A487" s="162"/>
      <c r="B487" s="174"/>
      <c r="C487" s="175"/>
      <c r="D487" s="176"/>
      <c r="E487" s="175"/>
      <c r="F487" s="177"/>
      <c r="G487" s="177"/>
      <c r="H487" s="176"/>
      <c r="I487" s="175"/>
      <c r="J487" s="163"/>
      <c r="K487" s="165"/>
      <c r="L487" s="163"/>
      <c r="M487" s="163"/>
      <c r="N487" s="169"/>
      <c r="O487" s="173"/>
      <c r="P487" s="168"/>
    </row>
    <row r="488" ht="15.75" customHeight="1">
      <c r="A488" s="162"/>
      <c r="B488" s="174"/>
      <c r="C488" s="175"/>
      <c r="D488" s="176"/>
      <c r="E488" s="175"/>
      <c r="F488" s="177"/>
      <c r="G488" s="177"/>
      <c r="H488" s="176"/>
      <c r="I488" s="175"/>
      <c r="J488" s="163"/>
      <c r="K488" s="165"/>
      <c r="L488" s="163"/>
      <c r="M488" s="163"/>
      <c r="N488" s="169"/>
      <c r="O488" s="173"/>
      <c r="P488" s="168"/>
    </row>
    <row r="489" ht="15.75" customHeight="1">
      <c r="A489" s="162"/>
      <c r="B489" s="174"/>
      <c r="C489" s="175"/>
      <c r="D489" s="176"/>
      <c r="E489" s="175"/>
      <c r="F489" s="177"/>
      <c r="G489" s="177"/>
      <c r="H489" s="176"/>
      <c r="I489" s="175"/>
      <c r="J489" s="163"/>
      <c r="K489" s="165"/>
      <c r="L489" s="163"/>
      <c r="M489" s="163"/>
      <c r="N489" s="169"/>
      <c r="O489" s="173"/>
      <c r="P489" s="168"/>
    </row>
    <row r="490" ht="15.75" customHeight="1">
      <c r="A490" s="162"/>
      <c r="B490" s="174"/>
      <c r="C490" s="175"/>
      <c r="D490" s="176"/>
      <c r="E490" s="175"/>
      <c r="F490" s="177"/>
      <c r="G490" s="177"/>
      <c r="H490" s="176"/>
      <c r="I490" s="175"/>
      <c r="J490" s="163"/>
      <c r="K490" s="165"/>
      <c r="L490" s="163"/>
      <c r="M490" s="163"/>
      <c r="N490" s="169"/>
      <c r="O490" s="173"/>
      <c r="P490" s="168"/>
    </row>
    <row r="491" ht="15.75" customHeight="1">
      <c r="A491" s="162"/>
      <c r="B491" s="174"/>
      <c r="C491" s="175"/>
      <c r="D491" s="176"/>
      <c r="E491" s="175"/>
      <c r="F491" s="177"/>
      <c r="G491" s="177"/>
      <c r="H491" s="176"/>
      <c r="I491" s="175"/>
      <c r="J491" s="163"/>
      <c r="K491" s="165"/>
      <c r="L491" s="163"/>
      <c r="M491" s="163"/>
      <c r="N491" s="169"/>
      <c r="O491" s="173"/>
      <c r="P491" s="168"/>
    </row>
    <row r="492" ht="15.75" customHeight="1">
      <c r="A492" s="162"/>
      <c r="B492" s="174"/>
      <c r="C492" s="175"/>
      <c r="D492" s="176"/>
      <c r="E492" s="175"/>
      <c r="F492" s="177"/>
      <c r="G492" s="177"/>
      <c r="H492" s="176"/>
      <c r="I492" s="175"/>
      <c r="J492" s="163"/>
      <c r="K492" s="165"/>
      <c r="L492" s="163"/>
      <c r="M492" s="163"/>
      <c r="N492" s="169"/>
      <c r="O492" s="173"/>
      <c r="P492" s="168"/>
    </row>
    <row r="493" ht="15.75" customHeight="1">
      <c r="A493" s="162"/>
      <c r="B493" s="174"/>
      <c r="C493" s="175"/>
      <c r="D493" s="176"/>
      <c r="E493" s="175"/>
      <c r="F493" s="177"/>
      <c r="G493" s="177"/>
      <c r="H493" s="176"/>
      <c r="I493" s="175"/>
      <c r="J493" s="163"/>
      <c r="K493" s="165"/>
      <c r="L493" s="163"/>
      <c r="M493" s="163"/>
      <c r="N493" s="169"/>
      <c r="O493" s="173"/>
      <c r="P493" s="168"/>
    </row>
    <row r="494" ht="15.75" customHeight="1">
      <c r="A494" s="162"/>
      <c r="B494" s="174"/>
      <c r="C494" s="175"/>
      <c r="D494" s="176"/>
      <c r="E494" s="175"/>
      <c r="F494" s="177"/>
      <c r="G494" s="177"/>
      <c r="H494" s="176"/>
      <c r="I494" s="175"/>
      <c r="J494" s="163"/>
      <c r="K494" s="165"/>
      <c r="L494" s="163"/>
      <c r="M494" s="163"/>
      <c r="N494" s="169"/>
      <c r="O494" s="173"/>
      <c r="P494" s="168"/>
    </row>
    <row r="495" ht="15.75" customHeight="1">
      <c r="A495" s="162"/>
      <c r="B495" s="174"/>
      <c r="C495" s="175"/>
      <c r="D495" s="176"/>
      <c r="E495" s="175"/>
      <c r="F495" s="177"/>
      <c r="G495" s="177"/>
      <c r="H495" s="176"/>
      <c r="I495" s="175"/>
      <c r="J495" s="163"/>
      <c r="K495" s="165"/>
      <c r="L495" s="163"/>
      <c r="M495" s="163"/>
      <c r="N495" s="169"/>
      <c r="O495" s="173"/>
      <c r="P495" s="168"/>
    </row>
    <row r="496" ht="15.75" customHeight="1">
      <c r="A496" s="162"/>
      <c r="B496" s="174"/>
      <c r="C496" s="175"/>
      <c r="D496" s="176"/>
      <c r="E496" s="175"/>
      <c r="F496" s="177"/>
      <c r="G496" s="177"/>
      <c r="H496" s="176"/>
      <c r="I496" s="175"/>
      <c r="J496" s="163"/>
      <c r="K496" s="165"/>
      <c r="L496" s="163"/>
      <c r="M496" s="163"/>
      <c r="N496" s="169"/>
      <c r="O496" s="173"/>
      <c r="P496" s="168"/>
    </row>
    <row r="497" ht="15.75" customHeight="1">
      <c r="A497" s="162"/>
      <c r="B497" s="174"/>
      <c r="C497" s="175"/>
      <c r="D497" s="176"/>
      <c r="E497" s="175"/>
      <c r="F497" s="177"/>
      <c r="G497" s="177"/>
      <c r="H497" s="176"/>
      <c r="I497" s="175"/>
      <c r="J497" s="163"/>
      <c r="K497" s="165"/>
      <c r="L497" s="163"/>
      <c r="M497" s="163"/>
      <c r="N497" s="169"/>
      <c r="O497" s="173"/>
      <c r="P497" s="168"/>
    </row>
    <row r="498" ht="15.75" customHeight="1">
      <c r="A498" s="162"/>
      <c r="B498" s="174"/>
      <c r="C498" s="175"/>
      <c r="D498" s="176"/>
      <c r="E498" s="175"/>
      <c r="F498" s="177"/>
      <c r="G498" s="177"/>
      <c r="H498" s="176"/>
      <c r="I498" s="175"/>
      <c r="J498" s="163"/>
      <c r="K498" s="165"/>
      <c r="L498" s="163"/>
      <c r="M498" s="163"/>
      <c r="N498" s="169"/>
      <c r="O498" s="173"/>
      <c r="P498" s="168"/>
    </row>
    <row r="499" ht="15.75" customHeight="1">
      <c r="A499" s="162"/>
      <c r="B499" s="174"/>
      <c r="C499" s="175"/>
      <c r="D499" s="176"/>
      <c r="E499" s="175"/>
      <c r="F499" s="177"/>
      <c r="G499" s="177"/>
      <c r="H499" s="176"/>
      <c r="I499" s="175"/>
      <c r="J499" s="163"/>
      <c r="K499" s="165"/>
      <c r="L499" s="163"/>
      <c r="M499" s="163"/>
      <c r="N499" s="169"/>
      <c r="O499" s="173"/>
      <c r="P499" s="168"/>
    </row>
    <row r="500" ht="15.75" customHeight="1">
      <c r="A500" s="162"/>
      <c r="B500" s="174"/>
      <c r="C500" s="175"/>
      <c r="D500" s="176"/>
      <c r="E500" s="175"/>
      <c r="F500" s="177"/>
      <c r="G500" s="177"/>
      <c r="H500" s="176"/>
      <c r="I500" s="175"/>
      <c r="J500" s="163"/>
      <c r="K500" s="165"/>
      <c r="L500" s="163"/>
      <c r="M500" s="163"/>
      <c r="N500" s="169"/>
      <c r="O500" s="173"/>
      <c r="P500" s="168"/>
    </row>
    <row r="501" ht="15.75" customHeight="1">
      <c r="A501" s="162"/>
      <c r="B501" s="174"/>
      <c r="C501" s="175"/>
      <c r="D501" s="176"/>
      <c r="E501" s="175"/>
      <c r="F501" s="177"/>
      <c r="G501" s="177"/>
      <c r="H501" s="176"/>
      <c r="I501" s="175"/>
      <c r="J501" s="163"/>
      <c r="K501" s="165"/>
      <c r="L501" s="163"/>
      <c r="M501" s="163"/>
      <c r="N501" s="169"/>
      <c r="O501" s="173"/>
      <c r="P501" s="168"/>
    </row>
    <row r="502" ht="15.75" customHeight="1">
      <c r="A502" s="162"/>
      <c r="B502" s="174"/>
      <c r="C502" s="175"/>
      <c r="D502" s="176"/>
      <c r="E502" s="175"/>
      <c r="F502" s="177"/>
      <c r="G502" s="177"/>
      <c r="H502" s="176"/>
      <c r="I502" s="175"/>
      <c r="J502" s="163"/>
      <c r="K502" s="165"/>
      <c r="L502" s="163"/>
      <c r="M502" s="163"/>
      <c r="N502" s="169"/>
      <c r="O502" s="173"/>
      <c r="P502" s="168"/>
    </row>
    <row r="503" ht="15.75" customHeight="1">
      <c r="A503" s="162"/>
      <c r="B503" s="174"/>
      <c r="C503" s="175"/>
      <c r="D503" s="176"/>
      <c r="E503" s="175"/>
      <c r="F503" s="177"/>
      <c r="G503" s="177"/>
      <c r="H503" s="176"/>
      <c r="I503" s="175"/>
      <c r="J503" s="163"/>
      <c r="K503" s="165"/>
      <c r="L503" s="163"/>
      <c r="M503" s="163"/>
      <c r="N503" s="169"/>
      <c r="O503" s="173"/>
      <c r="P503" s="168"/>
    </row>
    <row r="504" ht="15.75" customHeight="1">
      <c r="A504" s="162"/>
      <c r="B504" s="174"/>
      <c r="C504" s="175"/>
      <c r="D504" s="176"/>
      <c r="E504" s="175"/>
      <c r="F504" s="177"/>
      <c r="G504" s="177"/>
      <c r="H504" s="176"/>
      <c r="I504" s="175"/>
      <c r="J504" s="163"/>
      <c r="K504" s="165"/>
      <c r="L504" s="163"/>
      <c r="M504" s="163"/>
      <c r="N504" s="169"/>
      <c r="O504" s="173"/>
      <c r="P504" s="168"/>
    </row>
    <row r="505" ht="15.75" customHeight="1">
      <c r="A505" s="162"/>
      <c r="B505" s="174"/>
      <c r="C505" s="175"/>
      <c r="D505" s="176"/>
      <c r="E505" s="175"/>
      <c r="F505" s="177"/>
      <c r="G505" s="177"/>
      <c r="H505" s="176"/>
      <c r="I505" s="175"/>
      <c r="J505" s="163"/>
      <c r="K505" s="165"/>
      <c r="L505" s="163"/>
      <c r="M505" s="163"/>
      <c r="N505" s="169"/>
      <c r="O505" s="173"/>
      <c r="P505" s="168"/>
    </row>
    <row r="506" ht="15.75" customHeight="1">
      <c r="A506" s="162"/>
      <c r="B506" s="174"/>
      <c r="C506" s="175"/>
      <c r="D506" s="176"/>
      <c r="E506" s="175"/>
      <c r="F506" s="177"/>
      <c r="G506" s="177"/>
      <c r="H506" s="176"/>
      <c r="I506" s="175"/>
      <c r="J506" s="163"/>
      <c r="K506" s="165"/>
      <c r="L506" s="163"/>
      <c r="M506" s="163"/>
      <c r="N506" s="169"/>
      <c r="O506" s="173"/>
      <c r="P506" s="168"/>
    </row>
    <row r="507" ht="15.75" customHeight="1">
      <c r="A507" s="162"/>
      <c r="B507" s="174"/>
      <c r="C507" s="175"/>
      <c r="D507" s="176"/>
      <c r="E507" s="175"/>
      <c r="F507" s="177"/>
      <c r="G507" s="177"/>
      <c r="H507" s="176"/>
      <c r="I507" s="175"/>
      <c r="J507" s="163"/>
      <c r="K507" s="165"/>
      <c r="L507" s="163"/>
      <c r="M507" s="163"/>
      <c r="N507" s="169"/>
      <c r="O507" s="173"/>
      <c r="P507" s="168"/>
    </row>
    <row r="508" ht="15.75" customHeight="1">
      <c r="A508" s="162"/>
      <c r="B508" s="174"/>
      <c r="C508" s="175"/>
      <c r="D508" s="176"/>
      <c r="E508" s="175"/>
      <c r="F508" s="177"/>
      <c r="G508" s="177"/>
      <c r="H508" s="176"/>
      <c r="I508" s="175"/>
      <c r="J508" s="163"/>
      <c r="K508" s="165"/>
      <c r="L508" s="163"/>
      <c r="M508" s="163"/>
      <c r="N508" s="169"/>
      <c r="O508" s="173"/>
      <c r="P508" s="168"/>
    </row>
    <row r="509" ht="15.75" customHeight="1">
      <c r="A509" s="162"/>
      <c r="B509" s="174"/>
      <c r="C509" s="175"/>
      <c r="D509" s="176"/>
      <c r="E509" s="175"/>
      <c r="F509" s="177"/>
      <c r="G509" s="177"/>
      <c r="H509" s="176"/>
      <c r="I509" s="175"/>
      <c r="J509" s="163"/>
      <c r="K509" s="165"/>
      <c r="L509" s="163"/>
      <c r="M509" s="163"/>
      <c r="N509" s="169"/>
      <c r="O509" s="173"/>
      <c r="P509" s="168"/>
    </row>
    <row r="510" ht="15.75" customHeight="1">
      <c r="A510" s="162"/>
      <c r="B510" s="174"/>
      <c r="C510" s="175"/>
      <c r="D510" s="176"/>
      <c r="E510" s="175"/>
      <c r="F510" s="177"/>
      <c r="G510" s="177"/>
      <c r="H510" s="176"/>
      <c r="I510" s="175"/>
      <c r="J510" s="163"/>
      <c r="K510" s="165"/>
      <c r="L510" s="163"/>
      <c r="M510" s="163"/>
      <c r="N510" s="169"/>
      <c r="O510" s="173"/>
      <c r="P510" s="168"/>
    </row>
    <row r="511" ht="15.75" customHeight="1">
      <c r="A511" s="162"/>
      <c r="B511" s="174"/>
      <c r="C511" s="175"/>
      <c r="D511" s="176"/>
      <c r="E511" s="175"/>
      <c r="F511" s="177"/>
      <c r="G511" s="177"/>
      <c r="H511" s="176"/>
      <c r="I511" s="175"/>
      <c r="J511" s="163"/>
      <c r="K511" s="165"/>
      <c r="L511" s="163"/>
      <c r="M511" s="163"/>
      <c r="N511" s="169"/>
      <c r="O511" s="173"/>
      <c r="P511" s="168"/>
    </row>
    <row r="512" ht="15.75" customHeight="1">
      <c r="A512" s="162"/>
      <c r="B512" s="174"/>
      <c r="C512" s="175"/>
      <c r="D512" s="176"/>
      <c r="E512" s="175"/>
      <c r="F512" s="177"/>
      <c r="G512" s="177"/>
      <c r="H512" s="176"/>
      <c r="I512" s="175"/>
      <c r="J512" s="163"/>
      <c r="K512" s="165"/>
      <c r="L512" s="163"/>
      <c r="M512" s="163"/>
      <c r="N512" s="169"/>
      <c r="O512" s="173"/>
      <c r="P512" s="168"/>
    </row>
    <row r="513" ht="15.75" customHeight="1">
      <c r="A513" s="162"/>
      <c r="B513" s="174"/>
      <c r="C513" s="175"/>
      <c r="D513" s="176"/>
      <c r="E513" s="175"/>
      <c r="F513" s="177"/>
      <c r="G513" s="177"/>
      <c r="H513" s="176"/>
      <c r="I513" s="175"/>
      <c r="J513" s="163"/>
      <c r="K513" s="165"/>
      <c r="L513" s="163"/>
      <c r="M513" s="163"/>
      <c r="N513" s="169"/>
      <c r="O513" s="173"/>
      <c r="P513" s="168"/>
    </row>
    <row r="514" ht="15.75" customHeight="1">
      <c r="A514" s="162"/>
      <c r="B514" s="174"/>
      <c r="C514" s="175"/>
      <c r="D514" s="176"/>
      <c r="E514" s="175"/>
      <c r="F514" s="177"/>
      <c r="G514" s="177"/>
      <c r="H514" s="176"/>
      <c r="I514" s="175"/>
      <c r="J514" s="163"/>
      <c r="K514" s="165"/>
      <c r="L514" s="163"/>
      <c r="M514" s="163"/>
      <c r="N514" s="169"/>
      <c r="O514" s="173"/>
      <c r="P514" s="168"/>
    </row>
    <row r="515" ht="15.75" customHeight="1">
      <c r="A515" s="162"/>
      <c r="B515" s="174"/>
      <c r="C515" s="175"/>
      <c r="D515" s="176"/>
      <c r="E515" s="175"/>
      <c r="F515" s="177"/>
      <c r="G515" s="177"/>
      <c r="H515" s="176"/>
      <c r="I515" s="175"/>
      <c r="J515" s="163"/>
      <c r="K515" s="165"/>
      <c r="L515" s="163"/>
      <c r="M515" s="163"/>
      <c r="N515" s="169"/>
      <c r="O515" s="173"/>
      <c r="P515" s="168"/>
    </row>
    <row r="516" ht="15.75" customHeight="1">
      <c r="A516" s="162"/>
      <c r="B516" s="174"/>
      <c r="C516" s="175"/>
      <c r="D516" s="176"/>
      <c r="E516" s="175"/>
      <c r="F516" s="177"/>
      <c r="G516" s="177"/>
      <c r="H516" s="176"/>
      <c r="I516" s="175"/>
      <c r="J516" s="163"/>
      <c r="K516" s="165"/>
      <c r="L516" s="163"/>
      <c r="M516" s="163"/>
      <c r="N516" s="169"/>
      <c r="O516" s="173"/>
      <c r="P516" s="168"/>
    </row>
    <row r="517" ht="15.75" customHeight="1">
      <c r="A517" s="162"/>
      <c r="B517" s="174"/>
      <c r="C517" s="175"/>
      <c r="D517" s="176"/>
      <c r="E517" s="175"/>
      <c r="F517" s="177"/>
      <c r="G517" s="177"/>
      <c r="H517" s="176"/>
      <c r="I517" s="175"/>
      <c r="J517" s="163"/>
      <c r="K517" s="165"/>
      <c r="L517" s="163"/>
      <c r="M517" s="163"/>
      <c r="N517" s="169"/>
      <c r="O517" s="173"/>
      <c r="P517" s="168"/>
    </row>
    <row r="518" ht="15.75" customHeight="1">
      <c r="A518" s="162"/>
      <c r="B518" s="174"/>
      <c r="C518" s="175"/>
      <c r="D518" s="176"/>
      <c r="E518" s="175"/>
      <c r="F518" s="177"/>
      <c r="G518" s="177"/>
      <c r="H518" s="176"/>
      <c r="I518" s="175"/>
      <c r="J518" s="163"/>
      <c r="K518" s="165"/>
      <c r="L518" s="163"/>
      <c r="M518" s="163"/>
      <c r="N518" s="169"/>
      <c r="O518" s="173"/>
      <c r="P518" s="168"/>
    </row>
    <row r="519" ht="15.75" customHeight="1">
      <c r="A519" s="162"/>
      <c r="B519" s="174"/>
      <c r="C519" s="175"/>
      <c r="D519" s="176"/>
      <c r="E519" s="175"/>
      <c r="F519" s="177"/>
      <c r="G519" s="177"/>
      <c r="H519" s="176"/>
      <c r="I519" s="175"/>
      <c r="J519" s="163"/>
      <c r="K519" s="165"/>
      <c r="L519" s="163"/>
      <c r="M519" s="163"/>
      <c r="N519" s="169"/>
      <c r="O519" s="173"/>
      <c r="P519" s="168"/>
    </row>
    <row r="520" ht="15.75" customHeight="1">
      <c r="A520" s="162"/>
      <c r="B520" s="174"/>
      <c r="C520" s="175"/>
      <c r="D520" s="176"/>
      <c r="E520" s="175"/>
      <c r="F520" s="177"/>
      <c r="G520" s="177"/>
      <c r="H520" s="176"/>
      <c r="I520" s="175"/>
      <c r="J520" s="163"/>
      <c r="K520" s="165"/>
      <c r="L520" s="163"/>
      <c r="M520" s="163"/>
      <c r="N520" s="169"/>
      <c r="O520" s="173"/>
      <c r="P520" s="168"/>
    </row>
    <row r="521" ht="15.75" customHeight="1">
      <c r="A521" s="162"/>
      <c r="B521" s="174"/>
      <c r="C521" s="175"/>
      <c r="D521" s="176"/>
      <c r="E521" s="175"/>
      <c r="F521" s="177"/>
      <c r="G521" s="177"/>
      <c r="H521" s="176"/>
      <c r="I521" s="175"/>
      <c r="J521" s="163"/>
      <c r="K521" s="165"/>
      <c r="L521" s="163"/>
      <c r="M521" s="163"/>
      <c r="N521" s="169"/>
      <c r="O521" s="173"/>
      <c r="P521" s="168"/>
    </row>
    <row r="522" ht="15.75" customHeight="1">
      <c r="A522" s="162"/>
      <c r="B522" s="174"/>
      <c r="C522" s="175"/>
      <c r="D522" s="176"/>
      <c r="E522" s="175"/>
      <c r="F522" s="177"/>
      <c r="G522" s="177"/>
      <c r="H522" s="176"/>
      <c r="I522" s="175"/>
      <c r="J522" s="163"/>
      <c r="K522" s="165"/>
      <c r="L522" s="163"/>
      <c r="M522" s="163"/>
      <c r="N522" s="169"/>
      <c r="O522" s="173"/>
      <c r="P522" s="168"/>
    </row>
    <row r="523" ht="15.75" customHeight="1">
      <c r="A523" s="162"/>
      <c r="B523" s="174"/>
      <c r="C523" s="175"/>
      <c r="D523" s="176"/>
      <c r="E523" s="175"/>
      <c r="F523" s="177"/>
      <c r="G523" s="177"/>
      <c r="H523" s="176"/>
      <c r="I523" s="175"/>
      <c r="J523" s="163"/>
      <c r="K523" s="165"/>
      <c r="L523" s="163"/>
      <c r="M523" s="163"/>
      <c r="N523" s="169"/>
      <c r="O523" s="173"/>
      <c r="P523" s="168"/>
    </row>
    <row r="524" ht="15.75" customHeight="1">
      <c r="A524" s="162"/>
      <c r="B524" s="174"/>
      <c r="C524" s="175"/>
      <c r="D524" s="176"/>
      <c r="E524" s="175"/>
      <c r="F524" s="177"/>
      <c r="G524" s="177"/>
      <c r="H524" s="176"/>
      <c r="I524" s="175"/>
      <c r="J524" s="163"/>
      <c r="K524" s="165"/>
      <c r="L524" s="163"/>
      <c r="M524" s="163"/>
      <c r="N524" s="169"/>
      <c r="O524" s="173"/>
      <c r="P524" s="168"/>
    </row>
    <row r="525" ht="15.75" customHeight="1">
      <c r="A525" s="162"/>
      <c r="B525" s="174"/>
      <c r="C525" s="175"/>
      <c r="D525" s="176"/>
      <c r="E525" s="175"/>
      <c r="F525" s="177"/>
      <c r="G525" s="177"/>
      <c r="H525" s="176"/>
      <c r="I525" s="175"/>
      <c r="J525" s="163"/>
      <c r="K525" s="165"/>
      <c r="L525" s="163"/>
      <c r="M525" s="163"/>
      <c r="N525" s="169"/>
      <c r="O525" s="173"/>
      <c r="P525" s="168"/>
    </row>
    <row r="526" ht="15.75" customHeight="1">
      <c r="A526" s="162"/>
      <c r="B526" s="174"/>
      <c r="C526" s="175"/>
      <c r="D526" s="176"/>
      <c r="E526" s="175"/>
      <c r="F526" s="177"/>
      <c r="G526" s="177"/>
      <c r="H526" s="176"/>
      <c r="I526" s="175"/>
      <c r="J526" s="163"/>
      <c r="K526" s="165"/>
      <c r="L526" s="163"/>
      <c r="M526" s="163"/>
      <c r="N526" s="169"/>
      <c r="O526" s="173"/>
      <c r="P526" s="168"/>
    </row>
    <row r="527" ht="15.75" customHeight="1">
      <c r="A527" s="162"/>
      <c r="B527" s="174"/>
      <c r="C527" s="175"/>
      <c r="D527" s="176"/>
      <c r="E527" s="175"/>
      <c r="F527" s="177"/>
      <c r="G527" s="177"/>
      <c r="H527" s="176"/>
      <c r="I527" s="175"/>
      <c r="J527" s="163"/>
      <c r="K527" s="165"/>
      <c r="L527" s="163"/>
      <c r="M527" s="163"/>
      <c r="N527" s="169"/>
      <c r="O527" s="173"/>
      <c r="P527" s="168"/>
    </row>
    <row r="528" ht="15.75" customHeight="1">
      <c r="A528" s="162"/>
      <c r="B528" s="174"/>
      <c r="C528" s="175"/>
      <c r="D528" s="176"/>
      <c r="E528" s="175"/>
      <c r="F528" s="177"/>
      <c r="G528" s="177"/>
      <c r="H528" s="176"/>
      <c r="I528" s="175"/>
      <c r="J528" s="163"/>
      <c r="K528" s="165"/>
      <c r="L528" s="163"/>
      <c r="M528" s="163"/>
      <c r="N528" s="169"/>
      <c r="O528" s="173"/>
      <c r="P528" s="168"/>
    </row>
    <row r="529" ht="15.75" customHeight="1">
      <c r="A529" s="162"/>
      <c r="B529" s="174"/>
      <c r="C529" s="175"/>
      <c r="D529" s="176"/>
      <c r="E529" s="175"/>
      <c r="F529" s="177"/>
      <c r="G529" s="177"/>
      <c r="H529" s="176"/>
      <c r="I529" s="175"/>
      <c r="J529" s="163"/>
      <c r="K529" s="165"/>
      <c r="L529" s="163"/>
      <c r="M529" s="163"/>
      <c r="N529" s="169"/>
      <c r="O529" s="173"/>
      <c r="P529" s="168"/>
    </row>
    <row r="530" ht="15.75" customHeight="1">
      <c r="A530" s="162"/>
      <c r="B530" s="174"/>
      <c r="C530" s="175"/>
      <c r="D530" s="176"/>
      <c r="E530" s="175"/>
      <c r="F530" s="177"/>
      <c r="G530" s="177"/>
      <c r="H530" s="176"/>
      <c r="I530" s="175"/>
      <c r="J530" s="163"/>
      <c r="K530" s="165"/>
      <c r="L530" s="163"/>
      <c r="M530" s="163"/>
      <c r="N530" s="169"/>
      <c r="O530" s="173"/>
      <c r="P530" s="168"/>
    </row>
    <row r="531" ht="15.75" customHeight="1">
      <c r="A531" s="162"/>
      <c r="B531" s="174"/>
      <c r="C531" s="175"/>
      <c r="D531" s="176"/>
      <c r="E531" s="175"/>
      <c r="F531" s="177"/>
      <c r="G531" s="177"/>
      <c r="H531" s="176"/>
      <c r="I531" s="175"/>
      <c r="J531" s="163"/>
      <c r="K531" s="165"/>
      <c r="L531" s="163"/>
      <c r="M531" s="163"/>
      <c r="N531" s="169"/>
      <c r="O531" s="173"/>
      <c r="P531" s="168"/>
    </row>
    <row r="532" ht="15.75" customHeight="1">
      <c r="A532" s="162"/>
      <c r="B532" s="174"/>
      <c r="C532" s="175"/>
      <c r="D532" s="176"/>
      <c r="E532" s="175"/>
      <c r="F532" s="177"/>
      <c r="G532" s="177"/>
      <c r="H532" s="176"/>
      <c r="I532" s="175"/>
      <c r="J532" s="163"/>
      <c r="K532" s="165"/>
      <c r="L532" s="163"/>
      <c r="M532" s="163"/>
      <c r="N532" s="169"/>
      <c r="O532" s="173"/>
      <c r="P532" s="168"/>
    </row>
    <row r="533" ht="15.75" customHeight="1">
      <c r="A533" s="162"/>
      <c r="B533" s="174"/>
      <c r="C533" s="175"/>
      <c r="D533" s="176"/>
      <c r="E533" s="175"/>
      <c r="F533" s="177"/>
      <c r="G533" s="177"/>
      <c r="H533" s="176"/>
      <c r="I533" s="175"/>
      <c r="J533" s="163"/>
      <c r="K533" s="165"/>
      <c r="L533" s="163"/>
      <c r="M533" s="163"/>
      <c r="N533" s="169"/>
      <c r="O533" s="173"/>
      <c r="P533" s="168"/>
    </row>
    <row r="534" ht="15.75" customHeight="1">
      <c r="A534" s="162"/>
      <c r="B534" s="174"/>
      <c r="C534" s="175"/>
      <c r="D534" s="176"/>
      <c r="E534" s="175"/>
      <c r="F534" s="177"/>
      <c r="G534" s="177"/>
      <c r="H534" s="176"/>
      <c r="I534" s="175"/>
      <c r="J534" s="163"/>
      <c r="K534" s="165"/>
      <c r="L534" s="163"/>
      <c r="M534" s="163"/>
      <c r="N534" s="169"/>
      <c r="O534" s="173"/>
      <c r="P534" s="168"/>
    </row>
    <row r="535" ht="15.75" customHeight="1">
      <c r="A535" s="162"/>
      <c r="B535" s="174"/>
      <c r="C535" s="175"/>
      <c r="D535" s="176"/>
      <c r="E535" s="175"/>
      <c r="F535" s="177"/>
      <c r="G535" s="177"/>
      <c r="H535" s="176"/>
      <c r="I535" s="175"/>
      <c r="J535" s="163"/>
      <c r="K535" s="165"/>
      <c r="L535" s="163"/>
      <c r="M535" s="163"/>
      <c r="N535" s="169"/>
      <c r="O535" s="173"/>
      <c r="P535" s="168"/>
    </row>
    <row r="536" ht="15.75" customHeight="1">
      <c r="A536" s="162"/>
      <c r="B536" s="174"/>
      <c r="C536" s="175"/>
      <c r="D536" s="176"/>
      <c r="E536" s="175"/>
      <c r="F536" s="177"/>
      <c r="G536" s="177"/>
      <c r="H536" s="176"/>
      <c r="I536" s="175"/>
      <c r="J536" s="163"/>
      <c r="K536" s="165"/>
      <c r="L536" s="163"/>
      <c r="M536" s="163"/>
      <c r="N536" s="169"/>
      <c r="O536" s="173"/>
      <c r="P536" s="168"/>
    </row>
    <row r="537" ht="15.75" customHeight="1">
      <c r="A537" s="162"/>
      <c r="B537" s="174"/>
      <c r="C537" s="175"/>
      <c r="D537" s="176"/>
      <c r="E537" s="175"/>
      <c r="F537" s="177"/>
      <c r="G537" s="177"/>
      <c r="H537" s="176"/>
      <c r="I537" s="175"/>
      <c r="J537" s="163"/>
      <c r="K537" s="165"/>
      <c r="L537" s="163"/>
      <c r="M537" s="163"/>
      <c r="N537" s="169"/>
      <c r="O537" s="173"/>
      <c r="P537" s="168"/>
    </row>
    <row r="538" ht="15.75" customHeight="1">
      <c r="A538" s="162"/>
      <c r="B538" s="174"/>
      <c r="C538" s="175"/>
      <c r="D538" s="176"/>
      <c r="E538" s="175"/>
      <c r="F538" s="177"/>
      <c r="G538" s="177"/>
      <c r="H538" s="176"/>
      <c r="I538" s="175"/>
      <c r="J538" s="163"/>
      <c r="K538" s="165"/>
      <c r="L538" s="163"/>
      <c r="M538" s="163"/>
      <c r="N538" s="169"/>
      <c r="O538" s="173"/>
      <c r="P538" s="168"/>
    </row>
    <row r="539" ht="15.75" customHeight="1">
      <c r="A539" s="162"/>
      <c r="B539" s="174"/>
      <c r="C539" s="175"/>
      <c r="D539" s="176"/>
      <c r="E539" s="175"/>
      <c r="F539" s="177"/>
      <c r="G539" s="177"/>
      <c r="H539" s="176"/>
      <c r="I539" s="175"/>
      <c r="J539" s="163"/>
      <c r="K539" s="165"/>
      <c r="L539" s="163"/>
      <c r="M539" s="163"/>
      <c r="N539" s="169"/>
      <c r="O539" s="173"/>
      <c r="P539" s="168"/>
    </row>
    <row r="540" ht="15.75" customHeight="1">
      <c r="A540" s="162"/>
      <c r="B540" s="174"/>
      <c r="C540" s="175"/>
      <c r="D540" s="176"/>
      <c r="E540" s="175"/>
      <c r="F540" s="177"/>
      <c r="G540" s="177"/>
      <c r="H540" s="176"/>
      <c r="I540" s="175"/>
      <c r="J540" s="163"/>
      <c r="K540" s="165"/>
      <c r="L540" s="163"/>
      <c r="M540" s="163"/>
      <c r="N540" s="169"/>
      <c r="O540" s="173"/>
      <c r="P540" s="168"/>
    </row>
    <row r="541" ht="15.75" customHeight="1">
      <c r="A541" s="162"/>
      <c r="B541" s="174"/>
      <c r="C541" s="175"/>
      <c r="D541" s="176"/>
      <c r="E541" s="175"/>
      <c r="F541" s="177"/>
      <c r="G541" s="177"/>
      <c r="H541" s="176"/>
      <c r="I541" s="175"/>
      <c r="J541" s="163"/>
      <c r="K541" s="165"/>
      <c r="L541" s="163"/>
      <c r="M541" s="163"/>
      <c r="N541" s="169"/>
      <c r="O541" s="173"/>
      <c r="P541" s="168"/>
    </row>
    <row r="542" ht="15.75" customHeight="1">
      <c r="A542" s="162"/>
      <c r="B542" s="174"/>
      <c r="C542" s="175"/>
      <c r="D542" s="176"/>
      <c r="E542" s="175"/>
      <c r="F542" s="177"/>
      <c r="G542" s="177"/>
      <c r="H542" s="176"/>
      <c r="I542" s="175"/>
      <c r="J542" s="163"/>
      <c r="K542" s="165"/>
      <c r="L542" s="163"/>
      <c r="M542" s="163"/>
      <c r="N542" s="169"/>
      <c r="O542" s="173"/>
      <c r="P542" s="168"/>
    </row>
    <row r="543" ht="15.75" customHeight="1">
      <c r="A543" s="162"/>
      <c r="B543" s="174"/>
      <c r="C543" s="175"/>
      <c r="D543" s="176"/>
      <c r="E543" s="175"/>
      <c r="F543" s="177"/>
      <c r="G543" s="177"/>
      <c r="H543" s="176"/>
      <c r="I543" s="175"/>
      <c r="J543" s="163"/>
      <c r="K543" s="165"/>
      <c r="L543" s="163"/>
      <c r="M543" s="163"/>
      <c r="N543" s="169"/>
      <c r="O543" s="173"/>
      <c r="P543" s="168"/>
    </row>
    <row r="544" ht="15.75" customHeight="1">
      <c r="A544" s="162"/>
      <c r="B544" s="174"/>
      <c r="C544" s="175"/>
      <c r="D544" s="176"/>
      <c r="E544" s="175"/>
      <c r="F544" s="177"/>
      <c r="G544" s="177"/>
      <c r="H544" s="176"/>
      <c r="I544" s="175"/>
      <c r="J544" s="163"/>
      <c r="K544" s="165"/>
      <c r="L544" s="163"/>
      <c r="M544" s="163"/>
      <c r="N544" s="169"/>
      <c r="O544" s="173"/>
      <c r="P544" s="168"/>
    </row>
    <row r="545" ht="15.75" customHeight="1">
      <c r="A545" s="162"/>
      <c r="B545" s="174"/>
      <c r="C545" s="175"/>
      <c r="D545" s="176"/>
      <c r="E545" s="175"/>
      <c r="F545" s="177"/>
      <c r="G545" s="177"/>
      <c r="H545" s="176"/>
      <c r="I545" s="175"/>
      <c r="J545" s="163"/>
      <c r="K545" s="165"/>
      <c r="L545" s="163"/>
      <c r="M545" s="163"/>
      <c r="N545" s="169"/>
      <c r="O545" s="173"/>
      <c r="P545" s="168"/>
    </row>
    <row r="546" ht="15.75" customHeight="1">
      <c r="A546" s="162"/>
      <c r="B546" s="174"/>
      <c r="C546" s="175"/>
      <c r="D546" s="176"/>
      <c r="E546" s="175"/>
      <c r="F546" s="177"/>
      <c r="G546" s="177"/>
      <c r="H546" s="176"/>
      <c r="I546" s="175"/>
      <c r="J546" s="163"/>
      <c r="K546" s="165"/>
      <c r="L546" s="163"/>
      <c r="M546" s="163"/>
      <c r="N546" s="169"/>
      <c r="O546" s="173"/>
      <c r="P546" s="168"/>
    </row>
    <row r="547" ht="15.75" customHeight="1">
      <c r="A547" s="162"/>
      <c r="B547" s="174"/>
      <c r="C547" s="175"/>
      <c r="D547" s="176"/>
      <c r="E547" s="175"/>
      <c r="F547" s="177"/>
      <c r="G547" s="177"/>
      <c r="H547" s="176"/>
      <c r="I547" s="175"/>
      <c r="J547" s="163"/>
      <c r="K547" s="165"/>
      <c r="L547" s="163"/>
      <c r="M547" s="163"/>
      <c r="N547" s="169"/>
      <c r="O547" s="173"/>
      <c r="P547" s="168"/>
    </row>
    <row r="548" ht="15.75" customHeight="1">
      <c r="A548" s="162"/>
      <c r="B548" s="174"/>
      <c r="C548" s="175"/>
      <c r="D548" s="176"/>
      <c r="E548" s="175"/>
      <c r="F548" s="177"/>
      <c r="G548" s="177"/>
      <c r="H548" s="176"/>
      <c r="I548" s="175"/>
      <c r="J548" s="163"/>
      <c r="K548" s="165"/>
      <c r="L548" s="163"/>
      <c r="M548" s="163"/>
      <c r="N548" s="169"/>
      <c r="O548" s="173"/>
      <c r="P548" s="168"/>
    </row>
    <row r="549" ht="15.75" customHeight="1">
      <c r="A549" s="162"/>
      <c r="B549" s="174"/>
      <c r="C549" s="175"/>
      <c r="D549" s="176"/>
      <c r="E549" s="175"/>
      <c r="F549" s="177"/>
      <c r="G549" s="177"/>
      <c r="H549" s="176"/>
      <c r="I549" s="175"/>
      <c r="J549" s="163"/>
      <c r="K549" s="165"/>
      <c r="L549" s="163"/>
      <c r="M549" s="163"/>
      <c r="N549" s="169"/>
      <c r="O549" s="173"/>
      <c r="P549" s="168"/>
    </row>
    <row r="550" ht="15.75" customHeight="1">
      <c r="A550" s="162"/>
      <c r="B550" s="174"/>
      <c r="C550" s="175"/>
      <c r="D550" s="176"/>
      <c r="E550" s="175"/>
      <c r="F550" s="177"/>
      <c r="G550" s="177"/>
      <c r="H550" s="176"/>
      <c r="I550" s="175"/>
      <c r="J550" s="163"/>
      <c r="K550" s="165"/>
      <c r="L550" s="163"/>
      <c r="M550" s="163"/>
      <c r="N550" s="169"/>
      <c r="O550" s="173"/>
      <c r="P550" s="168"/>
    </row>
    <row r="551" ht="15.75" customHeight="1">
      <c r="A551" s="162"/>
      <c r="B551" s="174"/>
      <c r="C551" s="175"/>
      <c r="D551" s="176"/>
      <c r="E551" s="175"/>
      <c r="F551" s="177"/>
      <c r="G551" s="177"/>
      <c r="H551" s="176"/>
      <c r="I551" s="175"/>
      <c r="J551" s="163"/>
      <c r="K551" s="165"/>
      <c r="L551" s="163"/>
      <c r="M551" s="163"/>
      <c r="N551" s="169"/>
      <c r="O551" s="173"/>
      <c r="P551" s="168"/>
    </row>
    <row r="552" ht="15.75" customHeight="1">
      <c r="A552" s="162"/>
      <c r="B552" s="174"/>
      <c r="C552" s="175"/>
      <c r="D552" s="176"/>
      <c r="E552" s="175"/>
      <c r="F552" s="177"/>
      <c r="G552" s="177"/>
      <c r="H552" s="176"/>
      <c r="I552" s="175"/>
      <c r="J552" s="163"/>
      <c r="K552" s="165"/>
      <c r="L552" s="163"/>
      <c r="M552" s="163"/>
      <c r="N552" s="169"/>
      <c r="O552" s="173"/>
      <c r="P552" s="168"/>
    </row>
    <row r="553" ht="15.75" customHeight="1">
      <c r="A553" s="162"/>
      <c r="B553" s="174"/>
      <c r="C553" s="175"/>
      <c r="D553" s="176"/>
      <c r="E553" s="175"/>
      <c r="F553" s="177"/>
      <c r="G553" s="177"/>
      <c r="H553" s="176"/>
      <c r="I553" s="175"/>
      <c r="J553" s="163"/>
      <c r="K553" s="165"/>
      <c r="L553" s="163"/>
      <c r="M553" s="163"/>
      <c r="N553" s="169"/>
      <c r="O553" s="173"/>
      <c r="P553" s="168"/>
    </row>
    <row r="554" ht="15.75" customHeight="1">
      <c r="A554" s="162"/>
      <c r="B554" s="174"/>
      <c r="C554" s="175"/>
      <c r="D554" s="176"/>
      <c r="E554" s="175"/>
      <c r="F554" s="177"/>
      <c r="G554" s="177"/>
      <c r="H554" s="176"/>
      <c r="I554" s="175"/>
      <c r="J554" s="163"/>
      <c r="K554" s="165"/>
      <c r="L554" s="163"/>
      <c r="M554" s="163"/>
      <c r="N554" s="169"/>
      <c r="O554" s="173"/>
      <c r="P554" s="168"/>
    </row>
    <row r="555" ht="15.75" customHeight="1">
      <c r="A555" s="162"/>
      <c r="B555" s="174"/>
      <c r="C555" s="175"/>
      <c r="D555" s="176"/>
      <c r="E555" s="175"/>
      <c r="F555" s="177"/>
      <c r="G555" s="177"/>
      <c r="H555" s="176"/>
      <c r="I555" s="175"/>
      <c r="J555" s="163"/>
      <c r="K555" s="165"/>
      <c r="L555" s="163"/>
      <c r="M555" s="163"/>
      <c r="N555" s="169"/>
      <c r="O555" s="173"/>
      <c r="P555" s="168"/>
    </row>
    <row r="556" ht="15.75" customHeight="1">
      <c r="A556" s="162"/>
      <c r="B556" s="174"/>
      <c r="C556" s="175"/>
      <c r="D556" s="176"/>
      <c r="E556" s="175"/>
      <c r="F556" s="177"/>
      <c r="G556" s="177"/>
      <c r="H556" s="176"/>
      <c r="I556" s="175"/>
      <c r="J556" s="163"/>
      <c r="K556" s="165"/>
      <c r="L556" s="163"/>
      <c r="M556" s="163"/>
      <c r="N556" s="169"/>
      <c r="O556" s="173"/>
      <c r="P556" s="168"/>
    </row>
    <row r="557" ht="15.75" customHeight="1">
      <c r="A557" s="162"/>
      <c r="B557" s="174"/>
      <c r="C557" s="175"/>
      <c r="D557" s="176"/>
      <c r="E557" s="175"/>
      <c r="F557" s="177"/>
      <c r="G557" s="177"/>
      <c r="H557" s="176"/>
      <c r="I557" s="175"/>
      <c r="J557" s="163"/>
      <c r="K557" s="165"/>
      <c r="L557" s="163"/>
      <c r="M557" s="163"/>
      <c r="N557" s="169"/>
      <c r="O557" s="173"/>
      <c r="P557" s="168"/>
    </row>
    <row r="558" ht="15.75" customHeight="1">
      <c r="A558" s="162"/>
      <c r="B558" s="174"/>
      <c r="C558" s="175"/>
      <c r="D558" s="176"/>
      <c r="E558" s="175"/>
      <c r="F558" s="177"/>
      <c r="G558" s="177"/>
      <c r="H558" s="176"/>
      <c r="I558" s="175"/>
      <c r="J558" s="163"/>
      <c r="K558" s="165"/>
      <c r="L558" s="163"/>
      <c r="M558" s="163"/>
      <c r="N558" s="169"/>
      <c r="O558" s="173"/>
      <c r="P558" s="168"/>
    </row>
    <row r="559" ht="15.75" customHeight="1">
      <c r="A559" s="162"/>
      <c r="B559" s="174"/>
      <c r="C559" s="175"/>
      <c r="D559" s="176"/>
      <c r="E559" s="175"/>
      <c r="F559" s="177"/>
      <c r="G559" s="177"/>
      <c r="H559" s="176"/>
      <c r="I559" s="175"/>
      <c r="J559" s="163"/>
      <c r="K559" s="165"/>
      <c r="L559" s="163"/>
      <c r="M559" s="163"/>
      <c r="N559" s="169"/>
      <c r="O559" s="173"/>
      <c r="P559" s="168"/>
    </row>
    <row r="560" ht="15.75" customHeight="1">
      <c r="A560" s="162"/>
      <c r="B560" s="174"/>
      <c r="C560" s="175"/>
      <c r="D560" s="176"/>
      <c r="E560" s="175"/>
      <c r="F560" s="177"/>
      <c r="G560" s="177"/>
      <c r="H560" s="176"/>
      <c r="I560" s="175"/>
      <c r="J560" s="163"/>
      <c r="K560" s="165"/>
      <c r="L560" s="163"/>
      <c r="M560" s="163"/>
      <c r="N560" s="169"/>
      <c r="O560" s="173"/>
      <c r="P560" s="168"/>
    </row>
    <row r="561" ht="15.75" customHeight="1">
      <c r="A561" s="162"/>
      <c r="B561" s="174"/>
      <c r="C561" s="175"/>
      <c r="D561" s="176"/>
      <c r="E561" s="175"/>
      <c r="F561" s="177"/>
      <c r="G561" s="177"/>
      <c r="H561" s="176"/>
      <c r="I561" s="175"/>
      <c r="J561" s="163"/>
      <c r="K561" s="165"/>
      <c r="L561" s="163"/>
      <c r="M561" s="163"/>
      <c r="N561" s="169"/>
      <c r="O561" s="173"/>
      <c r="P561" s="168"/>
    </row>
    <row r="562" ht="15.75" customHeight="1">
      <c r="A562" s="162"/>
      <c r="B562" s="174"/>
      <c r="C562" s="175"/>
      <c r="D562" s="176"/>
      <c r="E562" s="175"/>
      <c r="F562" s="177"/>
      <c r="G562" s="177"/>
      <c r="H562" s="176"/>
      <c r="I562" s="175"/>
      <c r="J562" s="163"/>
      <c r="K562" s="165"/>
      <c r="L562" s="163"/>
      <c r="M562" s="163"/>
      <c r="N562" s="169"/>
      <c r="O562" s="173"/>
      <c r="P562" s="168"/>
    </row>
    <row r="563" ht="15.75" customHeight="1">
      <c r="A563" s="162"/>
      <c r="B563" s="174"/>
      <c r="C563" s="175"/>
      <c r="D563" s="176"/>
      <c r="E563" s="175"/>
      <c r="F563" s="177"/>
      <c r="G563" s="177"/>
      <c r="H563" s="176"/>
      <c r="I563" s="175"/>
      <c r="J563" s="163"/>
      <c r="K563" s="165"/>
      <c r="L563" s="163"/>
      <c r="M563" s="163"/>
      <c r="N563" s="169"/>
      <c r="O563" s="173"/>
      <c r="P563" s="168"/>
    </row>
    <row r="564" ht="15.75" customHeight="1">
      <c r="A564" s="162"/>
      <c r="B564" s="174"/>
      <c r="C564" s="175"/>
      <c r="D564" s="176"/>
      <c r="E564" s="175"/>
      <c r="F564" s="177"/>
      <c r="G564" s="177"/>
      <c r="H564" s="176"/>
      <c r="I564" s="175"/>
      <c r="J564" s="163"/>
      <c r="K564" s="165"/>
      <c r="L564" s="163"/>
      <c r="M564" s="163"/>
      <c r="N564" s="169"/>
      <c r="O564" s="173"/>
      <c r="P564" s="168"/>
    </row>
    <row r="565" ht="15.75" customHeight="1">
      <c r="A565" s="162"/>
      <c r="B565" s="174"/>
      <c r="C565" s="175"/>
      <c r="D565" s="176"/>
      <c r="E565" s="175"/>
      <c r="F565" s="177"/>
      <c r="G565" s="177"/>
      <c r="H565" s="176"/>
      <c r="I565" s="175"/>
      <c r="J565" s="163"/>
      <c r="K565" s="165"/>
      <c r="L565" s="163"/>
      <c r="M565" s="163"/>
      <c r="N565" s="169"/>
      <c r="O565" s="173"/>
      <c r="P565" s="168"/>
    </row>
    <row r="566" ht="15.75" customHeight="1">
      <c r="A566" s="162"/>
      <c r="B566" s="174"/>
      <c r="C566" s="175"/>
      <c r="D566" s="176"/>
      <c r="E566" s="175"/>
      <c r="F566" s="177"/>
      <c r="G566" s="177"/>
      <c r="H566" s="176"/>
      <c r="I566" s="175"/>
      <c r="J566" s="163"/>
      <c r="K566" s="165"/>
      <c r="L566" s="163"/>
      <c r="M566" s="163"/>
      <c r="N566" s="169"/>
      <c r="O566" s="173"/>
      <c r="P566" s="168"/>
    </row>
    <row r="567" ht="15.75" customHeight="1">
      <c r="A567" s="162"/>
      <c r="B567" s="174"/>
      <c r="C567" s="175"/>
      <c r="D567" s="176"/>
      <c r="E567" s="175"/>
      <c r="F567" s="177"/>
      <c r="G567" s="177"/>
      <c r="H567" s="176"/>
      <c r="I567" s="175"/>
      <c r="J567" s="163"/>
      <c r="K567" s="165"/>
      <c r="L567" s="163"/>
      <c r="M567" s="163"/>
      <c r="N567" s="169"/>
      <c r="O567" s="173"/>
      <c r="P567" s="168"/>
    </row>
    <row r="568" ht="15.75" customHeight="1">
      <c r="A568" s="162"/>
      <c r="B568" s="174"/>
      <c r="C568" s="175"/>
      <c r="D568" s="176"/>
      <c r="E568" s="175"/>
      <c r="F568" s="177"/>
      <c r="G568" s="177"/>
      <c r="H568" s="176"/>
      <c r="I568" s="175"/>
      <c r="J568" s="163"/>
      <c r="K568" s="165"/>
      <c r="L568" s="163"/>
      <c r="M568" s="163"/>
      <c r="N568" s="169"/>
      <c r="O568" s="173"/>
      <c r="P568" s="168"/>
    </row>
    <row r="569" ht="15.75" customHeight="1">
      <c r="A569" s="162"/>
      <c r="B569" s="174"/>
      <c r="C569" s="175"/>
      <c r="D569" s="176"/>
      <c r="E569" s="175"/>
      <c r="F569" s="177"/>
      <c r="G569" s="177"/>
      <c r="H569" s="176"/>
      <c r="I569" s="175"/>
      <c r="J569" s="163"/>
      <c r="K569" s="165"/>
      <c r="L569" s="163"/>
      <c r="M569" s="163"/>
      <c r="N569" s="169"/>
      <c r="O569" s="173"/>
      <c r="P569" s="168"/>
    </row>
    <row r="570" ht="15.75" customHeight="1">
      <c r="A570" s="162"/>
      <c r="B570" s="174"/>
      <c r="C570" s="175"/>
      <c r="D570" s="176"/>
      <c r="E570" s="175"/>
      <c r="F570" s="177"/>
      <c r="G570" s="177"/>
      <c r="H570" s="176"/>
      <c r="I570" s="175"/>
      <c r="J570" s="163"/>
      <c r="K570" s="165"/>
      <c r="L570" s="163"/>
      <c r="M570" s="163"/>
      <c r="N570" s="169"/>
      <c r="O570" s="173"/>
      <c r="P570" s="168"/>
    </row>
    <row r="571" ht="15.75" customHeight="1">
      <c r="A571" s="162"/>
      <c r="B571" s="174"/>
      <c r="C571" s="175"/>
      <c r="D571" s="176"/>
      <c r="E571" s="175"/>
      <c r="F571" s="177"/>
      <c r="G571" s="177"/>
      <c r="H571" s="176"/>
      <c r="I571" s="175"/>
      <c r="J571" s="163"/>
      <c r="K571" s="165"/>
      <c r="L571" s="163"/>
      <c r="M571" s="163"/>
      <c r="N571" s="169"/>
      <c r="O571" s="173"/>
      <c r="P571" s="168"/>
    </row>
    <row r="572" ht="15.75" customHeight="1">
      <c r="A572" s="162"/>
      <c r="B572" s="174"/>
      <c r="C572" s="175"/>
      <c r="D572" s="176"/>
      <c r="E572" s="175"/>
      <c r="F572" s="177"/>
      <c r="G572" s="177"/>
      <c r="H572" s="176"/>
      <c r="I572" s="175"/>
      <c r="J572" s="163"/>
      <c r="K572" s="165"/>
      <c r="L572" s="163"/>
      <c r="M572" s="163"/>
      <c r="N572" s="169"/>
      <c r="O572" s="173"/>
      <c r="P572" s="168"/>
    </row>
    <row r="573" ht="15.75" customHeight="1">
      <c r="A573" s="162"/>
      <c r="B573" s="174"/>
      <c r="C573" s="175"/>
      <c r="D573" s="176"/>
      <c r="E573" s="175"/>
      <c r="F573" s="177"/>
      <c r="G573" s="177"/>
      <c r="H573" s="176"/>
      <c r="I573" s="175"/>
      <c r="J573" s="163"/>
      <c r="K573" s="165"/>
      <c r="L573" s="163"/>
      <c r="M573" s="163"/>
      <c r="N573" s="169"/>
      <c r="O573" s="173"/>
      <c r="P573" s="168"/>
    </row>
    <row r="574" ht="15.75" customHeight="1">
      <c r="A574" s="162"/>
      <c r="B574" s="174"/>
      <c r="C574" s="175"/>
      <c r="D574" s="176"/>
      <c r="E574" s="175"/>
      <c r="F574" s="177"/>
      <c r="G574" s="177"/>
      <c r="H574" s="176"/>
      <c r="I574" s="175"/>
      <c r="J574" s="163"/>
      <c r="K574" s="165"/>
      <c r="L574" s="163"/>
      <c r="M574" s="163"/>
      <c r="N574" s="169"/>
      <c r="O574" s="173"/>
      <c r="P574" s="168"/>
    </row>
    <row r="575" ht="15.75" customHeight="1">
      <c r="A575" s="162"/>
      <c r="B575" s="174"/>
      <c r="C575" s="175"/>
      <c r="D575" s="176"/>
      <c r="E575" s="175"/>
      <c r="F575" s="177"/>
      <c r="G575" s="177"/>
      <c r="H575" s="176"/>
      <c r="I575" s="175"/>
      <c r="J575" s="163"/>
      <c r="K575" s="165"/>
      <c r="L575" s="163"/>
      <c r="M575" s="163"/>
      <c r="N575" s="169"/>
      <c r="O575" s="173"/>
      <c r="P575" s="168"/>
    </row>
    <row r="576" ht="15.75" customHeight="1">
      <c r="A576" s="162"/>
      <c r="B576" s="174"/>
      <c r="C576" s="175"/>
      <c r="D576" s="176"/>
      <c r="E576" s="175"/>
      <c r="F576" s="177"/>
      <c r="G576" s="177"/>
      <c r="H576" s="176"/>
      <c r="I576" s="175"/>
      <c r="J576" s="163"/>
      <c r="K576" s="165"/>
      <c r="L576" s="163"/>
      <c r="M576" s="163"/>
      <c r="N576" s="169"/>
      <c r="O576" s="173"/>
      <c r="P576" s="168"/>
    </row>
    <row r="577" ht="15.75" customHeight="1">
      <c r="A577" s="162"/>
      <c r="B577" s="174"/>
      <c r="C577" s="175"/>
      <c r="D577" s="176"/>
      <c r="E577" s="175"/>
      <c r="F577" s="177"/>
      <c r="G577" s="177"/>
      <c r="H577" s="176"/>
      <c r="I577" s="175"/>
      <c r="J577" s="163"/>
      <c r="K577" s="165"/>
      <c r="L577" s="163"/>
      <c r="M577" s="163"/>
      <c r="N577" s="169"/>
      <c r="O577" s="173"/>
      <c r="P577" s="168"/>
    </row>
    <row r="578" ht="15.75" customHeight="1">
      <c r="A578" s="162"/>
      <c r="B578" s="174"/>
      <c r="C578" s="175"/>
      <c r="D578" s="176"/>
      <c r="E578" s="175"/>
      <c r="F578" s="177"/>
      <c r="G578" s="177"/>
      <c r="H578" s="176"/>
      <c r="I578" s="175"/>
      <c r="J578" s="163"/>
      <c r="K578" s="165"/>
      <c r="L578" s="163"/>
      <c r="M578" s="163"/>
      <c r="N578" s="169"/>
      <c r="O578" s="173"/>
      <c r="P578" s="168"/>
    </row>
    <row r="579" ht="15.75" customHeight="1">
      <c r="A579" s="162"/>
      <c r="B579" s="174"/>
      <c r="C579" s="175"/>
      <c r="D579" s="176"/>
      <c r="E579" s="175"/>
      <c r="F579" s="177"/>
      <c r="G579" s="177"/>
      <c r="H579" s="176"/>
      <c r="I579" s="175"/>
      <c r="J579" s="163"/>
      <c r="K579" s="165"/>
      <c r="L579" s="163"/>
      <c r="M579" s="163"/>
      <c r="N579" s="169"/>
      <c r="O579" s="173"/>
      <c r="P579" s="168"/>
    </row>
    <row r="580" ht="15.75" customHeight="1">
      <c r="A580" s="162"/>
      <c r="B580" s="174"/>
      <c r="C580" s="175"/>
      <c r="D580" s="176"/>
      <c r="E580" s="175"/>
      <c r="F580" s="177"/>
      <c r="G580" s="177"/>
      <c r="H580" s="176"/>
      <c r="I580" s="175"/>
      <c r="J580" s="163"/>
      <c r="K580" s="165"/>
      <c r="L580" s="163"/>
      <c r="M580" s="163"/>
      <c r="N580" s="169"/>
      <c r="O580" s="173"/>
      <c r="P580" s="168"/>
    </row>
    <row r="581" ht="15.75" customHeight="1">
      <c r="A581" s="162"/>
      <c r="B581" s="174"/>
      <c r="C581" s="175"/>
      <c r="D581" s="176"/>
      <c r="E581" s="175"/>
      <c r="F581" s="177"/>
      <c r="G581" s="177"/>
      <c r="H581" s="176"/>
      <c r="I581" s="175"/>
      <c r="J581" s="163"/>
      <c r="K581" s="165"/>
      <c r="L581" s="163"/>
      <c r="M581" s="163"/>
      <c r="N581" s="169"/>
      <c r="O581" s="173"/>
      <c r="P581" s="168"/>
    </row>
    <row r="582" ht="15.75" customHeight="1">
      <c r="A582" s="162"/>
      <c r="B582" s="174"/>
      <c r="C582" s="175"/>
      <c r="D582" s="176"/>
      <c r="E582" s="175"/>
      <c r="F582" s="177"/>
      <c r="G582" s="177"/>
      <c r="H582" s="176"/>
      <c r="I582" s="175"/>
      <c r="J582" s="163"/>
      <c r="K582" s="165"/>
      <c r="L582" s="163"/>
      <c r="M582" s="163"/>
      <c r="N582" s="169"/>
      <c r="O582" s="173"/>
      <c r="P582" s="168"/>
    </row>
    <row r="583" ht="15.75" customHeight="1">
      <c r="A583" s="162"/>
      <c r="B583" s="174"/>
      <c r="C583" s="175"/>
      <c r="D583" s="176"/>
      <c r="E583" s="175"/>
      <c r="F583" s="177"/>
      <c r="G583" s="177"/>
      <c r="H583" s="176"/>
      <c r="I583" s="175"/>
      <c r="J583" s="163"/>
      <c r="K583" s="165"/>
      <c r="L583" s="163"/>
      <c r="M583" s="163"/>
      <c r="N583" s="169"/>
      <c r="O583" s="173"/>
      <c r="P583" s="168"/>
    </row>
    <row r="584" ht="15.75" customHeight="1">
      <c r="A584" s="162"/>
      <c r="B584" s="174"/>
      <c r="C584" s="175"/>
      <c r="D584" s="176"/>
      <c r="E584" s="175"/>
      <c r="F584" s="177"/>
      <c r="G584" s="177"/>
      <c r="H584" s="176"/>
      <c r="I584" s="175"/>
      <c r="J584" s="163"/>
      <c r="K584" s="165"/>
      <c r="L584" s="163"/>
      <c r="M584" s="163"/>
      <c r="N584" s="169"/>
      <c r="O584" s="173"/>
      <c r="P584" s="168"/>
    </row>
    <row r="585" ht="15.75" customHeight="1">
      <c r="A585" s="162"/>
      <c r="B585" s="174"/>
      <c r="C585" s="175"/>
      <c r="D585" s="176"/>
      <c r="E585" s="175"/>
      <c r="F585" s="177"/>
      <c r="G585" s="177"/>
      <c r="H585" s="176"/>
      <c r="I585" s="175"/>
      <c r="J585" s="163"/>
      <c r="K585" s="165"/>
      <c r="L585" s="163"/>
      <c r="M585" s="163"/>
      <c r="N585" s="169"/>
      <c r="O585" s="173"/>
      <c r="P585" s="168"/>
    </row>
    <row r="586" ht="15.75" customHeight="1">
      <c r="A586" s="162"/>
      <c r="B586" s="174"/>
      <c r="C586" s="175"/>
      <c r="D586" s="176"/>
      <c r="E586" s="175"/>
      <c r="F586" s="177"/>
      <c r="G586" s="177"/>
      <c r="H586" s="176"/>
      <c r="I586" s="175"/>
      <c r="J586" s="163"/>
      <c r="K586" s="165"/>
      <c r="L586" s="163"/>
      <c r="M586" s="163"/>
      <c r="N586" s="169"/>
      <c r="O586" s="173"/>
      <c r="P586" s="168"/>
    </row>
    <row r="587" ht="15.75" customHeight="1">
      <c r="A587" s="162"/>
      <c r="B587" s="174"/>
      <c r="C587" s="175"/>
      <c r="D587" s="176"/>
      <c r="E587" s="175"/>
      <c r="F587" s="177"/>
      <c r="G587" s="177"/>
      <c r="H587" s="176"/>
      <c r="I587" s="175"/>
      <c r="J587" s="163"/>
      <c r="K587" s="165"/>
      <c r="L587" s="163"/>
      <c r="M587" s="163"/>
      <c r="N587" s="169"/>
      <c r="O587" s="173"/>
      <c r="P587" s="168"/>
    </row>
    <row r="588" ht="15.75" customHeight="1">
      <c r="A588" s="162"/>
      <c r="B588" s="174"/>
      <c r="C588" s="175"/>
      <c r="D588" s="176"/>
      <c r="E588" s="175"/>
      <c r="F588" s="177"/>
      <c r="G588" s="177"/>
      <c r="H588" s="176"/>
      <c r="I588" s="175"/>
      <c r="J588" s="163"/>
      <c r="K588" s="165"/>
      <c r="L588" s="163"/>
      <c r="M588" s="163"/>
      <c r="N588" s="169"/>
      <c r="O588" s="173"/>
      <c r="P588" s="168"/>
    </row>
    <row r="589" ht="15.75" customHeight="1">
      <c r="A589" s="162"/>
      <c r="B589" s="174"/>
      <c r="C589" s="175"/>
      <c r="D589" s="176"/>
      <c r="E589" s="175"/>
      <c r="F589" s="177"/>
      <c r="G589" s="177"/>
      <c r="H589" s="176"/>
      <c r="I589" s="175"/>
      <c r="J589" s="163"/>
      <c r="K589" s="165"/>
      <c r="L589" s="163"/>
      <c r="M589" s="163"/>
      <c r="N589" s="169"/>
      <c r="O589" s="173"/>
      <c r="P589" s="168"/>
    </row>
    <row r="590" ht="15.75" customHeight="1">
      <c r="A590" s="162"/>
      <c r="B590" s="174"/>
      <c r="C590" s="175"/>
      <c r="D590" s="176"/>
      <c r="E590" s="175"/>
      <c r="F590" s="177"/>
      <c r="G590" s="177"/>
      <c r="H590" s="176"/>
      <c r="I590" s="175"/>
      <c r="J590" s="163"/>
      <c r="K590" s="165"/>
      <c r="L590" s="163"/>
      <c r="M590" s="163"/>
      <c r="N590" s="169"/>
      <c r="O590" s="173"/>
      <c r="P590" s="168"/>
    </row>
    <row r="591" ht="15.75" customHeight="1">
      <c r="A591" s="162"/>
      <c r="B591" s="174"/>
      <c r="C591" s="175"/>
      <c r="D591" s="176"/>
      <c r="E591" s="175"/>
      <c r="F591" s="177"/>
      <c r="G591" s="177"/>
      <c r="H591" s="176"/>
      <c r="I591" s="175"/>
      <c r="J591" s="163"/>
      <c r="K591" s="165"/>
      <c r="L591" s="163"/>
      <c r="M591" s="163"/>
      <c r="N591" s="169"/>
      <c r="O591" s="173"/>
      <c r="P591" s="168"/>
    </row>
    <row r="592" ht="15.75" customHeight="1">
      <c r="A592" s="162"/>
      <c r="B592" s="174"/>
      <c r="C592" s="175"/>
      <c r="D592" s="176"/>
      <c r="E592" s="175"/>
      <c r="F592" s="177"/>
      <c r="G592" s="177"/>
      <c r="H592" s="176"/>
      <c r="I592" s="175"/>
      <c r="J592" s="163"/>
      <c r="K592" s="165"/>
      <c r="L592" s="163"/>
      <c r="M592" s="163"/>
      <c r="N592" s="169"/>
      <c r="O592" s="173"/>
      <c r="P592" s="168"/>
    </row>
    <row r="593" ht="15.75" customHeight="1">
      <c r="A593" s="162"/>
      <c r="B593" s="174"/>
      <c r="C593" s="175"/>
      <c r="D593" s="176"/>
      <c r="E593" s="175"/>
      <c r="F593" s="177"/>
      <c r="G593" s="177"/>
      <c r="H593" s="176"/>
      <c r="I593" s="175"/>
      <c r="J593" s="163"/>
      <c r="K593" s="165"/>
      <c r="L593" s="163"/>
      <c r="M593" s="163"/>
      <c r="N593" s="169"/>
      <c r="O593" s="173"/>
      <c r="P593" s="168"/>
    </row>
    <row r="594" ht="15.75" customHeight="1">
      <c r="A594" s="162"/>
      <c r="B594" s="174"/>
      <c r="C594" s="175"/>
      <c r="D594" s="176"/>
      <c r="E594" s="175"/>
      <c r="F594" s="177"/>
      <c r="G594" s="177"/>
      <c r="H594" s="176"/>
      <c r="I594" s="175"/>
      <c r="J594" s="163"/>
      <c r="K594" s="165"/>
      <c r="L594" s="163"/>
      <c r="M594" s="163"/>
      <c r="N594" s="169"/>
      <c r="O594" s="173"/>
      <c r="P594" s="168"/>
    </row>
    <row r="595" ht="15.75" customHeight="1">
      <c r="A595" s="162"/>
      <c r="B595" s="174"/>
      <c r="C595" s="175"/>
      <c r="D595" s="176"/>
      <c r="E595" s="175"/>
      <c r="F595" s="177"/>
      <c r="G595" s="177"/>
      <c r="H595" s="176"/>
      <c r="I595" s="175"/>
      <c r="J595" s="163"/>
      <c r="K595" s="165"/>
      <c r="L595" s="163"/>
      <c r="M595" s="163"/>
      <c r="N595" s="169"/>
      <c r="O595" s="173"/>
      <c r="P595" s="168"/>
    </row>
    <row r="596" ht="15.75" customHeight="1">
      <c r="A596" s="162"/>
      <c r="B596" s="174"/>
      <c r="C596" s="175"/>
      <c r="D596" s="176"/>
      <c r="E596" s="175"/>
      <c r="F596" s="177"/>
      <c r="G596" s="177"/>
      <c r="H596" s="176"/>
      <c r="I596" s="175"/>
      <c r="J596" s="163"/>
      <c r="K596" s="165"/>
      <c r="L596" s="163"/>
      <c r="M596" s="163"/>
      <c r="N596" s="169"/>
      <c r="O596" s="173"/>
      <c r="P596" s="168"/>
    </row>
    <row r="597" ht="15.75" customHeight="1">
      <c r="A597" s="162"/>
      <c r="B597" s="174"/>
      <c r="C597" s="175"/>
      <c r="D597" s="176"/>
      <c r="E597" s="175"/>
      <c r="F597" s="177"/>
      <c r="G597" s="177"/>
      <c r="H597" s="176"/>
      <c r="I597" s="175"/>
      <c r="J597" s="163"/>
      <c r="K597" s="165"/>
      <c r="L597" s="163"/>
      <c r="M597" s="163"/>
      <c r="N597" s="169"/>
      <c r="O597" s="173"/>
      <c r="P597" s="168"/>
    </row>
    <row r="598" ht="15.75" customHeight="1">
      <c r="A598" s="162"/>
      <c r="B598" s="174"/>
      <c r="C598" s="175"/>
      <c r="D598" s="176"/>
      <c r="E598" s="175"/>
      <c r="F598" s="177"/>
      <c r="G598" s="177"/>
      <c r="H598" s="176"/>
      <c r="I598" s="175"/>
      <c r="J598" s="163"/>
      <c r="K598" s="165"/>
      <c r="L598" s="163"/>
      <c r="M598" s="163"/>
      <c r="N598" s="169"/>
      <c r="O598" s="173"/>
      <c r="P598" s="168"/>
    </row>
    <row r="599" ht="15.75" customHeight="1">
      <c r="A599" s="162"/>
      <c r="B599" s="174"/>
      <c r="C599" s="175"/>
      <c r="D599" s="176"/>
      <c r="E599" s="175"/>
      <c r="F599" s="177"/>
      <c r="G599" s="177"/>
      <c r="H599" s="176"/>
      <c r="I599" s="175"/>
      <c r="J599" s="163"/>
      <c r="K599" s="165"/>
      <c r="L599" s="163"/>
      <c r="M599" s="163"/>
      <c r="N599" s="169"/>
      <c r="O599" s="173"/>
      <c r="P599" s="168"/>
    </row>
    <row r="600" ht="15.75" customHeight="1">
      <c r="A600" s="162"/>
      <c r="B600" s="174"/>
      <c r="C600" s="175"/>
      <c r="D600" s="176"/>
      <c r="E600" s="175"/>
      <c r="F600" s="177"/>
      <c r="G600" s="177"/>
      <c r="H600" s="176"/>
      <c r="I600" s="175"/>
      <c r="J600" s="163"/>
      <c r="K600" s="165"/>
      <c r="L600" s="163"/>
      <c r="M600" s="163"/>
      <c r="N600" s="169"/>
      <c r="O600" s="173"/>
      <c r="P600" s="168"/>
    </row>
    <row r="601" ht="15.75" customHeight="1">
      <c r="A601" s="162"/>
      <c r="B601" s="174"/>
      <c r="C601" s="175"/>
      <c r="D601" s="176"/>
      <c r="E601" s="175"/>
      <c r="F601" s="177"/>
      <c r="G601" s="177"/>
      <c r="H601" s="176"/>
      <c r="I601" s="175"/>
      <c r="J601" s="163"/>
      <c r="K601" s="165"/>
      <c r="L601" s="163"/>
      <c r="M601" s="163"/>
      <c r="N601" s="169"/>
      <c r="O601" s="173"/>
      <c r="P601" s="168"/>
    </row>
    <row r="602" ht="15.75" customHeight="1">
      <c r="A602" s="162"/>
      <c r="B602" s="174"/>
      <c r="C602" s="175"/>
      <c r="D602" s="176"/>
      <c r="E602" s="175"/>
      <c r="F602" s="177"/>
      <c r="G602" s="177"/>
      <c r="H602" s="176"/>
      <c r="I602" s="175"/>
      <c r="J602" s="163"/>
      <c r="K602" s="165"/>
      <c r="L602" s="163"/>
      <c r="M602" s="163"/>
      <c r="N602" s="169"/>
      <c r="O602" s="173"/>
      <c r="P602" s="168"/>
    </row>
    <row r="603" ht="15.75" customHeight="1">
      <c r="A603" s="162"/>
      <c r="B603" s="174"/>
      <c r="C603" s="175"/>
      <c r="D603" s="176"/>
      <c r="E603" s="175"/>
      <c r="F603" s="177"/>
      <c r="G603" s="177"/>
      <c r="H603" s="176"/>
      <c r="I603" s="175"/>
      <c r="J603" s="163"/>
      <c r="K603" s="165"/>
      <c r="L603" s="163"/>
      <c r="M603" s="163"/>
      <c r="N603" s="169"/>
      <c r="O603" s="173"/>
      <c r="P603" s="168"/>
    </row>
    <row r="604" ht="15.75" customHeight="1">
      <c r="A604" s="162"/>
      <c r="B604" s="174"/>
      <c r="C604" s="175"/>
      <c r="D604" s="176"/>
      <c r="E604" s="175"/>
      <c r="F604" s="177"/>
      <c r="G604" s="177"/>
      <c r="H604" s="176"/>
      <c r="I604" s="175"/>
      <c r="J604" s="163"/>
      <c r="K604" s="165"/>
      <c r="L604" s="163"/>
      <c r="M604" s="163"/>
      <c r="N604" s="169"/>
      <c r="O604" s="173"/>
      <c r="P604" s="168"/>
    </row>
    <row r="605" ht="15.75" customHeight="1">
      <c r="A605" s="162"/>
      <c r="B605" s="174"/>
      <c r="C605" s="175"/>
      <c r="D605" s="176"/>
      <c r="E605" s="175"/>
      <c r="F605" s="177"/>
      <c r="G605" s="177"/>
      <c r="H605" s="176"/>
      <c r="I605" s="175"/>
      <c r="J605" s="163"/>
      <c r="K605" s="165"/>
      <c r="L605" s="163"/>
      <c r="M605" s="163"/>
      <c r="N605" s="169"/>
      <c r="O605" s="173"/>
      <c r="P605" s="168"/>
    </row>
    <row r="606" ht="15.75" customHeight="1">
      <c r="A606" s="162"/>
      <c r="B606" s="174"/>
      <c r="C606" s="175"/>
      <c r="D606" s="176"/>
      <c r="E606" s="175"/>
      <c r="F606" s="177"/>
      <c r="G606" s="177"/>
      <c r="H606" s="176"/>
      <c r="I606" s="175"/>
      <c r="J606" s="163"/>
      <c r="K606" s="165"/>
      <c r="L606" s="163"/>
      <c r="M606" s="163"/>
      <c r="N606" s="169"/>
      <c r="O606" s="173"/>
      <c r="P606" s="168"/>
    </row>
    <row r="607" ht="15.75" customHeight="1">
      <c r="A607" s="162"/>
      <c r="B607" s="174"/>
      <c r="C607" s="175"/>
      <c r="D607" s="176"/>
      <c r="E607" s="175"/>
      <c r="F607" s="177"/>
      <c r="G607" s="177"/>
      <c r="H607" s="176"/>
      <c r="I607" s="175"/>
      <c r="J607" s="163"/>
      <c r="K607" s="165"/>
      <c r="L607" s="163"/>
      <c r="M607" s="163"/>
      <c r="N607" s="169"/>
      <c r="O607" s="173"/>
      <c r="P607" s="168"/>
    </row>
    <row r="608" ht="15.75" customHeight="1">
      <c r="A608" s="162"/>
      <c r="B608" s="174"/>
      <c r="C608" s="175"/>
      <c r="D608" s="176"/>
      <c r="E608" s="175"/>
      <c r="F608" s="177"/>
      <c r="G608" s="177"/>
      <c r="H608" s="176"/>
      <c r="I608" s="175"/>
      <c r="J608" s="163"/>
      <c r="K608" s="165"/>
      <c r="L608" s="163"/>
      <c r="M608" s="163"/>
      <c r="N608" s="169"/>
      <c r="O608" s="173"/>
      <c r="P608" s="168"/>
    </row>
    <row r="609" ht="15.75" customHeight="1">
      <c r="A609" s="162"/>
      <c r="B609" s="174"/>
      <c r="C609" s="175"/>
      <c r="D609" s="176"/>
      <c r="E609" s="175"/>
      <c r="F609" s="177"/>
      <c r="G609" s="177"/>
      <c r="H609" s="176"/>
      <c r="I609" s="175"/>
      <c r="J609" s="163"/>
      <c r="K609" s="165"/>
      <c r="L609" s="163"/>
      <c r="M609" s="163"/>
      <c r="N609" s="169"/>
      <c r="O609" s="173"/>
      <c r="P609" s="168"/>
    </row>
    <row r="610" ht="15.75" customHeight="1">
      <c r="A610" s="162"/>
      <c r="B610" s="174"/>
      <c r="C610" s="175"/>
      <c r="D610" s="176"/>
      <c r="E610" s="175"/>
      <c r="F610" s="177"/>
      <c r="G610" s="177"/>
      <c r="H610" s="176"/>
      <c r="I610" s="175"/>
      <c r="J610" s="163"/>
      <c r="K610" s="165"/>
      <c r="L610" s="163"/>
      <c r="M610" s="163"/>
      <c r="N610" s="169"/>
      <c r="O610" s="173"/>
      <c r="P610" s="168"/>
    </row>
    <row r="611" ht="15.75" customHeight="1">
      <c r="A611" s="162"/>
      <c r="B611" s="174"/>
      <c r="C611" s="175"/>
      <c r="D611" s="176"/>
      <c r="E611" s="175"/>
      <c r="F611" s="177"/>
      <c r="G611" s="177"/>
      <c r="H611" s="176"/>
      <c r="I611" s="175"/>
      <c r="J611" s="163"/>
      <c r="K611" s="165"/>
      <c r="L611" s="163"/>
      <c r="M611" s="163"/>
      <c r="N611" s="169"/>
      <c r="O611" s="173"/>
      <c r="P611" s="168"/>
    </row>
    <row r="612" ht="15.75" customHeight="1">
      <c r="A612" s="162"/>
      <c r="B612" s="174"/>
      <c r="C612" s="175"/>
      <c r="D612" s="176"/>
      <c r="E612" s="175"/>
      <c r="F612" s="177"/>
      <c r="G612" s="177"/>
      <c r="H612" s="176"/>
      <c r="I612" s="175"/>
      <c r="J612" s="163"/>
      <c r="K612" s="165"/>
      <c r="L612" s="163"/>
      <c r="M612" s="163"/>
      <c r="N612" s="169"/>
      <c r="O612" s="173"/>
      <c r="P612" s="168"/>
    </row>
    <row r="613" ht="15.75" customHeight="1">
      <c r="A613" s="162"/>
      <c r="B613" s="174"/>
      <c r="C613" s="175"/>
      <c r="D613" s="176"/>
      <c r="E613" s="175"/>
      <c r="F613" s="177"/>
      <c r="G613" s="177"/>
      <c r="H613" s="176"/>
      <c r="I613" s="175"/>
      <c r="J613" s="163"/>
      <c r="K613" s="165"/>
      <c r="L613" s="163"/>
      <c r="M613" s="163"/>
      <c r="N613" s="169"/>
      <c r="O613" s="173"/>
      <c r="P613" s="168"/>
    </row>
    <row r="614" ht="15.75" customHeight="1">
      <c r="A614" s="162"/>
      <c r="B614" s="174"/>
      <c r="C614" s="175"/>
      <c r="D614" s="176"/>
      <c r="E614" s="175"/>
      <c r="F614" s="177"/>
      <c r="G614" s="177"/>
      <c r="H614" s="176"/>
      <c r="I614" s="175"/>
      <c r="J614" s="163"/>
      <c r="K614" s="165"/>
      <c r="L614" s="163"/>
      <c r="M614" s="163"/>
      <c r="N614" s="169"/>
      <c r="O614" s="173"/>
      <c r="P614" s="168"/>
    </row>
    <row r="615" ht="15.75" customHeight="1">
      <c r="A615" s="162"/>
      <c r="B615" s="174"/>
      <c r="C615" s="175"/>
      <c r="D615" s="176"/>
      <c r="E615" s="175"/>
      <c r="F615" s="177"/>
      <c r="G615" s="177"/>
      <c r="H615" s="176"/>
      <c r="I615" s="175"/>
      <c r="J615" s="163"/>
      <c r="K615" s="165"/>
      <c r="L615" s="163"/>
      <c r="M615" s="163"/>
      <c r="N615" s="169"/>
      <c r="O615" s="173"/>
      <c r="P615" s="168"/>
    </row>
    <row r="616" ht="15.75" customHeight="1">
      <c r="A616" s="162"/>
      <c r="B616" s="174"/>
      <c r="C616" s="175"/>
      <c r="D616" s="176"/>
      <c r="E616" s="175"/>
      <c r="F616" s="177"/>
      <c r="G616" s="177"/>
      <c r="H616" s="176"/>
      <c r="I616" s="175"/>
      <c r="J616" s="163"/>
      <c r="K616" s="165"/>
      <c r="L616" s="163"/>
      <c r="M616" s="163"/>
      <c r="N616" s="169"/>
      <c r="O616" s="173"/>
      <c r="P616" s="168"/>
    </row>
    <row r="617" ht="15.75" customHeight="1">
      <c r="A617" s="162"/>
      <c r="B617" s="174"/>
      <c r="C617" s="175"/>
      <c r="D617" s="176"/>
      <c r="E617" s="175"/>
      <c r="F617" s="177"/>
      <c r="G617" s="177"/>
      <c r="H617" s="176"/>
      <c r="I617" s="175"/>
      <c r="J617" s="163"/>
      <c r="K617" s="165"/>
      <c r="L617" s="163"/>
      <c r="M617" s="163"/>
      <c r="N617" s="169"/>
      <c r="O617" s="173"/>
      <c r="P617" s="168"/>
    </row>
    <row r="618" ht="15.75" customHeight="1">
      <c r="A618" s="162"/>
      <c r="B618" s="174"/>
      <c r="C618" s="175"/>
      <c r="D618" s="176"/>
      <c r="E618" s="175"/>
      <c r="F618" s="177"/>
      <c r="G618" s="177"/>
      <c r="H618" s="176"/>
      <c r="I618" s="175"/>
      <c r="J618" s="163"/>
      <c r="K618" s="165"/>
      <c r="L618" s="163"/>
      <c r="M618" s="163"/>
      <c r="N618" s="169"/>
      <c r="O618" s="173"/>
      <c r="P618" s="168"/>
    </row>
    <row r="619" ht="15.75" customHeight="1">
      <c r="A619" s="162"/>
      <c r="B619" s="174"/>
      <c r="C619" s="175"/>
      <c r="D619" s="176"/>
      <c r="E619" s="175"/>
      <c r="F619" s="177"/>
      <c r="G619" s="177"/>
      <c r="H619" s="176"/>
      <c r="I619" s="175"/>
      <c r="J619" s="163"/>
      <c r="K619" s="165"/>
      <c r="L619" s="163"/>
      <c r="M619" s="163"/>
      <c r="N619" s="169"/>
      <c r="O619" s="173"/>
      <c r="P619" s="168"/>
    </row>
    <row r="620" ht="15.75" customHeight="1">
      <c r="A620" s="162"/>
      <c r="B620" s="174"/>
      <c r="C620" s="175"/>
      <c r="D620" s="176"/>
      <c r="E620" s="175"/>
      <c r="F620" s="177"/>
      <c r="G620" s="177"/>
      <c r="H620" s="176"/>
      <c r="I620" s="175"/>
      <c r="J620" s="163"/>
      <c r="K620" s="165"/>
      <c r="L620" s="163"/>
      <c r="M620" s="163"/>
      <c r="N620" s="169"/>
      <c r="O620" s="173"/>
      <c r="P620" s="168"/>
    </row>
    <row r="621" ht="15.75" customHeight="1">
      <c r="A621" s="162"/>
      <c r="B621" s="174"/>
      <c r="C621" s="175"/>
      <c r="D621" s="176"/>
      <c r="E621" s="175"/>
      <c r="F621" s="177"/>
      <c r="G621" s="177"/>
      <c r="H621" s="176"/>
      <c r="I621" s="175"/>
      <c r="J621" s="163"/>
      <c r="K621" s="165"/>
      <c r="L621" s="163"/>
      <c r="M621" s="163"/>
      <c r="N621" s="169"/>
      <c r="O621" s="173"/>
      <c r="P621" s="168"/>
    </row>
    <row r="622" ht="15.75" customHeight="1">
      <c r="A622" s="162"/>
      <c r="B622" s="174"/>
      <c r="C622" s="175"/>
      <c r="D622" s="176"/>
      <c r="E622" s="175"/>
      <c r="F622" s="177"/>
      <c r="G622" s="177"/>
      <c r="H622" s="176"/>
      <c r="I622" s="175"/>
      <c r="J622" s="163"/>
      <c r="K622" s="165"/>
      <c r="L622" s="163"/>
      <c r="M622" s="163"/>
      <c r="N622" s="169"/>
      <c r="O622" s="173"/>
      <c r="P622" s="168"/>
    </row>
    <row r="623" ht="15.75" customHeight="1">
      <c r="A623" s="162"/>
      <c r="B623" s="174"/>
      <c r="C623" s="175"/>
      <c r="D623" s="176"/>
      <c r="E623" s="175"/>
      <c r="F623" s="177"/>
      <c r="G623" s="177"/>
      <c r="H623" s="176"/>
      <c r="I623" s="175"/>
      <c r="J623" s="163"/>
      <c r="K623" s="165"/>
      <c r="L623" s="163"/>
      <c r="M623" s="163"/>
      <c r="N623" s="169"/>
      <c r="O623" s="173"/>
      <c r="P623" s="168"/>
    </row>
    <row r="624" ht="15.75" customHeight="1">
      <c r="A624" s="162"/>
      <c r="B624" s="174"/>
      <c r="C624" s="175"/>
      <c r="D624" s="176"/>
      <c r="E624" s="175"/>
      <c r="F624" s="177"/>
      <c r="G624" s="177"/>
      <c r="H624" s="176"/>
      <c r="I624" s="175"/>
      <c r="J624" s="163"/>
      <c r="K624" s="165"/>
      <c r="L624" s="163"/>
      <c r="M624" s="163"/>
      <c r="N624" s="169"/>
      <c r="O624" s="173"/>
      <c r="P624" s="168"/>
    </row>
    <row r="625" ht="15.75" customHeight="1">
      <c r="A625" s="162"/>
      <c r="B625" s="174"/>
      <c r="C625" s="175"/>
      <c r="D625" s="176"/>
      <c r="E625" s="175"/>
      <c r="F625" s="177"/>
      <c r="G625" s="177"/>
      <c r="H625" s="176"/>
      <c r="I625" s="175"/>
      <c r="J625" s="163"/>
      <c r="K625" s="165"/>
      <c r="L625" s="163"/>
      <c r="M625" s="163"/>
      <c r="N625" s="169"/>
      <c r="O625" s="173"/>
      <c r="P625" s="168"/>
    </row>
    <row r="626" ht="15.75" customHeight="1">
      <c r="A626" s="162"/>
      <c r="B626" s="174"/>
      <c r="C626" s="175"/>
      <c r="D626" s="176"/>
      <c r="E626" s="175"/>
      <c r="F626" s="177"/>
      <c r="G626" s="177"/>
      <c r="H626" s="176"/>
      <c r="I626" s="175"/>
      <c r="J626" s="163"/>
      <c r="K626" s="165"/>
      <c r="L626" s="163"/>
      <c r="M626" s="163"/>
      <c r="N626" s="169"/>
      <c r="O626" s="173"/>
      <c r="P626" s="168"/>
    </row>
    <row r="627" ht="15.75" customHeight="1">
      <c r="A627" s="162"/>
      <c r="B627" s="174"/>
      <c r="C627" s="175"/>
      <c r="D627" s="176"/>
      <c r="E627" s="175"/>
      <c r="F627" s="177"/>
      <c r="G627" s="177"/>
      <c r="H627" s="176"/>
      <c r="I627" s="175"/>
      <c r="J627" s="163"/>
      <c r="K627" s="165"/>
      <c r="L627" s="163"/>
      <c r="M627" s="163"/>
      <c r="N627" s="169"/>
      <c r="O627" s="173"/>
      <c r="P627" s="168"/>
    </row>
    <row r="628" ht="15.75" customHeight="1">
      <c r="A628" s="162"/>
      <c r="B628" s="174"/>
      <c r="C628" s="175"/>
      <c r="D628" s="176"/>
      <c r="E628" s="175"/>
      <c r="F628" s="177"/>
      <c r="G628" s="177"/>
      <c r="H628" s="176"/>
      <c r="I628" s="175"/>
      <c r="J628" s="163"/>
      <c r="K628" s="165"/>
      <c r="L628" s="163"/>
      <c r="M628" s="163"/>
      <c r="N628" s="169"/>
      <c r="O628" s="173"/>
      <c r="P628" s="168"/>
    </row>
    <row r="629" ht="15.75" customHeight="1">
      <c r="A629" s="162"/>
      <c r="B629" s="174"/>
      <c r="C629" s="175"/>
      <c r="D629" s="176"/>
      <c r="E629" s="175"/>
      <c r="F629" s="177"/>
      <c r="G629" s="177"/>
      <c r="H629" s="176"/>
      <c r="I629" s="175"/>
      <c r="J629" s="163"/>
      <c r="K629" s="165"/>
      <c r="L629" s="163"/>
      <c r="M629" s="163"/>
      <c r="N629" s="169"/>
      <c r="O629" s="173"/>
      <c r="P629" s="168"/>
    </row>
    <row r="630" ht="15.75" customHeight="1">
      <c r="A630" s="162"/>
      <c r="B630" s="174"/>
      <c r="C630" s="175"/>
      <c r="D630" s="176"/>
      <c r="E630" s="175"/>
      <c r="F630" s="177"/>
      <c r="G630" s="177"/>
      <c r="H630" s="176"/>
      <c r="I630" s="175"/>
      <c r="J630" s="163"/>
      <c r="K630" s="165"/>
      <c r="L630" s="163"/>
      <c r="M630" s="163"/>
      <c r="N630" s="169"/>
      <c r="O630" s="173"/>
      <c r="P630" s="168"/>
    </row>
    <row r="631" ht="15.75" customHeight="1">
      <c r="A631" s="162"/>
      <c r="B631" s="174"/>
      <c r="C631" s="175"/>
      <c r="D631" s="176"/>
      <c r="E631" s="175"/>
      <c r="F631" s="177"/>
      <c r="G631" s="177"/>
      <c r="H631" s="176"/>
      <c r="I631" s="175"/>
      <c r="J631" s="163"/>
      <c r="K631" s="165"/>
      <c r="L631" s="163"/>
      <c r="M631" s="163"/>
      <c r="N631" s="169"/>
      <c r="O631" s="173"/>
      <c r="P631" s="168"/>
    </row>
    <row r="632" ht="15.75" customHeight="1">
      <c r="A632" s="162"/>
      <c r="B632" s="174"/>
      <c r="C632" s="175"/>
      <c r="D632" s="176"/>
      <c r="E632" s="175"/>
      <c r="F632" s="177"/>
      <c r="G632" s="177"/>
      <c r="H632" s="176"/>
      <c r="I632" s="175"/>
      <c r="J632" s="163"/>
      <c r="K632" s="165"/>
      <c r="L632" s="163"/>
      <c r="M632" s="163"/>
      <c r="N632" s="169"/>
      <c r="O632" s="173"/>
      <c r="P632" s="168"/>
    </row>
    <row r="633" ht="15.75" customHeight="1">
      <c r="A633" s="162"/>
      <c r="B633" s="174"/>
      <c r="C633" s="175"/>
      <c r="D633" s="176"/>
      <c r="E633" s="175"/>
      <c r="F633" s="177"/>
      <c r="G633" s="177"/>
      <c r="H633" s="176"/>
      <c r="I633" s="175"/>
      <c r="J633" s="163"/>
      <c r="K633" s="165"/>
      <c r="L633" s="163"/>
      <c r="M633" s="163"/>
      <c r="N633" s="169"/>
      <c r="O633" s="173"/>
      <c r="P633" s="168"/>
    </row>
    <row r="634" ht="15.75" customHeight="1">
      <c r="A634" s="162"/>
      <c r="B634" s="174"/>
      <c r="C634" s="175"/>
      <c r="D634" s="176"/>
      <c r="E634" s="175"/>
      <c r="F634" s="177"/>
      <c r="G634" s="177"/>
      <c r="H634" s="176"/>
      <c r="I634" s="175"/>
      <c r="J634" s="163"/>
      <c r="K634" s="165"/>
      <c r="L634" s="163"/>
      <c r="M634" s="163"/>
      <c r="N634" s="169"/>
      <c r="O634" s="173"/>
      <c r="P634" s="168"/>
    </row>
    <row r="635" ht="15.75" customHeight="1">
      <c r="A635" s="162"/>
      <c r="B635" s="174"/>
      <c r="C635" s="175"/>
      <c r="D635" s="176"/>
      <c r="E635" s="175"/>
      <c r="F635" s="177"/>
      <c r="G635" s="177"/>
      <c r="H635" s="176"/>
      <c r="I635" s="175"/>
      <c r="J635" s="163"/>
      <c r="K635" s="165"/>
      <c r="L635" s="163"/>
      <c r="M635" s="163"/>
      <c r="N635" s="169"/>
      <c r="O635" s="173"/>
      <c r="P635" s="168"/>
    </row>
    <row r="636" ht="15.75" customHeight="1">
      <c r="A636" s="162"/>
      <c r="B636" s="174"/>
      <c r="C636" s="175"/>
      <c r="D636" s="176"/>
      <c r="E636" s="175"/>
      <c r="F636" s="177"/>
      <c r="G636" s="177"/>
      <c r="H636" s="176"/>
      <c r="I636" s="175"/>
      <c r="J636" s="163"/>
      <c r="K636" s="165"/>
      <c r="L636" s="163"/>
      <c r="M636" s="163"/>
      <c r="N636" s="169"/>
      <c r="O636" s="173"/>
      <c r="P636" s="168"/>
    </row>
    <row r="637" ht="15.75" customHeight="1">
      <c r="A637" s="162"/>
      <c r="B637" s="174"/>
      <c r="C637" s="175"/>
      <c r="D637" s="176"/>
      <c r="E637" s="175"/>
      <c r="F637" s="177"/>
      <c r="G637" s="177"/>
      <c r="H637" s="176"/>
      <c r="I637" s="175"/>
      <c r="J637" s="163"/>
      <c r="K637" s="165"/>
      <c r="L637" s="163"/>
      <c r="M637" s="163"/>
      <c r="N637" s="169"/>
      <c r="O637" s="173"/>
      <c r="P637" s="168"/>
    </row>
    <row r="638" ht="15.75" customHeight="1">
      <c r="A638" s="162"/>
      <c r="B638" s="174"/>
      <c r="C638" s="175"/>
      <c r="D638" s="176"/>
      <c r="E638" s="175"/>
      <c r="F638" s="177"/>
      <c r="G638" s="177"/>
      <c r="H638" s="176"/>
      <c r="I638" s="175"/>
      <c r="J638" s="163"/>
      <c r="K638" s="165"/>
      <c r="L638" s="163"/>
      <c r="M638" s="163"/>
      <c r="N638" s="169"/>
      <c r="O638" s="173"/>
      <c r="P638" s="168"/>
    </row>
    <row r="639" ht="15.75" customHeight="1">
      <c r="A639" s="162"/>
      <c r="B639" s="174"/>
      <c r="C639" s="175"/>
      <c r="D639" s="176"/>
      <c r="E639" s="175"/>
      <c r="F639" s="177"/>
      <c r="G639" s="177"/>
      <c r="H639" s="176"/>
      <c r="I639" s="175"/>
      <c r="J639" s="163"/>
      <c r="K639" s="165"/>
      <c r="L639" s="163"/>
      <c r="M639" s="163"/>
      <c r="N639" s="169"/>
      <c r="O639" s="173"/>
      <c r="P639" s="168"/>
    </row>
    <row r="640" ht="15.75" customHeight="1">
      <c r="A640" s="162"/>
      <c r="B640" s="174"/>
      <c r="C640" s="175"/>
      <c r="D640" s="176"/>
      <c r="E640" s="175"/>
      <c r="F640" s="177"/>
      <c r="G640" s="177"/>
      <c r="H640" s="176"/>
      <c r="I640" s="175"/>
      <c r="J640" s="163"/>
      <c r="K640" s="165"/>
      <c r="L640" s="163"/>
      <c r="M640" s="163"/>
      <c r="N640" s="169"/>
      <c r="O640" s="173"/>
      <c r="P640" s="168"/>
    </row>
    <row r="641" ht="15.75" customHeight="1">
      <c r="A641" s="162"/>
      <c r="B641" s="174"/>
      <c r="C641" s="175"/>
      <c r="D641" s="176"/>
      <c r="E641" s="175"/>
      <c r="F641" s="177"/>
      <c r="G641" s="177"/>
      <c r="H641" s="176"/>
      <c r="I641" s="175"/>
      <c r="J641" s="163"/>
      <c r="K641" s="165"/>
      <c r="L641" s="163"/>
      <c r="M641" s="163"/>
      <c r="N641" s="169"/>
      <c r="O641" s="173"/>
      <c r="P641" s="168"/>
    </row>
    <row r="642" ht="15.75" customHeight="1">
      <c r="A642" s="162"/>
      <c r="B642" s="174"/>
      <c r="C642" s="175"/>
      <c r="D642" s="176"/>
      <c r="E642" s="175"/>
      <c r="F642" s="177"/>
      <c r="G642" s="177"/>
      <c r="H642" s="176"/>
      <c r="I642" s="175"/>
      <c r="J642" s="163"/>
      <c r="K642" s="165"/>
      <c r="L642" s="163"/>
      <c r="M642" s="163"/>
      <c r="N642" s="169"/>
      <c r="O642" s="173"/>
      <c r="P642" s="168"/>
    </row>
    <row r="643" ht="15.75" customHeight="1">
      <c r="A643" s="162"/>
      <c r="B643" s="174"/>
      <c r="C643" s="175"/>
      <c r="D643" s="176"/>
      <c r="E643" s="175"/>
      <c r="F643" s="177"/>
      <c r="G643" s="177"/>
      <c r="H643" s="176"/>
      <c r="I643" s="175"/>
      <c r="J643" s="163"/>
      <c r="K643" s="165"/>
      <c r="L643" s="163"/>
      <c r="M643" s="163"/>
      <c r="N643" s="169"/>
      <c r="O643" s="173"/>
      <c r="P643" s="168"/>
    </row>
    <row r="644" ht="15.75" customHeight="1">
      <c r="A644" s="162"/>
      <c r="B644" s="174"/>
      <c r="C644" s="175"/>
      <c r="D644" s="176"/>
      <c r="E644" s="175"/>
      <c r="F644" s="177"/>
      <c r="G644" s="177"/>
      <c r="H644" s="176"/>
      <c r="I644" s="175"/>
      <c r="J644" s="163"/>
      <c r="K644" s="165"/>
      <c r="L644" s="163"/>
      <c r="M644" s="163"/>
      <c r="N644" s="169"/>
      <c r="O644" s="173"/>
      <c r="P644" s="168"/>
    </row>
    <row r="645" ht="15.75" customHeight="1">
      <c r="A645" s="162"/>
      <c r="B645" s="174"/>
      <c r="C645" s="175"/>
      <c r="D645" s="176"/>
      <c r="E645" s="175"/>
      <c r="F645" s="177"/>
      <c r="G645" s="177"/>
      <c r="H645" s="176"/>
      <c r="I645" s="175"/>
      <c r="J645" s="163"/>
      <c r="K645" s="165"/>
      <c r="L645" s="163"/>
      <c r="M645" s="163"/>
      <c r="N645" s="169"/>
      <c r="O645" s="173"/>
      <c r="P645" s="168"/>
    </row>
    <row r="646" ht="15.75" customHeight="1">
      <c r="A646" s="162"/>
      <c r="B646" s="174"/>
      <c r="C646" s="175"/>
      <c r="D646" s="176"/>
      <c r="E646" s="175"/>
      <c r="F646" s="177"/>
      <c r="G646" s="177"/>
      <c r="H646" s="176"/>
      <c r="I646" s="175"/>
      <c r="J646" s="163"/>
      <c r="K646" s="165"/>
      <c r="L646" s="163"/>
      <c r="M646" s="163"/>
      <c r="N646" s="169"/>
      <c r="O646" s="173"/>
      <c r="P646" s="168"/>
    </row>
    <row r="647" ht="15.75" customHeight="1">
      <c r="A647" s="162"/>
      <c r="B647" s="174"/>
      <c r="C647" s="175"/>
      <c r="D647" s="176"/>
      <c r="E647" s="175"/>
      <c r="F647" s="177"/>
      <c r="G647" s="177"/>
      <c r="H647" s="176"/>
      <c r="I647" s="175"/>
      <c r="J647" s="163"/>
      <c r="K647" s="165"/>
      <c r="L647" s="163"/>
      <c r="M647" s="163"/>
      <c r="N647" s="169"/>
      <c r="O647" s="173"/>
      <c r="P647" s="168"/>
    </row>
    <row r="648" ht="15.75" customHeight="1">
      <c r="A648" s="162"/>
      <c r="B648" s="174"/>
      <c r="C648" s="175"/>
      <c r="D648" s="176"/>
      <c r="E648" s="175"/>
      <c r="F648" s="177"/>
      <c r="G648" s="177"/>
      <c r="H648" s="176"/>
      <c r="I648" s="175"/>
      <c r="J648" s="163"/>
      <c r="K648" s="165"/>
      <c r="L648" s="163"/>
      <c r="M648" s="163"/>
      <c r="N648" s="169"/>
      <c r="O648" s="173"/>
      <c r="P648" s="168"/>
    </row>
    <row r="649" ht="15.75" customHeight="1">
      <c r="A649" s="162"/>
      <c r="B649" s="174"/>
      <c r="C649" s="175"/>
      <c r="D649" s="176"/>
      <c r="E649" s="175"/>
      <c r="F649" s="177"/>
      <c r="G649" s="177"/>
      <c r="H649" s="176"/>
      <c r="I649" s="175"/>
      <c r="J649" s="163"/>
      <c r="K649" s="165"/>
      <c r="L649" s="163"/>
      <c r="M649" s="163"/>
      <c r="N649" s="169"/>
      <c r="O649" s="173"/>
      <c r="P649" s="168"/>
    </row>
    <row r="650" ht="15.75" customHeight="1">
      <c r="A650" s="162"/>
      <c r="B650" s="174"/>
      <c r="C650" s="175"/>
      <c r="D650" s="176"/>
      <c r="E650" s="175"/>
      <c r="F650" s="177"/>
      <c r="G650" s="177"/>
      <c r="H650" s="176"/>
      <c r="I650" s="175"/>
      <c r="J650" s="163"/>
      <c r="K650" s="165"/>
      <c r="L650" s="163"/>
      <c r="M650" s="163"/>
      <c r="N650" s="169"/>
      <c r="O650" s="173"/>
      <c r="P650" s="168"/>
    </row>
    <row r="651" ht="15.75" customHeight="1">
      <c r="A651" s="162"/>
      <c r="B651" s="174"/>
      <c r="C651" s="175"/>
      <c r="D651" s="176"/>
      <c r="E651" s="175"/>
      <c r="F651" s="177"/>
      <c r="G651" s="177"/>
      <c r="H651" s="176"/>
      <c r="I651" s="175"/>
      <c r="J651" s="163"/>
      <c r="K651" s="165"/>
      <c r="L651" s="163"/>
      <c r="M651" s="163"/>
      <c r="N651" s="169"/>
      <c r="O651" s="173"/>
      <c r="P651" s="168"/>
    </row>
    <row r="652" ht="15.75" customHeight="1">
      <c r="A652" s="162"/>
      <c r="B652" s="174"/>
      <c r="C652" s="175"/>
      <c r="D652" s="176"/>
      <c r="E652" s="175"/>
      <c r="F652" s="177"/>
      <c r="G652" s="177"/>
      <c r="H652" s="176"/>
      <c r="I652" s="175"/>
      <c r="J652" s="163"/>
      <c r="K652" s="165"/>
      <c r="L652" s="163"/>
      <c r="M652" s="163"/>
      <c r="N652" s="169"/>
      <c r="O652" s="173"/>
      <c r="P652" s="168"/>
    </row>
    <row r="653" ht="15.75" customHeight="1">
      <c r="A653" s="162"/>
      <c r="B653" s="174"/>
      <c r="C653" s="175"/>
      <c r="D653" s="176"/>
      <c r="E653" s="175"/>
      <c r="F653" s="177"/>
      <c r="G653" s="177"/>
      <c r="H653" s="176"/>
      <c r="I653" s="175"/>
      <c r="J653" s="163"/>
      <c r="K653" s="165"/>
      <c r="L653" s="163"/>
      <c r="M653" s="163"/>
      <c r="N653" s="169"/>
      <c r="O653" s="173"/>
      <c r="P653" s="168"/>
    </row>
    <row r="654" ht="15.75" customHeight="1">
      <c r="A654" s="162"/>
      <c r="B654" s="174"/>
      <c r="C654" s="175"/>
      <c r="D654" s="176"/>
      <c r="E654" s="175"/>
      <c r="F654" s="177"/>
      <c r="G654" s="177"/>
      <c r="H654" s="176"/>
      <c r="I654" s="175"/>
      <c r="J654" s="163"/>
      <c r="K654" s="165"/>
      <c r="L654" s="163"/>
      <c r="M654" s="163"/>
      <c r="N654" s="169"/>
      <c r="O654" s="173"/>
      <c r="P654" s="168"/>
    </row>
    <row r="655" ht="15.75" customHeight="1">
      <c r="A655" s="162"/>
      <c r="B655" s="174"/>
      <c r="C655" s="175"/>
      <c r="D655" s="176"/>
      <c r="E655" s="175"/>
      <c r="F655" s="177"/>
      <c r="G655" s="177"/>
      <c r="H655" s="176"/>
      <c r="I655" s="175"/>
      <c r="J655" s="163"/>
      <c r="K655" s="165"/>
      <c r="L655" s="163"/>
      <c r="M655" s="163"/>
      <c r="N655" s="169"/>
      <c r="O655" s="173"/>
      <c r="P655" s="168"/>
    </row>
    <row r="656" ht="15.75" customHeight="1">
      <c r="A656" s="162"/>
      <c r="B656" s="174"/>
      <c r="C656" s="175"/>
      <c r="D656" s="176"/>
      <c r="E656" s="175"/>
      <c r="F656" s="177"/>
      <c r="G656" s="177"/>
      <c r="H656" s="176"/>
      <c r="I656" s="175"/>
      <c r="J656" s="163"/>
      <c r="K656" s="165"/>
      <c r="L656" s="163"/>
      <c r="M656" s="163"/>
      <c r="N656" s="169"/>
      <c r="O656" s="173"/>
      <c r="P656" s="168"/>
    </row>
    <row r="657" ht="15.75" customHeight="1">
      <c r="A657" s="162"/>
      <c r="B657" s="174"/>
      <c r="C657" s="175"/>
      <c r="D657" s="176"/>
      <c r="E657" s="175"/>
      <c r="F657" s="177"/>
      <c r="G657" s="177"/>
      <c r="H657" s="176"/>
      <c r="I657" s="175"/>
      <c r="J657" s="163"/>
      <c r="K657" s="165"/>
      <c r="L657" s="163"/>
      <c r="M657" s="163"/>
      <c r="N657" s="169"/>
      <c r="O657" s="173"/>
      <c r="P657" s="168"/>
    </row>
    <row r="658" ht="15.75" customHeight="1">
      <c r="A658" s="162"/>
      <c r="B658" s="174"/>
      <c r="C658" s="175"/>
      <c r="D658" s="176"/>
      <c r="E658" s="175"/>
      <c r="F658" s="177"/>
      <c r="G658" s="177"/>
      <c r="H658" s="176"/>
      <c r="I658" s="175"/>
      <c r="J658" s="163"/>
      <c r="K658" s="165"/>
      <c r="L658" s="163"/>
      <c r="M658" s="163"/>
      <c r="N658" s="169"/>
      <c r="O658" s="173"/>
      <c r="P658" s="168"/>
    </row>
    <row r="659" ht="15.75" customHeight="1">
      <c r="A659" s="162"/>
      <c r="B659" s="174"/>
      <c r="C659" s="175"/>
      <c r="D659" s="176"/>
      <c r="E659" s="175"/>
      <c r="F659" s="177"/>
      <c r="G659" s="177"/>
      <c r="H659" s="176"/>
      <c r="I659" s="175"/>
      <c r="J659" s="163"/>
      <c r="K659" s="165"/>
      <c r="L659" s="163"/>
      <c r="M659" s="163"/>
      <c r="N659" s="169"/>
      <c r="O659" s="173"/>
      <c r="P659" s="168"/>
    </row>
    <row r="660" ht="15.75" customHeight="1">
      <c r="A660" s="162"/>
      <c r="B660" s="174"/>
      <c r="C660" s="175"/>
      <c r="D660" s="176"/>
      <c r="E660" s="175"/>
      <c r="F660" s="177"/>
      <c r="G660" s="177"/>
      <c r="H660" s="176"/>
      <c r="I660" s="175"/>
      <c r="J660" s="163"/>
      <c r="K660" s="165"/>
      <c r="L660" s="163"/>
      <c r="M660" s="163"/>
      <c r="N660" s="169"/>
      <c r="O660" s="173"/>
      <c r="P660" s="168"/>
    </row>
    <row r="661" ht="15.75" customHeight="1">
      <c r="A661" s="162"/>
      <c r="B661" s="174"/>
      <c r="C661" s="175"/>
      <c r="D661" s="176"/>
      <c r="E661" s="175"/>
      <c r="F661" s="177"/>
      <c r="G661" s="177"/>
      <c r="H661" s="176"/>
      <c r="I661" s="175"/>
      <c r="J661" s="163"/>
      <c r="K661" s="165"/>
      <c r="L661" s="163"/>
      <c r="M661" s="163"/>
      <c r="N661" s="169"/>
      <c r="O661" s="173"/>
      <c r="P661" s="168"/>
    </row>
    <row r="662" ht="15.75" customHeight="1">
      <c r="A662" s="162"/>
      <c r="B662" s="174"/>
      <c r="C662" s="175"/>
      <c r="D662" s="176"/>
      <c r="E662" s="175"/>
      <c r="F662" s="177"/>
      <c r="G662" s="177"/>
      <c r="H662" s="176"/>
      <c r="I662" s="175"/>
      <c r="J662" s="163"/>
      <c r="K662" s="165"/>
      <c r="L662" s="163"/>
      <c r="M662" s="163"/>
      <c r="N662" s="169"/>
      <c r="O662" s="173"/>
      <c r="P662" s="168"/>
    </row>
    <row r="663" ht="15.75" customHeight="1">
      <c r="A663" s="162"/>
      <c r="B663" s="174"/>
      <c r="C663" s="175"/>
      <c r="D663" s="176"/>
      <c r="E663" s="175"/>
      <c r="F663" s="177"/>
      <c r="G663" s="177"/>
      <c r="H663" s="176"/>
      <c r="I663" s="175"/>
      <c r="J663" s="163"/>
      <c r="K663" s="165"/>
      <c r="L663" s="163"/>
      <c r="M663" s="163"/>
      <c r="N663" s="169"/>
      <c r="O663" s="173"/>
      <c r="P663" s="168"/>
    </row>
    <row r="664" ht="15.75" customHeight="1">
      <c r="A664" s="162"/>
      <c r="B664" s="174"/>
      <c r="C664" s="175"/>
      <c r="D664" s="176"/>
      <c r="E664" s="175"/>
      <c r="F664" s="177"/>
      <c r="G664" s="177"/>
      <c r="H664" s="176"/>
      <c r="I664" s="175"/>
      <c r="J664" s="163"/>
      <c r="K664" s="165"/>
      <c r="L664" s="163"/>
      <c r="M664" s="163"/>
      <c r="N664" s="169"/>
      <c r="O664" s="173"/>
      <c r="P664" s="168"/>
    </row>
    <row r="665" ht="15.75" customHeight="1">
      <c r="A665" s="162"/>
      <c r="B665" s="174"/>
      <c r="C665" s="175"/>
      <c r="D665" s="176"/>
      <c r="E665" s="175"/>
      <c r="F665" s="177"/>
      <c r="G665" s="177"/>
      <c r="H665" s="176"/>
      <c r="I665" s="175"/>
      <c r="J665" s="163"/>
      <c r="K665" s="165"/>
      <c r="L665" s="163"/>
      <c r="M665" s="163"/>
      <c r="N665" s="169"/>
      <c r="O665" s="173"/>
      <c r="P665" s="168"/>
    </row>
    <row r="666" ht="15.75" customHeight="1">
      <c r="A666" s="162"/>
      <c r="B666" s="174"/>
      <c r="C666" s="175"/>
      <c r="D666" s="176"/>
      <c r="E666" s="175"/>
      <c r="F666" s="177"/>
      <c r="G666" s="177"/>
      <c r="H666" s="176"/>
      <c r="I666" s="175"/>
      <c r="J666" s="163"/>
      <c r="K666" s="165"/>
      <c r="L666" s="163"/>
      <c r="M666" s="163"/>
      <c r="N666" s="169"/>
      <c r="O666" s="173"/>
      <c r="P666" s="168"/>
    </row>
    <row r="667" ht="15.75" customHeight="1">
      <c r="A667" s="162"/>
      <c r="B667" s="174"/>
      <c r="C667" s="175"/>
      <c r="D667" s="176"/>
      <c r="E667" s="175"/>
      <c r="F667" s="177"/>
      <c r="G667" s="177"/>
      <c r="H667" s="176"/>
      <c r="I667" s="175"/>
      <c r="J667" s="163"/>
      <c r="K667" s="165"/>
      <c r="L667" s="163"/>
      <c r="M667" s="163"/>
      <c r="N667" s="169"/>
      <c r="O667" s="173"/>
      <c r="P667" s="168"/>
    </row>
    <row r="668" ht="15.75" customHeight="1">
      <c r="A668" s="162"/>
      <c r="B668" s="174"/>
      <c r="C668" s="175"/>
      <c r="D668" s="176"/>
      <c r="E668" s="175"/>
      <c r="F668" s="177"/>
      <c r="G668" s="177"/>
      <c r="H668" s="176"/>
      <c r="I668" s="175"/>
      <c r="J668" s="163"/>
      <c r="K668" s="165"/>
      <c r="L668" s="163"/>
      <c r="M668" s="163"/>
      <c r="N668" s="169"/>
      <c r="O668" s="173"/>
      <c r="P668" s="168"/>
    </row>
    <row r="669" ht="15.75" customHeight="1">
      <c r="A669" s="162"/>
      <c r="B669" s="174"/>
      <c r="C669" s="175"/>
      <c r="D669" s="176"/>
      <c r="E669" s="175"/>
      <c r="F669" s="177"/>
      <c r="G669" s="177"/>
      <c r="H669" s="176"/>
      <c r="I669" s="175"/>
      <c r="J669" s="163"/>
      <c r="K669" s="165"/>
      <c r="L669" s="163"/>
      <c r="M669" s="163"/>
      <c r="N669" s="169"/>
      <c r="O669" s="173"/>
      <c r="P669" s="168"/>
    </row>
    <row r="670" ht="15.75" customHeight="1">
      <c r="A670" s="162"/>
      <c r="B670" s="174"/>
      <c r="C670" s="175"/>
      <c r="D670" s="176"/>
      <c r="E670" s="175"/>
      <c r="F670" s="177"/>
      <c r="G670" s="177"/>
      <c r="H670" s="176"/>
      <c r="I670" s="175"/>
      <c r="J670" s="163"/>
      <c r="K670" s="165"/>
      <c r="L670" s="163"/>
      <c r="M670" s="163"/>
      <c r="N670" s="169"/>
      <c r="O670" s="173"/>
      <c r="P670" s="168"/>
    </row>
    <row r="671" ht="15.75" customHeight="1">
      <c r="A671" s="162"/>
      <c r="B671" s="174"/>
      <c r="C671" s="175"/>
      <c r="D671" s="176"/>
      <c r="E671" s="175"/>
      <c r="F671" s="177"/>
      <c r="G671" s="177"/>
      <c r="H671" s="176"/>
      <c r="I671" s="175"/>
      <c r="J671" s="163"/>
      <c r="K671" s="165"/>
      <c r="L671" s="163"/>
      <c r="M671" s="163"/>
      <c r="N671" s="169"/>
      <c r="O671" s="173"/>
      <c r="P671" s="168"/>
    </row>
    <row r="672" ht="15.75" customHeight="1">
      <c r="A672" s="162"/>
      <c r="B672" s="174"/>
      <c r="C672" s="175"/>
      <c r="D672" s="176"/>
      <c r="E672" s="175"/>
      <c r="F672" s="177"/>
      <c r="G672" s="177"/>
      <c r="H672" s="176"/>
      <c r="I672" s="175"/>
      <c r="J672" s="163"/>
      <c r="K672" s="165"/>
      <c r="L672" s="163"/>
      <c r="M672" s="163"/>
      <c r="N672" s="169"/>
      <c r="O672" s="173"/>
      <c r="P672" s="168"/>
    </row>
    <row r="673" ht="15.75" customHeight="1">
      <c r="A673" s="162"/>
      <c r="B673" s="174"/>
      <c r="C673" s="175"/>
      <c r="D673" s="176"/>
      <c r="E673" s="175"/>
      <c r="F673" s="177"/>
      <c r="G673" s="177"/>
      <c r="H673" s="176"/>
      <c r="I673" s="175"/>
      <c r="J673" s="163"/>
      <c r="K673" s="165"/>
      <c r="L673" s="163"/>
      <c r="M673" s="163"/>
      <c r="N673" s="169"/>
      <c r="O673" s="173"/>
      <c r="P673" s="168"/>
    </row>
    <row r="674" ht="15.75" customHeight="1">
      <c r="A674" s="162"/>
      <c r="B674" s="174"/>
      <c r="C674" s="175"/>
      <c r="D674" s="176"/>
      <c r="E674" s="175"/>
      <c r="F674" s="177"/>
      <c r="G674" s="177"/>
      <c r="H674" s="176"/>
      <c r="I674" s="175"/>
      <c r="J674" s="163"/>
      <c r="K674" s="165"/>
      <c r="L674" s="163"/>
      <c r="M674" s="163"/>
      <c r="N674" s="169"/>
      <c r="O674" s="173"/>
      <c r="P674" s="168"/>
    </row>
    <row r="675" ht="15.75" customHeight="1">
      <c r="A675" s="162"/>
      <c r="B675" s="174"/>
      <c r="C675" s="175"/>
      <c r="D675" s="176"/>
      <c r="E675" s="175"/>
      <c r="F675" s="177"/>
      <c r="G675" s="177"/>
      <c r="H675" s="176"/>
      <c r="I675" s="175"/>
      <c r="J675" s="163"/>
      <c r="K675" s="165"/>
      <c r="L675" s="163"/>
      <c r="M675" s="163"/>
      <c r="N675" s="169"/>
      <c r="O675" s="173"/>
      <c r="P675" s="168"/>
    </row>
    <row r="676" ht="15.75" customHeight="1">
      <c r="A676" s="162"/>
      <c r="B676" s="174"/>
      <c r="C676" s="175"/>
      <c r="D676" s="176"/>
      <c r="E676" s="175"/>
      <c r="F676" s="177"/>
      <c r="G676" s="177"/>
      <c r="H676" s="176"/>
      <c r="I676" s="175"/>
      <c r="J676" s="163"/>
      <c r="K676" s="165"/>
      <c r="L676" s="163"/>
      <c r="M676" s="163"/>
      <c r="N676" s="169"/>
      <c r="O676" s="173"/>
      <c r="P676" s="168"/>
    </row>
    <row r="677" ht="15.75" customHeight="1">
      <c r="A677" s="162"/>
      <c r="B677" s="174"/>
      <c r="C677" s="175"/>
      <c r="D677" s="176"/>
      <c r="E677" s="175"/>
      <c r="F677" s="177"/>
      <c r="G677" s="177"/>
      <c r="H677" s="176"/>
      <c r="I677" s="175"/>
      <c r="J677" s="163"/>
      <c r="K677" s="165"/>
      <c r="L677" s="163"/>
      <c r="M677" s="163"/>
      <c r="N677" s="169"/>
      <c r="O677" s="173"/>
      <c r="P677" s="168"/>
    </row>
    <row r="678" ht="15.75" customHeight="1">
      <c r="A678" s="162"/>
      <c r="B678" s="174"/>
      <c r="C678" s="175"/>
      <c r="D678" s="176"/>
      <c r="E678" s="175"/>
      <c r="F678" s="177"/>
      <c r="G678" s="177"/>
      <c r="H678" s="176"/>
      <c r="I678" s="175"/>
      <c r="J678" s="163"/>
      <c r="K678" s="165"/>
      <c r="L678" s="163"/>
      <c r="M678" s="163"/>
      <c r="N678" s="169"/>
      <c r="O678" s="173"/>
      <c r="P678" s="168"/>
    </row>
    <row r="679" ht="15.75" customHeight="1">
      <c r="A679" s="162"/>
      <c r="B679" s="174"/>
      <c r="C679" s="175"/>
      <c r="D679" s="176"/>
      <c r="E679" s="175"/>
      <c r="F679" s="177"/>
      <c r="G679" s="177"/>
      <c r="H679" s="176"/>
      <c r="I679" s="175"/>
      <c r="J679" s="163"/>
      <c r="K679" s="165"/>
      <c r="L679" s="163"/>
      <c r="M679" s="163"/>
      <c r="N679" s="169"/>
      <c r="O679" s="173"/>
      <c r="P679" s="168"/>
    </row>
    <row r="680" ht="15.75" customHeight="1">
      <c r="A680" s="162"/>
      <c r="B680" s="174"/>
      <c r="C680" s="175"/>
      <c r="D680" s="176"/>
      <c r="E680" s="175"/>
      <c r="F680" s="177"/>
      <c r="G680" s="177"/>
      <c r="H680" s="176"/>
      <c r="I680" s="175"/>
      <c r="J680" s="163"/>
      <c r="K680" s="165"/>
      <c r="L680" s="163"/>
      <c r="M680" s="163"/>
      <c r="N680" s="169"/>
      <c r="O680" s="173"/>
      <c r="P680" s="168"/>
    </row>
    <row r="681" ht="15.75" customHeight="1">
      <c r="A681" s="162"/>
      <c r="B681" s="174"/>
      <c r="C681" s="175"/>
      <c r="D681" s="176"/>
      <c r="E681" s="175"/>
      <c r="F681" s="177"/>
      <c r="G681" s="177"/>
      <c r="H681" s="176"/>
      <c r="I681" s="175"/>
      <c r="J681" s="163"/>
      <c r="K681" s="165"/>
      <c r="L681" s="163"/>
      <c r="M681" s="163"/>
      <c r="N681" s="169"/>
      <c r="O681" s="173"/>
      <c r="P681" s="168"/>
    </row>
    <row r="682" ht="15.75" customHeight="1">
      <c r="A682" s="162"/>
      <c r="B682" s="174"/>
      <c r="C682" s="175"/>
      <c r="D682" s="176"/>
      <c r="E682" s="175"/>
      <c r="F682" s="177"/>
      <c r="G682" s="177"/>
      <c r="H682" s="176"/>
      <c r="I682" s="175"/>
      <c r="J682" s="163"/>
      <c r="K682" s="165"/>
      <c r="L682" s="163"/>
      <c r="M682" s="163"/>
      <c r="N682" s="169"/>
      <c r="O682" s="173"/>
      <c r="P682" s="168"/>
    </row>
    <row r="683" ht="15.75" customHeight="1">
      <c r="A683" s="162"/>
      <c r="B683" s="174"/>
      <c r="C683" s="175"/>
      <c r="D683" s="176"/>
      <c r="E683" s="175"/>
      <c r="F683" s="177"/>
      <c r="G683" s="177"/>
      <c r="H683" s="176"/>
      <c r="I683" s="175"/>
      <c r="J683" s="163"/>
      <c r="K683" s="165"/>
      <c r="L683" s="163"/>
      <c r="M683" s="163"/>
      <c r="N683" s="169"/>
      <c r="O683" s="173"/>
      <c r="P683" s="168"/>
    </row>
    <row r="684" ht="15.75" customHeight="1">
      <c r="A684" s="162"/>
      <c r="B684" s="174"/>
      <c r="C684" s="175"/>
      <c r="D684" s="176"/>
      <c r="E684" s="175"/>
      <c r="F684" s="177"/>
      <c r="G684" s="177"/>
      <c r="H684" s="176"/>
      <c r="I684" s="175"/>
      <c r="J684" s="163"/>
      <c r="K684" s="165"/>
      <c r="L684" s="163"/>
      <c r="M684" s="163"/>
      <c r="N684" s="169"/>
      <c r="O684" s="173"/>
      <c r="P684" s="168"/>
    </row>
    <row r="685" ht="15.75" customHeight="1">
      <c r="A685" s="162"/>
      <c r="B685" s="174"/>
      <c r="C685" s="175"/>
      <c r="D685" s="176"/>
      <c r="E685" s="175"/>
      <c r="F685" s="177"/>
      <c r="G685" s="177"/>
      <c r="H685" s="176"/>
      <c r="I685" s="175"/>
      <c r="J685" s="163"/>
      <c r="K685" s="165"/>
      <c r="L685" s="163"/>
      <c r="M685" s="163"/>
      <c r="N685" s="169"/>
      <c r="O685" s="173"/>
      <c r="P685" s="168"/>
    </row>
    <row r="686" ht="15.75" customHeight="1">
      <c r="A686" s="162"/>
      <c r="B686" s="174"/>
      <c r="C686" s="175"/>
      <c r="D686" s="176"/>
      <c r="E686" s="175"/>
      <c r="F686" s="177"/>
      <c r="G686" s="177"/>
      <c r="H686" s="176"/>
      <c r="I686" s="175"/>
      <c r="J686" s="163"/>
      <c r="K686" s="165"/>
      <c r="L686" s="163"/>
      <c r="M686" s="163"/>
      <c r="N686" s="169"/>
      <c r="O686" s="173"/>
      <c r="P686" s="168"/>
    </row>
    <row r="687" ht="15.75" customHeight="1">
      <c r="A687" s="162"/>
      <c r="B687" s="174"/>
      <c r="C687" s="175"/>
      <c r="D687" s="176"/>
      <c r="E687" s="175"/>
      <c r="F687" s="177"/>
      <c r="G687" s="177"/>
      <c r="H687" s="176"/>
      <c r="I687" s="175"/>
      <c r="J687" s="163"/>
      <c r="K687" s="165"/>
      <c r="L687" s="163"/>
      <c r="M687" s="163"/>
      <c r="N687" s="169"/>
      <c r="O687" s="173"/>
      <c r="P687" s="168"/>
    </row>
    <row r="688" ht="15.75" customHeight="1">
      <c r="A688" s="162"/>
      <c r="B688" s="174"/>
      <c r="C688" s="175"/>
      <c r="D688" s="176"/>
      <c r="E688" s="175"/>
      <c r="F688" s="177"/>
      <c r="G688" s="177"/>
      <c r="H688" s="176"/>
      <c r="I688" s="175"/>
      <c r="J688" s="163"/>
      <c r="K688" s="165"/>
      <c r="L688" s="163"/>
      <c r="M688" s="163"/>
      <c r="N688" s="169"/>
      <c r="O688" s="173"/>
      <c r="P688" s="168"/>
    </row>
    <row r="689" ht="15.75" customHeight="1">
      <c r="A689" s="162"/>
      <c r="B689" s="174"/>
      <c r="C689" s="175"/>
      <c r="D689" s="176"/>
      <c r="E689" s="175"/>
      <c r="F689" s="177"/>
      <c r="G689" s="177"/>
      <c r="H689" s="176"/>
      <c r="I689" s="175"/>
      <c r="J689" s="163"/>
      <c r="K689" s="165"/>
      <c r="L689" s="163"/>
      <c r="M689" s="163"/>
      <c r="N689" s="169"/>
      <c r="O689" s="173"/>
      <c r="P689" s="168"/>
    </row>
    <row r="690" ht="15.75" customHeight="1">
      <c r="A690" s="162"/>
      <c r="B690" s="174"/>
      <c r="C690" s="175"/>
      <c r="D690" s="176"/>
      <c r="E690" s="175"/>
      <c r="F690" s="177"/>
      <c r="G690" s="177"/>
      <c r="H690" s="176"/>
      <c r="I690" s="175"/>
      <c r="J690" s="163"/>
      <c r="K690" s="165"/>
      <c r="L690" s="163"/>
      <c r="M690" s="163"/>
      <c r="N690" s="169"/>
      <c r="O690" s="173"/>
      <c r="P690" s="168"/>
    </row>
    <row r="691" ht="15.75" customHeight="1">
      <c r="A691" s="162"/>
      <c r="B691" s="174"/>
      <c r="C691" s="175"/>
      <c r="D691" s="176"/>
      <c r="E691" s="175"/>
      <c r="F691" s="177"/>
      <c r="G691" s="177"/>
      <c r="H691" s="176"/>
      <c r="I691" s="175"/>
      <c r="J691" s="163"/>
      <c r="K691" s="165"/>
      <c r="L691" s="163"/>
      <c r="M691" s="163"/>
      <c r="N691" s="169"/>
      <c r="O691" s="173"/>
      <c r="P691" s="168"/>
    </row>
    <row r="692" ht="15.75" customHeight="1">
      <c r="A692" s="162"/>
      <c r="B692" s="174"/>
      <c r="C692" s="175"/>
      <c r="D692" s="176"/>
      <c r="E692" s="175"/>
      <c r="F692" s="177"/>
      <c r="G692" s="177"/>
      <c r="H692" s="176"/>
      <c r="I692" s="175"/>
      <c r="J692" s="163"/>
      <c r="K692" s="165"/>
      <c r="L692" s="163"/>
      <c r="M692" s="163"/>
      <c r="N692" s="169"/>
      <c r="O692" s="173"/>
      <c r="P692" s="168"/>
    </row>
    <row r="693" ht="15.75" customHeight="1">
      <c r="A693" s="162"/>
      <c r="B693" s="174"/>
      <c r="C693" s="175"/>
      <c r="D693" s="176"/>
      <c r="E693" s="175"/>
      <c r="F693" s="177"/>
      <c r="G693" s="177"/>
      <c r="H693" s="176"/>
      <c r="I693" s="175"/>
      <c r="J693" s="163"/>
      <c r="K693" s="165"/>
      <c r="L693" s="163"/>
      <c r="M693" s="163"/>
      <c r="N693" s="169"/>
      <c r="O693" s="173"/>
      <c r="P693" s="168"/>
    </row>
    <row r="694" ht="15.75" customHeight="1">
      <c r="A694" s="162"/>
      <c r="B694" s="174"/>
      <c r="C694" s="175"/>
      <c r="D694" s="176"/>
      <c r="E694" s="175"/>
      <c r="F694" s="177"/>
      <c r="G694" s="177"/>
      <c r="H694" s="176"/>
      <c r="I694" s="175"/>
      <c r="J694" s="163"/>
      <c r="K694" s="165"/>
      <c r="L694" s="163"/>
      <c r="M694" s="163"/>
      <c r="N694" s="169"/>
      <c r="O694" s="173"/>
      <c r="P694" s="168"/>
    </row>
    <row r="695" ht="15.75" customHeight="1">
      <c r="A695" s="162"/>
      <c r="B695" s="174"/>
      <c r="C695" s="175"/>
      <c r="D695" s="176"/>
      <c r="E695" s="175"/>
      <c r="F695" s="177"/>
      <c r="G695" s="177"/>
      <c r="H695" s="176"/>
      <c r="I695" s="175"/>
      <c r="J695" s="163"/>
      <c r="K695" s="165"/>
      <c r="L695" s="163"/>
      <c r="M695" s="163"/>
      <c r="N695" s="169"/>
      <c r="O695" s="173"/>
      <c r="P695" s="168"/>
    </row>
    <row r="696" ht="15.75" customHeight="1">
      <c r="A696" s="162"/>
      <c r="B696" s="174"/>
      <c r="C696" s="175"/>
      <c r="D696" s="176"/>
      <c r="E696" s="175"/>
      <c r="F696" s="177"/>
      <c r="G696" s="177"/>
      <c r="H696" s="176"/>
      <c r="I696" s="175"/>
      <c r="J696" s="163"/>
      <c r="K696" s="165"/>
      <c r="L696" s="163"/>
      <c r="M696" s="163"/>
      <c r="N696" s="169"/>
      <c r="O696" s="173"/>
      <c r="P696" s="168"/>
    </row>
    <row r="697" ht="15.75" customHeight="1">
      <c r="A697" s="162"/>
      <c r="B697" s="174"/>
      <c r="C697" s="175"/>
      <c r="D697" s="176"/>
      <c r="E697" s="175"/>
      <c r="F697" s="177"/>
      <c r="G697" s="177"/>
      <c r="H697" s="176"/>
      <c r="I697" s="175"/>
      <c r="J697" s="163"/>
      <c r="K697" s="165"/>
      <c r="L697" s="163"/>
      <c r="M697" s="163"/>
      <c r="N697" s="169"/>
      <c r="O697" s="173"/>
      <c r="P697" s="168"/>
    </row>
    <row r="698" ht="15.75" customHeight="1">
      <c r="A698" s="162"/>
      <c r="B698" s="174"/>
      <c r="C698" s="175"/>
      <c r="D698" s="176"/>
      <c r="E698" s="175"/>
      <c r="F698" s="177"/>
      <c r="G698" s="177"/>
      <c r="H698" s="176"/>
      <c r="I698" s="175"/>
      <c r="J698" s="163"/>
      <c r="K698" s="165"/>
      <c r="L698" s="163"/>
      <c r="M698" s="163"/>
      <c r="N698" s="169"/>
      <c r="O698" s="173"/>
      <c r="P698" s="168"/>
    </row>
    <row r="699" ht="15.75" customHeight="1">
      <c r="A699" s="162"/>
      <c r="B699" s="174"/>
      <c r="C699" s="175"/>
      <c r="D699" s="176"/>
      <c r="E699" s="175"/>
      <c r="F699" s="177"/>
      <c r="G699" s="177"/>
      <c r="H699" s="176"/>
      <c r="I699" s="175"/>
      <c r="J699" s="163"/>
      <c r="K699" s="165"/>
      <c r="L699" s="163"/>
      <c r="M699" s="163"/>
      <c r="N699" s="169"/>
      <c r="O699" s="173"/>
      <c r="P699" s="168"/>
    </row>
    <row r="700" ht="15.75" customHeight="1">
      <c r="A700" s="162"/>
      <c r="B700" s="174"/>
      <c r="C700" s="175"/>
      <c r="D700" s="176"/>
      <c r="E700" s="175"/>
      <c r="F700" s="177"/>
      <c r="G700" s="177"/>
      <c r="H700" s="176"/>
      <c r="I700" s="175"/>
      <c r="J700" s="163"/>
      <c r="K700" s="165"/>
      <c r="L700" s="163"/>
      <c r="M700" s="163"/>
      <c r="N700" s="169"/>
      <c r="O700" s="173"/>
      <c r="P700" s="168"/>
    </row>
    <row r="701" ht="15.75" customHeight="1">
      <c r="A701" s="162"/>
      <c r="B701" s="174"/>
      <c r="C701" s="175"/>
      <c r="D701" s="176"/>
      <c r="E701" s="175"/>
      <c r="F701" s="177"/>
      <c r="G701" s="177"/>
      <c r="H701" s="176"/>
      <c r="I701" s="175"/>
      <c r="J701" s="163"/>
      <c r="K701" s="165"/>
      <c r="L701" s="163"/>
      <c r="M701" s="163"/>
      <c r="N701" s="169"/>
      <c r="O701" s="173"/>
      <c r="P701" s="168"/>
    </row>
    <row r="702" ht="15.75" customHeight="1">
      <c r="A702" s="162"/>
      <c r="B702" s="174"/>
      <c r="C702" s="175"/>
      <c r="D702" s="176"/>
      <c r="E702" s="175"/>
      <c r="F702" s="177"/>
      <c r="G702" s="177"/>
      <c r="H702" s="176"/>
      <c r="I702" s="175"/>
      <c r="J702" s="163"/>
      <c r="K702" s="165"/>
      <c r="L702" s="163"/>
      <c r="M702" s="163"/>
      <c r="N702" s="169"/>
      <c r="O702" s="173"/>
      <c r="P702" s="168"/>
    </row>
    <row r="703" ht="15.75" customHeight="1">
      <c r="A703" s="162"/>
      <c r="B703" s="174"/>
      <c r="C703" s="175"/>
      <c r="D703" s="176"/>
      <c r="E703" s="175"/>
      <c r="F703" s="177"/>
      <c r="G703" s="177"/>
      <c r="H703" s="176"/>
      <c r="I703" s="175"/>
      <c r="J703" s="163"/>
      <c r="K703" s="165"/>
      <c r="L703" s="163"/>
      <c r="M703" s="163"/>
      <c r="N703" s="169"/>
      <c r="O703" s="173"/>
      <c r="P703" s="168"/>
    </row>
    <row r="704" ht="15.75" customHeight="1">
      <c r="A704" s="162"/>
      <c r="B704" s="174"/>
      <c r="C704" s="175"/>
      <c r="D704" s="176"/>
      <c r="E704" s="175"/>
      <c r="F704" s="177"/>
      <c r="G704" s="177"/>
      <c r="H704" s="176"/>
      <c r="I704" s="175"/>
      <c r="J704" s="163"/>
      <c r="K704" s="165"/>
      <c r="L704" s="163"/>
      <c r="M704" s="163"/>
      <c r="N704" s="169"/>
      <c r="O704" s="173"/>
      <c r="P704" s="168"/>
    </row>
    <row r="705" ht="15.75" customHeight="1">
      <c r="A705" s="162"/>
      <c r="B705" s="174"/>
      <c r="C705" s="175"/>
      <c r="D705" s="176"/>
      <c r="E705" s="175"/>
      <c r="F705" s="177"/>
      <c r="G705" s="177"/>
      <c r="H705" s="176"/>
      <c r="I705" s="175"/>
      <c r="J705" s="163"/>
      <c r="K705" s="165"/>
      <c r="L705" s="163"/>
      <c r="M705" s="163"/>
      <c r="N705" s="169"/>
      <c r="O705" s="173"/>
      <c r="P705" s="168"/>
    </row>
    <row r="706" ht="15.75" customHeight="1">
      <c r="A706" s="162"/>
      <c r="B706" s="174"/>
      <c r="C706" s="175"/>
      <c r="D706" s="176"/>
      <c r="E706" s="175"/>
      <c r="F706" s="177"/>
      <c r="G706" s="177"/>
      <c r="H706" s="176"/>
      <c r="I706" s="175"/>
      <c r="J706" s="163"/>
      <c r="K706" s="165"/>
      <c r="L706" s="163"/>
      <c r="M706" s="163"/>
      <c r="N706" s="169"/>
      <c r="O706" s="173"/>
      <c r="P706" s="168"/>
    </row>
    <row r="707" ht="15.75" customHeight="1">
      <c r="A707" s="162"/>
      <c r="B707" s="174"/>
      <c r="C707" s="175"/>
      <c r="D707" s="176"/>
      <c r="E707" s="175"/>
      <c r="F707" s="177"/>
      <c r="G707" s="177"/>
      <c r="H707" s="176"/>
      <c r="I707" s="175"/>
      <c r="J707" s="163"/>
      <c r="K707" s="165"/>
      <c r="L707" s="163"/>
      <c r="M707" s="163"/>
      <c r="N707" s="169"/>
      <c r="O707" s="173"/>
      <c r="P707" s="168"/>
    </row>
    <row r="708" ht="15.75" customHeight="1">
      <c r="A708" s="162"/>
      <c r="B708" s="174"/>
      <c r="C708" s="175"/>
      <c r="D708" s="176"/>
      <c r="E708" s="175"/>
      <c r="F708" s="177"/>
      <c r="G708" s="177"/>
      <c r="H708" s="176"/>
      <c r="I708" s="175"/>
      <c r="J708" s="163"/>
      <c r="K708" s="165"/>
      <c r="L708" s="163"/>
      <c r="M708" s="163"/>
      <c r="N708" s="169"/>
      <c r="O708" s="173"/>
      <c r="P708" s="168"/>
    </row>
    <row r="709" ht="15.75" customHeight="1">
      <c r="A709" s="162"/>
      <c r="B709" s="174"/>
      <c r="C709" s="175"/>
      <c r="D709" s="176"/>
      <c r="E709" s="175"/>
      <c r="F709" s="177"/>
      <c r="G709" s="177"/>
      <c r="H709" s="176"/>
      <c r="I709" s="175"/>
      <c r="J709" s="163"/>
      <c r="K709" s="165"/>
      <c r="L709" s="163"/>
      <c r="M709" s="163"/>
      <c r="N709" s="169"/>
      <c r="O709" s="173"/>
      <c r="P709" s="168"/>
    </row>
    <row r="710" ht="15.75" customHeight="1">
      <c r="A710" s="162"/>
      <c r="B710" s="174"/>
      <c r="C710" s="175"/>
      <c r="D710" s="176"/>
      <c r="E710" s="175"/>
      <c r="F710" s="177"/>
      <c r="G710" s="177"/>
      <c r="H710" s="176"/>
      <c r="I710" s="175"/>
      <c r="J710" s="163"/>
      <c r="K710" s="165"/>
      <c r="L710" s="163"/>
      <c r="M710" s="163"/>
      <c r="N710" s="169"/>
      <c r="O710" s="173"/>
      <c r="P710" s="168"/>
    </row>
    <row r="711" ht="15.75" customHeight="1">
      <c r="A711" s="162"/>
      <c r="B711" s="174"/>
      <c r="C711" s="175"/>
      <c r="D711" s="176"/>
      <c r="E711" s="175"/>
      <c r="F711" s="177"/>
      <c r="G711" s="177"/>
      <c r="H711" s="176"/>
      <c r="I711" s="175"/>
      <c r="J711" s="163"/>
      <c r="K711" s="165"/>
      <c r="L711" s="163"/>
      <c r="M711" s="163"/>
      <c r="N711" s="169"/>
      <c r="O711" s="173"/>
      <c r="P711" s="168"/>
    </row>
    <row r="712" ht="15.75" customHeight="1">
      <c r="A712" s="162"/>
      <c r="B712" s="174"/>
      <c r="C712" s="175"/>
      <c r="D712" s="176"/>
      <c r="E712" s="175"/>
      <c r="F712" s="177"/>
      <c r="G712" s="177"/>
      <c r="H712" s="176"/>
      <c r="I712" s="175"/>
      <c r="J712" s="163"/>
      <c r="K712" s="165"/>
      <c r="L712" s="163"/>
      <c r="M712" s="163"/>
      <c r="N712" s="169"/>
      <c r="O712" s="173"/>
      <c r="P712" s="168"/>
    </row>
    <row r="713" ht="15.75" customHeight="1">
      <c r="A713" s="162"/>
      <c r="B713" s="174"/>
      <c r="C713" s="175"/>
      <c r="D713" s="176"/>
      <c r="E713" s="175"/>
      <c r="F713" s="177"/>
      <c r="G713" s="177"/>
      <c r="H713" s="176"/>
      <c r="I713" s="175"/>
      <c r="J713" s="163"/>
      <c r="K713" s="165"/>
      <c r="L713" s="163"/>
      <c r="M713" s="163"/>
      <c r="N713" s="169"/>
      <c r="O713" s="173"/>
      <c r="P713" s="168"/>
    </row>
    <row r="714" ht="15.75" customHeight="1">
      <c r="A714" s="162"/>
      <c r="B714" s="174"/>
      <c r="C714" s="175"/>
      <c r="D714" s="176"/>
      <c r="E714" s="175"/>
      <c r="F714" s="177"/>
      <c r="G714" s="177"/>
      <c r="H714" s="176"/>
      <c r="I714" s="175"/>
      <c r="J714" s="163"/>
      <c r="K714" s="165"/>
      <c r="L714" s="163"/>
      <c r="M714" s="163"/>
      <c r="N714" s="169"/>
      <c r="O714" s="173"/>
      <c r="P714" s="168"/>
    </row>
    <row r="715" ht="15.75" customHeight="1">
      <c r="A715" s="162"/>
      <c r="B715" s="174"/>
      <c r="C715" s="175"/>
      <c r="D715" s="176"/>
      <c r="E715" s="175"/>
      <c r="F715" s="177"/>
      <c r="G715" s="177"/>
      <c r="H715" s="176"/>
      <c r="I715" s="175"/>
      <c r="J715" s="163"/>
      <c r="K715" s="165"/>
      <c r="L715" s="163"/>
      <c r="M715" s="163"/>
      <c r="N715" s="169"/>
      <c r="O715" s="173"/>
      <c r="P715" s="168"/>
    </row>
    <row r="716" ht="15.75" customHeight="1">
      <c r="A716" s="162"/>
      <c r="B716" s="174"/>
      <c r="C716" s="175"/>
      <c r="D716" s="176"/>
      <c r="E716" s="175"/>
      <c r="F716" s="177"/>
      <c r="G716" s="177"/>
      <c r="H716" s="176"/>
      <c r="I716" s="175"/>
      <c r="J716" s="163"/>
      <c r="K716" s="165"/>
      <c r="L716" s="163"/>
      <c r="M716" s="163"/>
      <c r="N716" s="169"/>
      <c r="O716" s="173"/>
      <c r="P716" s="168"/>
    </row>
    <row r="717" ht="15.75" customHeight="1">
      <c r="A717" s="162"/>
      <c r="B717" s="174"/>
      <c r="C717" s="175"/>
      <c r="D717" s="176"/>
      <c r="E717" s="175"/>
      <c r="F717" s="177"/>
      <c r="G717" s="177"/>
      <c r="H717" s="176"/>
      <c r="I717" s="175"/>
      <c r="J717" s="163"/>
      <c r="K717" s="165"/>
      <c r="L717" s="163"/>
      <c r="M717" s="163"/>
      <c r="N717" s="169"/>
      <c r="O717" s="173"/>
      <c r="P717" s="168"/>
    </row>
    <row r="718" ht="15.75" customHeight="1">
      <c r="A718" s="162"/>
      <c r="B718" s="174"/>
      <c r="C718" s="175"/>
      <c r="D718" s="176"/>
      <c r="E718" s="175"/>
      <c r="F718" s="177"/>
      <c r="G718" s="177"/>
      <c r="H718" s="176"/>
      <c r="I718" s="175"/>
      <c r="J718" s="163"/>
      <c r="K718" s="165"/>
      <c r="L718" s="163"/>
      <c r="M718" s="163"/>
      <c r="N718" s="169"/>
      <c r="O718" s="173"/>
      <c r="P718" s="168"/>
    </row>
    <row r="719" ht="15.75" customHeight="1">
      <c r="A719" s="162"/>
      <c r="B719" s="174"/>
      <c r="C719" s="175"/>
      <c r="D719" s="176"/>
      <c r="E719" s="175"/>
      <c r="F719" s="177"/>
      <c r="G719" s="177"/>
      <c r="H719" s="176"/>
      <c r="I719" s="175"/>
      <c r="J719" s="163"/>
      <c r="K719" s="165"/>
      <c r="L719" s="163"/>
      <c r="M719" s="163"/>
      <c r="N719" s="169"/>
      <c r="O719" s="173"/>
      <c r="P719" s="168"/>
    </row>
    <row r="720" ht="15.75" customHeight="1">
      <c r="A720" s="162"/>
      <c r="B720" s="174"/>
      <c r="C720" s="175"/>
      <c r="D720" s="176"/>
      <c r="E720" s="175"/>
      <c r="F720" s="177"/>
      <c r="G720" s="177"/>
      <c r="H720" s="176"/>
      <c r="I720" s="175"/>
      <c r="J720" s="163"/>
      <c r="K720" s="165"/>
      <c r="L720" s="163"/>
      <c r="M720" s="163"/>
      <c r="N720" s="169"/>
      <c r="O720" s="173"/>
      <c r="P720" s="168"/>
    </row>
    <row r="721" ht="15.75" customHeight="1">
      <c r="A721" s="162"/>
      <c r="B721" s="174"/>
      <c r="C721" s="175"/>
      <c r="D721" s="176"/>
      <c r="E721" s="175"/>
      <c r="F721" s="177"/>
      <c r="G721" s="177"/>
      <c r="H721" s="176"/>
      <c r="I721" s="175"/>
      <c r="J721" s="163"/>
      <c r="K721" s="165"/>
      <c r="L721" s="163"/>
      <c r="M721" s="163"/>
      <c r="N721" s="169"/>
      <c r="O721" s="173"/>
      <c r="P721" s="168"/>
    </row>
    <row r="722" ht="15.75" customHeight="1">
      <c r="A722" s="162"/>
      <c r="B722" s="174"/>
      <c r="C722" s="175"/>
      <c r="D722" s="176"/>
      <c r="E722" s="175"/>
      <c r="F722" s="177"/>
      <c r="G722" s="177"/>
      <c r="H722" s="176"/>
      <c r="I722" s="175"/>
      <c r="J722" s="163"/>
      <c r="K722" s="165"/>
      <c r="L722" s="163"/>
      <c r="M722" s="163"/>
      <c r="N722" s="169"/>
      <c r="O722" s="173"/>
      <c r="P722" s="168"/>
    </row>
    <row r="723" ht="15.75" customHeight="1">
      <c r="A723" s="162"/>
      <c r="B723" s="174"/>
      <c r="C723" s="175"/>
      <c r="D723" s="176"/>
      <c r="E723" s="175"/>
      <c r="F723" s="177"/>
      <c r="G723" s="177"/>
      <c r="H723" s="176"/>
      <c r="I723" s="175"/>
      <c r="J723" s="163"/>
      <c r="K723" s="165"/>
      <c r="L723" s="163"/>
      <c r="M723" s="163"/>
      <c r="N723" s="169"/>
      <c r="O723" s="173"/>
      <c r="P723" s="168"/>
    </row>
    <row r="724" ht="15.75" customHeight="1">
      <c r="A724" s="162"/>
      <c r="B724" s="174"/>
      <c r="C724" s="175"/>
      <c r="D724" s="176"/>
      <c r="E724" s="175"/>
      <c r="F724" s="177"/>
      <c r="G724" s="177"/>
      <c r="H724" s="176"/>
      <c r="I724" s="175"/>
      <c r="J724" s="163"/>
      <c r="K724" s="165"/>
      <c r="L724" s="163"/>
      <c r="M724" s="163"/>
      <c r="N724" s="169"/>
      <c r="O724" s="173"/>
      <c r="P724" s="168"/>
    </row>
    <row r="725" ht="15.75" customHeight="1">
      <c r="A725" s="162"/>
      <c r="B725" s="174"/>
      <c r="C725" s="175"/>
      <c r="D725" s="176"/>
      <c r="E725" s="175"/>
      <c r="F725" s="177"/>
      <c r="G725" s="177"/>
      <c r="H725" s="176"/>
      <c r="I725" s="175"/>
      <c r="J725" s="163"/>
      <c r="K725" s="165"/>
      <c r="L725" s="163"/>
      <c r="M725" s="163"/>
      <c r="N725" s="169"/>
      <c r="O725" s="173"/>
      <c r="P725" s="168"/>
    </row>
    <row r="726" ht="15.75" customHeight="1">
      <c r="A726" s="162"/>
      <c r="B726" s="174"/>
      <c r="C726" s="175"/>
      <c r="D726" s="176"/>
      <c r="E726" s="175"/>
      <c r="F726" s="177"/>
      <c r="G726" s="177"/>
      <c r="H726" s="176"/>
      <c r="I726" s="175"/>
      <c r="J726" s="163"/>
      <c r="K726" s="165"/>
      <c r="L726" s="163"/>
      <c r="M726" s="163"/>
      <c r="N726" s="169"/>
      <c r="O726" s="173"/>
      <c r="P726" s="168"/>
    </row>
    <row r="727" ht="15.75" customHeight="1">
      <c r="A727" s="162"/>
      <c r="B727" s="174"/>
      <c r="C727" s="175"/>
      <c r="D727" s="176"/>
      <c r="E727" s="175"/>
      <c r="F727" s="177"/>
      <c r="G727" s="177"/>
      <c r="H727" s="176"/>
      <c r="I727" s="175"/>
      <c r="J727" s="163"/>
      <c r="K727" s="165"/>
      <c r="L727" s="163"/>
      <c r="M727" s="163"/>
      <c r="N727" s="169"/>
      <c r="O727" s="173"/>
      <c r="P727" s="168"/>
    </row>
    <row r="728" ht="15.75" customHeight="1">
      <c r="A728" s="162"/>
      <c r="B728" s="174"/>
      <c r="C728" s="175"/>
      <c r="D728" s="176"/>
      <c r="E728" s="175"/>
      <c r="F728" s="177"/>
      <c r="G728" s="177"/>
      <c r="H728" s="176"/>
      <c r="I728" s="175"/>
      <c r="J728" s="163"/>
      <c r="K728" s="165"/>
      <c r="L728" s="163"/>
      <c r="M728" s="163"/>
      <c r="N728" s="169"/>
      <c r="O728" s="173"/>
      <c r="P728" s="168"/>
    </row>
    <row r="729" ht="15.75" customHeight="1">
      <c r="A729" s="162"/>
      <c r="B729" s="174"/>
      <c r="C729" s="175"/>
      <c r="D729" s="176"/>
      <c r="E729" s="175"/>
      <c r="F729" s="177"/>
      <c r="G729" s="177"/>
      <c r="H729" s="176"/>
      <c r="I729" s="175"/>
      <c r="J729" s="163"/>
      <c r="K729" s="165"/>
      <c r="L729" s="163"/>
      <c r="M729" s="163"/>
      <c r="N729" s="169"/>
      <c r="O729" s="173"/>
      <c r="P729" s="168"/>
    </row>
    <row r="730" ht="15.75" customHeight="1">
      <c r="A730" s="162"/>
      <c r="B730" s="174"/>
      <c r="C730" s="175"/>
      <c r="D730" s="176"/>
      <c r="E730" s="175"/>
      <c r="F730" s="177"/>
      <c r="G730" s="177"/>
      <c r="H730" s="176"/>
      <c r="I730" s="175"/>
      <c r="J730" s="163"/>
      <c r="K730" s="165"/>
      <c r="L730" s="163"/>
      <c r="M730" s="163"/>
      <c r="N730" s="169"/>
      <c r="O730" s="173"/>
      <c r="P730" s="168"/>
    </row>
    <row r="731" ht="15.75" customHeight="1">
      <c r="A731" s="162"/>
      <c r="B731" s="174"/>
      <c r="C731" s="175"/>
      <c r="D731" s="176"/>
      <c r="E731" s="175"/>
      <c r="F731" s="177"/>
      <c r="G731" s="177"/>
      <c r="H731" s="176"/>
      <c r="I731" s="175"/>
      <c r="J731" s="163"/>
      <c r="K731" s="165"/>
      <c r="L731" s="163"/>
      <c r="M731" s="163"/>
      <c r="N731" s="169"/>
      <c r="O731" s="173"/>
      <c r="P731" s="168"/>
    </row>
    <row r="732" ht="15.75" customHeight="1">
      <c r="A732" s="162"/>
      <c r="B732" s="174"/>
      <c r="C732" s="175"/>
      <c r="D732" s="176"/>
      <c r="E732" s="175"/>
      <c r="F732" s="177"/>
      <c r="G732" s="177"/>
      <c r="H732" s="176"/>
      <c r="I732" s="175"/>
      <c r="J732" s="163"/>
      <c r="K732" s="165"/>
      <c r="L732" s="163"/>
      <c r="M732" s="163"/>
      <c r="N732" s="169"/>
      <c r="O732" s="173"/>
      <c r="P732" s="168"/>
    </row>
    <row r="733" ht="15.75" customHeight="1">
      <c r="A733" s="162"/>
      <c r="B733" s="174"/>
      <c r="C733" s="175"/>
      <c r="D733" s="176"/>
      <c r="E733" s="175"/>
      <c r="F733" s="177"/>
      <c r="G733" s="177"/>
      <c r="H733" s="176"/>
      <c r="I733" s="175"/>
      <c r="J733" s="163"/>
      <c r="K733" s="165"/>
      <c r="L733" s="163"/>
      <c r="M733" s="163"/>
      <c r="N733" s="169"/>
      <c r="O733" s="173"/>
      <c r="P733" s="168"/>
    </row>
    <row r="734" ht="15.75" customHeight="1">
      <c r="A734" s="162"/>
      <c r="B734" s="174"/>
      <c r="C734" s="175"/>
      <c r="D734" s="176"/>
      <c r="E734" s="175"/>
      <c r="F734" s="177"/>
      <c r="G734" s="177"/>
      <c r="H734" s="176"/>
      <c r="I734" s="175"/>
      <c r="J734" s="163"/>
      <c r="K734" s="165"/>
      <c r="L734" s="163"/>
      <c r="M734" s="163"/>
      <c r="N734" s="169"/>
      <c r="O734" s="173"/>
      <c r="P734" s="168"/>
    </row>
    <row r="735" ht="15.75" customHeight="1">
      <c r="A735" s="162"/>
      <c r="B735" s="174"/>
      <c r="C735" s="175"/>
      <c r="D735" s="176"/>
      <c r="E735" s="175"/>
      <c r="F735" s="177"/>
      <c r="G735" s="177"/>
      <c r="H735" s="176"/>
      <c r="I735" s="175"/>
      <c r="J735" s="163"/>
      <c r="K735" s="165"/>
      <c r="L735" s="163"/>
      <c r="M735" s="163"/>
      <c r="N735" s="169"/>
      <c r="O735" s="173"/>
      <c r="P735" s="168"/>
    </row>
    <row r="736" ht="15.75" customHeight="1">
      <c r="A736" s="162"/>
      <c r="B736" s="174"/>
      <c r="C736" s="175"/>
      <c r="D736" s="176"/>
      <c r="E736" s="175"/>
      <c r="F736" s="177"/>
      <c r="G736" s="177"/>
      <c r="H736" s="176"/>
      <c r="I736" s="175"/>
      <c r="J736" s="163"/>
      <c r="K736" s="165"/>
      <c r="L736" s="163"/>
      <c r="M736" s="163"/>
      <c r="N736" s="169"/>
      <c r="O736" s="173"/>
      <c r="P736" s="168"/>
    </row>
    <row r="737" ht="15.75" customHeight="1">
      <c r="A737" s="162"/>
      <c r="B737" s="174"/>
      <c r="C737" s="175"/>
      <c r="D737" s="176"/>
      <c r="E737" s="175"/>
      <c r="F737" s="177"/>
      <c r="G737" s="177"/>
      <c r="H737" s="176"/>
      <c r="I737" s="175"/>
      <c r="J737" s="163"/>
      <c r="K737" s="165"/>
      <c r="L737" s="163"/>
      <c r="M737" s="163"/>
      <c r="N737" s="169"/>
      <c r="O737" s="173"/>
      <c r="P737" s="168"/>
    </row>
    <row r="738" ht="15.75" customHeight="1">
      <c r="A738" s="162"/>
      <c r="B738" s="174"/>
      <c r="C738" s="175"/>
      <c r="D738" s="176"/>
      <c r="E738" s="175"/>
      <c r="F738" s="177"/>
      <c r="G738" s="177"/>
      <c r="H738" s="176"/>
      <c r="I738" s="175"/>
      <c r="J738" s="163"/>
      <c r="K738" s="165"/>
      <c r="L738" s="163"/>
      <c r="M738" s="163"/>
      <c r="N738" s="169"/>
      <c r="O738" s="173"/>
      <c r="P738" s="168"/>
    </row>
    <row r="739" ht="15.75" customHeight="1">
      <c r="A739" s="162"/>
      <c r="B739" s="174"/>
      <c r="C739" s="175"/>
      <c r="D739" s="176"/>
      <c r="E739" s="175"/>
      <c r="F739" s="177"/>
      <c r="G739" s="177"/>
      <c r="H739" s="176"/>
      <c r="I739" s="175"/>
      <c r="J739" s="163"/>
      <c r="K739" s="165"/>
      <c r="L739" s="163"/>
      <c r="M739" s="163"/>
      <c r="N739" s="169"/>
      <c r="O739" s="173"/>
      <c r="P739" s="168"/>
    </row>
    <row r="740" ht="15.75" customHeight="1">
      <c r="A740" s="162"/>
      <c r="B740" s="174"/>
      <c r="C740" s="175"/>
      <c r="D740" s="176"/>
      <c r="E740" s="175"/>
      <c r="F740" s="177"/>
      <c r="G740" s="177"/>
      <c r="H740" s="176"/>
      <c r="I740" s="175"/>
      <c r="J740" s="163"/>
      <c r="K740" s="165"/>
      <c r="L740" s="163"/>
      <c r="M740" s="163"/>
      <c r="N740" s="169"/>
      <c r="O740" s="173"/>
      <c r="P740" s="168"/>
    </row>
    <row r="741" ht="15.75" customHeight="1">
      <c r="A741" s="162"/>
      <c r="B741" s="174"/>
      <c r="C741" s="175"/>
      <c r="D741" s="176"/>
      <c r="E741" s="175"/>
      <c r="F741" s="177"/>
      <c r="G741" s="177"/>
      <c r="H741" s="176"/>
      <c r="I741" s="175"/>
      <c r="J741" s="163"/>
      <c r="K741" s="165"/>
      <c r="L741" s="163"/>
      <c r="M741" s="163"/>
      <c r="N741" s="169"/>
      <c r="O741" s="173"/>
      <c r="P741" s="168"/>
    </row>
    <row r="742" ht="15.75" customHeight="1">
      <c r="A742" s="162"/>
      <c r="B742" s="174"/>
      <c r="C742" s="175"/>
      <c r="D742" s="176"/>
      <c r="E742" s="175"/>
      <c r="F742" s="177"/>
      <c r="G742" s="177"/>
      <c r="H742" s="176"/>
      <c r="I742" s="175"/>
      <c r="J742" s="163"/>
      <c r="K742" s="165"/>
      <c r="L742" s="163"/>
      <c r="M742" s="163"/>
      <c r="N742" s="169"/>
      <c r="O742" s="173"/>
      <c r="P742" s="168"/>
    </row>
    <row r="743" ht="15.75" customHeight="1">
      <c r="A743" s="162"/>
      <c r="B743" s="174"/>
      <c r="C743" s="175"/>
      <c r="D743" s="176"/>
      <c r="E743" s="175"/>
      <c r="F743" s="177"/>
      <c r="G743" s="177"/>
      <c r="H743" s="176"/>
      <c r="I743" s="175"/>
      <c r="J743" s="163"/>
      <c r="K743" s="165"/>
      <c r="L743" s="163"/>
      <c r="M743" s="163"/>
      <c r="N743" s="169"/>
      <c r="O743" s="173"/>
      <c r="P743" s="168"/>
    </row>
    <row r="744" ht="15.75" customHeight="1">
      <c r="A744" s="162"/>
      <c r="B744" s="174"/>
      <c r="C744" s="175"/>
      <c r="D744" s="176"/>
      <c r="E744" s="175"/>
      <c r="F744" s="177"/>
      <c r="G744" s="177"/>
      <c r="H744" s="176"/>
      <c r="I744" s="175"/>
      <c r="J744" s="163"/>
      <c r="K744" s="165"/>
      <c r="L744" s="163"/>
      <c r="M744" s="163"/>
      <c r="N744" s="169"/>
      <c r="O744" s="173"/>
      <c r="P744" s="168"/>
    </row>
    <row r="745" ht="15.75" customHeight="1">
      <c r="A745" s="162"/>
      <c r="B745" s="174"/>
      <c r="C745" s="175"/>
      <c r="D745" s="176"/>
      <c r="E745" s="175"/>
      <c r="F745" s="177"/>
      <c r="G745" s="177"/>
      <c r="H745" s="176"/>
      <c r="I745" s="175"/>
      <c r="J745" s="163"/>
      <c r="K745" s="165"/>
      <c r="L745" s="163"/>
      <c r="M745" s="163"/>
      <c r="N745" s="169"/>
      <c r="O745" s="173"/>
      <c r="P745" s="168"/>
    </row>
    <row r="746" ht="15.75" customHeight="1">
      <c r="A746" s="162"/>
      <c r="B746" s="174"/>
      <c r="C746" s="175"/>
      <c r="D746" s="176"/>
      <c r="E746" s="175"/>
      <c r="F746" s="177"/>
      <c r="G746" s="177"/>
      <c r="H746" s="176"/>
      <c r="I746" s="175"/>
      <c r="J746" s="163"/>
      <c r="K746" s="165"/>
      <c r="L746" s="163"/>
      <c r="M746" s="163"/>
      <c r="N746" s="169"/>
      <c r="O746" s="173"/>
      <c r="P746" s="168"/>
    </row>
    <row r="747" ht="15.75" customHeight="1">
      <c r="A747" s="162"/>
      <c r="B747" s="174"/>
      <c r="C747" s="175"/>
      <c r="D747" s="176"/>
      <c r="E747" s="175"/>
      <c r="F747" s="177"/>
      <c r="G747" s="177"/>
      <c r="H747" s="176"/>
      <c r="I747" s="175"/>
      <c r="J747" s="163"/>
      <c r="K747" s="165"/>
      <c r="L747" s="163"/>
      <c r="M747" s="163"/>
      <c r="N747" s="169"/>
      <c r="O747" s="173"/>
      <c r="P747" s="168"/>
    </row>
    <row r="748" ht="15.75" customHeight="1">
      <c r="A748" s="162"/>
      <c r="B748" s="174"/>
      <c r="C748" s="175"/>
      <c r="D748" s="176"/>
      <c r="E748" s="175"/>
      <c r="F748" s="177"/>
      <c r="G748" s="177"/>
      <c r="H748" s="176"/>
      <c r="I748" s="175"/>
      <c r="J748" s="163"/>
      <c r="K748" s="165"/>
      <c r="L748" s="163"/>
      <c r="M748" s="163"/>
      <c r="N748" s="169"/>
      <c r="O748" s="173"/>
      <c r="P748" s="168"/>
    </row>
    <row r="749" ht="15.75" customHeight="1">
      <c r="A749" s="162"/>
      <c r="B749" s="174"/>
      <c r="C749" s="175"/>
      <c r="D749" s="176"/>
      <c r="E749" s="175"/>
      <c r="F749" s="177"/>
      <c r="G749" s="177"/>
      <c r="H749" s="176"/>
      <c r="I749" s="175"/>
      <c r="J749" s="163"/>
      <c r="K749" s="165"/>
      <c r="L749" s="163"/>
      <c r="M749" s="163"/>
      <c r="N749" s="169"/>
      <c r="O749" s="173"/>
      <c r="P749" s="168"/>
    </row>
    <row r="750" ht="15.75" customHeight="1">
      <c r="A750" s="162"/>
      <c r="B750" s="174"/>
      <c r="C750" s="175"/>
      <c r="D750" s="176"/>
      <c r="E750" s="175"/>
      <c r="F750" s="177"/>
      <c r="G750" s="177"/>
      <c r="H750" s="176"/>
      <c r="I750" s="175"/>
      <c r="J750" s="163"/>
      <c r="K750" s="165"/>
      <c r="L750" s="163"/>
      <c r="M750" s="163"/>
      <c r="N750" s="169"/>
      <c r="O750" s="173"/>
      <c r="P750" s="168"/>
    </row>
    <row r="751" ht="15.75" customHeight="1">
      <c r="A751" s="162"/>
      <c r="B751" s="174"/>
      <c r="C751" s="175"/>
      <c r="D751" s="176"/>
      <c r="E751" s="175"/>
      <c r="F751" s="177"/>
      <c r="G751" s="177"/>
      <c r="H751" s="176"/>
      <c r="I751" s="175"/>
      <c r="J751" s="163"/>
      <c r="K751" s="165"/>
      <c r="L751" s="163"/>
      <c r="M751" s="163"/>
      <c r="N751" s="169"/>
      <c r="O751" s="173"/>
      <c r="P751" s="168"/>
    </row>
    <row r="752" ht="15.75" customHeight="1">
      <c r="A752" s="162"/>
      <c r="B752" s="174"/>
      <c r="C752" s="175"/>
      <c r="D752" s="176"/>
      <c r="E752" s="175"/>
      <c r="F752" s="177"/>
      <c r="G752" s="177"/>
      <c r="H752" s="176"/>
      <c r="I752" s="175"/>
      <c r="J752" s="163"/>
      <c r="K752" s="165"/>
      <c r="L752" s="163"/>
      <c r="M752" s="163"/>
      <c r="N752" s="169"/>
      <c r="O752" s="173"/>
      <c r="P752" s="168"/>
    </row>
    <row r="753" ht="15.75" customHeight="1">
      <c r="A753" s="162"/>
      <c r="B753" s="174"/>
      <c r="C753" s="175"/>
      <c r="D753" s="176"/>
      <c r="E753" s="175"/>
      <c r="F753" s="177"/>
      <c r="G753" s="177"/>
      <c r="H753" s="176"/>
      <c r="I753" s="175"/>
      <c r="J753" s="163"/>
      <c r="K753" s="165"/>
      <c r="L753" s="163"/>
      <c r="M753" s="163"/>
      <c r="N753" s="169"/>
      <c r="O753" s="173"/>
      <c r="P753" s="168"/>
    </row>
    <row r="754" ht="15.75" customHeight="1">
      <c r="A754" s="162"/>
      <c r="B754" s="174"/>
      <c r="C754" s="175"/>
      <c r="D754" s="176"/>
      <c r="E754" s="175"/>
      <c r="F754" s="177"/>
      <c r="G754" s="177"/>
      <c r="H754" s="176"/>
      <c r="I754" s="175"/>
      <c r="J754" s="163"/>
      <c r="K754" s="165"/>
      <c r="L754" s="163"/>
      <c r="M754" s="163"/>
      <c r="N754" s="169"/>
      <c r="O754" s="173"/>
      <c r="P754" s="168"/>
    </row>
    <row r="755" ht="15.75" customHeight="1">
      <c r="A755" s="162"/>
      <c r="B755" s="174"/>
      <c r="C755" s="175"/>
      <c r="D755" s="176"/>
      <c r="E755" s="175"/>
      <c r="F755" s="177"/>
      <c r="G755" s="177"/>
      <c r="H755" s="176"/>
      <c r="I755" s="175"/>
      <c r="J755" s="163"/>
      <c r="K755" s="165"/>
      <c r="L755" s="163"/>
      <c r="M755" s="163"/>
      <c r="N755" s="169"/>
      <c r="O755" s="173"/>
      <c r="P755" s="168"/>
    </row>
    <row r="756" ht="15.75" customHeight="1">
      <c r="A756" s="162"/>
      <c r="B756" s="174"/>
      <c r="C756" s="175"/>
      <c r="D756" s="176"/>
      <c r="E756" s="175"/>
      <c r="F756" s="177"/>
      <c r="G756" s="177"/>
      <c r="H756" s="176"/>
      <c r="I756" s="175"/>
      <c r="J756" s="163"/>
      <c r="K756" s="165"/>
      <c r="L756" s="163"/>
      <c r="M756" s="163"/>
      <c r="N756" s="169"/>
      <c r="O756" s="173"/>
      <c r="P756" s="168"/>
    </row>
    <row r="757" ht="15.75" customHeight="1">
      <c r="A757" s="162"/>
      <c r="B757" s="174"/>
      <c r="C757" s="175"/>
      <c r="D757" s="176"/>
      <c r="E757" s="175"/>
      <c r="F757" s="177"/>
      <c r="G757" s="177"/>
      <c r="H757" s="176"/>
      <c r="I757" s="175"/>
      <c r="J757" s="163"/>
      <c r="K757" s="165"/>
      <c r="L757" s="163"/>
      <c r="M757" s="163"/>
      <c r="N757" s="169"/>
      <c r="O757" s="173"/>
      <c r="P757" s="168"/>
    </row>
    <row r="758" ht="15.75" customHeight="1">
      <c r="A758" s="162"/>
      <c r="B758" s="174"/>
      <c r="C758" s="175"/>
      <c r="D758" s="176"/>
      <c r="E758" s="175"/>
      <c r="F758" s="177"/>
      <c r="G758" s="177"/>
      <c r="H758" s="176"/>
      <c r="I758" s="175"/>
      <c r="J758" s="163"/>
      <c r="K758" s="165"/>
      <c r="L758" s="163"/>
      <c r="M758" s="163"/>
      <c r="N758" s="169"/>
      <c r="O758" s="173"/>
      <c r="P758" s="168"/>
    </row>
    <row r="759" ht="15.75" customHeight="1">
      <c r="A759" s="162"/>
      <c r="B759" s="174"/>
      <c r="C759" s="175"/>
      <c r="D759" s="176"/>
      <c r="E759" s="175"/>
      <c r="F759" s="177"/>
      <c r="G759" s="177"/>
      <c r="H759" s="176"/>
      <c r="I759" s="175"/>
      <c r="J759" s="163"/>
      <c r="K759" s="165"/>
      <c r="L759" s="163"/>
      <c r="M759" s="163"/>
      <c r="N759" s="169"/>
      <c r="O759" s="173"/>
      <c r="P759" s="168"/>
    </row>
    <row r="760" ht="15.75" customHeight="1">
      <c r="A760" s="162"/>
      <c r="B760" s="174"/>
      <c r="C760" s="175"/>
      <c r="D760" s="176"/>
      <c r="E760" s="175"/>
      <c r="F760" s="177"/>
      <c r="G760" s="177"/>
      <c r="H760" s="176"/>
      <c r="I760" s="175"/>
      <c r="J760" s="163"/>
      <c r="K760" s="165"/>
      <c r="L760" s="163"/>
      <c r="M760" s="163"/>
      <c r="N760" s="169"/>
      <c r="O760" s="173"/>
      <c r="P760" s="168"/>
    </row>
    <row r="761" ht="15.75" customHeight="1">
      <c r="A761" s="162"/>
      <c r="B761" s="174"/>
      <c r="C761" s="175"/>
      <c r="D761" s="176"/>
      <c r="E761" s="175"/>
      <c r="F761" s="177"/>
      <c r="G761" s="177"/>
      <c r="H761" s="176"/>
      <c r="I761" s="175"/>
      <c r="J761" s="163"/>
      <c r="K761" s="165"/>
      <c r="L761" s="163"/>
      <c r="M761" s="163"/>
      <c r="N761" s="169"/>
      <c r="O761" s="173"/>
      <c r="P761" s="168"/>
    </row>
    <row r="762" ht="15.75" customHeight="1">
      <c r="A762" s="162"/>
      <c r="B762" s="174"/>
      <c r="C762" s="175"/>
      <c r="D762" s="176"/>
      <c r="E762" s="175"/>
      <c r="F762" s="177"/>
      <c r="G762" s="177"/>
      <c r="H762" s="176"/>
      <c r="I762" s="175"/>
      <c r="J762" s="163"/>
      <c r="K762" s="165"/>
      <c r="L762" s="163"/>
      <c r="M762" s="163"/>
      <c r="N762" s="169"/>
      <c r="O762" s="173"/>
      <c r="P762" s="168"/>
    </row>
    <row r="763" ht="15.75" customHeight="1">
      <c r="A763" s="162"/>
      <c r="B763" s="174"/>
      <c r="C763" s="175"/>
      <c r="D763" s="176"/>
      <c r="E763" s="175"/>
      <c r="F763" s="177"/>
      <c r="G763" s="177"/>
      <c r="H763" s="176"/>
      <c r="I763" s="175"/>
      <c r="J763" s="163"/>
      <c r="K763" s="165"/>
      <c r="L763" s="163"/>
      <c r="M763" s="163"/>
      <c r="N763" s="169"/>
      <c r="O763" s="173"/>
      <c r="P763" s="168"/>
    </row>
    <row r="764" ht="15.75" customHeight="1">
      <c r="A764" s="162"/>
      <c r="B764" s="174"/>
      <c r="C764" s="175"/>
      <c r="D764" s="176"/>
      <c r="E764" s="175"/>
      <c r="F764" s="177"/>
      <c r="G764" s="177"/>
      <c r="H764" s="176"/>
      <c r="I764" s="175"/>
      <c r="J764" s="163"/>
      <c r="K764" s="165"/>
      <c r="L764" s="163"/>
      <c r="M764" s="163"/>
      <c r="N764" s="169"/>
      <c r="O764" s="173"/>
      <c r="P764" s="168"/>
    </row>
    <row r="765" ht="15.75" customHeight="1">
      <c r="A765" s="162"/>
      <c r="B765" s="174"/>
      <c r="C765" s="175"/>
      <c r="D765" s="176"/>
      <c r="E765" s="175"/>
      <c r="F765" s="177"/>
      <c r="G765" s="177"/>
      <c r="H765" s="176"/>
      <c r="I765" s="175"/>
      <c r="J765" s="163"/>
      <c r="K765" s="165"/>
      <c r="L765" s="163"/>
      <c r="M765" s="163"/>
      <c r="N765" s="169"/>
      <c r="O765" s="173"/>
      <c r="P765" s="168"/>
    </row>
    <row r="766" ht="15.75" customHeight="1">
      <c r="A766" s="162"/>
      <c r="B766" s="174"/>
      <c r="C766" s="175"/>
      <c r="D766" s="176"/>
      <c r="E766" s="175"/>
      <c r="F766" s="177"/>
      <c r="G766" s="177"/>
      <c r="H766" s="176"/>
      <c r="I766" s="175"/>
      <c r="J766" s="163"/>
      <c r="K766" s="165"/>
      <c r="L766" s="163"/>
      <c r="M766" s="163"/>
      <c r="N766" s="169"/>
      <c r="O766" s="173"/>
      <c r="P766" s="168"/>
    </row>
    <row r="767" ht="15.75" customHeight="1">
      <c r="A767" s="162"/>
      <c r="B767" s="174"/>
      <c r="C767" s="175"/>
      <c r="D767" s="176"/>
      <c r="E767" s="175"/>
      <c r="F767" s="177"/>
      <c r="G767" s="177"/>
      <c r="H767" s="176"/>
      <c r="I767" s="175"/>
      <c r="J767" s="163"/>
      <c r="K767" s="165"/>
      <c r="L767" s="163"/>
      <c r="M767" s="163"/>
      <c r="N767" s="169"/>
      <c r="O767" s="173"/>
      <c r="P767" s="168"/>
    </row>
    <row r="768" ht="15.75" customHeight="1">
      <c r="A768" s="162"/>
      <c r="B768" s="174"/>
      <c r="C768" s="175"/>
      <c r="D768" s="176"/>
      <c r="E768" s="175"/>
      <c r="F768" s="177"/>
      <c r="G768" s="177"/>
      <c r="H768" s="176"/>
      <c r="I768" s="175"/>
      <c r="J768" s="163"/>
      <c r="K768" s="165"/>
      <c r="L768" s="163"/>
      <c r="M768" s="163"/>
      <c r="N768" s="169"/>
      <c r="O768" s="173"/>
      <c r="P768" s="168"/>
    </row>
    <row r="769" ht="15.75" customHeight="1">
      <c r="A769" s="162"/>
      <c r="B769" s="174"/>
      <c r="C769" s="175"/>
      <c r="D769" s="176"/>
      <c r="E769" s="175"/>
      <c r="F769" s="177"/>
      <c r="G769" s="177"/>
      <c r="H769" s="176"/>
      <c r="I769" s="175"/>
      <c r="J769" s="163"/>
      <c r="K769" s="165"/>
      <c r="L769" s="163"/>
      <c r="M769" s="163"/>
      <c r="N769" s="169"/>
      <c r="O769" s="173"/>
      <c r="P769" s="168"/>
    </row>
    <row r="770" ht="15.75" customHeight="1">
      <c r="A770" s="162"/>
      <c r="B770" s="174"/>
      <c r="C770" s="175"/>
      <c r="D770" s="176"/>
      <c r="E770" s="175"/>
      <c r="F770" s="177"/>
      <c r="G770" s="177"/>
      <c r="H770" s="176"/>
      <c r="I770" s="175"/>
      <c r="J770" s="163"/>
      <c r="K770" s="165"/>
      <c r="L770" s="163"/>
      <c r="M770" s="163"/>
      <c r="N770" s="169"/>
      <c r="O770" s="173"/>
      <c r="P770" s="168"/>
    </row>
    <row r="771" ht="15.75" customHeight="1">
      <c r="A771" s="162"/>
      <c r="B771" s="174"/>
      <c r="C771" s="175"/>
      <c r="D771" s="176"/>
      <c r="E771" s="175"/>
      <c r="F771" s="177"/>
      <c r="G771" s="177"/>
      <c r="H771" s="176"/>
      <c r="I771" s="175"/>
      <c r="J771" s="163"/>
      <c r="K771" s="165"/>
      <c r="L771" s="163"/>
      <c r="M771" s="163"/>
      <c r="N771" s="169"/>
      <c r="O771" s="173"/>
      <c r="P771" s="168"/>
    </row>
    <row r="772" ht="15.75" customHeight="1">
      <c r="A772" s="162"/>
      <c r="B772" s="174"/>
      <c r="C772" s="175"/>
      <c r="D772" s="176"/>
      <c r="E772" s="175"/>
      <c r="F772" s="177"/>
      <c r="G772" s="177"/>
      <c r="H772" s="176"/>
      <c r="I772" s="175"/>
      <c r="J772" s="163"/>
      <c r="K772" s="165"/>
      <c r="L772" s="163"/>
      <c r="M772" s="163"/>
      <c r="N772" s="169"/>
      <c r="O772" s="173"/>
      <c r="P772" s="168"/>
    </row>
    <row r="773" ht="15.75" customHeight="1">
      <c r="A773" s="162"/>
      <c r="B773" s="174"/>
      <c r="C773" s="175"/>
      <c r="D773" s="176"/>
      <c r="E773" s="175"/>
      <c r="F773" s="177"/>
      <c r="G773" s="177"/>
      <c r="H773" s="176"/>
      <c r="I773" s="175"/>
      <c r="J773" s="163"/>
      <c r="K773" s="165"/>
      <c r="L773" s="163"/>
      <c r="M773" s="163"/>
      <c r="N773" s="169"/>
      <c r="O773" s="173"/>
      <c r="P773" s="168"/>
    </row>
    <row r="774" ht="15.75" customHeight="1">
      <c r="A774" s="162"/>
      <c r="B774" s="174"/>
      <c r="C774" s="175"/>
      <c r="D774" s="176"/>
      <c r="E774" s="175"/>
      <c r="F774" s="177"/>
      <c r="G774" s="177"/>
      <c r="H774" s="176"/>
      <c r="I774" s="175"/>
      <c r="J774" s="163"/>
      <c r="K774" s="165"/>
      <c r="L774" s="163"/>
      <c r="M774" s="163"/>
      <c r="N774" s="169"/>
      <c r="O774" s="173"/>
      <c r="P774" s="168"/>
    </row>
    <row r="775" ht="15.75" customHeight="1">
      <c r="A775" s="162"/>
      <c r="B775" s="174"/>
      <c r="C775" s="175"/>
      <c r="D775" s="176"/>
      <c r="E775" s="175"/>
      <c r="F775" s="177"/>
      <c r="G775" s="177"/>
      <c r="H775" s="176"/>
      <c r="I775" s="175"/>
      <c r="J775" s="163"/>
      <c r="K775" s="165"/>
      <c r="L775" s="163"/>
      <c r="M775" s="163"/>
      <c r="N775" s="169"/>
      <c r="O775" s="173"/>
      <c r="P775" s="168"/>
    </row>
    <row r="776" ht="15.75" customHeight="1">
      <c r="A776" s="162"/>
      <c r="B776" s="174"/>
      <c r="C776" s="175"/>
      <c r="D776" s="176"/>
      <c r="E776" s="175"/>
      <c r="F776" s="177"/>
      <c r="G776" s="177"/>
      <c r="H776" s="176"/>
      <c r="I776" s="175"/>
      <c r="J776" s="163"/>
      <c r="K776" s="165"/>
      <c r="L776" s="163"/>
      <c r="M776" s="163"/>
      <c r="N776" s="169"/>
      <c r="O776" s="173"/>
      <c r="P776" s="168"/>
    </row>
    <row r="777" ht="15.75" customHeight="1">
      <c r="A777" s="162"/>
      <c r="B777" s="174"/>
      <c r="C777" s="175"/>
      <c r="D777" s="176"/>
      <c r="E777" s="175"/>
      <c r="F777" s="177"/>
      <c r="G777" s="177"/>
      <c r="H777" s="176"/>
      <c r="I777" s="175"/>
      <c r="J777" s="163"/>
      <c r="K777" s="165"/>
      <c r="L777" s="163"/>
      <c r="M777" s="163"/>
      <c r="N777" s="169"/>
      <c r="O777" s="173"/>
      <c r="P777" s="168"/>
    </row>
    <row r="778" ht="15.75" customHeight="1">
      <c r="A778" s="162"/>
      <c r="B778" s="174"/>
      <c r="C778" s="175"/>
      <c r="D778" s="176"/>
      <c r="E778" s="175"/>
      <c r="F778" s="177"/>
      <c r="G778" s="177"/>
      <c r="H778" s="176"/>
      <c r="I778" s="175"/>
      <c r="J778" s="163"/>
      <c r="K778" s="165"/>
      <c r="L778" s="163"/>
      <c r="M778" s="163"/>
      <c r="N778" s="169"/>
      <c r="O778" s="173"/>
      <c r="P778" s="168"/>
    </row>
    <row r="779" ht="15.75" customHeight="1">
      <c r="A779" s="162"/>
      <c r="B779" s="174"/>
      <c r="C779" s="175"/>
      <c r="D779" s="176"/>
      <c r="E779" s="175"/>
      <c r="F779" s="177"/>
      <c r="G779" s="177"/>
      <c r="H779" s="176"/>
      <c r="I779" s="175"/>
      <c r="J779" s="163"/>
      <c r="K779" s="165"/>
      <c r="L779" s="163"/>
      <c r="M779" s="163"/>
      <c r="N779" s="169"/>
      <c r="O779" s="173"/>
      <c r="P779" s="168"/>
    </row>
    <row r="780" ht="15.75" customHeight="1">
      <c r="A780" s="162"/>
      <c r="B780" s="174"/>
      <c r="C780" s="175"/>
      <c r="D780" s="176"/>
      <c r="E780" s="175"/>
      <c r="F780" s="177"/>
      <c r="G780" s="177"/>
      <c r="H780" s="176"/>
      <c r="I780" s="175"/>
      <c r="J780" s="163"/>
      <c r="K780" s="165"/>
      <c r="L780" s="163"/>
      <c r="M780" s="163"/>
      <c r="N780" s="169"/>
      <c r="O780" s="173"/>
      <c r="P780" s="168"/>
    </row>
    <row r="781" ht="15.75" customHeight="1">
      <c r="A781" s="162"/>
      <c r="B781" s="174"/>
      <c r="C781" s="175"/>
      <c r="D781" s="176"/>
      <c r="E781" s="175"/>
      <c r="F781" s="177"/>
      <c r="G781" s="177"/>
      <c r="H781" s="176"/>
      <c r="I781" s="175"/>
      <c r="J781" s="163"/>
      <c r="K781" s="165"/>
      <c r="L781" s="163"/>
      <c r="M781" s="163"/>
      <c r="N781" s="169"/>
      <c r="O781" s="173"/>
      <c r="P781" s="168"/>
    </row>
    <row r="782" ht="15.75" customHeight="1">
      <c r="A782" s="162"/>
      <c r="B782" s="174"/>
      <c r="C782" s="175"/>
      <c r="D782" s="176"/>
      <c r="E782" s="175"/>
      <c r="F782" s="177"/>
      <c r="G782" s="177"/>
      <c r="H782" s="176"/>
      <c r="I782" s="175"/>
      <c r="J782" s="163"/>
      <c r="K782" s="165"/>
      <c r="L782" s="163"/>
      <c r="M782" s="163"/>
      <c r="N782" s="169"/>
      <c r="O782" s="173"/>
      <c r="P782" s="168"/>
    </row>
    <row r="783" ht="15.75" customHeight="1">
      <c r="A783" s="162"/>
      <c r="B783" s="174"/>
      <c r="C783" s="175"/>
      <c r="D783" s="176"/>
      <c r="E783" s="175"/>
      <c r="F783" s="177"/>
      <c r="G783" s="177"/>
      <c r="H783" s="176"/>
      <c r="I783" s="175"/>
      <c r="J783" s="163"/>
      <c r="K783" s="165"/>
      <c r="L783" s="163"/>
      <c r="M783" s="163"/>
      <c r="N783" s="169"/>
      <c r="O783" s="173"/>
      <c r="P783" s="168"/>
    </row>
    <row r="784" ht="15.75" customHeight="1">
      <c r="A784" s="162"/>
      <c r="B784" s="174"/>
      <c r="C784" s="175"/>
      <c r="D784" s="176"/>
      <c r="E784" s="175"/>
      <c r="F784" s="177"/>
      <c r="G784" s="177"/>
      <c r="H784" s="176"/>
      <c r="I784" s="175"/>
      <c r="J784" s="163"/>
      <c r="K784" s="165"/>
      <c r="L784" s="163"/>
      <c r="M784" s="163"/>
      <c r="N784" s="169"/>
      <c r="O784" s="173"/>
      <c r="P784" s="168"/>
    </row>
    <row r="785" ht="15.75" customHeight="1">
      <c r="A785" s="162"/>
      <c r="B785" s="174"/>
      <c r="C785" s="175"/>
      <c r="D785" s="176"/>
      <c r="E785" s="175"/>
      <c r="F785" s="177"/>
      <c r="G785" s="177"/>
      <c r="H785" s="176"/>
      <c r="I785" s="175"/>
      <c r="J785" s="163"/>
      <c r="K785" s="165"/>
      <c r="L785" s="163"/>
      <c r="M785" s="163"/>
      <c r="N785" s="169"/>
      <c r="O785" s="173"/>
      <c r="P785" s="168"/>
    </row>
    <row r="786" ht="15.75" customHeight="1">
      <c r="A786" s="162"/>
      <c r="B786" s="174"/>
      <c r="C786" s="175"/>
      <c r="D786" s="176"/>
      <c r="E786" s="175"/>
      <c r="F786" s="177"/>
      <c r="G786" s="177"/>
      <c r="H786" s="176"/>
      <c r="I786" s="175"/>
      <c r="J786" s="163"/>
      <c r="K786" s="165"/>
      <c r="L786" s="163"/>
      <c r="M786" s="163"/>
      <c r="N786" s="169"/>
      <c r="O786" s="173"/>
      <c r="P786" s="168"/>
    </row>
    <row r="787" ht="15.75" customHeight="1">
      <c r="A787" s="162"/>
      <c r="B787" s="174"/>
      <c r="C787" s="175"/>
      <c r="D787" s="176"/>
      <c r="E787" s="175"/>
      <c r="F787" s="177"/>
      <c r="G787" s="177"/>
      <c r="H787" s="176"/>
      <c r="I787" s="175"/>
      <c r="J787" s="163"/>
      <c r="K787" s="165"/>
      <c r="L787" s="163"/>
      <c r="M787" s="163"/>
      <c r="N787" s="169"/>
      <c r="O787" s="173"/>
      <c r="P787" s="168"/>
    </row>
    <row r="788" ht="15.75" customHeight="1">
      <c r="A788" s="162"/>
      <c r="B788" s="174"/>
      <c r="C788" s="175"/>
      <c r="D788" s="176"/>
      <c r="E788" s="175"/>
      <c r="F788" s="177"/>
      <c r="G788" s="177"/>
      <c r="H788" s="176"/>
      <c r="I788" s="175"/>
      <c r="J788" s="163"/>
      <c r="K788" s="165"/>
      <c r="L788" s="163"/>
      <c r="M788" s="163"/>
      <c r="N788" s="169"/>
      <c r="O788" s="173"/>
      <c r="P788" s="168"/>
    </row>
    <row r="789" ht="15.75" customHeight="1">
      <c r="A789" s="162"/>
      <c r="B789" s="174"/>
      <c r="C789" s="175"/>
      <c r="D789" s="176"/>
      <c r="E789" s="175"/>
      <c r="F789" s="177"/>
      <c r="G789" s="177"/>
      <c r="H789" s="176"/>
      <c r="I789" s="175"/>
      <c r="J789" s="163"/>
      <c r="K789" s="165"/>
      <c r="L789" s="163"/>
      <c r="M789" s="163"/>
      <c r="N789" s="169"/>
      <c r="O789" s="173"/>
      <c r="P789" s="168"/>
    </row>
    <row r="790" ht="15.75" customHeight="1">
      <c r="A790" s="162"/>
      <c r="B790" s="174"/>
      <c r="C790" s="175"/>
      <c r="D790" s="176"/>
      <c r="E790" s="175"/>
      <c r="F790" s="177"/>
      <c r="G790" s="177"/>
      <c r="H790" s="176"/>
      <c r="I790" s="175"/>
      <c r="J790" s="163"/>
      <c r="K790" s="165"/>
      <c r="L790" s="163"/>
      <c r="M790" s="163"/>
      <c r="N790" s="169"/>
      <c r="O790" s="173"/>
      <c r="P790" s="168"/>
    </row>
    <row r="791" ht="15.75" customHeight="1">
      <c r="A791" s="162"/>
      <c r="B791" s="174"/>
      <c r="C791" s="175"/>
      <c r="D791" s="176"/>
      <c r="E791" s="175"/>
      <c r="F791" s="177"/>
      <c r="G791" s="177"/>
      <c r="H791" s="176"/>
      <c r="I791" s="175"/>
      <c r="J791" s="163"/>
      <c r="K791" s="165"/>
      <c r="L791" s="163"/>
      <c r="M791" s="163"/>
      <c r="N791" s="169"/>
      <c r="O791" s="173"/>
      <c r="P791" s="168"/>
    </row>
    <row r="792" ht="15.75" customHeight="1">
      <c r="A792" s="162"/>
      <c r="B792" s="174"/>
      <c r="C792" s="175"/>
      <c r="D792" s="176"/>
      <c r="E792" s="175"/>
      <c r="F792" s="177"/>
      <c r="G792" s="177"/>
      <c r="H792" s="176"/>
      <c r="I792" s="175"/>
      <c r="J792" s="163"/>
      <c r="K792" s="165"/>
      <c r="L792" s="163"/>
      <c r="M792" s="163"/>
      <c r="N792" s="169"/>
      <c r="O792" s="173"/>
      <c r="P792" s="168"/>
    </row>
    <row r="793" ht="15.75" customHeight="1">
      <c r="A793" s="162"/>
      <c r="B793" s="174"/>
      <c r="C793" s="175"/>
      <c r="D793" s="176"/>
      <c r="E793" s="175"/>
      <c r="F793" s="177"/>
      <c r="G793" s="177"/>
      <c r="H793" s="176"/>
      <c r="I793" s="175"/>
      <c r="J793" s="163"/>
      <c r="K793" s="165"/>
      <c r="L793" s="163"/>
      <c r="M793" s="163"/>
      <c r="N793" s="169"/>
      <c r="O793" s="173"/>
      <c r="P793" s="168"/>
    </row>
    <row r="794" ht="15.75" customHeight="1">
      <c r="A794" s="162"/>
      <c r="B794" s="174"/>
      <c r="C794" s="175"/>
      <c r="D794" s="176"/>
      <c r="E794" s="175"/>
      <c r="F794" s="177"/>
      <c r="G794" s="177"/>
      <c r="H794" s="176"/>
      <c r="I794" s="175"/>
      <c r="J794" s="163"/>
      <c r="K794" s="165"/>
      <c r="L794" s="163"/>
      <c r="M794" s="163"/>
      <c r="N794" s="169"/>
      <c r="O794" s="173"/>
      <c r="P794" s="168"/>
    </row>
    <row r="795" ht="15.75" customHeight="1">
      <c r="A795" s="162"/>
      <c r="B795" s="174"/>
      <c r="C795" s="175"/>
      <c r="D795" s="176"/>
      <c r="E795" s="175"/>
      <c r="F795" s="177"/>
      <c r="G795" s="177"/>
      <c r="H795" s="176"/>
      <c r="I795" s="175"/>
      <c r="J795" s="163"/>
      <c r="K795" s="165"/>
      <c r="L795" s="163"/>
      <c r="M795" s="163"/>
      <c r="N795" s="169"/>
      <c r="O795" s="173"/>
      <c r="P795" s="168"/>
    </row>
    <row r="796" ht="15.75" customHeight="1">
      <c r="A796" s="162"/>
      <c r="B796" s="174"/>
      <c r="C796" s="175"/>
      <c r="D796" s="176"/>
      <c r="E796" s="175"/>
      <c r="F796" s="177"/>
      <c r="G796" s="177"/>
      <c r="H796" s="176"/>
      <c r="I796" s="175"/>
      <c r="J796" s="163"/>
      <c r="K796" s="165"/>
      <c r="L796" s="163"/>
      <c r="M796" s="163"/>
      <c r="N796" s="169"/>
      <c r="O796" s="173"/>
      <c r="P796" s="168"/>
    </row>
    <row r="797" ht="15.75" customHeight="1">
      <c r="A797" s="162"/>
      <c r="B797" s="174"/>
      <c r="C797" s="175"/>
      <c r="D797" s="176"/>
      <c r="E797" s="175"/>
      <c r="F797" s="177"/>
      <c r="G797" s="177"/>
      <c r="H797" s="176"/>
      <c r="I797" s="175"/>
      <c r="J797" s="163"/>
      <c r="K797" s="165"/>
      <c r="L797" s="163"/>
      <c r="M797" s="163"/>
      <c r="N797" s="169"/>
      <c r="O797" s="173"/>
      <c r="P797" s="168"/>
    </row>
    <row r="798" ht="15.75" customHeight="1">
      <c r="A798" s="162"/>
      <c r="B798" s="174"/>
      <c r="C798" s="175"/>
      <c r="D798" s="176"/>
      <c r="E798" s="175"/>
      <c r="F798" s="177"/>
      <c r="G798" s="177"/>
      <c r="H798" s="176"/>
      <c r="I798" s="175"/>
      <c r="J798" s="163"/>
      <c r="K798" s="165"/>
      <c r="L798" s="163"/>
      <c r="M798" s="163"/>
      <c r="N798" s="169"/>
      <c r="O798" s="173"/>
      <c r="P798" s="168"/>
    </row>
    <row r="799" ht="15.75" customHeight="1">
      <c r="A799" s="162"/>
      <c r="B799" s="174"/>
      <c r="C799" s="175"/>
      <c r="D799" s="176"/>
      <c r="E799" s="175"/>
      <c r="F799" s="177"/>
      <c r="G799" s="177"/>
      <c r="H799" s="176"/>
      <c r="I799" s="175"/>
      <c r="J799" s="163"/>
      <c r="K799" s="165"/>
      <c r="L799" s="163"/>
      <c r="M799" s="163"/>
      <c r="N799" s="169"/>
      <c r="O799" s="173"/>
      <c r="P799" s="168"/>
    </row>
    <row r="800" ht="15.75" customHeight="1">
      <c r="A800" s="162"/>
      <c r="B800" s="174"/>
      <c r="C800" s="175"/>
      <c r="D800" s="176"/>
      <c r="E800" s="175"/>
      <c r="F800" s="177"/>
      <c r="G800" s="177"/>
      <c r="H800" s="176"/>
      <c r="I800" s="175"/>
      <c r="J800" s="163"/>
      <c r="K800" s="165"/>
      <c r="L800" s="163"/>
      <c r="M800" s="163"/>
      <c r="N800" s="169"/>
      <c r="O800" s="173"/>
      <c r="P800" s="168"/>
    </row>
    <row r="801" ht="15.75" customHeight="1">
      <c r="A801" s="162"/>
      <c r="B801" s="174"/>
      <c r="C801" s="175"/>
      <c r="D801" s="176"/>
      <c r="E801" s="175"/>
      <c r="F801" s="177"/>
      <c r="G801" s="177"/>
      <c r="H801" s="176"/>
      <c r="I801" s="175"/>
      <c r="J801" s="163"/>
      <c r="K801" s="165"/>
      <c r="L801" s="163"/>
      <c r="M801" s="163"/>
      <c r="N801" s="169"/>
      <c r="O801" s="173"/>
      <c r="P801" s="168"/>
    </row>
    <row r="802" ht="15.75" customHeight="1">
      <c r="A802" s="162"/>
      <c r="B802" s="174"/>
      <c r="C802" s="175"/>
      <c r="D802" s="176"/>
      <c r="E802" s="175"/>
      <c r="F802" s="177"/>
      <c r="G802" s="177"/>
      <c r="H802" s="176"/>
      <c r="I802" s="175"/>
      <c r="J802" s="163"/>
      <c r="K802" s="165"/>
      <c r="L802" s="163"/>
      <c r="M802" s="163"/>
      <c r="N802" s="169"/>
      <c r="O802" s="173"/>
      <c r="P802" s="168"/>
    </row>
    <row r="803" ht="15.75" customHeight="1">
      <c r="A803" s="162"/>
      <c r="B803" s="174"/>
      <c r="C803" s="175"/>
      <c r="D803" s="176"/>
      <c r="E803" s="175"/>
      <c r="F803" s="177"/>
      <c r="G803" s="177"/>
      <c r="H803" s="176"/>
      <c r="I803" s="175"/>
      <c r="J803" s="163"/>
      <c r="K803" s="165"/>
      <c r="L803" s="163"/>
      <c r="M803" s="163"/>
      <c r="N803" s="169"/>
      <c r="O803" s="173"/>
      <c r="P803" s="168"/>
    </row>
    <row r="804" ht="15.75" customHeight="1">
      <c r="A804" s="162"/>
      <c r="B804" s="174"/>
      <c r="C804" s="175"/>
      <c r="D804" s="176"/>
      <c r="E804" s="175"/>
      <c r="F804" s="177"/>
      <c r="G804" s="177"/>
      <c r="H804" s="176"/>
      <c r="I804" s="175"/>
      <c r="J804" s="163"/>
      <c r="K804" s="165"/>
      <c r="L804" s="163"/>
      <c r="M804" s="163"/>
      <c r="N804" s="169"/>
      <c r="O804" s="173"/>
      <c r="P804" s="168"/>
    </row>
    <row r="805" ht="15.75" customHeight="1">
      <c r="A805" s="162"/>
      <c r="B805" s="174"/>
      <c r="C805" s="175"/>
      <c r="D805" s="176"/>
      <c r="E805" s="175"/>
      <c r="F805" s="177"/>
      <c r="G805" s="177"/>
      <c r="H805" s="176"/>
      <c r="I805" s="175"/>
      <c r="J805" s="163"/>
      <c r="K805" s="165"/>
      <c r="L805" s="163"/>
      <c r="M805" s="163"/>
      <c r="N805" s="169"/>
      <c r="O805" s="173"/>
      <c r="P805" s="168"/>
    </row>
    <row r="806" ht="15.75" customHeight="1">
      <c r="A806" s="162"/>
      <c r="B806" s="174"/>
      <c r="C806" s="175"/>
      <c r="D806" s="176"/>
      <c r="E806" s="175"/>
      <c r="F806" s="177"/>
      <c r="G806" s="177"/>
      <c r="H806" s="176"/>
      <c r="I806" s="175"/>
      <c r="J806" s="163"/>
      <c r="K806" s="165"/>
      <c r="L806" s="163"/>
      <c r="M806" s="163"/>
      <c r="N806" s="169"/>
      <c r="O806" s="173"/>
      <c r="P806" s="168"/>
    </row>
    <row r="807" ht="15.75" customHeight="1">
      <c r="A807" s="162"/>
      <c r="B807" s="174"/>
      <c r="C807" s="175"/>
      <c r="D807" s="176"/>
      <c r="E807" s="175"/>
      <c r="F807" s="177"/>
      <c r="G807" s="177"/>
      <c r="H807" s="176"/>
      <c r="I807" s="175"/>
      <c r="J807" s="163"/>
      <c r="K807" s="165"/>
      <c r="L807" s="163"/>
      <c r="M807" s="163"/>
      <c r="N807" s="169"/>
      <c r="O807" s="173"/>
      <c r="P807" s="168"/>
    </row>
    <row r="808" ht="15.75" customHeight="1">
      <c r="A808" s="162"/>
      <c r="B808" s="174"/>
      <c r="C808" s="175"/>
      <c r="D808" s="176"/>
      <c r="E808" s="175"/>
      <c r="F808" s="177"/>
      <c r="G808" s="177"/>
      <c r="H808" s="176"/>
      <c r="I808" s="175"/>
      <c r="J808" s="163"/>
      <c r="K808" s="165"/>
      <c r="L808" s="163"/>
      <c r="M808" s="163"/>
      <c r="N808" s="169"/>
      <c r="O808" s="173"/>
      <c r="P808" s="168"/>
    </row>
    <row r="809" ht="15.75" customHeight="1">
      <c r="A809" s="162"/>
      <c r="B809" s="174"/>
      <c r="C809" s="175"/>
      <c r="D809" s="176"/>
      <c r="E809" s="175"/>
      <c r="F809" s="177"/>
      <c r="G809" s="177"/>
      <c r="H809" s="176"/>
      <c r="I809" s="175"/>
      <c r="J809" s="163"/>
      <c r="K809" s="165"/>
      <c r="L809" s="163"/>
      <c r="M809" s="163"/>
      <c r="N809" s="169"/>
      <c r="O809" s="173"/>
      <c r="P809" s="168"/>
    </row>
    <row r="810" ht="15.75" customHeight="1">
      <c r="A810" s="162"/>
      <c r="B810" s="174"/>
      <c r="C810" s="175"/>
      <c r="D810" s="176"/>
      <c r="E810" s="175"/>
      <c r="F810" s="177"/>
      <c r="G810" s="177"/>
      <c r="H810" s="176"/>
      <c r="I810" s="175"/>
      <c r="J810" s="163"/>
      <c r="K810" s="165"/>
      <c r="L810" s="163"/>
      <c r="M810" s="163"/>
      <c r="N810" s="169"/>
      <c r="O810" s="173"/>
      <c r="P810" s="168"/>
    </row>
    <row r="811" ht="15.75" customHeight="1">
      <c r="A811" s="162"/>
      <c r="B811" s="174"/>
      <c r="C811" s="175"/>
      <c r="D811" s="176"/>
      <c r="E811" s="175"/>
      <c r="F811" s="177"/>
      <c r="G811" s="177"/>
      <c r="H811" s="176"/>
      <c r="I811" s="175"/>
      <c r="J811" s="163"/>
      <c r="K811" s="165"/>
      <c r="L811" s="163"/>
      <c r="M811" s="163"/>
      <c r="N811" s="169"/>
      <c r="O811" s="173"/>
      <c r="P811" s="168"/>
    </row>
    <row r="812" ht="15.75" customHeight="1">
      <c r="A812" s="162"/>
      <c r="B812" s="174"/>
      <c r="C812" s="175"/>
      <c r="D812" s="176"/>
      <c r="E812" s="175"/>
      <c r="F812" s="177"/>
      <c r="G812" s="177"/>
      <c r="H812" s="176"/>
      <c r="I812" s="175"/>
      <c r="J812" s="163"/>
      <c r="K812" s="165"/>
      <c r="L812" s="163"/>
      <c r="M812" s="163"/>
      <c r="N812" s="169"/>
      <c r="O812" s="173"/>
      <c r="P812" s="168"/>
    </row>
    <row r="813" ht="15.75" customHeight="1">
      <c r="A813" s="162"/>
      <c r="B813" s="174"/>
      <c r="C813" s="175"/>
      <c r="D813" s="176"/>
      <c r="E813" s="175"/>
      <c r="F813" s="177"/>
      <c r="G813" s="177"/>
      <c r="H813" s="176"/>
      <c r="I813" s="175"/>
      <c r="J813" s="163"/>
      <c r="K813" s="165"/>
      <c r="L813" s="163"/>
      <c r="M813" s="163"/>
      <c r="N813" s="169"/>
      <c r="O813" s="173"/>
      <c r="P813" s="168"/>
    </row>
    <row r="814" ht="15.75" customHeight="1">
      <c r="A814" s="162"/>
      <c r="B814" s="174"/>
      <c r="C814" s="175"/>
      <c r="D814" s="176"/>
      <c r="E814" s="175"/>
      <c r="F814" s="177"/>
      <c r="G814" s="177"/>
      <c r="H814" s="176"/>
      <c r="I814" s="175"/>
      <c r="J814" s="163"/>
      <c r="K814" s="165"/>
      <c r="L814" s="163"/>
      <c r="M814" s="163"/>
      <c r="N814" s="169"/>
      <c r="O814" s="173"/>
      <c r="P814" s="168"/>
    </row>
    <row r="815" ht="15.75" customHeight="1">
      <c r="A815" s="162"/>
      <c r="B815" s="174"/>
      <c r="C815" s="175"/>
      <c r="D815" s="176"/>
      <c r="E815" s="175"/>
      <c r="F815" s="177"/>
      <c r="G815" s="177"/>
      <c r="H815" s="176"/>
      <c r="I815" s="175"/>
      <c r="J815" s="163"/>
      <c r="K815" s="165"/>
      <c r="L815" s="163"/>
      <c r="M815" s="163"/>
      <c r="N815" s="169"/>
      <c r="O815" s="173"/>
      <c r="P815" s="168"/>
    </row>
    <row r="816" ht="15.75" customHeight="1">
      <c r="A816" s="162"/>
      <c r="B816" s="174"/>
      <c r="C816" s="175"/>
      <c r="D816" s="176"/>
      <c r="E816" s="175"/>
      <c r="F816" s="177"/>
      <c r="G816" s="177"/>
      <c r="H816" s="176"/>
      <c r="I816" s="175"/>
      <c r="J816" s="163"/>
      <c r="K816" s="165"/>
      <c r="L816" s="163"/>
      <c r="M816" s="163"/>
      <c r="N816" s="169"/>
      <c r="O816" s="173"/>
      <c r="P816" s="168"/>
    </row>
    <row r="817" ht="15.75" customHeight="1">
      <c r="A817" s="162"/>
      <c r="B817" s="174"/>
      <c r="C817" s="175"/>
      <c r="D817" s="176"/>
      <c r="E817" s="175"/>
      <c r="F817" s="177"/>
      <c r="G817" s="177"/>
      <c r="H817" s="176"/>
      <c r="I817" s="175"/>
      <c r="J817" s="163"/>
      <c r="K817" s="165"/>
      <c r="L817" s="163"/>
      <c r="M817" s="163"/>
      <c r="N817" s="169"/>
      <c r="O817" s="173"/>
      <c r="P817" s="168"/>
    </row>
    <row r="818" ht="15.75" customHeight="1">
      <c r="A818" s="162"/>
      <c r="B818" s="174"/>
      <c r="C818" s="175"/>
      <c r="D818" s="176"/>
      <c r="E818" s="175"/>
      <c r="F818" s="177"/>
      <c r="G818" s="177"/>
      <c r="H818" s="176"/>
      <c r="I818" s="175"/>
      <c r="J818" s="163"/>
      <c r="K818" s="165"/>
      <c r="L818" s="163"/>
      <c r="M818" s="163"/>
      <c r="N818" s="169"/>
      <c r="O818" s="173"/>
      <c r="P818" s="168"/>
    </row>
    <row r="819" ht="15.75" customHeight="1">
      <c r="A819" s="162"/>
      <c r="B819" s="174"/>
      <c r="C819" s="175"/>
      <c r="D819" s="176"/>
      <c r="E819" s="175"/>
      <c r="F819" s="177"/>
      <c r="G819" s="177"/>
      <c r="H819" s="176"/>
      <c r="I819" s="175"/>
      <c r="J819" s="163"/>
      <c r="K819" s="165"/>
      <c r="L819" s="163"/>
      <c r="M819" s="163"/>
      <c r="N819" s="169"/>
      <c r="O819" s="173"/>
      <c r="P819" s="168"/>
    </row>
    <row r="820" ht="15.75" customHeight="1">
      <c r="A820" s="162"/>
      <c r="B820" s="174"/>
      <c r="C820" s="175"/>
      <c r="D820" s="176"/>
      <c r="E820" s="175"/>
      <c r="F820" s="177"/>
      <c r="G820" s="177"/>
      <c r="H820" s="176"/>
      <c r="I820" s="175"/>
      <c r="J820" s="163"/>
      <c r="K820" s="165"/>
      <c r="L820" s="163"/>
      <c r="M820" s="163"/>
      <c r="N820" s="169"/>
      <c r="O820" s="173"/>
      <c r="P820" s="168"/>
    </row>
    <row r="821" ht="15.75" customHeight="1">
      <c r="A821" s="162"/>
      <c r="B821" s="174"/>
      <c r="C821" s="175"/>
      <c r="D821" s="176"/>
      <c r="E821" s="175"/>
      <c r="F821" s="177"/>
      <c r="G821" s="177"/>
      <c r="H821" s="176"/>
      <c r="I821" s="175"/>
      <c r="J821" s="163"/>
      <c r="K821" s="165"/>
      <c r="L821" s="163"/>
      <c r="M821" s="163"/>
      <c r="N821" s="169"/>
      <c r="O821" s="173"/>
      <c r="P821" s="168"/>
    </row>
    <row r="822" ht="15.75" customHeight="1">
      <c r="A822" s="162"/>
      <c r="B822" s="174"/>
      <c r="C822" s="175"/>
      <c r="D822" s="176"/>
      <c r="E822" s="175"/>
      <c r="F822" s="177"/>
      <c r="G822" s="177"/>
      <c r="H822" s="176"/>
      <c r="I822" s="175"/>
      <c r="J822" s="163"/>
      <c r="K822" s="165"/>
      <c r="L822" s="163"/>
      <c r="M822" s="163"/>
      <c r="N822" s="169"/>
      <c r="O822" s="173"/>
      <c r="P822" s="168"/>
    </row>
    <row r="823" ht="15.75" customHeight="1">
      <c r="A823" s="162"/>
      <c r="B823" s="174"/>
      <c r="C823" s="175"/>
      <c r="D823" s="176"/>
      <c r="E823" s="175"/>
      <c r="F823" s="177"/>
      <c r="G823" s="177"/>
      <c r="H823" s="176"/>
      <c r="I823" s="175"/>
      <c r="J823" s="163"/>
      <c r="K823" s="165"/>
      <c r="L823" s="163"/>
      <c r="M823" s="163"/>
      <c r="N823" s="169"/>
      <c r="O823" s="173"/>
      <c r="P823" s="168"/>
    </row>
    <row r="824" ht="15.75" customHeight="1">
      <c r="A824" s="162"/>
      <c r="B824" s="174"/>
      <c r="C824" s="175"/>
      <c r="D824" s="176"/>
      <c r="E824" s="175"/>
      <c r="F824" s="177"/>
      <c r="G824" s="177"/>
      <c r="H824" s="176"/>
      <c r="I824" s="175"/>
      <c r="J824" s="163"/>
      <c r="K824" s="165"/>
      <c r="L824" s="163"/>
      <c r="M824" s="163"/>
      <c r="N824" s="169"/>
      <c r="O824" s="173"/>
      <c r="P824" s="168"/>
    </row>
    <row r="825" ht="15.75" customHeight="1">
      <c r="A825" s="162"/>
      <c r="B825" s="174"/>
      <c r="C825" s="175"/>
      <c r="D825" s="176"/>
      <c r="E825" s="175"/>
      <c r="F825" s="177"/>
      <c r="G825" s="177"/>
      <c r="H825" s="176"/>
      <c r="I825" s="175"/>
      <c r="J825" s="163"/>
      <c r="K825" s="165"/>
      <c r="L825" s="163"/>
      <c r="M825" s="163"/>
      <c r="N825" s="169"/>
      <c r="O825" s="173"/>
      <c r="P825" s="168"/>
    </row>
    <row r="826" ht="15.75" customHeight="1">
      <c r="A826" s="162"/>
      <c r="B826" s="174"/>
      <c r="C826" s="175"/>
      <c r="D826" s="176"/>
      <c r="E826" s="175"/>
      <c r="F826" s="177"/>
      <c r="G826" s="177"/>
      <c r="H826" s="176"/>
      <c r="I826" s="175"/>
      <c r="J826" s="163"/>
      <c r="K826" s="165"/>
      <c r="L826" s="163"/>
      <c r="M826" s="163"/>
      <c r="N826" s="169"/>
      <c r="O826" s="173"/>
      <c r="P826" s="168"/>
    </row>
    <row r="827" ht="15.75" customHeight="1">
      <c r="A827" s="162"/>
      <c r="B827" s="174"/>
      <c r="C827" s="175"/>
      <c r="D827" s="176"/>
      <c r="E827" s="175"/>
      <c r="F827" s="177"/>
      <c r="G827" s="177"/>
      <c r="H827" s="176"/>
      <c r="I827" s="175"/>
      <c r="J827" s="163"/>
      <c r="K827" s="165"/>
      <c r="L827" s="163"/>
      <c r="M827" s="163"/>
      <c r="N827" s="169"/>
      <c r="O827" s="173"/>
      <c r="P827" s="168"/>
    </row>
    <row r="828" ht="15.75" customHeight="1">
      <c r="A828" s="162"/>
      <c r="B828" s="174"/>
      <c r="C828" s="175"/>
      <c r="D828" s="176"/>
      <c r="E828" s="175"/>
      <c r="F828" s="177"/>
      <c r="G828" s="177"/>
      <c r="H828" s="176"/>
      <c r="I828" s="175"/>
      <c r="J828" s="163"/>
      <c r="K828" s="165"/>
      <c r="L828" s="163"/>
      <c r="M828" s="163"/>
      <c r="N828" s="169"/>
      <c r="O828" s="173"/>
      <c r="P828" s="168"/>
    </row>
    <row r="829" ht="15.75" customHeight="1">
      <c r="A829" s="162"/>
      <c r="B829" s="174"/>
      <c r="C829" s="175"/>
      <c r="D829" s="176"/>
      <c r="E829" s="175"/>
      <c r="F829" s="177"/>
      <c r="G829" s="177"/>
      <c r="H829" s="176"/>
      <c r="I829" s="175"/>
      <c r="J829" s="163"/>
      <c r="K829" s="165"/>
      <c r="L829" s="163"/>
      <c r="M829" s="163"/>
      <c r="N829" s="169"/>
      <c r="O829" s="173"/>
      <c r="P829" s="168"/>
    </row>
    <row r="830" ht="15.75" customHeight="1">
      <c r="A830" s="162"/>
      <c r="B830" s="174"/>
      <c r="C830" s="175"/>
      <c r="D830" s="176"/>
      <c r="E830" s="175"/>
      <c r="F830" s="177"/>
      <c r="G830" s="177"/>
      <c r="H830" s="176"/>
      <c r="I830" s="175"/>
      <c r="J830" s="163"/>
      <c r="K830" s="165"/>
      <c r="L830" s="163"/>
      <c r="M830" s="163"/>
      <c r="N830" s="169"/>
      <c r="O830" s="173"/>
      <c r="P830" s="168"/>
    </row>
    <row r="831" ht="15.75" customHeight="1">
      <c r="A831" s="162"/>
      <c r="B831" s="174"/>
      <c r="C831" s="175"/>
      <c r="D831" s="176"/>
      <c r="E831" s="175"/>
      <c r="F831" s="177"/>
      <c r="G831" s="177"/>
      <c r="H831" s="176"/>
      <c r="I831" s="175"/>
      <c r="J831" s="163"/>
      <c r="K831" s="165"/>
      <c r="L831" s="163"/>
      <c r="M831" s="163"/>
      <c r="N831" s="169"/>
      <c r="O831" s="173"/>
      <c r="P831" s="168"/>
    </row>
    <row r="832" ht="15.75" customHeight="1">
      <c r="A832" s="162"/>
      <c r="B832" s="174"/>
      <c r="C832" s="175"/>
      <c r="D832" s="176"/>
      <c r="E832" s="175"/>
      <c r="F832" s="177"/>
      <c r="G832" s="177"/>
      <c r="H832" s="176"/>
      <c r="I832" s="175"/>
      <c r="J832" s="163"/>
      <c r="K832" s="165"/>
      <c r="L832" s="163"/>
      <c r="M832" s="163"/>
      <c r="N832" s="169"/>
      <c r="O832" s="173"/>
      <c r="P832" s="168"/>
    </row>
    <row r="833" ht="15.75" customHeight="1">
      <c r="A833" s="162"/>
      <c r="B833" s="174"/>
      <c r="C833" s="175"/>
      <c r="D833" s="176"/>
      <c r="E833" s="175"/>
      <c r="F833" s="177"/>
      <c r="G833" s="177"/>
      <c r="H833" s="176"/>
      <c r="I833" s="175"/>
      <c r="J833" s="163"/>
      <c r="K833" s="165"/>
      <c r="L833" s="163"/>
      <c r="M833" s="163"/>
      <c r="N833" s="169"/>
      <c r="O833" s="173"/>
      <c r="P833" s="168"/>
    </row>
    <row r="834" ht="15.75" customHeight="1">
      <c r="A834" s="162"/>
      <c r="B834" s="174"/>
      <c r="C834" s="175"/>
      <c r="D834" s="176"/>
      <c r="E834" s="175"/>
      <c r="F834" s="177"/>
      <c r="G834" s="177"/>
      <c r="H834" s="176"/>
      <c r="I834" s="175"/>
      <c r="J834" s="163"/>
      <c r="K834" s="165"/>
      <c r="L834" s="163"/>
      <c r="M834" s="163"/>
      <c r="N834" s="169"/>
      <c r="O834" s="173"/>
      <c r="P834" s="168"/>
    </row>
    <row r="835" ht="15.75" customHeight="1">
      <c r="A835" s="162"/>
      <c r="B835" s="174"/>
      <c r="C835" s="175"/>
      <c r="D835" s="176"/>
      <c r="E835" s="175"/>
      <c r="F835" s="177"/>
      <c r="G835" s="177"/>
      <c r="H835" s="176"/>
      <c r="I835" s="175"/>
      <c r="J835" s="163"/>
      <c r="K835" s="165"/>
      <c r="L835" s="163"/>
      <c r="M835" s="163"/>
      <c r="N835" s="169"/>
      <c r="O835" s="173"/>
      <c r="P835" s="168"/>
    </row>
    <row r="836" ht="15.75" customHeight="1">
      <c r="A836" s="162"/>
      <c r="B836" s="174"/>
      <c r="C836" s="175"/>
      <c r="D836" s="176"/>
      <c r="E836" s="175"/>
      <c r="F836" s="177"/>
      <c r="G836" s="177"/>
      <c r="H836" s="176"/>
      <c r="I836" s="175"/>
      <c r="J836" s="163"/>
      <c r="K836" s="165"/>
      <c r="L836" s="163"/>
      <c r="M836" s="163"/>
      <c r="N836" s="169"/>
      <c r="O836" s="173"/>
      <c r="P836" s="168"/>
    </row>
    <row r="837" ht="15.75" customHeight="1">
      <c r="A837" s="162"/>
      <c r="B837" s="174"/>
      <c r="C837" s="175"/>
      <c r="D837" s="176"/>
      <c r="E837" s="175"/>
      <c r="F837" s="177"/>
      <c r="G837" s="177"/>
      <c r="H837" s="176"/>
      <c r="I837" s="175"/>
      <c r="J837" s="163"/>
      <c r="K837" s="165"/>
      <c r="L837" s="163"/>
      <c r="M837" s="163"/>
      <c r="N837" s="169"/>
      <c r="O837" s="173"/>
      <c r="P837" s="168"/>
    </row>
    <row r="838" ht="15.75" customHeight="1">
      <c r="A838" s="162"/>
      <c r="B838" s="174"/>
      <c r="C838" s="175"/>
      <c r="D838" s="176"/>
      <c r="E838" s="175"/>
      <c r="F838" s="177"/>
      <c r="G838" s="177"/>
      <c r="H838" s="176"/>
      <c r="I838" s="175"/>
      <c r="J838" s="163"/>
      <c r="K838" s="165"/>
      <c r="L838" s="163"/>
      <c r="M838" s="163"/>
      <c r="N838" s="169"/>
      <c r="O838" s="173"/>
      <c r="P838" s="168"/>
    </row>
    <row r="839" ht="15.75" customHeight="1">
      <c r="A839" s="162"/>
      <c r="B839" s="174"/>
      <c r="C839" s="175"/>
      <c r="D839" s="176"/>
      <c r="E839" s="175"/>
      <c r="F839" s="177"/>
      <c r="G839" s="177"/>
      <c r="H839" s="176"/>
      <c r="I839" s="175"/>
      <c r="J839" s="163"/>
      <c r="K839" s="165"/>
      <c r="L839" s="163"/>
      <c r="M839" s="163"/>
      <c r="N839" s="169"/>
      <c r="O839" s="173"/>
      <c r="P839" s="168"/>
    </row>
    <row r="840" ht="15.75" customHeight="1">
      <c r="A840" s="162"/>
      <c r="B840" s="174"/>
      <c r="C840" s="175"/>
      <c r="D840" s="176"/>
      <c r="E840" s="175"/>
      <c r="F840" s="177"/>
      <c r="G840" s="177"/>
      <c r="H840" s="176"/>
      <c r="I840" s="175"/>
      <c r="J840" s="163"/>
      <c r="K840" s="165"/>
      <c r="L840" s="163"/>
      <c r="M840" s="163"/>
      <c r="N840" s="169"/>
      <c r="O840" s="173"/>
      <c r="P840" s="168"/>
    </row>
    <row r="841" ht="15.75" customHeight="1">
      <c r="A841" s="162"/>
      <c r="B841" s="174"/>
      <c r="C841" s="175"/>
      <c r="D841" s="176"/>
      <c r="E841" s="175"/>
      <c r="F841" s="177"/>
      <c r="G841" s="177"/>
      <c r="H841" s="176"/>
      <c r="I841" s="175"/>
      <c r="J841" s="163"/>
      <c r="K841" s="165"/>
      <c r="L841" s="163"/>
      <c r="M841" s="163"/>
      <c r="N841" s="169"/>
      <c r="O841" s="173"/>
      <c r="P841" s="168"/>
    </row>
    <row r="842" ht="15.75" customHeight="1">
      <c r="A842" s="162"/>
      <c r="B842" s="174"/>
      <c r="C842" s="175"/>
      <c r="D842" s="176"/>
      <c r="E842" s="175"/>
      <c r="F842" s="177"/>
      <c r="G842" s="177"/>
      <c r="H842" s="176"/>
      <c r="I842" s="175"/>
      <c r="J842" s="163"/>
      <c r="K842" s="165"/>
      <c r="L842" s="163"/>
      <c r="M842" s="163"/>
      <c r="N842" s="169"/>
      <c r="O842" s="173"/>
      <c r="P842" s="168"/>
    </row>
    <row r="843" ht="15.75" customHeight="1">
      <c r="A843" s="162"/>
      <c r="B843" s="174"/>
      <c r="C843" s="175"/>
      <c r="D843" s="176"/>
      <c r="E843" s="175"/>
      <c r="F843" s="177"/>
      <c r="G843" s="177"/>
      <c r="H843" s="176"/>
      <c r="I843" s="175"/>
      <c r="J843" s="163"/>
      <c r="K843" s="165"/>
      <c r="L843" s="163"/>
      <c r="M843" s="163"/>
      <c r="N843" s="169"/>
      <c r="O843" s="173"/>
      <c r="P843" s="168"/>
    </row>
    <row r="844" ht="15.75" customHeight="1">
      <c r="A844" s="162"/>
      <c r="B844" s="174"/>
      <c r="C844" s="175"/>
      <c r="D844" s="176"/>
      <c r="E844" s="175"/>
      <c r="F844" s="177"/>
      <c r="G844" s="177"/>
      <c r="H844" s="176"/>
      <c r="I844" s="175"/>
      <c r="J844" s="163"/>
      <c r="K844" s="165"/>
      <c r="L844" s="163"/>
      <c r="M844" s="163"/>
      <c r="N844" s="169"/>
      <c r="O844" s="173"/>
      <c r="P844" s="168"/>
    </row>
    <row r="845" ht="15.75" customHeight="1">
      <c r="A845" s="162"/>
      <c r="B845" s="174"/>
      <c r="C845" s="175"/>
      <c r="D845" s="176"/>
      <c r="E845" s="175"/>
      <c r="F845" s="177"/>
      <c r="G845" s="177"/>
      <c r="H845" s="176"/>
      <c r="I845" s="175"/>
      <c r="J845" s="163"/>
      <c r="K845" s="165"/>
      <c r="L845" s="163"/>
      <c r="M845" s="163"/>
      <c r="N845" s="169"/>
      <c r="O845" s="173"/>
      <c r="P845" s="168"/>
    </row>
    <row r="846" ht="15.75" customHeight="1">
      <c r="A846" s="162"/>
      <c r="B846" s="174"/>
      <c r="C846" s="175"/>
      <c r="D846" s="176"/>
      <c r="E846" s="175"/>
      <c r="F846" s="177"/>
      <c r="G846" s="177"/>
      <c r="H846" s="176"/>
      <c r="I846" s="175"/>
      <c r="J846" s="163"/>
      <c r="K846" s="165"/>
      <c r="L846" s="163"/>
      <c r="M846" s="163"/>
      <c r="N846" s="169"/>
      <c r="O846" s="173"/>
      <c r="P846" s="168"/>
    </row>
    <row r="847" ht="15.75" customHeight="1">
      <c r="A847" s="162"/>
      <c r="B847" s="174"/>
      <c r="C847" s="175"/>
      <c r="D847" s="176"/>
      <c r="E847" s="175"/>
      <c r="F847" s="177"/>
      <c r="G847" s="177"/>
      <c r="H847" s="176"/>
      <c r="I847" s="175"/>
      <c r="J847" s="163"/>
      <c r="K847" s="165"/>
      <c r="L847" s="163"/>
      <c r="M847" s="163"/>
      <c r="N847" s="169"/>
      <c r="O847" s="173"/>
      <c r="P847" s="168"/>
    </row>
    <row r="848" ht="15.75" customHeight="1">
      <c r="A848" s="162"/>
      <c r="B848" s="174"/>
      <c r="C848" s="175"/>
      <c r="D848" s="176"/>
      <c r="E848" s="175"/>
      <c r="F848" s="177"/>
      <c r="G848" s="177"/>
      <c r="H848" s="176"/>
      <c r="I848" s="175"/>
      <c r="J848" s="163"/>
      <c r="K848" s="165"/>
      <c r="L848" s="163"/>
      <c r="M848" s="163"/>
      <c r="N848" s="169"/>
      <c r="O848" s="173"/>
      <c r="P848" s="168"/>
    </row>
    <row r="849" ht="15.75" customHeight="1">
      <c r="A849" s="162"/>
      <c r="B849" s="174"/>
      <c r="C849" s="175"/>
      <c r="D849" s="176"/>
      <c r="E849" s="175"/>
      <c r="F849" s="177"/>
      <c r="G849" s="177"/>
      <c r="H849" s="176"/>
      <c r="I849" s="175"/>
      <c r="J849" s="163"/>
      <c r="K849" s="165"/>
      <c r="L849" s="163"/>
      <c r="M849" s="163"/>
      <c r="N849" s="169"/>
      <c r="O849" s="173"/>
      <c r="P849" s="168"/>
    </row>
    <row r="850" ht="15.75" customHeight="1">
      <c r="A850" s="162"/>
      <c r="B850" s="174"/>
      <c r="C850" s="175"/>
      <c r="D850" s="176"/>
      <c r="E850" s="175"/>
      <c r="F850" s="177"/>
      <c r="G850" s="177"/>
      <c r="H850" s="176"/>
      <c r="I850" s="175"/>
      <c r="J850" s="163"/>
      <c r="K850" s="165"/>
      <c r="L850" s="163"/>
      <c r="M850" s="163"/>
      <c r="N850" s="169"/>
      <c r="O850" s="173"/>
      <c r="P850" s="168"/>
    </row>
    <row r="851" ht="15.75" customHeight="1">
      <c r="A851" s="162"/>
      <c r="B851" s="174"/>
      <c r="C851" s="175"/>
      <c r="D851" s="176"/>
      <c r="E851" s="175"/>
      <c r="F851" s="177"/>
      <c r="G851" s="177"/>
      <c r="H851" s="176"/>
      <c r="I851" s="175"/>
      <c r="J851" s="163"/>
      <c r="K851" s="165"/>
      <c r="L851" s="163"/>
      <c r="M851" s="163"/>
      <c r="N851" s="169"/>
      <c r="O851" s="173"/>
      <c r="P851" s="168"/>
    </row>
    <row r="852" ht="15.75" customHeight="1">
      <c r="A852" s="162"/>
      <c r="B852" s="174"/>
      <c r="C852" s="175"/>
      <c r="D852" s="176"/>
      <c r="E852" s="175"/>
      <c r="F852" s="177"/>
      <c r="G852" s="177"/>
      <c r="H852" s="176"/>
      <c r="I852" s="175"/>
      <c r="J852" s="163"/>
      <c r="K852" s="165"/>
      <c r="L852" s="163"/>
      <c r="M852" s="163"/>
      <c r="N852" s="169"/>
      <c r="O852" s="173"/>
      <c r="P852" s="168"/>
    </row>
    <row r="853" ht="15.75" customHeight="1">
      <c r="A853" s="162"/>
      <c r="B853" s="174"/>
      <c r="C853" s="175"/>
      <c r="D853" s="176"/>
      <c r="E853" s="175"/>
      <c r="F853" s="177"/>
      <c r="G853" s="177"/>
      <c r="H853" s="176"/>
      <c r="I853" s="175"/>
      <c r="J853" s="163"/>
      <c r="K853" s="165"/>
      <c r="L853" s="163"/>
      <c r="M853" s="163"/>
      <c r="N853" s="169"/>
      <c r="O853" s="173"/>
      <c r="P853" s="168"/>
    </row>
    <row r="854" ht="15.75" customHeight="1">
      <c r="A854" s="162"/>
      <c r="B854" s="174"/>
      <c r="C854" s="175"/>
      <c r="D854" s="176"/>
      <c r="E854" s="175"/>
      <c r="F854" s="177"/>
      <c r="G854" s="177"/>
      <c r="H854" s="176"/>
      <c r="I854" s="175"/>
      <c r="J854" s="163"/>
      <c r="K854" s="165"/>
      <c r="L854" s="163"/>
      <c r="M854" s="163"/>
      <c r="N854" s="169"/>
      <c r="O854" s="173"/>
      <c r="P854" s="168"/>
    </row>
    <row r="855" ht="15.75" customHeight="1">
      <c r="A855" s="162"/>
      <c r="B855" s="174"/>
      <c r="C855" s="175"/>
      <c r="D855" s="176"/>
      <c r="E855" s="175"/>
      <c r="F855" s="177"/>
      <c r="G855" s="177"/>
      <c r="H855" s="176"/>
      <c r="I855" s="175"/>
      <c r="J855" s="163"/>
      <c r="K855" s="165"/>
      <c r="L855" s="163"/>
      <c r="M855" s="163"/>
      <c r="N855" s="169"/>
      <c r="O855" s="173"/>
      <c r="P855" s="168"/>
    </row>
    <row r="856" ht="15.75" customHeight="1">
      <c r="A856" s="162"/>
      <c r="B856" s="174"/>
      <c r="C856" s="175"/>
      <c r="D856" s="176"/>
      <c r="E856" s="175"/>
      <c r="F856" s="177"/>
      <c r="G856" s="177"/>
      <c r="H856" s="176"/>
      <c r="I856" s="175"/>
      <c r="J856" s="163"/>
      <c r="K856" s="165"/>
      <c r="L856" s="163"/>
      <c r="M856" s="163"/>
      <c r="N856" s="169"/>
      <c r="O856" s="173"/>
      <c r="P856" s="168"/>
    </row>
    <row r="857" ht="15.75" customHeight="1">
      <c r="A857" s="162"/>
      <c r="B857" s="174"/>
      <c r="C857" s="175"/>
      <c r="D857" s="176"/>
      <c r="E857" s="175"/>
      <c r="F857" s="177"/>
      <c r="G857" s="177"/>
      <c r="H857" s="176"/>
      <c r="I857" s="175"/>
      <c r="J857" s="163"/>
      <c r="K857" s="165"/>
      <c r="L857" s="163"/>
      <c r="M857" s="163"/>
      <c r="N857" s="169"/>
      <c r="O857" s="173"/>
      <c r="P857" s="168"/>
    </row>
    <row r="858" ht="15.75" customHeight="1">
      <c r="A858" s="162"/>
      <c r="B858" s="174"/>
      <c r="C858" s="175"/>
      <c r="D858" s="176"/>
      <c r="E858" s="175"/>
      <c r="F858" s="177"/>
      <c r="G858" s="177"/>
      <c r="H858" s="176"/>
      <c r="I858" s="175"/>
      <c r="J858" s="163"/>
      <c r="K858" s="165"/>
      <c r="L858" s="163"/>
      <c r="M858" s="163"/>
      <c r="N858" s="169"/>
      <c r="O858" s="173"/>
      <c r="P858" s="168"/>
    </row>
    <row r="859" ht="15.75" customHeight="1">
      <c r="A859" s="162"/>
      <c r="B859" s="174"/>
      <c r="C859" s="175"/>
      <c r="D859" s="176"/>
      <c r="E859" s="175"/>
      <c r="F859" s="177"/>
      <c r="G859" s="177"/>
      <c r="H859" s="176"/>
      <c r="I859" s="175"/>
      <c r="J859" s="163"/>
      <c r="K859" s="165"/>
      <c r="L859" s="163"/>
      <c r="M859" s="163"/>
      <c r="N859" s="169"/>
      <c r="O859" s="173"/>
      <c r="P859" s="168"/>
    </row>
    <row r="860" ht="15.75" customHeight="1">
      <c r="A860" s="162"/>
      <c r="B860" s="174"/>
      <c r="C860" s="175"/>
      <c r="D860" s="176"/>
      <c r="E860" s="175"/>
      <c r="F860" s="177"/>
      <c r="G860" s="177"/>
      <c r="H860" s="176"/>
      <c r="I860" s="175"/>
      <c r="J860" s="163"/>
      <c r="K860" s="165"/>
      <c r="L860" s="163"/>
      <c r="M860" s="163"/>
      <c r="N860" s="169"/>
      <c r="O860" s="173"/>
      <c r="P860" s="168"/>
    </row>
    <row r="861" ht="15.75" customHeight="1">
      <c r="A861" s="162"/>
      <c r="B861" s="174"/>
      <c r="C861" s="175"/>
      <c r="D861" s="176"/>
      <c r="E861" s="175"/>
      <c r="F861" s="177"/>
      <c r="G861" s="177"/>
      <c r="H861" s="176"/>
      <c r="I861" s="175"/>
      <c r="J861" s="163"/>
      <c r="K861" s="165"/>
      <c r="L861" s="163"/>
      <c r="M861" s="163"/>
      <c r="N861" s="169"/>
      <c r="O861" s="173"/>
      <c r="P861" s="168"/>
    </row>
    <row r="862" ht="15.75" customHeight="1">
      <c r="A862" s="162"/>
      <c r="B862" s="174"/>
      <c r="C862" s="175"/>
      <c r="D862" s="176"/>
      <c r="E862" s="175"/>
      <c r="F862" s="177"/>
      <c r="G862" s="177"/>
      <c r="H862" s="176"/>
      <c r="I862" s="175"/>
      <c r="J862" s="163"/>
      <c r="K862" s="165"/>
      <c r="L862" s="163"/>
      <c r="M862" s="163"/>
      <c r="N862" s="169"/>
      <c r="O862" s="173"/>
      <c r="P862" s="168"/>
    </row>
    <row r="863" ht="15.75" customHeight="1">
      <c r="A863" s="162"/>
      <c r="B863" s="174"/>
      <c r="C863" s="175"/>
      <c r="D863" s="176"/>
      <c r="E863" s="175"/>
      <c r="F863" s="177"/>
      <c r="G863" s="177"/>
      <c r="H863" s="176"/>
      <c r="I863" s="175"/>
      <c r="J863" s="163"/>
      <c r="K863" s="165"/>
      <c r="L863" s="163"/>
      <c r="M863" s="163"/>
      <c r="N863" s="169"/>
      <c r="O863" s="173"/>
      <c r="P863" s="168"/>
    </row>
    <row r="864" ht="15.75" customHeight="1">
      <c r="A864" s="162"/>
      <c r="B864" s="174"/>
      <c r="C864" s="175"/>
      <c r="D864" s="176"/>
      <c r="E864" s="175"/>
      <c r="F864" s="177"/>
      <c r="G864" s="177"/>
      <c r="H864" s="176"/>
      <c r="I864" s="175"/>
      <c r="J864" s="163"/>
      <c r="K864" s="165"/>
      <c r="L864" s="163"/>
      <c r="M864" s="163"/>
      <c r="N864" s="169"/>
      <c r="O864" s="173"/>
      <c r="P864" s="168"/>
    </row>
    <row r="865" ht="15.75" customHeight="1">
      <c r="A865" s="162"/>
      <c r="B865" s="174"/>
      <c r="C865" s="175"/>
      <c r="D865" s="176"/>
      <c r="E865" s="175"/>
      <c r="F865" s="177"/>
      <c r="G865" s="177"/>
      <c r="H865" s="176"/>
      <c r="I865" s="175"/>
      <c r="J865" s="163"/>
      <c r="K865" s="165"/>
      <c r="L865" s="163"/>
      <c r="M865" s="163"/>
      <c r="N865" s="169"/>
      <c r="O865" s="173"/>
      <c r="P865" s="168"/>
    </row>
    <row r="866" ht="15.75" customHeight="1">
      <c r="A866" s="162"/>
      <c r="B866" s="174"/>
      <c r="C866" s="175"/>
      <c r="D866" s="176"/>
      <c r="E866" s="175"/>
      <c r="F866" s="177"/>
      <c r="G866" s="177"/>
      <c r="H866" s="176"/>
      <c r="I866" s="175"/>
      <c r="J866" s="163"/>
      <c r="K866" s="165"/>
      <c r="L866" s="163"/>
      <c r="M866" s="163"/>
      <c r="N866" s="169"/>
      <c r="O866" s="173"/>
      <c r="P866" s="168"/>
    </row>
    <row r="867" ht="15.75" customHeight="1">
      <c r="A867" s="162"/>
      <c r="B867" s="174"/>
      <c r="C867" s="175"/>
      <c r="D867" s="176"/>
      <c r="E867" s="175"/>
      <c r="F867" s="177"/>
      <c r="G867" s="177"/>
      <c r="H867" s="176"/>
      <c r="I867" s="175"/>
      <c r="J867" s="163"/>
      <c r="K867" s="165"/>
      <c r="L867" s="163"/>
      <c r="M867" s="163"/>
      <c r="N867" s="169"/>
      <c r="O867" s="173"/>
      <c r="P867" s="168"/>
    </row>
    <row r="868" ht="15.75" customHeight="1">
      <c r="A868" s="162"/>
      <c r="B868" s="174"/>
      <c r="C868" s="175"/>
      <c r="D868" s="176"/>
      <c r="E868" s="175"/>
      <c r="F868" s="177"/>
      <c r="G868" s="177"/>
      <c r="H868" s="176"/>
      <c r="I868" s="175"/>
      <c r="J868" s="163"/>
      <c r="K868" s="165"/>
      <c r="L868" s="163"/>
      <c r="M868" s="163"/>
      <c r="N868" s="169"/>
      <c r="O868" s="173"/>
      <c r="P868" s="168"/>
    </row>
    <row r="869" ht="15.75" customHeight="1">
      <c r="A869" s="162"/>
      <c r="B869" s="174"/>
      <c r="C869" s="175"/>
      <c r="D869" s="176"/>
      <c r="E869" s="175"/>
      <c r="F869" s="177"/>
      <c r="G869" s="177"/>
      <c r="H869" s="176"/>
      <c r="I869" s="175"/>
      <c r="J869" s="163"/>
      <c r="K869" s="165"/>
      <c r="L869" s="163"/>
      <c r="M869" s="163"/>
      <c r="N869" s="169"/>
      <c r="O869" s="173"/>
      <c r="P869" s="168"/>
    </row>
    <row r="870" ht="15.75" customHeight="1">
      <c r="A870" s="162"/>
      <c r="B870" s="174"/>
      <c r="C870" s="175"/>
      <c r="D870" s="176"/>
      <c r="E870" s="175"/>
      <c r="F870" s="177"/>
      <c r="G870" s="177"/>
      <c r="H870" s="176"/>
      <c r="I870" s="175"/>
      <c r="J870" s="163"/>
      <c r="K870" s="165"/>
      <c r="L870" s="163"/>
      <c r="M870" s="163"/>
      <c r="N870" s="169"/>
      <c r="O870" s="173"/>
      <c r="P870" s="168"/>
    </row>
    <row r="871" ht="15.75" customHeight="1">
      <c r="A871" s="162"/>
      <c r="B871" s="174"/>
      <c r="C871" s="175"/>
      <c r="D871" s="176"/>
      <c r="E871" s="175"/>
      <c r="F871" s="177"/>
      <c r="G871" s="177"/>
      <c r="H871" s="176"/>
      <c r="I871" s="175"/>
      <c r="J871" s="163"/>
      <c r="K871" s="165"/>
      <c r="L871" s="163"/>
      <c r="M871" s="163"/>
      <c r="N871" s="169"/>
      <c r="O871" s="173"/>
      <c r="P871" s="168"/>
    </row>
    <row r="872" ht="15.75" customHeight="1">
      <c r="A872" s="162"/>
      <c r="B872" s="174"/>
      <c r="C872" s="175"/>
      <c r="D872" s="176"/>
      <c r="E872" s="175"/>
      <c r="F872" s="177"/>
      <c r="G872" s="177"/>
      <c r="H872" s="176"/>
      <c r="I872" s="175"/>
      <c r="J872" s="163"/>
      <c r="K872" s="165"/>
      <c r="L872" s="163"/>
      <c r="M872" s="163"/>
      <c r="N872" s="169"/>
      <c r="O872" s="173"/>
      <c r="P872" s="168"/>
    </row>
    <row r="873" ht="15.75" customHeight="1">
      <c r="A873" s="162"/>
      <c r="B873" s="174"/>
      <c r="C873" s="175"/>
      <c r="D873" s="176"/>
      <c r="E873" s="175"/>
      <c r="F873" s="177"/>
      <c r="G873" s="177"/>
      <c r="H873" s="176"/>
      <c r="I873" s="175"/>
      <c r="J873" s="163"/>
      <c r="K873" s="165"/>
      <c r="L873" s="163"/>
      <c r="M873" s="163"/>
      <c r="N873" s="169"/>
      <c r="O873" s="173"/>
      <c r="P873" s="168"/>
    </row>
    <row r="874" ht="15.75" customHeight="1">
      <c r="A874" s="162"/>
      <c r="B874" s="174"/>
      <c r="C874" s="175"/>
      <c r="D874" s="176"/>
      <c r="E874" s="175"/>
      <c r="F874" s="177"/>
      <c r="G874" s="177"/>
      <c r="H874" s="176"/>
      <c r="I874" s="175"/>
      <c r="J874" s="163"/>
      <c r="K874" s="165"/>
      <c r="L874" s="163"/>
      <c r="M874" s="163"/>
      <c r="N874" s="169"/>
      <c r="O874" s="173"/>
      <c r="P874" s="168"/>
    </row>
    <row r="875" ht="15.75" customHeight="1">
      <c r="A875" s="162"/>
      <c r="B875" s="174"/>
      <c r="C875" s="175"/>
      <c r="D875" s="176"/>
      <c r="E875" s="175"/>
      <c r="F875" s="177"/>
      <c r="G875" s="177"/>
      <c r="H875" s="176"/>
      <c r="I875" s="175"/>
      <c r="J875" s="163"/>
      <c r="K875" s="165"/>
      <c r="L875" s="163"/>
      <c r="M875" s="163"/>
      <c r="N875" s="169"/>
      <c r="O875" s="173"/>
      <c r="P875" s="168"/>
    </row>
    <row r="876" ht="15.75" customHeight="1">
      <c r="A876" s="162"/>
      <c r="B876" s="174"/>
      <c r="C876" s="175"/>
      <c r="D876" s="176"/>
      <c r="E876" s="175"/>
      <c r="F876" s="177"/>
      <c r="G876" s="177"/>
      <c r="H876" s="176"/>
      <c r="I876" s="175"/>
      <c r="J876" s="163"/>
      <c r="K876" s="165"/>
      <c r="L876" s="163"/>
      <c r="M876" s="163"/>
      <c r="N876" s="169"/>
      <c r="O876" s="173"/>
      <c r="P876" s="168"/>
    </row>
    <row r="877" ht="15.75" customHeight="1">
      <c r="A877" s="162"/>
      <c r="B877" s="174"/>
      <c r="C877" s="175"/>
      <c r="D877" s="176"/>
      <c r="E877" s="175"/>
      <c r="F877" s="177"/>
      <c r="G877" s="177"/>
      <c r="H877" s="176"/>
      <c r="I877" s="175"/>
      <c r="J877" s="163"/>
      <c r="K877" s="165"/>
      <c r="L877" s="163"/>
      <c r="M877" s="163"/>
      <c r="N877" s="169"/>
      <c r="O877" s="173"/>
      <c r="P877" s="168"/>
    </row>
    <row r="878" ht="15.75" customHeight="1">
      <c r="A878" s="162"/>
      <c r="B878" s="174"/>
      <c r="C878" s="175"/>
      <c r="D878" s="176"/>
      <c r="E878" s="175"/>
      <c r="F878" s="177"/>
      <c r="G878" s="177"/>
      <c r="H878" s="176"/>
      <c r="I878" s="175"/>
      <c r="J878" s="163"/>
      <c r="K878" s="165"/>
      <c r="L878" s="163"/>
      <c r="M878" s="163"/>
      <c r="N878" s="169"/>
      <c r="O878" s="173"/>
      <c r="P878" s="168"/>
    </row>
    <row r="879" ht="15.75" customHeight="1">
      <c r="A879" s="162"/>
      <c r="B879" s="174"/>
      <c r="C879" s="175"/>
      <c r="D879" s="176"/>
      <c r="E879" s="175"/>
      <c r="F879" s="177"/>
      <c r="G879" s="177"/>
      <c r="H879" s="176"/>
      <c r="I879" s="175"/>
      <c r="J879" s="163"/>
      <c r="K879" s="165"/>
      <c r="L879" s="163"/>
      <c r="M879" s="163"/>
      <c r="N879" s="169"/>
      <c r="O879" s="173"/>
      <c r="P879" s="168"/>
    </row>
    <row r="880" ht="15.75" customHeight="1">
      <c r="A880" s="162"/>
      <c r="B880" s="174"/>
      <c r="C880" s="175"/>
      <c r="D880" s="176"/>
      <c r="E880" s="175"/>
      <c r="F880" s="177"/>
      <c r="G880" s="177"/>
      <c r="H880" s="176"/>
      <c r="I880" s="175"/>
      <c r="J880" s="163"/>
      <c r="K880" s="165"/>
      <c r="L880" s="163"/>
      <c r="M880" s="163"/>
      <c r="N880" s="169"/>
      <c r="O880" s="173"/>
      <c r="P880" s="168"/>
    </row>
    <row r="881" ht="15.75" customHeight="1">
      <c r="A881" s="162"/>
      <c r="B881" s="174"/>
      <c r="C881" s="175"/>
      <c r="D881" s="176"/>
      <c r="E881" s="175"/>
      <c r="F881" s="177"/>
      <c r="G881" s="177"/>
      <c r="H881" s="176"/>
      <c r="I881" s="175"/>
      <c r="J881" s="163"/>
      <c r="K881" s="165"/>
      <c r="L881" s="163"/>
      <c r="M881" s="163"/>
      <c r="N881" s="169"/>
      <c r="O881" s="173"/>
      <c r="P881" s="168"/>
    </row>
    <row r="882" ht="15.75" customHeight="1">
      <c r="A882" s="162"/>
      <c r="B882" s="174"/>
      <c r="C882" s="175"/>
      <c r="D882" s="176"/>
      <c r="E882" s="175"/>
      <c r="F882" s="177"/>
      <c r="G882" s="177"/>
      <c r="H882" s="176"/>
      <c r="I882" s="175"/>
      <c r="J882" s="163"/>
      <c r="K882" s="165"/>
      <c r="L882" s="163"/>
      <c r="M882" s="163"/>
      <c r="N882" s="169"/>
      <c r="O882" s="173"/>
      <c r="P882" s="168"/>
    </row>
    <row r="883" ht="15.75" customHeight="1">
      <c r="A883" s="162"/>
      <c r="B883" s="174"/>
      <c r="C883" s="175"/>
      <c r="D883" s="176"/>
      <c r="E883" s="175"/>
      <c r="F883" s="177"/>
      <c r="G883" s="177"/>
      <c r="H883" s="176"/>
      <c r="I883" s="175"/>
      <c r="J883" s="163"/>
      <c r="K883" s="165"/>
      <c r="L883" s="163"/>
      <c r="M883" s="163"/>
      <c r="N883" s="169"/>
      <c r="O883" s="173"/>
      <c r="P883" s="168"/>
    </row>
    <row r="884" ht="15.75" customHeight="1">
      <c r="A884" s="162"/>
      <c r="B884" s="174"/>
      <c r="C884" s="175"/>
      <c r="D884" s="176"/>
      <c r="E884" s="175"/>
      <c r="F884" s="177"/>
      <c r="G884" s="177"/>
      <c r="H884" s="176"/>
      <c r="I884" s="175"/>
      <c r="J884" s="163"/>
      <c r="K884" s="165"/>
      <c r="L884" s="163"/>
      <c r="M884" s="163"/>
      <c r="N884" s="169"/>
      <c r="O884" s="173"/>
      <c r="P884" s="168"/>
    </row>
    <row r="885" ht="15.75" customHeight="1">
      <c r="A885" s="162"/>
      <c r="B885" s="174"/>
      <c r="C885" s="175"/>
      <c r="D885" s="176"/>
      <c r="E885" s="175"/>
      <c r="F885" s="177"/>
      <c r="G885" s="177"/>
      <c r="H885" s="176"/>
      <c r="I885" s="175"/>
      <c r="J885" s="163"/>
      <c r="K885" s="165"/>
      <c r="L885" s="163"/>
      <c r="M885" s="163"/>
      <c r="N885" s="169"/>
      <c r="O885" s="173"/>
      <c r="P885" s="168"/>
    </row>
    <row r="886" ht="15.75" customHeight="1">
      <c r="A886" s="162"/>
      <c r="B886" s="174"/>
      <c r="C886" s="175"/>
      <c r="D886" s="176"/>
      <c r="E886" s="175"/>
      <c r="F886" s="177"/>
      <c r="G886" s="177"/>
      <c r="H886" s="176"/>
      <c r="I886" s="175"/>
      <c r="J886" s="163"/>
      <c r="K886" s="165"/>
      <c r="L886" s="163"/>
      <c r="M886" s="163"/>
      <c r="N886" s="169"/>
      <c r="O886" s="173"/>
      <c r="P886" s="168"/>
    </row>
    <row r="887" ht="15.75" customHeight="1">
      <c r="A887" s="162"/>
      <c r="B887" s="174"/>
      <c r="C887" s="175"/>
      <c r="D887" s="176"/>
      <c r="E887" s="175"/>
      <c r="F887" s="177"/>
      <c r="G887" s="177"/>
      <c r="H887" s="176"/>
      <c r="I887" s="175"/>
      <c r="J887" s="163"/>
      <c r="K887" s="165"/>
      <c r="L887" s="163"/>
      <c r="M887" s="163"/>
      <c r="N887" s="169"/>
      <c r="O887" s="173"/>
      <c r="P887" s="168"/>
    </row>
    <row r="888" ht="15.75" customHeight="1">
      <c r="A888" s="162"/>
      <c r="B888" s="174"/>
      <c r="C888" s="175"/>
      <c r="D888" s="176"/>
      <c r="E888" s="175"/>
      <c r="F888" s="177"/>
      <c r="G888" s="177"/>
      <c r="H888" s="176"/>
      <c r="I888" s="175"/>
      <c r="J888" s="163"/>
      <c r="K888" s="165"/>
      <c r="L888" s="163"/>
      <c r="M888" s="163"/>
      <c r="N888" s="169"/>
      <c r="O888" s="173"/>
      <c r="P888" s="168"/>
    </row>
    <row r="889" ht="15.75" customHeight="1">
      <c r="A889" s="162"/>
      <c r="B889" s="174"/>
      <c r="C889" s="175"/>
      <c r="D889" s="176"/>
      <c r="E889" s="175"/>
      <c r="F889" s="177"/>
      <c r="G889" s="177"/>
      <c r="H889" s="176"/>
      <c r="I889" s="175"/>
      <c r="J889" s="163"/>
      <c r="K889" s="165"/>
      <c r="L889" s="163"/>
      <c r="M889" s="163"/>
      <c r="N889" s="169"/>
      <c r="O889" s="173"/>
      <c r="P889" s="168"/>
    </row>
    <row r="890" ht="15.75" customHeight="1">
      <c r="A890" s="162"/>
      <c r="B890" s="174"/>
      <c r="C890" s="175"/>
      <c r="D890" s="176"/>
      <c r="E890" s="175"/>
      <c r="F890" s="177"/>
      <c r="G890" s="177"/>
      <c r="H890" s="176"/>
      <c r="I890" s="175"/>
      <c r="J890" s="163"/>
      <c r="K890" s="165"/>
      <c r="L890" s="163"/>
      <c r="M890" s="163"/>
      <c r="N890" s="169"/>
      <c r="O890" s="173"/>
      <c r="P890" s="168"/>
    </row>
    <row r="891" ht="15.75" customHeight="1">
      <c r="A891" s="162"/>
      <c r="B891" s="174"/>
      <c r="C891" s="175"/>
      <c r="D891" s="176"/>
      <c r="E891" s="175"/>
      <c r="F891" s="177"/>
      <c r="G891" s="177"/>
      <c r="H891" s="176"/>
      <c r="I891" s="175"/>
      <c r="J891" s="163"/>
      <c r="K891" s="165"/>
      <c r="L891" s="163"/>
      <c r="M891" s="163"/>
      <c r="N891" s="169"/>
      <c r="O891" s="173"/>
      <c r="P891" s="168"/>
    </row>
    <row r="892" ht="15.75" customHeight="1">
      <c r="A892" s="162"/>
      <c r="B892" s="174"/>
      <c r="C892" s="175"/>
      <c r="D892" s="176"/>
      <c r="E892" s="175"/>
      <c r="F892" s="177"/>
      <c r="G892" s="177"/>
      <c r="H892" s="176"/>
      <c r="I892" s="175"/>
      <c r="J892" s="163"/>
      <c r="K892" s="165"/>
      <c r="L892" s="163"/>
      <c r="M892" s="163"/>
      <c r="N892" s="169"/>
      <c r="O892" s="173"/>
      <c r="P892" s="168"/>
    </row>
    <row r="893" ht="15.75" customHeight="1">
      <c r="A893" s="162"/>
      <c r="B893" s="174"/>
      <c r="C893" s="175"/>
      <c r="D893" s="176"/>
      <c r="E893" s="175"/>
      <c r="F893" s="177"/>
      <c r="G893" s="177"/>
      <c r="H893" s="176"/>
      <c r="I893" s="175"/>
      <c r="J893" s="163"/>
      <c r="K893" s="165"/>
      <c r="L893" s="163"/>
      <c r="M893" s="163"/>
      <c r="N893" s="169"/>
      <c r="O893" s="173"/>
      <c r="P893" s="168"/>
    </row>
    <row r="894" ht="15.75" customHeight="1">
      <c r="A894" s="162"/>
      <c r="B894" s="174"/>
      <c r="C894" s="175"/>
      <c r="D894" s="176"/>
      <c r="E894" s="175"/>
      <c r="F894" s="177"/>
      <c r="G894" s="177"/>
      <c r="H894" s="176"/>
      <c r="I894" s="175"/>
      <c r="J894" s="163"/>
      <c r="K894" s="165"/>
      <c r="L894" s="163"/>
      <c r="M894" s="163"/>
      <c r="N894" s="169"/>
      <c r="O894" s="173"/>
      <c r="P894" s="168"/>
    </row>
    <row r="895" ht="15.75" customHeight="1">
      <c r="A895" s="162"/>
      <c r="B895" s="174"/>
      <c r="C895" s="175"/>
      <c r="D895" s="176"/>
      <c r="E895" s="175"/>
      <c r="F895" s="177"/>
      <c r="G895" s="177"/>
      <c r="H895" s="176"/>
      <c r="I895" s="175"/>
      <c r="J895" s="163"/>
      <c r="K895" s="165"/>
      <c r="L895" s="163"/>
      <c r="M895" s="163"/>
      <c r="N895" s="169"/>
      <c r="O895" s="173"/>
      <c r="P895" s="168"/>
    </row>
    <row r="896" ht="15.75" customHeight="1">
      <c r="A896" s="162"/>
      <c r="B896" s="174"/>
      <c r="C896" s="175"/>
      <c r="D896" s="176"/>
      <c r="E896" s="175"/>
      <c r="F896" s="177"/>
      <c r="G896" s="177"/>
      <c r="H896" s="176"/>
      <c r="I896" s="175"/>
      <c r="J896" s="163"/>
      <c r="K896" s="165"/>
      <c r="L896" s="163"/>
      <c r="M896" s="163"/>
      <c r="N896" s="169"/>
      <c r="O896" s="173"/>
      <c r="P896" s="168"/>
    </row>
    <row r="897" ht="15.75" customHeight="1">
      <c r="A897" s="162"/>
      <c r="B897" s="174"/>
      <c r="C897" s="175"/>
      <c r="D897" s="176"/>
      <c r="E897" s="175"/>
      <c r="F897" s="177"/>
      <c r="G897" s="177"/>
      <c r="H897" s="176"/>
      <c r="I897" s="175"/>
      <c r="J897" s="163"/>
      <c r="K897" s="165"/>
      <c r="L897" s="163"/>
      <c r="M897" s="163"/>
      <c r="N897" s="169"/>
      <c r="O897" s="173"/>
      <c r="P897" s="168"/>
    </row>
    <row r="898" ht="15.75" customHeight="1">
      <c r="A898" s="162"/>
      <c r="B898" s="174"/>
      <c r="C898" s="175"/>
      <c r="D898" s="176"/>
      <c r="E898" s="175"/>
      <c r="F898" s="177"/>
      <c r="G898" s="177"/>
      <c r="H898" s="176"/>
      <c r="I898" s="175"/>
      <c r="J898" s="163"/>
      <c r="K898" s="165"/>
      <c r="L898" s="163"/>
      <c r="M898" s="163"/>
      <c r="N898" s="169"/>
      <c r="O898" s="173"/>
      <c r="P898" s="168"/>
    </row>
    <row r="899" ht="15.75" customHeight="1">
      <c r="A899" s="162"/>
      <c r="B899" s="174"/>
      <c r="C899" s="175"/>
      <c r="D899" s="176"/>
      <c r="E899" s="175"/>
      <c r="F899" s="177"/>
      <c r="G899" s="177"/>
      <c r="H899" s="176"/>
      <c r="I899" s="175"/>
      <c r="J899" s="163"/>
      <c r="K899" s="165"/>
      <c r="L899" s="163"/>
      <c r="M899" s="163"/>
      <c r="N899" s="169"/>
      <c r="O899" s="173"/>
      <c r="P899" s="168"/>
    </row>
    <row r="900" ht="15.75" customHeight="1">
      <c r="A900" s="162"/>
      <c r="B900" s="174"/>
      <c r="C900" s="175"/>
      <c r="D900" s="176"/>
      <c r="E900" s="175"/>
      <c r="F900" s="177"/>
      <c r="G900" s="177"/>
      <c r="H900" s="176"/>
      <c r="I900" s="175"/>
      <c r="J900" s="163"/>
      <c r="K900" s="165"/>
      <c r="L900" s="163"/>
      <c r="M900" s="163"/>
      <c r="N900" s="169"/>
      <c r="O900" s="173"/>
      <c r="P900" s="168"/>
    </row>
    <row r="901" ht="15.75" customHeight="1">
      <c r="A901" s="162"/>
      <c r="B901" s="174"/>
      <c r="C901" s="175"/>
      <c r="D901" s="176"/>
      <c r="E901" s="175"/>
      <c r="F901" s="177"/>
      <c r="G901" s="177"/>
      <c r="H901" s="176"/>
      <c r="I901" s="175"/>
      <c r="J901" s="163"/>
      <c r="K901" s="165"/>
      <c r="L901" s="163"/>
      <c r="M901" s="163"/>
      <c r="N901" s="169"/>
      <c r="O901" s="173"/>
      <c r="P901" s="168"/>
    </row>
    <row r="902" ht="15.75" customHeight="1">
      <c r="A902" s="162"/>
      <c r="B902" s="174"/>
      <c r="C902" s="175"/>
      <c r="D902" s="176"/>
      <c r="E902" s="175"/>
      <c r="F902" s="177"/>
      <c r="G902" s="177"/>
      <c r="H902" s="176"/>
      <c r="I902" s="175"/>
      <c r="J902" s="163"/>
      <c r="K902" s="165"/>
      <c r="L902" s="163"/>
      <c r="M902" s="163"/>
      <c r="N902" s="169"/>
      <c r="O902" s="173"/>
      <c r="P902" s="168"/>
    </row>
    <row r="903" ht="15.75" customHeight="1">
      <c r="A903" s="162"/>
      <c r="B903" s="174"/>
      <c r="C903" s="175"/>
      <c r="D903" s="176"/>
      <c r="E903" s="175"/>
      <c r="F903" s="177"/>
      <c r="G903" s="177"/>
      <c r="H903" s="176"/>
      <c r="I903" s="175"/>
      <c r="J903" s="163"/>
      <c r="K903" s="165"/>
      <c r="L903" s="163"/>
      <c r="M903" s="163"/>
      <c r="N903" s="169"/>
      <c r="O903" s="173"/>
      <c r="P903" s="168"/>
    </row>
    <row r="904" ht="15.75" customHeight="1">
      <c r="A904" s="162"/>
      <c r="B904" s="174"/>
      <c r="C904" s="175"/>
      <c r="D904" s="176"/>
      <c r="E904" s="175"/>
      <c r="F904" s="177"/>
      <c r="G904" s="177"/>
      <c r="H904" s="176"/>
      <c r="I904" s="175"/>
      <c r="J904" s="163"/>
      <c r="K904" s="165"/>
      <c r="L904" s="163"/>
      <c r="M904" s="163"/>
      <c r="N904" s="169"/>
      <c r="O904" s="173"/>
      <c r="P904" s="168"/>
    </row>
    <row r="905" ht="15.75" customHeight="1">
      <c r="A905" s="162"/>
      <c r="B905" s="174"/>
      <c r="C905" s="175"/>
      <c r="D905" s="176"/>
      <c r="E905" s="175"/>
      <c r="F905" s="177"/>
      <c r="G905" s="177"/>
      <c r="H905" s="176"/>
      <c r="I905" s="175"/>
      <c r="J905" s="163"/>
      <c r="K905" s="165"/>
      <c r="L905" s="163"/>
      <c r="M905" s="163"/>
      <c r="N905" s="169"/>
      <c r="O905" s="173"/>
      <c r="P905" s="168"/>
    </row>
    <row r="906" ht="15.75" customHeight="1">
      <c r="A906" s="162"/>
      <c r="B906" s="174"/>
      <c r="C906" s="175"/>
      <c r="D906" s="176"/>
      <c r="E906" s="175"/>
      <c r="F906" s="177"/>
      <c r="G906" s="177"/>
      <c r="H906" s="176"/>
      <c r="I906" s="175"/>
      <c r="J906" s="163"/>
      <c r="K906" s="165"/>
      <c r="L906" s="163"/>
      <c r="M906" s="163"/>
      <c r="N906" s="169"/>
      <c r="O906" s="173"/>
      <c r="P906" s="168"/>
    </row>
    <row r="907" ht="15.75" customHeight="1">
      <c r="A907" s="162"/>
      <c r="B907" s="174"/>
      <c r="C907" s="175"/>
      <c r="D907" s="176"/>
      <c r="E907" s="175"/>
      <c r="F907" s="177"/>
      <c r="G907" s="177"/>
      <c r="H907" s="176"/>
      <c r="I907" s="175"/>
      <c r="J907" s="163"/>
      <c r="K907" s="165"/>
      <c r="L907" s="163"/>
      <c r="M907" s="163"/>
      <c r="N907" s="169"/>
      <c r="O907" s="173"/>
      <c r="P907" s="168"/>
    </row>
    <row r="908" ht="15.75" customHeight="1">
      <c r="A908" s="162"/>
      <c r="B908" s="174"/>
      <c r="C908" s="175"/>
      <c r="D908" s="176"/>
      <c r="E908" s="175"/>
      <c r="F908" s="177"/>
      <c r="G908" s="177"/>
      <c r="H908" s="176"/>
      <c r="I908" s="175"/>
      <c r="J908" s="163"/>
      <c r="K908" s="165"/>
      <c r="L908" s="163"/>
      <c r="M908" s="163"/>
      <c r="N908" s="169"/>
      <c r="O908" s="173"/>
      <c r="P908" s="168"/>
    </row>
    <row r="909" ht="15.75" customHeight="1">
      <c r="A909" s="162"/>
      <c r="B909" s="174"/>
      <c r="C909" s="175"/>
      <c r="D909" s="176"/>
      <c r="E909" s="175"/>
      <c r="F909" s="177"/>
      <c r="G909" s="177"/>
      <c r="H909" s="176"/>
      <c r="I909" s="175"/>
      <c r="J909" s="163"/>
      <c r="K909" s="165"/>
      <c r="L909" s="163"/>
      <c r="M909" s="163"/>
      <c r="N909" s="169"/>
      <c r="O909" s="173"/>
      <c r="P909" s="168"/>
    </row>
    <row r="910" ht="15.75" customHeight="1">
      <c r="A910" s="162"/>
      <c r="B910" s="174"/>
      <c r="C910" s="175"/>
      <c r="D910" s="176"/>
      <c r="E910" s="175"/>
      <c r="F910" s="177"/>
      <c r="G910" s="177"/>
      <c r="H910" s="176"/>
      <c r="I910" s="175"/>
      <c r="J910" s="163"/>
      <c r="K910" s="165"/>
      <c r="L910" s="163"/>
      <c r="M910" s="163"/>
      <c r="N910" s="169"/>
      <c r="O910" s="173"/>
      <c r="P910" s="168"/>
    </row>
    <row r="911" ht="15.75" customHeight="1">
      <c r="A911" s="162"/>
      <c r="B911" s="174"/>
      <c r="C911" s="175"/>
      <c r="D911" s="176"/>
      <c r="E911" s="175"/>
      <c r="F911" s="177"/>
      <c r="G911" s="177"/>
      <c r="H911" s="176"/>
      <c r="I911" s="175"/>
      <c r="J911" s="163"/>
      <c r="K911" s="165"/>
      <c r="L911" s="163"/>
      <c r="M911" s="163"/>
      <c r="N911" s="169"/>
      <c r="O911" s="173"/>
      <c r="P911" s="168"/>
    </row>
    <row r="912" ht="15.75" customHeight="1">
      <c r="A912" s="162"/>
      <c r="B912" s="174"/>
      <c r="C912" s="175"/>
      <c r="D912" s="176"/>
      <c r="E912" s="175"/>
      <c r="F912" s="177"/>
      <c r="G912" s="177"/>
      <c r="H912" s="176"/>
      <c r="I912" s="175"/>
      <c r="J912" s="163"/>
      <c r="K912" s="165"/>
      <c r="L912" s="163"/>
      <c r="M912" s="163"/>
      <c r="N912" s="169"/>
      <c r="O912" s="173"/>
      <c r="P912" s="168"/>
    </row>
    <row r="913" ht="15.75" customHeight="1">
      <c r="A913" s="162"/>
      <c r="B913" s="174"/>
      <c r="C913" s="175"/>
      <c r="D913" s="176"/>
      <c r="E913" s="175"/>
      <c r="F913" s="177"/>
      <c r="G913" s="177"/>
      <c r="H913" s="176"/>
      <c r="I913" s="175"/>
      <c r="J913" s="163"/>
      <c r="K913" s="165"/>
      <c r="L913" s="163"/>
      <c r="M913" s="163"/>
      <c r="N913" s="169"/>
      <c r="O913" s="173"/>
      <c r="P913" s="168"/>
    </row>
    <row r="914" ht="15.75" customHeight="1">
      <c r="A914" s="162"/>
      <c r="B914" s="174"/>
      <c r="C914" s="175"/>
      <c r="D914" s="176"/>
      <c r="E914" s="175"/>
      <c r="F914" s="177"/>
      <c r="G914" s="177"/>
      <c r="H914" s="176"/>
      <c r="I914" s="175"/>
      <c r="J914" s="163"/>
      <c r="K914" s="165"/>
      <c r="L914" s="163"/>
      <c r="M914" s="163"/>
      <c r="N914" s="169"/>
      <c r="O914" s="173"/>
      <c r="P914" s="168"/>
    </row>
    <row r="915" ht="15.75" customHeight="1">
      <c r="A915" s="162"/>
      <c r="B915" s="174"/>
      <c r="C915" s="175"/>
      <c r="D915" s="176"/>
      <c r="E915" s="175"/>
      <c r="F915" s="177"/>
      <c r="G915" s="177"/>
      <c r="H915" s="176"/>
      <c r="I915" s="175"/>
      <c r="J915" s="163"/>
      <c r="K915" s="165"/>
      <c r="L915" s="163"/>
      <c r="M915" s="163"/>
      <c r="N915" s="169"/>
      <c r="O915" s="173"/>
      <c r="P915" s="168"/>
    </row>
    <row r="916" ht="15.75" customHeight="1">
      <c r="A916" s="162"/>
      <c r="B916" s="174"/>
      <c r="C916" s="175"/>
      <c r="D916" s="176"/>
      <c r="E916" s="175"/>
      <c r="F916" s="177"/>
      <c r="G916" s="177"/>
      <c r="H916" s="176"/>
      <c r="I916" s="175"/>
      <c r="J916" s="163"/>
      <c r="K916" s="165"/>
      <c r="L916" s="163"/>
      <c r="M916" s="163"/>
      <c r="N916" s="169"/>
      <c r="O916" s="173"/>
      <c r="P916" s="168"/>
    </row>
    <row r="917" ht="15.75" customHeight="1">
      <c r="A917" s="162"/>
      <c r="B917" s="174"/>
      <c r="C917" s="175"/>
      <c r="D917" s="176"/>
      <c r="E917" s="175"/>
      <c r="F917" s="177"/>
      <c r="G917" s="177"/>
      <c r="H917" s="176"/>
      <c r="I917" s="175"/>
      <c r="J917" s="163"/>
      <c r="K917" s="165"/>
      <c r="L917" s="163"/>
      <c r="M917" s="163"/>
      <c r="N917" s="169"/>
      <c r="O917" s="173"/>
      <c r="P917" s="168"/>
    </row>
    <row r="918" ht="15.75" customHeight="1">
      <c r="A918" s="162"/>
      <c r="B918" s="174"/>
      <c r="C918" s="175"/>
      <c r="D918" s="176"/>
      <c r="E918" s="175"/>
      <c r="F918" s="177"/>
      <c r="G918" s="177"/>
      <c r="H918" s="176"/>
      <c r="I918" s="175"/>
      <c r="J918" s="163"/>
      <c r="K918" s="165"/>
      <c r="L918" s="163"/>
      <c r="M918" s="163"/>
      <c r="N918" s="169"/>
      <c r="O918" s="173"/>
      <c r="P918" s="168"/>
    </row>
    <row r="919" ht="15.75" customHeight="1">
      <c r="A919" s="162"/>
      <c r="B919" s="174"/>
      <c r="C919" s="175"/>
      <c r="D919" s="176"/>
      <c r="E919" s="175"/>
      <c r="F919" s="177"/>
      <c r="G919" s="177"/>
      <c r="H919" s="176"/>
      <c r="I919" s="175"/>
      <c r="J919" s="163"/>
      <c r="K919" s="165"/>
      <c r="L919" s="163"/>
      <c r="M919" s="163"/>
      <c r="N919" s="169"/>
      <c r="O919" s="173"/>
      <c r="P919" s="168"/>
    </row>
    <row r="920" ht="15.75" customHeight="1">
      <c r="A920" s="162"/>
      <c r="B920" s="174"/>
      <c r="C920" s="175"/>
      <c r="D920" s="176"/>
      <c r="E920" s="175"/>
      <c r="F920" s="177"/>
      <c r="G920" s="177"/>
      <c r="H920" s="176"/>
      <c r="I920" s="175"/>
      <c r="J920" s="163"/>
      <c r="K920" s="165"/>
      <c r="L920" s="163"/>
      <c r="M920" s="163"/>
      <c r="N920" s="169"/>
      <c r="O920" s="173"/>
      <c r="P920" s="168"/>
    </row>
    <row r="921" ht="15.75" customHeight="1">
      <c r="A921" s="162"/>
      <c r="B921" s="174"/>
      <c r="C921" s="175"/>
      <c r="D921" s="176"/>
      <c r="E921" s="175"/>
      <c r="F921" s="177"/>
      <c r="G921" s="177"/>
      <c r="H921" s="176"/>
      <c r="I921" s="175"/>
      <c r="J921" s="163"/>
      <c r="K921" s="165"/>
      <c r="L921" s="163"/>
      <c r="M921" s="163"/>
      <c r="N921" s="169"/>
      <c r="O921" s="173"/>
      <c r="P921" s="168"/>
    </row>
    <row r="922" ht="15.75" customHeight="1">
      <c r="A922" s="162"/>
      <c r="B922" s="174"/>
      <c r="C922" s="175"/>
      <c r="D922" s="176"/>
      <c r="E922" s="175"/>
      <c r="F922" s="177"/>
      <c r="G922" s="177"/>
      <c r="H922" s="176"/>
      <c r="I922" s="175"/>
      <c r="J922" s="163"/>
      <c r="K922" s="165"/>
      <c r="L922" s="163"/>
      <c r="M922" s="163"/>
      <c r="N922" s="169"/>
      <c r="O922" s="173"/>
      <c r="P922" s="168"/>
    </row>
    <row r="923" ht="15.75" customHeight="1">
      <c r="A923" s="162"/>
      <c r="B923" s="174"/>
      <c r="C923" s="175"/>
      <c r="D923" s="176"/>
      <c r="E923" s="175"/>
      <c r="F923" s="177"/>
      <c r="G923" s="177"/>
      <c r="H923" s="176"/>
      <c r="I923" s="175"/>
      <c r="J923" s="163"/>
      <c r="K923" s="165"/>
      <c r="L923" s="163"/>
      <c r="M923" s="163"/>
      <c r="N923" s="169"/>
      <c r="O923" s="173"/>
      <c r="P923" s="168"/>
    </row>
    <row r="924" ht="15.75" customHeight="1">
      <c r="A924" s="162"/>
      <c r="B924" s="174"/>
      <c r="C924" s="175"/>
      <c r="D924" s="176"/>
      <c r="E924" s="175"/>
      <c r="F924" s="177"/>
      <c r="G924" s="177"/>
      <c r="H924" s="176"/>
      <c r="I924" s="175"/>
      <c r="J924" s="163"/>
      <c r="K924" s="165"/>
      <c r="L924" s="163"/>
      <c r="M924" s="163"/>
      <c r="N924" s="169"/>
      <c r="O924" s="173"/>
      <c r="P924" s="168"/>
    </row>
    <row r="925" ht="15.75" customHeight="1">
      <c r="A925" s="162"/>
      <c r="B925" s="174"/>
      <c r="C925" s="175"/>
      <c r="D925" s="176"/>
      <c r="E925" s="175"/>
      <c r="F925" s="177"/>
      <c r="G925" s="177"/>
      <c r="H925" s="176"/>
      <c r="I925" s="175"/>
      <c r="J925" s="163"/>
      <c r="K925" s="165"/>
      <c r="L925" s="163"/>
      <c r="M925" s="163"/>
      <c r="N925" s="169"/>
      <c r="O925" s="173"/>
      <c r="P925" s="168"/>
    </row>
    <row r="926" ht="15.75" customHeight="1">
      <c r="A926" s="162"/>
      <c r="B926" s="174"/>
      <c r="C926" s="175"/>
      <c r="D926" s="176"/>
      <c r="E926" s="175"/>
      <c r="F926" s="177"/>
      <c r="G926" s="177"/>
      <c r="H926" s="176"/>
      <c r="I926" s="175"/>
      <c r="J926" s="163"/>
      <c r="K926" s="165"/>
      <c r="L926" s="163"/>
      <c r="M926" s="163"/>
      <c r="N926" s="169"/>
      <c r="O926" s="173"/>
      <c r="P926" s="168"/>
    </row>
    <row r="927" ht="15.75" customHeight="1">
      <c r="A927" s="162"/>
      <c r="B927" s="174"/>
      <c r="C927" s="175"/>
      <c r="D927" s="176"/>
      <c r="E927" s="175"/>
      <c r="F927" s="177"/>
      <c r="G927" s="177"/>
      <c r="H927" s="176"/>
      <c r="I927" s="175"/>
      <c r="J927" s="163"/>
      <c r="K927" s="165"/>
      <c r="L927" s="163"/>
      <c r="M927" s="163"/>
      <c r="N927" s="169"/>
      <c r="O927" s="173"/>
      <c r="P927" s="168"/>
    </row>
    <row r="928" ht="15.75" customHeight="1">
      <c r="A928" s="162"/>
      <c r="B928" s="174"/>
      <c r="C928" s="175"/>
      <c r="D928" s="176"/>
      <c r="E928" s="175"/>
      <c r="F928" s="177"/>
      <c r="G928" s="177"/>
      <c r="H928" s="176"/>
      <c r="I928" s="175"/>
      <c r="J928" s="163"/>
      <c r="K928" s="165"/>
      <c r="L928" s="163"/>
      <c r="M928" s="163"/>
      <c r="N928" s="169"/>
      <c r="O928" s="173"/>
      <c r="P928" s="168"/>
    </row>
    <row r="929" ht="15.75" customHeight="1">
      <c r="A929" s="162"/>
      <c r="B929" s="174"/>
      <c r="C929" s="175"/>
      <c r="D929" s="176"/>
      <c r="E929" s="175"/>
      <c r="F929" s="177"/>
      <c r="G929" s="177"/>
      <c r="H929" s="176"/>
      <c r="I929" s="175"/>
      <c r="J929" s="163"/>
      <c r="K929" s="165"/>
      <c r="L929" s="163"/>
      <c r="M929" s="163"/>
      <c r="N929" s="169"/>
      <c r="O929" s="173"/>
      <c r="P929" s="168"/>
    </row>
    <row r="930" ht="15.75" customHeight="1">
      <c r="A930" s="162"/>
      <c r="B930" s="174"/>
      <c r="C930" s="175"/>
      <c r="D930" s="176"/>
      <c r="E930" s="175"/>
      <c r="F930" s="177"/>
      <c r="G930" s="177"/>
      <c r="H930" s="176"/>
      <c r="I930" s="175"/>
      <c r="J930" s="163"/>
      <c r="K930" s="165"/>
      <c r="L930" s="163"/>
      <c r="M930" s="163"/>
      <c r="N930" s="169"/>
      <c r="O930" s="173"/>
      <c r="P930" s="168"/>
    </row>
    <row r="931" ht="15.75" customHeight="1">
      <c r="A931" s="162"/>
      <c r="B931" s="174"/>
      <c r="C931" s="175"/>
      <c r="D931" s="176"/>
      <c r="E931" s="175"/>
      <c r="F931" s="177"/>
      <c r="G931" s="177"/>
      <c r="H931" s="176"/>
      <c r="I931" s="175"/>
      <c r="J931" s="163"/>
      <c r="K931" s="165"/>
      <c r="L931" s="163"/>
      <c r="M931" s="163"/>
      <c r="N931" s="169"/>
      <c r="O931" s="173"/>
      <c r="P931" s="168"/>
    </row>
    <row r="932" ht="15.75" customHeight="1">
      <c r="A932" s="162"/>
      <c r="B932" s="174"/>
      <c r="C932" s="175"/>
      <c r="D932" s="176"/>
      <c r="E932" s="175"/>
      <c r="F932" s="177"/>
      <c r="G932" s="177"/>
      <c r="H932" s="176"/>
      <c r="I932" s="175"/>
      <c r="J932" s="163"/>
      <c r="K932" s="165"/>
      <c r="L932" s="163"/>
      <c r="M932" s="163"/>
      <c r="N932" s="169"/>
      <c r="O932" s="173"/>
      <c r="P932" s="168"/>
    </row>
    <row r="933" ht="15.75" customHeight="1">
      <c r="A933" s="162"/>
      <c r="B933" s="174"/>
      <c r="C933" s="175"/>
      <c r="D933" s="176"/>
      <c r="E933" s="175"/>
      <c r="F933" s="177"/>
      <c r="G933" s="177"/>
      <c r="H933" s="176"/>
      <c r="I933" s="175"/>
      <c r="J933" s="163"/>
      <c r="K933" s="165"/>
      <c r="L933" s="163"/>
      <c r="M933" s="163"/>
      <c r="N933" s="169"/>
      <c r="O933" s="173"/>
      <c r="P933" s="168"/>
    </row>
    <row r="934" ht="15.75" customHeight="1">
      <c r="A934" s="162"/>
      <c r="B934" s="174"/>
      <c r="C934" s="175"/>
      <c r="D934" s="176"/>
      <c r="E934" s="175"/>
      <c r="F934" s="177"/>
      <c r="G934" s="177"/>
      <c r="H934" s="176"/>
      <c r="I934" s="175"/>
      <c r="J934" s="163"/>
      <c r="K934" s="165"/>
      <c r="L934" s="163"/>
      <c r="M934" s="163"/>
      <c r="N934" s="169"/>
      <c r="O934" s="173"/>
      <c r="P934" s="168"/>
    </row>
    <row r="935" ht="15.75" customHeight="1">
      <c r="A935" s="162"/>
      <c r="B935" s="174"/>
      <c r="C935" s="175"/>
      <c r="D935" s="176"/>
      <c r="E935" s="175"/>
      <c r="F935" s="177"/>
      <c r="G935" s="177"/>
      <c r="H935" s="176"/>
      <c r="I935" s="175"/>
      <c r="J935" s="163"/>
      <c r="K935" s="165"/>
      <c r="L935" s="163"/>
      <c r="M935" s="163"/>
      <c r="N935" s="169"/>
      <c r="O935" s="173"/>
      <c r="P935" s="168"/>
    </row>
    <row r="936" ht="15.75" customHeight="1">
      <c r="A936" s="162"/>
      <c r="B936" s="174"/>
      <c r="C936" s="175"/>
      <c r="D936" s="176"/>
      <c r="E936" s="175"/>
      <c r="F936" s="177"/>
      <c r="G936" s="177"/>
      <c r="H936" s="176"/>
      <c r="I936" s="175"/>
      <c r="J936" s="163"/>
      <c r="K936" s="165"/>
      <c r="L936" s="163"/>
      <c r="M936" s="163"/>
      <c r="N936" s="169"/>
      <c r="O936" s="173"/>
      <c r="P936" s="168"/>
    </row>
    <row r="937" ht="15.75" customHeight="1">
      <c r="A937" s="162"/>
      <c r="B937" s="174"/>
      <c r="C937" s="175"/>
      <c r="D937" s="176"/>
      <c r="E937" s="175"/>
      <c r="F937" s="177"/>
      <c r="G937" s="177"/>
      <c r="H937" s="176"/>
      <c r="I937" s="175"/>
      <c r="J937" s="163"/>
      <c r="K937" s="165"/>
      <c r="L937" s="163"/>
      <c r="M937" s="163"/>
      <c r="N937" s="169"/>
      <c r="O937" s="173"/>
      <c r="P937" s="168"/>
    </row>
    <row r="938" ht="15.75" customHeight="1">
      <c r="A938" s="162"/>
      <c r="B938" s="174"/>
      <c r="C938" s="175"/>
      <c r="D938" s="176"/>
      <c r="E938" s="175"/>
      <c r="F938" s="177"/>
      <c r="G938" s="177"/>
      <c r="H938" s="176"/>
      <c r="I938" s="175"/>
      <c r="J938" s="163"/>
      <c r="K938" s="165"/>
      <c r="L938" s="163"/>
      <c r="M938" s="163"/>
      <c r="N938" s="169"/>
      <c r="O938" s="173"/>
      <c r="P938" s="168"/>
    </row>
    <row r="939" ht="15.75" customHeight="1">
      <c r="A939" s="162"/>
      <c r="B939" s="174"/>
      <c r="C939" s="175"/>
      <c r="D939" s="176"/>
      <c r="E939" s="175"/>
      <c r="F939" s="177"/>
      <c r="G939" s="177"/>
      <c r="H939" s="176"/>
      <c r="I939" s="175"/>
      <c r="J939" s="163"/>
      <c r="K939" s="165"/>
      <c r="L939" s="163"/>
      <c r="M939" s="163"/>
      <c r="N939" s="169"/>
      <c r="O939" s="173"/>
      <c r="P939" s="168"/>
    </row>
    <row r="940" ht="15.75" customHeight="1">
      <c r="A940" s="162"/>
      <c r="B940" s="174"/>
      <c r="C940" s="175"/>
      <c r="D940" s="176"/>
      <c r="E940" s="175"/>
      <c r="F940" s="177"/>
      <c r="G940" s="177"/>
      <c r="H940" s="176"/>
      <c r="I940" s="175"/>
      <c r="J940" s="163"/>
      <c r="K940" s="165"/>
      <c r="L940" s="163"/>
      <c r="M940" s="163"/>
      <c r="N940" s="169"/>
      <c r="O940" s="173"/>
      <c r="P940" s="168"/>
    </row>
    <row r="941" ht="15.75" customHeight="1">
      <c r="A941" s="162"/>
      <c r="B941" s="174"/>
      <c r="C941" s="175"/>
      <c r="D941" s="176"/>
      <c r="E941" s="175"/>
      <c r="F941" s="177"/>
      <c r="G941" s="177"/>
      <c r="H941" s="176"/>
      <c r="I941" s="175"/>
      <c r="J941" s="163"/>
      <c r="K941" s="165"/>
      <c r="L941" s="163"/>
      <c r="M941" s="163"/>
      <c r="N941" s="169"/>
      <c r="O941" s="173"/>
      <c r="P941" s="168"/>
    </row>
    <row r="942" ht="15.75" customHeight="1">
      <c r="A942" s="162"/>
      <c r="B942" s="174"/>
      <c r="C942" s="175"/>
      <c r="D942" s="176"/>
      <c r="E942" s="175"/>
      <c r="F942" s="177"/>
      <c r="G942" s="177"/>
      <c r="H942" s="176"/>
      <c r="I942" s="175"/>
      <c r="J942" s="163"/>
      <c r="K942" s="165"/>
      <c r="L942" s="163"/>
      <c r="M942" s="163"/>
      <c r="N942" s="169"/>
      <c r="O942" s="173"/>
      <c r="P942" s="168"/>
    </row>
    <row r="943" ht="15.75" customHeight="1">
      <c r="A943" s="162"/>
      <c r="B943" s="174"/>
      <c r="C943" s="175"/>
      <c r="D943" s="176"/>
      <c r="E943" s="175"/>
      <c r="F943" s="177"/>
      <c r="G943" s="177"/>
      <c r="H943" s="176"/>
      <c r="I943" s="175"/>
      <c r="J943" s="163"/>
      <c r="K943" s="165"/>
      <c r="L943" s="163"/>
      <c r="M943" s="163"/>
      <c r="N943" s="169"/>
      <c r="O943" s="173"/>
      <c r="P943" s="168"/>
    </row>
    <row r="944" ht="15.75" customHeight="1">
      <c r="A944" s="162"/>
      <c r="B944" s="174"/>
      <c r="C944" s="175"/>
      <c r="D944" s="176"/>
      <c r="E944" s="175"/>
      <c r="F944" s="177"/>
      <c r="G944" s="177"/>
      <c r="H944" s="176"/>
      <c r="I944" s="175"/>
      <c r="J944" s="163"/>
      <c r="K944" s="165"/>
      <c r="L944" s="163"/>
      <c r="M944" s="163"/>
      <c r="N944" s="169"/>
      <c r="O944" s="173"/>
      <c r="P944" s="168"/>
    </row>
    <row r="945" ht="15.75" customHeight="1">
      <c r="A945" s="162"/>
      <c r="B945" s="174"/>
      <c r="C945" s="175"/>
      <c r="D945" s="176"/>
      <c r="E945" s="175"/>
      <c r="F945" s="177"/>
      <c r="G945" s="177"/>
      <c r="H945" s="176"/>
      <c r="I945" s="175"/>
      <c r="J945" s="163"/>
      <c r="K945" s="165"/>
      <c r="L945" s="163"/>
      <c r="M945" s="163"/>
      <c r="N945" s="169"/>
      <c r="O945" s="173"/>
      <c r="P945" s="168"/>
    </row>
    <row r="946" ht="15.75" customHeight="1">
      <c r="A946" s="162"/>
      <c r="B946" s="174"/>
      <c r="C946" s="175"/>
      <c r="D946" s="176"/>
      <c r="E946" s="175"/>
      <c r="F946" s="177"/>
      <c r="G946" s="177"/>
      <c r="H946" s="176"/>
      <c r="I946" s="175"/>
      <c r="J946" s="163"/>
      <c r="K946" s="165"/>
      <c r="L946" s="163"/>
      <c r="M946" s="163"/>
      <c r="N946" s="169"/>
      <c r="O946" s="173"/>
      <c r="P946" s="168"/>
    </row>
    <row r="947" ht="15.75" customHeight="1">
      <c r="A947" s="162"/>
      <c r="B947" s="174"/>
      <c r="C947" s="175"/>
      <c r="D947" s="176"/>
      <c r="E947" s="175"/>
      <c r="F947" s="177"/>
      <c r="G947" s="177"/>
      <c r="H947" s="176"/>
      <c r="I947" s="175"/>
      <c r="J947" s="163"/>
      <c r="K947" s="165"/>
      <c r="L947" s="163"/>
      <c r="M947" s="163"/>
      <c r="N947" s="169"/>
      <c r="O947" s="173"/>
      <c r="P947" s="168"/>
    </row>
    <row r="948" ht="15.75" customHeight="1">
      <c r="A948" s="162"/>
      <c r="B948" s="174"/>
      <c r="C948" s="175"/>
      <c r="D948" s="176"/>
      <c r="E948" s="175"/>
      <c r="F948" s="177"/>
      <c r="G948" s="177"/>
      <c r="H948" s="176"/>
      <c r="I948" s="175"/>
      <c r="J948" s="163"/>
      <c r="K948" s="165"/>
      <c r="L948" s="163"/>
      <c r="M948" s="163"/>
      <c r="N948" s="169"/>
      <c r="O948" s="173"/>
      <c r="P948" s="168"/>
    </row>
    <row r="949" ht="15.75" customHeight="1">
      <c r="A949" s="162"/>
      <c r="B949" s="174"/>
      <c r="C949" s="175"/>
      <c r="D949" s="176"/>
      <c r="E949" s="175"/>
      <c r="F949" s="177"/>
      <c r="G949" s="177"/>
      <c r="H949" s="176"/>
      <c r="I949" s="175"/>
      <c r="J949" s="163"/>
      <c r="K949" s="165"/>
      <c r="L949" s="163"/>
      <c r="M949" s="163"/>
      <c r="N949" s="169"/>
      <c r="O949" s="173"/>
      <c r="P949" s="168"/>
    </row>
    <row r="950" ht="15.75" customHeight="1">
      <c r="A950" s="162"/>
      <c r="B950" s="174"/>
      <c r="C950" s="175"/>
      <c r="D950" s="176"/>
      <c r="E950" s="175"/>
      <c r="F950" s="177"/>
      <c r="G950" s="177"/>
      <c r="H950" s="176"/>
      <c r="I950" s="175"/>
      <c r="J950" s="163"/>
      <c r="K950" s="165"/>
      <c r="L950" s="163"/>
      <c r="M950" s="163"/>
      <c r="N950" s="169"/>
      <c r="O950" s="173"/>
      <c r="P950" s="168"/>
    </row>
    <row r="951" ht="15.75" customHeight="1">
      <c r="A951" s="162"/>
      <c r="B951" s="174"/>
      <c r="C951" s="175"/>
      <c r="D951" s="176"/>
      <c r="E951" s="175"/>
      <c r="F951" s="177"/>
      <c r="G951" s="177"/>
      <c r="H951" s="176"/>
      <c r="I951" s="175"/>
      <c r="J951" s="163"/>
      <c r="K951" s="165"/>
      <c r="L951" s="163"/>
      <c r="M951" s="163"/>
      <c r="N951" s="169"/>
      <c r="O951" s="173"/>
      <c r="P951" s="168"/>
    </row>
    <row r="952" ht="15.75" customHeight="1">
      <c r="A952" s="162"/>
      <c r="B952" s="174"/>
      <c r="C952" s="175"/>
      <c r="D952" s="176"/>
      <c r="E952" s="175"/>
      <c r="F952" s="177"/>
      <c r="G952" s="177"/>
      <c r="H952" s="176"/>
      <c r="I952" s="175"/>
      <c r="J952" s="163"/>
      <c r="K952" s="165"/>
      <c r="L952" s="163"/>
      <c r="M952" s="163"/>
      <c r="N952" s="169"/>
      <c r="O952" s="173"/>
      <c r="P952" s="168"/>
    </row>
    <row r="953" ht="15.75" customHeight="1">
      <c r="A953" s="162"/>
      <c r="B953" s="174"/>
      <c r="C953" s="175"/>
      <c r="D953" s="176"/>
      <c r="E953" s="175"/>
      <c r="F953" s="177"/>
      <c r="G953" s="177"/>
      <c r="H953" s="176"/>
      <c r="I953" s="175"/>
      <c r="J953" s="163"/>
      <c r="K953" s="165"/>
      <c r="L953" s="163"/>
      <c r="M953" s="163"/>
      <c r="N953" s="169"/>
      <c r="O953" s="173"/>
      <c r="P953" s="168"/>
    </row>
    <row r="954" ht="15.75" customHeight="1">
      <c r="A954" s="162"/>
      <c r="B954" s="174"/>
      <c r="C954" s="175"/>
      <c r="D954" s="176"/>
      <c r="E954" s="175"/>
      <c r="F954" s="177"/>
      <c r="G954" s="177"/>
      <c r="H954" s="176"/>
      <c r="I954" s="175"/>
      <c r="J954" s="163"/>
      <c r="K954" s="165"/>
      <c r="L954" s="163"/>
      <c r="M954" s="163"/>
      <c r="N954" s="169"/>
      <c r="O954" s="173"/>
      <c r="P954" s="168"/>
    </row>
    <row r="955" ht="15.75" customHeight="1">
      <c r="A955" s="162"/>
      <c r="B955" s="174"/>
      <c r="C955" s="175"/>
      <c r="D955" s="176"/>
      <c r="E955" s="175"/>
      <c r="F955" s="177"/>
      <c r="G955" s="177"/>
      <c r="H955" s="176"/>
      <c r="I955" s="175"/>
      <c r="J955" s="163"/>
      <c r="K955" s="165"/>
      <c r="L955" s="163"/>
      <c r="M955" s="163"/>
      <c r="N955" s="169"/>
      <c r="O955" s="173"/>
      <c r="P955" s="168"/>
    </row>
    <row r="956" ht="15.75" customHeight="1">
      <c r="A956" s="162"/>
      <c r="B956" s="174"/>
      <c r="C956" s="175"/>
      <c r="D956" s="176"/>
      <c r="E956" s="175"/>
      <c r="F956" s="177"/>
      <c r="G956" s="177"/>
      <c r="H956" s="176"/>
      <c r="I956" s="175"/>
      <c r="J956" s="163"/>
      <c r="K956" s="165"/>
      <c r="L956" s="163"/>
      <c r="M956" s="163"/>
      <c r="N956" s="169"/>
      <c r="O956" s="173"/>
      <c r="P956" s="168"/>
    </row>
    <row r="957" ht="15.75" customHeight="1">
      <c r="A957" s="162"/>
      <c r="B957" s="174"/>
      <c r="C957" s="175"/>
      <c r="D957" s="176"/>
      <c r="E957" s="175"/>
      <c r="F957" s="177"/>
      <c r="G957" s="177"/>
      <c r="H957" s="176"/>
      <c r="I957" s="175"/>
      <c r="J957" s="163"/>
      <c r="K957" s="165"/>
      <c r="L957" s="163"/>
      <c r="M957" s="163"/>
      <c r="N957" s="169"/>
      <c r="O957" s="173"/>
      <c r="P957" s="168"/>
    </row>
    <row r="958" ht="15.75" customHeight="1">
      <c r="A958" s="162"/>
      <c r="B958" s="174"/>
      <c r="C958" s="175"/>
      <c r="D958" s="176"/>
      <c r="E958" s="175"/>
      <c r="F958" s="177"/>
      <c r="G958" s="177"/>
      <c r="H958" s="176"/>
      <c r="I958" s="175"/>
      <c r="J958" s="163"/>
      <c r="K958" s="165"/>
      <c r="L958" s="163"/>
      <c r="M958" s="163"/>
      <c r="N958" s="169"/>
      <c r="O958" s="173"/>
      <c r="P958" s="168"/>
    </row>
    <row r="959" ht="15.75" customHeight="1">
      <c r="A959" s="162"/>
      <c r="B959" s="174"/>
      <c r="C959" s="175"/>
      <c r="D959" s="176"/>
      <c r="E959" s="175"/>
      <c r="F959" s="177"/>
      <c r="G959" s="177"/>
      <c r="H959" s="176"/>
      <c r="I959" s="175"/>
      <c r="J959" s="163"/>
      <c r="K959" s="165"/>
      <c r="L959" s="163"/>
      <c r="M959" s="163"/>
      <c r="N959" s="169"/>
      <c r="O959" s="173"/>
      <c r="P959" s="168"/>
    </row>
    <row r="960" ht="15.75" customHeight="1">
      <c r="A960" s="162"/>
      <c r="B960" s="174"/>
      <c r="C960" s="175"/>
      <c r="D960" s="176"/>
      <c r="E960" s="175"/>
      <c r="F960" s="177"/>
      <c r="G960" s="177"/>
      <c r="H960" s="176"/>
      <c r="I960" s="175"/>
      <c r="J960" s="163"/>
      <c r="K960" s="165"/>
      <c r="L960" s="163"/>
      <c r="M960" s="163"/>
      <c r="N960" s="169"/>
      <c r="O960" s="173"/>
      <c r="P960" s="168"/>
    </row>
    <row r="961" ht="15.75" customHeight="1">
      <c r="A961" s="162"/>
      <c r="B961" s="174"/>
      <c r="C961" s="175"/>
      <c r="D961" s="176"/>
      <c r="E961" s="175"/>
      <c r="F961" s="177"/>
      <c r="G961" s="177"/>
      <c r="H961" s="176"/>
      <c r="I961" s="175"/>
      <c r="J961" s="163"/>
      <c r="K961" s="165"/>
      <c r="L961" s="163"/>
      <c r="M961" s="163"/>
      <c r="N961" s="169"/>
      <c r="O961" s="173"/>
      <c r="P961" s="168"/>
    </row>
    <row r="962" ht="15.75" customHeight="1">
      <c r="A962" s="162"/>
      <c r="B962" s="174"/>
      <c r="C962" s="175"/>
      <c r="D962" s="176"/>
      <c r="E962" s="175"/>
      <c r="F962" s="177"/>
      <c r="G962" s="177"/>
      <c r="H962" s="176"/>
      <c r="I962" s="175"/>
      <c r="J962" s="163"/>
      <c r="K962" s="165"/>
      <c r="L962" s="163"/>
      <c r="M962" s="163"/>
      <c r="N962" s="169"/>
      <c r="O962" s="173"/>
      <c r="P962" s="168"/>
    </row>
    <row r="963" ht="15.75" customHeight="1">
      <c r="A963" s="162"/>
      <c r="B963" s="174"/>
      <c r="C963" s="175"/>
      <c r="D963" s="176"/>
      <c r="E963" s="175"/>
      <c r="F963" s="177"/>
      <c r="G963" s="177"/>
      <c r="H963" s="176"/>
      <c r="I963" s="175"/>
      <c r="J963" s="163"/>
      <c r="K963" s="165"/>
      <c r="L963" s="163"/>
      <c r="M963" s="163"/>
      <c r="N963" s="169"/>
      <c r="O963" s="173"/>
      <c r="P963" s="168"/>
    </row>
    <row r="964" ht="15.75" customHeight="1">
      <c r="A964" s="162"/>
      <c r="B964" s="174"/>
      <c r="C964" s="175"/>
      <c r="D964" s="176"/>
      <c r="E964" s="175"/>
      <c r="F964" s="177"/>
      <c r="G964" s="177"/>
      <c r="H964" s="176"/>
      <c r="I964" s="175"/>
      <c r="J964" s="163"/>
      <c r="K964" s="165"/>
      <c r="L964" s="163"/>
      <c r="M964" s="163"/>
      <c r="N964" s="169"/>
      <c r="O964" s="173"/>
      <c r="P964" s="168"/>
    </row>
    <row r="965" ht="15.75" customHeight="1">
      <c r="A965" s="162"/>
      <c r="B965" s="174"/>
      <c r="C965" s="175"/>
      <c r="D965" s="176"/>
      <c r="E965" s="175"/>
      <c r="F965" s="177"/>
      <c r="G965" s="177"/>
      <c r="H965" s="176"/>
      <c r="I965" s="175"/>
      <c r="J965" s="163"/>
      <c r="K965" s="165"/>
      <c r="L965" s="163"/>
      <c r="M965" s="163"/>
      <c r="N965" s="169"/>
      <c r="O965" s="173"/>
      <c r="P965" s="168"/>
    </row>
    <row r="966" ht="15.75" customHeight="1">
      <c r="A966" s="162"/>
      <c r="B966" s="174"/>
      <c r="C966" s="175"/>
      <c r="D966" s="176"/>
      <c r="E966" s="175"/>
      <c r="F966" s="177"/>
      <c r="G966" s="177"/>
      <c r="H966" s="176"/>
      <c r="I966" s="175"/>
      <c r="J966" s="163"/>
      <c r="K966" s="165"/>
      <c r="L966" s="163"/>
      <c r="M966" s="163"/>
      <c r="N966" s="169"/>
      <c r="O966" s="173"/>
      <c r="P966" s="168"/>
    </row>
    <row r="967" ht="15.75" customHeight="1">
      <c r="A967" s="162"/>
      <c r="B967" s="174"/>
      <c r="C967" s="175"/>
      <c r="D967" s="176"/>
      <c r="E967" s="175"/>
      <c r="F967" s="177"/>
      <c r="G967" s="177"/>
      <c r="H967" s="176"/>
      <c r="I967" s="175"/>
      <c r="J967" s="163"/>
      <c r="K967" s="165"/>
      <c r="L967" s="163"/>
      <c r="M967" s="163"/>
      <c r="N967" s="169"/>
      <c r="O967" s="173"/>
      <c r="P967" s="168"/>
    </row>
    <row r="968" ht="15.75" customHeight="1">
      <c r="A968" s="162"/>
      <c r="B968" s="174"/>
      <c r="C968" s="175"/>
      <c r="D968" s="176"/>
      <c r="E968" s="175"/>
      <c r="F968" s="177"/>
      <c r="G968" s="177"/>
      <c r="H968" s="176"/>
      <c r="I968" s="175"/>
      <c r="J968" s="163"/>
      <c r="K968" s="165"/>
      <c r="L968" s="163"/>
      <c r="M968" s="163"/>
      <c r="N968" s="169"/>
      <c r="O968" s="173"/>
      <c r="P968" s="168"/>
    </row>
    <row r="969" ht="15.75" customHeight="1">
      <c r="A969" s="162"/>
      <c r="B969" s="174"/>
      <c r="C969" s="175"/>
      <c r="D969" s="176"/>
      <c r="E969" s="175"/>
      <c r="F969" s="177"/>
      <c r="G969" s="177"/>
      <c r="H969" s="176"/>
      <c r="I969" s="175"/>
      <c r="J969" s="163"/>
      <c r="K969" s="165"/>
      <c r="L969" s="163"/>
      <c r="M969" s="163"/>
      <c r="N969" s="169"/>
      <c r="O969" s="173"/>
      <c r="P969" s="168"/>
    </row>
    <row r="970" ht="15.75" customHeight="1">
      <c r="A970" s="162"/>
      <c r="B970" s="174"/>
      <c r="C970" s="175"/>
      <c r="D970" s="176"/>
      <c r="E970" s="175"/>
      <c r="F970" s="177"/>
      <c r="G970" s="177"/>
      <c r="H970" s="176"/>
      <c r="I970" s="175"/>
      <c r="J970" s="163"/>
      <c r="K970" s="165"/>
      <c r="L970" s="163"/>
      <c r="M970" s="163"/>
      <c r="N970" s="169"/>
      <c r="O970" s="173"/>
      <c r="P970" s="168"/>
    </row>
    <row r="971" ht="15.75" customHeight="1">
      <c r="A971" s="162"/>
      <c r="B971" s="174"/>
      <c r="C971" s="175"/>
      <c r="D971" s="176"/>
      <c r="E971" s="175"/>
      <c r="F971" s="177"/>
      <c r="G971" s="177"/>
      <c r="H971" s="176"/>
      <c r="I971" s="175"/>
      <c r="J971" s="163"/>
      <c r="K971" s="165"/>
      <c r="L971" s="163"/>
      <c r="M971" s="163"/>
      <c r="N971" s="169"/>
      <c r="O971" s="173"/>
      <c r="P971" s="168"/>
    </row>
    <row r="972" ht="15.75" customHeight="1">
      <c r="A972" s="162"/>
      <c r="B972" s="174"/>
      <c r="C972" s="175"/>
      <c r="D972" s="176"/>
      <c r="E972" s="175"/>
      <c r="F972" s="177"/>
      <c r="G972" s="177"/>
      <c r="H972" s="176"/>
      <c r="I972" s="175"/>
      <c r="J972" s="163"/>
      <c r="K972" s="165"/>
      <c r="L972" s="163"/>
      <c r="M972" s="163"/>
      <c r="N972" s="169"/>
      <c r="O972" s="173"/>
      <c r="P972" s="168"/>
    </row>
    <row r="973" ht="15.75" customHeight="1">
      <c r="A973" s="162"/>
      <c r="B973" s="174"/>
      <c r="C973" s="175"/>
      <c r="D973" s="176"/>
      <c r="E973" s="175"/>
      <c r="F973" s="177"/>
      <c r="G973" s="177"/>
      <c r="H973" s="176"/>
      <c r="I973" s="175"/>
      <c r="J973" s="163"/>
      <c r="K973" s="165"/>
      <c r="L973" s="163"/>
      <c r="M973" s="163"/>
      <c r="N973" s="169"/>
      <c r="O973" s="173"/>
      <c r="P973" s="168"/>
    </row>
    <row r="974" ht="15.75" customHeight="1">
      <c r="A974" s="162"/>
      <c r="B974" s="174"/>
      <c r="C974" s="175"/>
      <c r="D974" s="176"/>
      <c r="E974" s="175"/>
      <c r="F974" s="177"/>
      <c r="G974" s="177"/>
      <c r="H974" s="176"/>
      <c r="I974" s="175"/>
      <c r="J974" s="163"/>
      <c r="K974" s="165"/>
      <c r="L974" s="163"/>
      <c r="M974" s="163"/>
      <c r="N974" s="169"/>
      <c r="O974" s="173"/>
      <c r="P974" s="168"/>
    </row>
    <row r="975" ht="15.75" customHeight="1">
      <c r="A975" s="162"/>
      <c r="B975" s="174"/>
      <c r="C975" s="175"/>
      <c r="D975" s="176"/>
      <c r="E975" s="175"/>
      <c r="F975" s="177"/>
      <c r="G975" s="177"/>
      <c r="H975" s="176"/>
      <c r="I975" s="175"/>
      <c r="J975" s="163"/>
      <c r="K975" s="165"/>
      <c r="L975" s="163"/>
      <c r="M975" s="163"/>
      <c r="N975" s="169"/>
      <c r="O975" s="173"/>
      <c r="P975" s="168"/>
    </row>
    <row r="976" ht="15.75" customHeight="1">
      <c r="A976" s="162"/>
      <c r="B976" s="174"/>
      <c r="C976" s="175"/>
      <c r="D976" s="176"/>
      <c r="E976" s="175"/>
      <c r="F976" s="177"/>
      <c r="G976" s="177"/>
      <c r="H976" s="176"/>
      <c r="I976" s="175"/>
      <c r="J976" s="163"/>
      <c r="K976" s="165"/>
      <c r="L976" s="163"/>
      <c r="M976" s="163"/>
      <c r="N976" s="169"/>
      <c r="O976" s="173"/>
      <c r="P976" s="168"/>
    </row>
    <row r="977" ht="15.75" customHeight="1">
      <c r="A977" s="162"/>
      <c r="B977" s="174"/>
      <c r="C977" s="175"/>
      <c r="D977" s="176"/>
      <c r="E977" s="175"/>
      <c r="F977" s="177"/>
      <c r="G977" s="177"/>
      <c r="H977" s="176"/>
      <c r="I977" s="175"/>
      <c r="J977" s="163"/>
      <c r="K977" s="165"/>
      <c r="L977" s="163"/>
      <c r="M977" s="163"/>
      <c r="N977" s="169"/>
      <c r="O977" s="173"/>
      <c r="P977" s="168"/>
    </row>
    <row r="978" ht="15.75" customHeight="1">
      <c r="A978" s="162"/>
      <c r="B978" s="174"/>
      <c r="C978" s="175"/>
      <c r="D978" s="176"/>
      <c r="E978" s="175"/>
      <c r="F978" s="177"/>
      <c r="G978" s="177"/>
      <c r="H978" s="176"/>
      <c r="I978" s="175"/>
      <c r="J978" s="163"/>
      <c r="K978" s="165"/>
      <c r="L978" s="163"/>
      <c r="M978" s="163"/>
      <c r="N978" s="169"/>
      <c r="O978" s="173"/>
      <c r="P978" s="168"/>
    </row>
    <row r="979" ht="15.75" customHeight="1">
      <c r="A979" s="162"/>
      <c r="B979" s="174"/>
      <c r="C979" s="175"/>
      <c r="D979" s="176"/>
      <c r="E979" s="175"/>
      <c r="F979" s="177"/>
      <c r="G979" s="177"/>
      <c r="H979" s="176"/>
      <c r="I979" s="175"/>
      <c r="J979" s="163"/>
      <c r="K979" s="165"/>
      <c r="L979" s="163"/>
      <c r="M979" s="163"/>
      <c r="N979" s="169"/>
      <c r="O979" s="173"/>
      <c r="P979" s="168"/>
    </row>
    <row r="980" ht="15.75" customHeight="1">
      <c r="A980" s="162"/>
      <c r="B980" s="174"/>
      <c r="C980" s="175"/>
      <c r="D980" s="176"/>
      <c r="E980" s="175"/>
      <c r="F980" s="177"/>
      <c r="G980" s="177"/>
      <c r="H980" s="176"/>
      <c r="I980" s="175"/>
      <c r="J980" s="163"/>
      <c r="K980" s="165"/>
      <c r="L980" s="163"/>
      <c r="M980" s="163"/>
      <c r="N980" s="169"/>
      <c r="O980" s="173"/>
      <c r="P980" s="168"/>
    </row>
    <row r="981" ht="15.75" customHeight="1">
      <c r="A981" s="162"/>
      <c r="B981" s="174"/>
      <c r="C981" s="175"/>
      <c r="D981" s="176"/>
      <c r="E981" s="175"/>
      <c r="F981" s="177"/>
      <c r="G981" s="177"/>
      <c r="H981" s="176"/>
      <c r="I981" s="175"/>
      <c r="J981" s="163"/>
      <c r="K981" s="165"/>
      <c r="L981" s="163"/>
      <c r="M981" s="163"/>
      <c r="N981" s="169"/>
      <c r="O981" s="173"/>
      <c r="P981" s="168"/>
    </row>
    <row r="982" ht="15.75" customHeight="1">
      <c r="A982" s="162"/>
      <c r="B982" s="174"/>
      <c r="C982" s="175"/>
      <c r="D982" s="176"/>
      <c r="E982" s="175"/>
      <c r="F982" s="177"/>
      <c r="G982" s="177"/>
      <c r="H982" s="176"/>
      <c r="I982" s="175"/>
      <c r="J982" s="163"/>
      <c r="K982" s="165"/>
      <c r="L982" s="163"/>
      <c r="M982" s="163"/>
      <c r="N982" s="169"/>
      <c r="O982" s="173"/>
      <c r="P982" s="168"/>
    </row>
    <row r="983" ht="15.75" customHeight="1">
      <c r="A983" s="162"/>
      <c r="B983" s="174"/>
      <c r="C983" s="175"/>
      <c r="D983" s="176"/>
      <c r="E983" s="175"/>
      <c r="F983" s="177"/>
      <c r="G983" s="177"/>
      <c r="H983" s="176"/>
      <c r="I983" s="175"/>
      <c r="J983" s="163"/>
      <c r="K983" s="165"/>
      <c r="L983" s="163"/>
      <c r="M983" s="163"/>
      <c r="N983" s="169"/>
      <c r="O983" s="173"/>
      <c r="P983" s="168"/>
    </row>
    <row r="984" ht="15.75" customHeight="1">
      <c r="A984" s="162"/>
      <c r="B984" s="174"/>
      <c r="C984" s="175"/>
      <c r="D984" s="176"/>
      <c r="E984" s="175"/>
      <c r="F984" s="177"/>
      <c r="G984" s="177"/>
      <c r="H984" s="176"/>
      <c r="I984" s="175"/>
      <c r="J984" s="163"/>
      <c r="K984" s="165"/>
      <c r="L984" s="163"/>
      <c r="M984" s="163"/>
      <c r="N984" s="169"/>
      <c r="O984" s="173"/>
      <c r="P984" s="168"/>
    </row>
    <row r="985" ht="15.75" customHeight="1">
      <c r="A985" s="162"/>
      <c r="B985" s="174"/>
      <c r="C985" s="175"/>
      <c r="D985" s="176"/>
      <c r="E985" s="175"/>
      <c r="F985" s="177"/>
      <c r="G985" s="177"/>
      <c r="H985" s="176"/>
      <c r="I985" s="175"/>
      <c r="J985" s="163"/>
      <c r="K985" s="165"/>
      <c r="L985" s="163"/>
      <c r="M985" s="163"/>
      <c r="N985" s="169"/>
      <c r="O985" s="173"/>
      <c r="P985" s="168"/>
    </row>
    <row r="986" ht="15.75" customHeight="1">
      <c r="A986" s="162"/>
      <c r="B986" s="174"/>
      <c r="C986" s="175"/>
      <c r="D986" s="176"/>
      <c r="E986" s="175"/>
      <c r="F986" s="177"/>
      <c r="G986" s="177"/>
      <c r="H986" s="176"/>
      <c r="I986" s="175"/>
      <c r="J986" s="163"/>
      <c r="K986" s="165"/>
      <c r="L986" s="163"/>
      <c r="M986" s="163"/>
      <c r="N986" s="169"/>
      <c r="O986" s="173"/>
      <c r="P986" s="168"/>
    </row>
    <row r="987" ht="15.75" customHeight="1">
      <c r="A987" s="162"/>
      <c r="B987" s="174"/>
      <c r="C987" s="175"/>
      <c r="D987" s="176"/>
      <c r="E987" s="175"/>
      <c r="F987" s="177"/>
      <c r="G987" s="177"/>
      <c r="H987" s="176"/>
      <c r="I987" s="175"/>
      <c r="J987" s="163"/>
      <c r="K987" s="165"/>
      <c r="L987" s="163"/>
      <c r="M987" s="163"/>
      <c r="N987" s="169"/>
      <c r="O987" s="173"/>
      <c r="P987" s="168"/>
    </row>
    <row r="988" ht="15.75" customHeight="1">
      <c r="A988" s="162"/>
      <c r="B988" s="174"/>
      <c r="C988" s="178"/>
      <c r="D988" s="179"/>
      <c r="E988" s="178"/>
      <c r="F988" s="180"/>
      <c r="G988" s="180"/>
      <c r="H988" s="179"/>
      <c r="I988" s="178"/>
      <c r="J988" s="163"/>
      <c r="K988" s="165"/>
      <c r="L988" s="163"/>
      <c r="M988" s="163"/>
      <c r="N988" s="169"/>
      <c r="O988" s="173"/>
      <c r="P988" s="168"/>
    </row>
    <row r="989" ht="15.75" customHeight="1">
      <c r="A989" s="162"/>
      <c r="B989" s="174"/>
      <c r="C989" s="178"/>
      <c r="D989" s="179"/>
      <c r="E989" s="178"/>
      <c r="F989" s="180"/>
      <c r="G989" s="180"/>
      <c r="H989" s="179"/>
      <c r="I989" s="178"/>
      <c r="J989" s="163"/>
      <c r="K989" s="165"/>
      <c r="L989" s="163"/>
      <c r="M989" s="163"/>
      <c r="N989" s="169"/>
      <c r="O989" s="173"/>
      <c r="P989" s="168"/>
    </row>
    <row r="990" ht="15.75" customHeight="1">
      <c r="A990" s="162"/>
      <c r="B990" s="174"/>
      <c r="C990" s="178"/>
      <c r="D990" s="179"/>
      <c r="E990" s="178"/>
      <c r="F990" s="180"/>
      <c r="G990" s="180"/>
      <c r="H990" s="179"/>
      <c r="I990" s="178"/>
      <c r="J990" s="163"/>
      <c r="K990" s="165"/>
      <c r="L990" s="163"/>
      <c r="M990" s="163"/>
      <c r="N990" s="169"/>
      <c r="O990" s="173"/>
      <c r="P990" s="168"/>
    </row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0"/>
  <cols>
    <col customWidth="1" min="1" max="1" width="9.33"/>
    <col customWidth="1" min="2" max="2" width="10.11"/>
    <col customWidth="1" min="3" max="3" width="8.44"/>
    <col customWidth="1" min="4" max="4" width="10.11"/>
    <col customWidth="1" min="5" max="5" width="9.33"/>
    <col customWidth="1" min="6" max="6" width="10.89"/>
    <col customWidth="1" min="7" max="8" width="8.78"/>
    <col customWidth="1" min="9" max="9" width="9.0"/>
    <col customWidth="1" min="10" max="11" width="8.78"/>
    <col customWidth="1" min="12" max="12" width="9.44"/>
    <col customWidth="1" min="14" max="14" width="9.0"/>
    <col customWidth="1" min="15" max="15" width="7.22"/>
    <col customWidth="1" min="16" max="16" width="27.67"/>
    <col customWidth="1" min="17" max="17" width="23.22"/>
    <col customWidth="1" min="18" max="28" width="10.44"/>
  </cols>
  <sheetData>
    <row r="1">
      <c r="A1" s="181" t="s">
        <v>0</v>
      </c>
      <c r="B1" s="182" t="s">
        <v>249</v>
      </c>
      <c r="C1" s="183" t="s">
        <v>250</v>
      </c>
      <c r="D1" s="184" t="s">
        <v>2</v>
      </c>
      <c r="E1" s="183" t="s">
        <v>251</v>
      </c>
      <c r="F1" s="185" t="s">
        <v>252</v>
      </c>
      <c r="G1" s="186" t="s">
        <v>253</v>
      </c>
      <c r="H1" s="187" t="s">
        <v>254</v>
      </c>
      <c r="I1" s="186" t="s">
        <v>255</v>
      </c>
      <c r="J1" s="186" t="s">
        <v>256</v>
      </c>
      <c r="K1" s="186" t="s">
        <v>257</v>
      </c>
      <c r="L1" s="5" t="s">
        <v>258</v>
      </c>
      <c r="M1" s="5" t="s">
        <v>8</v>
      </c>
      <c r="N1" s="186" t="s">
        <v>259</v>
      </c>
      <c r="O1" s="188" t="s">
        <v>7</v>
      </c>
      <c r="P1" s="189" t="s">
        <v>260</v>
      </c>
      <c r="Q1" s="190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</row>
    <row r="2" ht="15.75" customHeight="1">
      <c r="A2" s="192" t="s">
        <v>75</v>
      </c>
      <c r="B2" s="193" t="s">
        <v>70</v>
      </c>
      <c r="C2" s="193" t="s">
        <v>70</v>
      </c>
      <c r="D2" s="194" t="s">
        <v>70</v>
      </c>
      <c r="E2" s="8">
        <v>45531.0</v>
      </c>
      <c r="F2" s="9">
        <v>0.3958333333333333</v>
      </c>
      <c r="G2" s="195">
        <v>105.5</v>
      </c>
      <c r="H2" s="196">
        <v>1.0</v>
      </c>
      <c r="I2" s="195">
        <v>107.4</v>
      </c>
      <c r="J2" s="195">
        <v>107.3</v>
      </c>
      <c r="K2" s="193" t="s">
        <v>70</v>
      </c>
      <c r="L2" s="197" t="s">
        <v>261</v>
      </c>
      <c r="M2" s="11" t="s">
        <v>13</v>
      </c>
      <c r="N2" s="198">
        <f t="shared" ref="N2:N53" si="1">(J2-G2)/H2</f>
        <v>1.8</v>
      </c>
      <c r="O2" s="199" t="s">
        <v>12</v>
      </c>
      <c r="P2" s="200"/>
      <c r="Q2" s="12"/>
      <c r="R2" s="201"/>
      <c r="S2" s="202"/>
      <c r="T2" s="203"/>
      <c r="U2" s="203"/>
      <c r="V2" s="37"/>
      <c r="W2" s="37"/>
      <c r="X2" s="37"/>
      <c r="Y2" s="37"/>
      <c r="Z2" s="37"/>
      <c r="AA2" s="37"/>
      <c r="AB2" s="37"/>
    </row>
    <row r="3" ht="15.75" customHeight="1">
      <c r="A3" s="204" t="s">
        <v>262</v>
      </c>
      <c r="B3" s="193">
        <v>100.1</v>
      </c>
      <c r="C3" s="205" t="s">
        <v>70</v>
      </c>
      <c r="D3" s="194" t="s">
        <v>70</v>
      </c>
      <c r="E3" s="8">
        <v>45531.0</v>
      </c>
      <c r="F3" s="9">
        <v>0.39652777777777776</v>
      </c>
      <c r="G3" s="195">
        <v>104.5</v>
      </c>
      <c r="H3" s="196">
        <v>1.0</v>
      </c>
      <c r="I3" s="195">
        <v>204.4</v>
      </c>
      <c r="J3" s="195">
        <v>204.3</v>
      </c>
      <c r="K3" s="193" t="s">
        <v>70</v>
      </c>
      <c r="L3" s="197" t="s">
        <v>263</v>
      </c>
      <c r="M3" s="11" t="s">
        <v>13</v>
      </c>
      <c r="N3" s="198">
        <f t="shared" si="1"/>
        <v>99.8</v>
      </c>
      <c r="O3" s="199" t="s">
        <v>12</v>
      </c>
      <c r="P3" s="200"/>
      <c r="Q3" s="12"/>
      <c r="R3" s="201"/>
      <c r="S3" s="202"/>
      <c r="T3" s="206"/>
      <c r="U3" s="37"/>
      <c r="V3" s="37"/>
      <c r="W3" s="37"/>
      <c r="X3" s="37"/>
      <c r="Y3" s="37"/>
      <c r="Z3" s="37"/>
      <c r="AA3" s="37"/>
      <c r="AB3" s="37"/>
    </row>
    <row r="4">
      <c r="A4" s="204" t="s">
        <v>264</v>
      </c>
      <c r="B4" s="193" t="s">
        <v>70</v>
      </c>
      <c r="C4" s="8">
        <v>45531.0</v>
      </c>
      <c r="D4" s="9">
        <v>0.3090277777777778</v>
      </c>
      <c r="E4" s="8">
        <v>45531.0</v>
      </c>
      <c r="F4" s="9">
        <v>0.5409722222222222</v>
      </c>
      <c r="G4" s="193">
        <v>103.9</v>
      </c>
      <c r="H4" s="196">
        <v>1.0</v>
      </c>
      <c r="I4" s="195">
        <v>111.9</v>
      </c>
      <c r="J4" s="195">
        <v>111.8</v>
      </c>
      <c r="K4" s="193" t="s">
        <v>70</v>
      </c>
      <c r="L4" s="197" t="s">
        <v>265</v>
      </c>
      <c r="M4" s="11" t="s">
        <v>13</v>
      </c>
      <c r="N4" s="198">
        <f t="shared" si="1"/>
        <v>7.9</v>
      </c>
      <c r="O4" s="199" t="s">
        <v>12</v>
      </c>
      <c r="P4" s="200"/>
      <c r="Q4" s="207"/>
      <c r="R4" s="201"/>
      <c r="S4" s="37"/>
      <c r="T4" s="203"/>
      <c r="U4" s="37"/>
      <c r="V4" s="37"/>
      <c r="W4" s="37"/>
      <c r="X4" s="37"/>
      <c r="Y4" s="37"/>
      <c r="Z4" s="37"/>
      <c r="AA4" s="37"/>
      <c r="AB4" s="37"/>
    </row>
    <row r="5">
      <c r="A5" s="204" t="s">
        <v>266</v>
      </c>
      <c r="B5" s="193" t="s">
        <v>70</v>
      </c>
      <c r="C5" s="8">
        <v>45531.0</v>
      </c>
      <c r="D5" s="9">
        <v>0.325</v>
      </c>
      <c r="E5" s="8">
        <v>45531.0</v>
      </c>
      <c r="F5" s="9">
        <v>0.5430555555555555</v>
      </c>
      <c r="G5" s="195">
        <v>104.8</v>
      </c>
      <c r="H5" s="196">
        <v>1.0</v>
      </c>
      <c r="I5" s="195">
        <v>115.2</v>
      </c>
      <c r="J5" s="195">
        <v>114.7</v>
      </c>
      <c r="K5" s="193" t="s">
        <v>70</v>
      </c>
      <c r="L5" s="197" t="s">
        <v>267</v>
      </c>
      <c r="M5" s="11" t="s">
        <v>13</v>
      </c>
      <c r="N5" s="198">
        <f t="shared" si="1"/>
        <v>9.9</v>
      </c>
      <c r="O5" s="199" t="s">
        <v>12</v>
      </c>
      <c r="P5" s="200"/>
      <c r="Q5" s="207"/>
      <c r="R5" s="201"/>
      <c r="S5" s="208"/>
      <c r="T5" s="208"/>
      <c r="U5" s="208"/>
      <c r="V5" s="208"/>
      <c r="W5" s="208"/>
      <c r="X5" s="208"/>
      <c r="Y5" s="208"/>
      <c r="Z5" s="208"/>
      <c r="AA5" s="208"/>
      <c r="AB5" s="208"/>
    </row>
    <row r="6" ht="15.75" customHeight="1">
      <c r="A6" s="209" t="s">
        <v>268</v>
      </c>
      <c r="B6" s="193" t="s">
        <v>70</v>
      </c>
      <c r="C6" s="8">
        <v>45531.0</v>
      </c>
      <c r="D6" s="9">
        <v>0.3347222222222222</v>
      </c>
      <c r="E6" s="8">
        <v>45531.0</v>
      </c>
      <c r="F6" s="9">
        <v>0.5458333333333333</v>
      </c>
      <c r="G6" s="195">
        <v>105.2</v>
      </c>
      <c r="H6" s="196">
        <v>1.0</v>
      </c>
      <c r="I6" s="195">
        <v>115.0</v>
      </c>
      <c r="J6" s="195">
        <v>115.0</v>
      </c>
      <c r="K6" s="193" t="s">
        <v>70</v>
      </c>
      <c r="L6" s="197" t="s">
        <v>269</v>
      </c>
      <c r="M6" s="11" t="s">
        <v>13</v>
      </c>
      <c r="N6" s="198">
        <f t="shared" si="1"/>
        <v>9.8</v>
      </c>
      <c r="O6" s="199" t="s">
        <v>12</v>
      </c>
      <c r="P6" s="200"/>
      <c r="Q6" s="207"/>
      <c r="R6" s="201"/>
      <c r="S6" s="208"/>
      <c r="T6" s="208"/>
      <c r="U6" s="208"/>
      <c r="V6" s="208"/>
      <c r="W6" s="208"/>
      <c r="X6" s="208"/>
      <c r="Y6" s="208"/>
      <c r="Z6" s="208"/>
      <c r="AA6" s="208"/>
      <c r="AB6" s="208"/>
    </row>
    <row r="7" ht="15.75" customHeight="1">
      <c r="A7" s="209" t="s">
        <v>270</v>
      </c>
      <c r="B7" s="193" t="s">
        <v>70</v>
      </c>
      <c r="C7" s="8">
        <v>45531.0</v>
      </c>
      <c r="D7" s="9">
        <v>0.37430555555555556</v>
      </c>
      <c r="E7" s="8">
        <v>45531.0</v>
      </c>
      <c r="F7" s="9">
        <v>0.5479166666666667</v>
      </c>
      <c r="G7" s="195">
        <v>105.6</v>
      </c>
      <c r="H7" s="196">
        <v>1.0</v>
      </c>
      <c r="I7" s="195">
        <v>112.8</v>
      </c>
      <c r="J7" s="195">
        <v>112.5</v>
      </c>
      <c r="K7" s="193" t="s">
        <v>70</v>
      </c>
      <c r="L7" s="197" t="s">
        <v>271</v>
      </c>
      <c r="M7" s="11" t="s">
        <v>13</v>
      </c>
      <c r="N7" s="198">
        <f t="shared" si="1"/>
        <v>6.9</v>
      </c>
      <c r="O7" s="199" t="s">
        <v>12</v>
      </c>
      <c r="P7" s="200"/>
      <c r="Q7" s="207"/>
      <c r="R7" s="201"/>
      <c r="S7" s="208"/>
      <c r="T7" s="208"/>
      <c r="U7" s="208"/>
      <c r="V7" s="208"/>
      <c r="W7" s="208"/>
      <c r="X7" s="208"/>
      <c r="Y7" s="208"/>
      <c r="Z7" s="208"/>
      <c r="AA7" s="208"/>
      <c r="AB7" s="208"/>
    </row>
    <row r="8" ht="15.75" customHeight="1">
      <c r="A8" s="209" t="s">
        <v>272</v>
      </c>
      <c r="B8" s="193" t="s">
        <v>70</v>
      </c>
      <c r="C8" s="8">
        <v>45531.0</v>
      </c>
      <c r="D8" s="9">
        <v>0.38472222222222224</v>
      </c>
      <c r="E8" s="8">
        <v>45531.0</v>
      </c>
      <c r="F8" s="9">
        <v>0.55</v>
      </c>
      <c r="G8" s="195">
        <v>104.3</v>
      </c>
      <c r="H8" s="196">
        <v>1.0</v>
      </c>
      <c r="I8" s="195">
        <v>110.0</v>
      </c>
      <c r="J8" s="195">
        <v>109.7</v>
      </c>
      <c r="K8" s="193" t="s">
        <v>70</v>
      </c>
      <c r="L8" s="197" t="s">
        <v>273</v>
      </c>
      <c r="M8" s="11" t="s">
        <v>13</v>
      </c>
      <c r="N8" s="198">
        <f t="shared" si="1"/>
        <v>5.4</v>
      </c>
      <c r="O8" s="199" t="s">
        <v>12</v>
      </c>
      <c r="P8" s="200"/>
      <c r="Q8" s="207"/>
      <c r="R8" s="201"/>
      <c r="S8" s="208"/>
      <c r="T8" s="208"/>
      <c r="U8" s="208"/>
      <c r="V8" s="208"/>
      <c r="W8" s="208"/>
      <c r="X8" s="208"/>
      <c r="Y8" s="208"/>
      <c r="Z8" s="208"/>
      <c r="AA8" s="208"/>
      <c r="AB8" s="208"/>
    </row>
    <row r="9" ht="15.75" customHeight="1">
      <c r="A9" s="204" t="s">
        <v>274</v>
      </c>
      <c r="B9" s="193" t="s">
        <v>70</v>
      </c>
      <c r="C9" s="8">
        <v>45531.0</v>
      </c>
      <c r="D9" s="9">
        <v>0.3951388888888889</v>
      </c>
      <c r="E9" s="8">
        <v>45531.0</v>
      </c>
      <c r="F9" s="9">
        <v>0.5520833333333334</v>
      </c>
      <c r="G9" s="195">
        <v>104.0</v>
      </c>
      <c r="H9" s="196">
        <v>1.0</v>
      </c>
      <c r="I9" s="195">
        <v>112.1</v>
      </c>
      <c r="J9" s="195">
        <v>112.0</v>
      </c>
      <c r="K9" s="193" t="s">
        <v>70</v>
      </c>
      <c r="L9" s="197" t="s">
        <v>275</v>
      </c>
      <c r="M9" s="11" t="s">
        <v>13</v>
      </c>
      <c r="N9" s="198">
        <f t="shared" si="1"/>
        <v>8</v>
      </c>
      <c r="O9" s="199" t="s">
        <v>12</v>
      </c>
      <c r="P9" s="200"/>
      <c r="Q9" s="207"/>
      <c r="R9" s="201"/>
      <c r="S9" s="208"/>
      <c r="T9" s="208"/>
      <c r="U9" s="208"/>
      <c r="V9" s="208"/>
      <c r="W9" s="208"/>
      <c r="X9" s="208"/>
      <c r="Y9" s="208"/>
      <c r="Z9" s="208"/>
      <c r="AA9" s="208"/>
      <c r="AB9" s="208"/>
    </row>
    <row r="10" ht="15.75" customHeight="1">
      <c r="A10" s="209" t="s">
        <v>276</v>
      </c>
      <c r="B10" s="193" t="s">
        <v>70</v>
      </c>
      <c r="C10" s="8">
        <v>45531.0</v>
      </c>
      <c r="D10" s="9">
        <v>0.4201388888888889</v>
      </c>
      <c r="E10" s="8">
        <v>45531.0</v>
      </c>
      <c r="F10" s="9">
        <v>0.5541666666666667</v>
      </c>
      <c r="G10" s="195">
        <v>105.7</v>
      </c>
      <c r="H10" s="196">
        <v>1.0</v>
      </c>
      <c r="I10" s="195">
        <v>109.9</v>
      </c>
      <c r="J10" s="195">
        <v>109.7</v>
      </c>
      <c r="K10" s="193" t="s">
        <v>70</v>
      </c>
      <c r="L10" s="197" t="s">
        <v>277</v>
      </c>
      <c r="M10" s="11" t="s">
        <v>13</v>
      </c>
      <c r="N10" s="198">
        <f t="shared" si="1"/>
        <v>4</v>
      </c>
      <c r="O10" s="199" t="s">
        <v>12</v>
      </c>
      <c r="P10" s="200"/>
      <c r="Q10" s="207"/>
      <c r="R10" s="201"/>
      <c r="S10" s="208"/>
      <c r="T10" s="208"/>
      <c r="U10" s="208"/>
      <c r="V10" s="208"/>
      <c r="W10" s="208"/>
      <c r="X10" s="208"/>
      <c r="Y10" s="208"/>
      <c r="Z10" s="208"/>
      <c r="AA10" s="208"/>
      <c r="AB10" s="208"/>
    </row>
    <row r="11" ht="15.75" customHeight="1">
      <c r="A11" s="209" t="s">
        <v>278</v>
      </c>
      <c r="B11" s="193" t="s">
        <v>70</v>
      </c>
      <c r="C11" s="8">
        <v>45531.0</v>
      </c>
      <c r="D11" s="9">
        <v>0.43680555555555556</v>
      </c>
      <c r="E11" s="8">
        <v>45531.0</v>
      </c>
      <c r="F11" s="9">
        <v>0.5625</v>
      </c>
      <c r="G11" s="195">
        <v>104.8</v>
      </c>
      <c r="H11" s="196">
        <v>1.0</v>
      </c>
      <c r="I11" s="195">
        <v>113.9</v>
      </c>
      <c r="J11" s="195">
        <v>113.6</v>
      </c>
      <c r="K11" s="193" t="s">
        <v>70</v>
      </c>
      <c r="L11" s="197" t="s">
        <v>279</v>
      </c>
      <c r="M11" s="11" t="s">
        <v>13</v>
      </c>
      <c r="N11" s="198">
        <f t="shared" si="1"/>
        <v>8.8</v>
      </c>
      <c r="O11" s="199" t="s">
        <v>12</v>
      </c>
      <c r="P11" s="200"/>
      <c r="Q11" s="207"/>
      <c r="R11" s="201"/>
      <c r="S11" s="208"/>
      <c r="T11" s="208"/>
      <c r="U11" s="208"/>
      <c r="V11" s="208"/>
      <c r="W11" s="208"/>
      <c r="X11" s="208"/>
      <c r="Y11" s="208"/>
      <c r="Z11" s="208"/>
      <c r="AA11" s="208"/>
      <c r="AB11" s="208"/>
    </row>
    <row r="12" ht="15.75" customHeight="1">
      <c r="A12" s="210" t="s">
        <v>280</v>
      </c>
      <c r="B12" s="193" t="s">
        <v>70</v>
      </c>
      <c r="C12" s="8">
        <v>45532.0</v>
      </c>
      <c r="D12" s="9">
        <v>0.2847222222222222</v>
      </c>
      <c r="E12" s="8">
        <v>45532.0</v>
      </c>
      <c r="F12" s="9">
        <v>0.4986111111111111</v>
      </c>
      <c r="G12" s="195">
        <v>109.7</v>
      </c>
      <c r="H12" s="196">
        <v>1.0</v>
      </c>
      <c r="I12" s="195">
        <v>112.7</v>
      </c>
      <c r="J12" s="195">
        <v>112.7</v>
      </c>
      <c r="K12" s="193" t="s">
        <v>70</v>
      </c>
      <c r="L12" s="197" t="s">
        <v>281</v>
      </c>
      <c r="M12" s="197" t="s">
        <v>282</v>
      </c>
      <c r="N12" s="198">
        <f t="shared" si="1"/>
        <v>3</v>
      </c>
      <c r="O12" s="199" t="s">
        <v>12</v>
      </c>
      <c r="P12" s="200"/>
      <c r="Q12" s="207"/>
      <c r="R12" s="201"/>
      <c r="S12" s="208"/>
      <c r="T12" s="208"/>
      <c r="U12" s="208"/>
      <c r="V12" s="208"/>
      <c r="W12" s="208"/>
      <c r="X12" s="208"/>
      <c r="Y12" s="208"/>
      <c r="Z12" s="208"/>
      <c r="AA12" s="208"/>
      <c r="AB12" s="208"/>
    </row>
    <row r="13" ht="15.75" customHeight="1">
      <c r="A13" s="211" t="s">
        <v>283</v>
      </c>
      <c r="B13" s="193" t="s">
        <v>70</v>
      </c>
      <c r="C13" s="8">
        <v>45532.0</v>
      </c>
      <c r="D13" s="9">
        <v>0.2986111111111111</v>
      </c>
      <c r="E13" s="8">
        <v>45532.0</v>
      </c>
      <c r="F13" s="9">
        <v>0.4888888888888889</v>
      </c>
      <c r="G13" s="195">
        <v>104.4</v>
      </c>
      <c r="H13" s="196">
        <v>1.0</v>
      </c>
      <c r="I13" s="195">
        <v>120.3</v>
      </c>
      <c r="J13" s="195">
        <v>120.3</v>
      </c>
      <c r="K13" s="193" t="s">
        <v>70</v>
      </c>
      <c r="L13" s="197" t="s">
        <v>284</v>
      </c>
      <c r="M13" s="197" t="s">
        <v>282</v>
      </c>
      <c r="N13" s="198">
        <f t="shared" si="1"/>
        <v>15.9</v>
      </c>
      <c r="O13" s="199" t="s">
        <v>12</v>
      </c>
      <c r="P13" s="212" t="s">
        <v>285</v>
      </c>
      <c r="Q13" s="207"/>
      <c r="R13" s="201"/>
      <c r="S13" s="208"/>
      <c r="T13" s="208"/>
      <c r="U13" s="208"/>
      <c r="V13" s="208"/>
      <c r="W13" s="208"/>
      <c r="X13" s="208"/>
      <c r="Y13" s="208"/>
      <c r="Z13" s="208"/>
      <c r="AA13" s="208"/>
      <c r="AB13" s="208"/>
    </row>
    <row r="14" ht="15.75" customHeight="1">
      <c r="A14" s="211" t="s">
        <v>286</v>
      </c>
      <c r="B14" s="193" t="s">
        <v>70</v>
      </c>
      <c r="C14" s="8">
        <v>45532.0</v>
      </c>
      <c r="D14" s="17">
        <v>0.3229166666666667</v>
      </c>
      <c r="E14" s="8">
        <v>45532.0</v>
      </c>
      <c r="F14" s="9">
        <v>0.49444444444444446</v>
      </c>
      <c r="G14" s="195">
        <v>106.3</v>
      </c>
      <c r="H14" s="196">
        <v>1.0</v>
      </c>
      <c r="I14" s="195">
        <v>111.9</v>
      </c>
      <c r="J14" s="195">
        <v>111.7</v>
      </c>
      <c r="K14" s="193" t="s">
        <v>70</v>
      </c>
      <c r="L14" s="197" t="s">
        <v>287</v>
      </c>
      <c r="M14" s="197" t="s">
        <v>282</v>
      </c>
      <c r="N14" s="198">
        <f t="shared" si="1"/>
        <v>5.4</v>
      </c>
      <c r="O14" s="199" t="s">
        <v>12</v>
      </c>
      <c r="P14" s="200"/>
      <c r="Q14" s="12"/>
      <c r="R14" s="201"/>
      <c r="S14" s="202"/>
      <c r="T14" s="203"/>
      <c r="U14" s="203"/>
      <c r="V14" s="37"/>
      <c r="W14" s="37"/>
      <c r="X14" s="37"/>
      <c r="Y14" s="37"/>
      <c r="Z14" s="37"/>
      <c r="AA14" s="37"/>
      <c r="AB14" s="37"/>
    </row>
    <row r="15" ht="15.75" customHeight="1">
      <c r="A15" s="211" t="s">
        <v>288</v>
      </c>
      <c r="B15" s="193" t="s">
        <v>70</v>
      </c>
      <c r="C15" s="8">
        <v>45532.0</v>
      </c>
      <c r="D15" s="17">
        <v>0.3326388888888889</v>
      </c>
      <c r="E15" s="8">
        <v>45532.0</v>
      </c>
      <c r="F15" s="9">
        <v>0.4909722222222222</v>
      </c>
      <c r="G15" s="195">
        <v>105.4</v>
      </c>
      <c r="H15" s="196">
        <v>1.0</v>
      </c>
      <c r="I15" s="195">
        <v>110.3</v>
      </c>
      <c r="J15" s="195">
        <v>110.1</v>
      </c>
      <c r="K15" s="193" t="s">
        <v>70</v>
      </c>
      <c r="L15" s="197" t="s">
        <v>289</v>
      </c>
      <c r="M15" s="197" t="s">
        <v>282</v>
      </c>
      <c r="N15" s="198">
        <f t="shared" si="1"/>
        <v>4.7</v>
      </c>
      <c r="O15" s="199" t="s">
        <v>12</v>
      </c>
      <c r="P15" s="200"/>
      <c r="Q15" s="12"/>
      <c r="R15" s="201"/>
      <c r="S15" s="202"/>
      <c r="T15" s="206"/>
      <c r="U15" s="37"/>
      <c r="V15" s="37"/>
      <c r="W15" s="37"/>
      <c r="X15" s="37"/>
      <c r="Y15" s="37"/>
      <c r="Z15" s="37"/>
      <c r="AA15" s="37"/>
      <c r="AB15" s="37"/>
    </row>
    <row r="16" ht="15.75" customHeight="1">
      <c r="A16" s="211" t="s">
        <v>290</v>
      </c>
      <c r="B16" s="193" t="s">
        <v>70</v>
      </c>
      <c r="C16" s="8">
        <v>45532.0</v>
      </c>
      <c r="D16" s="9">
        <v>0.34930555555555554</v>
      </c>
      <c r="E16" s="8">
        <v>45532.0</v>
      </c>
      <c r="F16" s="18">
        <v>0.48194444444444445</v>
      </c>
      <c r="G16" s="195">
        <v>111.1</v>
      </c>
      <c r="H16" s="196">
        <v>1.0</v>
      </c>
      <c r="I16" s="195">
        <v>116.7</v>
      </c>
      <c r="J16" s="195">
        <v>116.6</v>
      </c>
      <c r="K16" s="193" t="s">
        <v>70</v>
      </c>
      <c r="L16" s="197" t="s">
        <v>291</v>
      </c>
      <c r="M16" s="197" t="s">
        <v>282</v>
      </c>
      <c r="N16" s="198">
        <f t="shared" si="1"/>
        <v>5.5</v>
      </c>
      <c r="O16" s="199" t="s">
        <v>12</v>
      </c>
      <c r="P16" s="200"/>
      <c r="Q16" s="207"/>
      <c r="R16" s="201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</row>
    <row r="17" ht="15.75" customHeight="1">
      <c r="A17" s="211" t="s">
        <v>292</v>
      </c>
      <c r="B17" s="193" t="s">
        <v>70</v>
      </c>
      <c r="C17" s="8">
        <v>45532.0</v>
      </c>
      <c r="D17" s="18">
        <v>0.3597222222222222</v>
      </c>
      <c r="E17" s="8">
        <v>45532.0</v>
      </c>
      <c r="F17" s="9">
        <v>0.5083333333333333</v>
      </c>
      <c r="G17" s="195">
        <v>105.1</v>
      </c>
      <c r="H17" s="196">
        <v>1.0</v>
      </c>
      <c r="I17" s="195">
        <v>114.5</v>
      </c>
      <c r="J17" s="195">
        <v>114.5</v>
      </c>
      <c r="K17" s="193" t="s">
        <v>70</v>
      </c>
      <c r="L17" s="197" t="s">
        <v>293</v>
      </c>
      <c r="M17" s="197" t="s">
        <v>282</v>
      </c>
      <c r="N17" s="198">
        <f t="shared" si="1"/>
        <v>9.4</v>
      </c>
      <c r="O17" s="199" t="s">
        <v>12</v>
      </c>
      <c r="P17" s="200"/>
      <c r="Q17" s="12"/>
      <c r="R17" s="201"/>
      <c r="S17" s="208"/>
      <c r="T17" s="208"/>
      <c r="U17" s="208"/>
      <c r="V17" s="208"/>
      <c r="W17" s="208"/>
      <c r="X17" s="208"/>
      <c r="Y17" s="208"/>
      <c r="Z17" s="208"/>
      <c r="AA17" s="208"/>
      <c r="AB17" s="208"/>
    </row>
    <row r="18" ht="15.75" customHeight="1">
      <c r="A18" s="211" t="s">
        <v>294</v>
      </c>
      <c r="B18" s="193" t="s">
        <v>70</v>
      </c>
      <c r="C18" s="8">
        <v>45532.0</v>
      </c>
      <c r="D18" s="9">
        <v>0.37777777777777777</v>
      </c>
      <c r="E18" s="8">
        <v>45532.0</v>
      </c>
      <c r="F18" s="9">
        <v>0.5</v>
      </c>
      <c r="G18" s="195">
        <v>109.5</v>
      </c>
      <c r="H18" s="196">
        <v>1.0</v>
      </c>
      <c r="I18" s="195">
        <v>109.9</v>
      </c>
      <c r="J18" s="195">
        <v>109.6</v>
      </c>
      <c r="K18" s="193" t="s">
        <v>70</v>
      </c>
      <c r="L18" s="197" t="s">
        <v>295</v>
      </c>
      <c r="M18" s="197" t="s">
        <v>282</v>
      </c>
      <c r="N18" s="198">
        <f t="shared" si="1"/>
        <v>0.1</v>
      </c>
      <c r="O18" s="199" t="s">
        <v>12</v>
      </c>
      <c r="P18" s="200"/>
      <c r="Q18" s="207"/>
      <c r="R18" s="201"/>
      <c r="S18" s="191"/>
      <c r="T18" s="37"/>
      <c r="U18" s="37"/>
      <c r="V18" s="37"/>
      <c r="W18" s="37"/>
      <c r="X18" s="37"/>
      <c r="Y18" s="37"/>
      <c r="Z18" s="37"/>
      <c r="AA18" s="37"/>
      <c r="AB18" s="37"/>
    </row>
    <row r="19" ht="15.75" customHeight="1">
      <c r="A19" s="210" t="s">
        <v>296</v>
      </c>
      <c r="B19" s="193" t="s">
        <v>70</v>
      </c>
      <c r="C19" s="8">
        <v>45532.0</v>
      </c>
      <c r="D19" s="19">
        <v>0.3888888888888889</v>
      </c>
      <c r="E19" s="8">
        <v>45532.0</v>
      </c>
      <c r="F19" s="9">
        <v>0.5048611111111111</v>
      </c>
      <c r="G19" s="195">
        <v>105.2</v>
      </c>
      <c r="H19" s="196">
        <v>1.0</v>
      </c>
      <c r="I19" s="195">
        <v>108.2</v>
      </c>
      <c r="J19" s="195">
        <v>108.0</v>
      </c>
      <c r="K19" s="193" t="s">
        <v>70</v>
      </c>
      <c r="L19" s="197" t="s">
        <v>297</v>
      </c>
      <c r="M19" s="197" t="s">
        <v>282</v>
      </c>
      <c r="N19" s="198">
        <f t="shared" si="1"/>
        <v>2.8</v>
      </c>
      <c r="O19" s="199" t="s">
        <v>12</v>
      </c>
      <c r="P19" s="200"/>
      <c r="Q19" s="207"/>
      <c r="R19" s="201"/>
      <c r="S19" s="191"/>
      <c r="T19" s="37"/>
      <c r="U19" s="37"/>
      <c r="V19" s="37"/>
      <c r="W19" s="37"/>
      <c r="X19" s="37"/>
      <c r="Y19" s="37"/>
      <c r="Z19" s="37"/>
      <c r="AA19" s="37"/>
      <c r="AB19" s="37"/>
    </row>
    <row r="20" ht="15.75" customHeight="1">
      <c r="A20" s="20" t="s">
        <v>298</v>
      </c>
      <c r="B20" s="193" t="s">
        <v>70</v>
      </c>
      <c r="C20" s="8">
        <v>45542.0</v>
      </c>
      <c r="D20" s="17">
        <v>0.4409722222222222</v>
      </c>
      <c r="E20" s="8">
        <v>45543.0</v>
      </c>
      <c r="F20" s="9">
        <v>0.7673611111111112</v>
      </c>
      <c r="G20" s="195">
        <v>109.9</v>
      </c>
      <c r="H20" s="196">
        <v>1.0</v>
      </c>
      <c r="I20" s="195">
        <v>110.1</v>
      </c>
      <c r="J20" s="195">
        <v>119.7</v>
      </c>
      <c r="K20" s="193" t="s">
        <v>70</v>
      </c>
      <c r="L20" s="197" t="s">
        <v>299</v>
      </c>
      <c r="M20" s="197" t="s">
        <v>13</v>
      </c>
      <c r="N20" s="198">
        <f t="shared" si="1"/>
        <v>9.8</v>
      </c>
      <c r="O20" s="199" t="s">
        <v>12</v>
      </c>
      <c r="P20" s="200"/>
      <c r="Q20" s="207"/>
      <c r="R20" s="208"/>
      <c r="S20" s="208"/>
      <c r="T20" s="208"/>
      <c r="U20" s="208"/>
      <c r="V20" s="208"/>
      <c r="W20" s="37"/>
      <c r="X20" s="37"/>
      <c r="Y20" s="37"/>
      <c r="Z20" s="37"/>
      <c r="AA20" s="37"/>
      <c r="AB20" s="37"/>
    </row>
    <row r="21" ht="15.75" customHeight="1">
      <c r="A21" s="211" t="s">
        <v>300</v>
      </c>
      <c r="B21" s="193" t="s">
        <v>70</v>
      </c>
      <c r="C21" s="8">
        <v>45542.0</v>
      </c>
      <c r="D21" s="17">
        <v>0.48125</v>
      </c>
      <c r="E21" s="8">
        <v>45543.0</v>
      </c>
      <c r="F21" s="9">
        <v>0.7694444444444445</v>
      </c>
      <c r="G21" s="195">
        <v>109.3</v>
      </c>
      <c r="H21" s="196">
        <v>1.0</v>
      </c>
      <c r="I21" s="195">
        <v>112.5</v>
      </c>
      <c r="J21" s="195">
        <v>112.3</v>
      </c>
      <c r="K21" s="193" t="s">
        <v>70</v>
      </c>
      <c r="L21" s="213" t="s">
        <v>301</v>
      </c>
      <c r="M21" s="197" t="s">
        <v>13</v>
      </c>
      <c r="N21" s="198">
        <f t="shared" si="1"/>
        <v>3</v>
      </c>
      <c r="O21" s="199" t="s">
        <v>12</v>
      </c>
      <c r="P21" s="200"/>
      <c r="Q21" s="207"/>
      <c r="R21" s="208"/>
      <c r="S21" s="208"/>
      <c r="T21" s="208"/>
      <c r="U21" s="208"/>
      <c r="V21" s="208"/>
      <c r="W21" s="37"/>
      <c r="X21" s="37"/>
      <c r="Y21" s="37"/>
      <c r="Z21" s="37"/>
      <c r="AA21" s="37"/>
      <c r="AB21" s="37"/>
    </row>
    <row r="22" ht="15.75" customHeight="1">
      <c r="A22" s="211" t="s">
        <v>302</v>
      </c>
      <c r="B22" s="193" t="s">
        <v>70</v>
      </c>
      <c r="C22" s="8">
        <v>45542.0</v>
      </c>
      <c r="D22" s="17">
        <v>0.5472222222222223</v>
      </c>
      <c r="E22" s="8">
        <v>45543.0</v>
      </c>
      <c r="F22" s="9">
        <v>0.7708333333333334</v>
      </c>
      <c r="G22" s="195">
        <v>110.0</v>
      </c>
      <c r="H22" s="196">
        <v>1.0</v>
      </c>
      <c r="I22" s="195">
        <v>111.4</v>
      </c>
      <c r="J22" s="195">
        <v>111.1</v>
      </c>
      <c r="K22" s="193" t="s">
        <v>70</v>
      </c>
      <c r="L22" s="214" t="s">
        <v>303</v>
      </c>
      <c r="M22" s="197" t="s">
        <v>13</v>
      </c>
      <c r="N22" s="198">
        <f t="shared" si="1"/>
        <v>1.1</v>
      </c>
      <c r="O22" s="199" t="s">
        <v>12</v>
      </c>
      <c r="P22" s="200"/>
      <c r="Q22" s="207"/>
      <c r="R22" s="208"/>
      <c r="S22" s="208"/>
      <c r="T22" s="208"/>
      <c r="U22" s="208"/>
      <c r="V22" s="208"/>
      <c r="W22" s="37"/>
      <c r="X22" s="37"/>
      <c r="Y22" s="37"/>
      <c r="Z22" s="37"/>
      <c r="AA22" s="37"/>
      <c r="AB22" s="37"/>
    </row>
    <row r="23">
      <c r="A23" s="211" t="s">
        <v>304</v>
      </c>
      <c r="B23" s="193" t="s">
        <v>70</v>
      </c>
      <c r="C23" s="8">
        <v>45543.0</v>
      </c>
      <c r="D23" s="215">
        <v>0.3284722222222222</v>
      </c>
      <c r="E23" s="8">
        <v>45543.0</v>
      </c>
      <c r="F23" s="9">
        <v>0.7736111111111111</v>
      </c>
      <c r="G23" s="216">
        <v>109.1</v>
      </c>
      <c r="H23" s="196">
        <v>1.0</v>
      </c>
      <c r="I23" s="216">
        <v>111.9</v>
      </c>
      <c r="J23" s="216">
        <v>111.6</v>
      </c>
      <c r="K23" s="193" t="s">
        <v>70</v>
      </c>
      <c r="L23" s="214" t="s">
        <v>305</v>
      </c>
      <c r="M23" s="197" t="s">
        <v>13</v>
      </c>
      <c r="N23" s="198">
        <f t="shared" si="1"/>
        <v>2.5</v>
      </c>
      <c r="O23" s="199" t="s">
        <v>12</v>
      </c>
      <c r="P23" s="217"/>
      <c r="Q23" s="218"/>
      <c r="R23" s="208"/>
      <c r="S23" s="208"/>
      <c r="T23" s="208"/>
      <c r="U23" s="208"/>
      <c r="V23" s="208"/>
      <c r="W23" s="219"/>
      <c r="X23" s="219"/>
      <c r="Y23" s="219"/>
      <c r="Z23" s="219"/>
      <c r="AA23" s="219"/>
      <c r="AB23" s="219"/>
    </row>
    <row r="24" ht="15.75" customHeight="1">
      <c r="A24" s="192" t="s">
        <v>75</v>
      </c>
      <c r="B24" s="193" t="s">
        <v>70</v>
      </c>
      <c r="C24" s="193" t="s">
        <v>70</v>
      </c>
      <c r="D24" s="193" t="s">
        <v>70</v>
      </c>
      <c r="E24" s="8">
        <v>45543.0</v>
      </c>
      <c r="F24" s="9">
        <v>0.7347222222222223</v>
      </c>
      <c r="G24" s="216">
        <v>109.0</v>
      </c>
      <c r="H24" s="196">
        <v>1.0</v>
      </c>
      <c r="I24" s="216">
        <v>110.8</v>
      </c>
      <c r="J24" s="216">
        <v>110.5</v>
      </c>
      <c r="K24" s="193" t="s">
        <v>70</v>
      </c>
      <c r="L24" s="220" t="s">
        <v>306</v>
      </c>
      <c r="M24" s="197" t="s">
        <v>13</v>
      </c>
      <c r="N24" s="198">
        <f t="shared" si="1"/>
        <v>1.5</v>
      </c>
      <c r="O24" s="199" t="s">
        <v>12</v>
      </c>
      <c r="P24" s="200"/>
      <c r="Q24" s="218"/>
      <c r="R24" s="208"/>
      <c r="S24" s="208"/>
      <c r="T24" s="208"/>
      <c r="U24" s="208"/>
      <c r="V24" s="208"/>
      <c r="W24" s="219"/>
      <c r="X24" s="219"/>
      <c r="Y24" s="219"/>
      <c r="Z24" s="219"/>
      <c r="AA24" s="219"/>
      <c r="AB24" s="219"/>
    </row>
    <row r="25" ht="15.75" customHeight="1">
      <c r="A25" s="204" t="s">
        <v>262</v>
      </c>
      <c r="B25" s="195">
        <v>100.8</v>
      </c>
      <c r="C25" s="193" t="s">
        <v>70</v>
      </c>
      <c r="D25" s="193" t="s">
        <v>70</v>
      </c>
      <c r="E25" s="8">
        <v>45543.0</v>
      </c>
      <c r="F25" s="9">
        <v>0.7361111111111112</v>
      </c>
      <c r="G25" s="216">
        <v>111.1</v>
      </c>
      <c r="H25" s="196">
        <v>1.0</v>
      </c>
      <c r="I25" s="216">
        <v>209.9</v>
      </c>
      <c r="J25" s="216">
        <v>209.8</v>
      </c>
      <c r="K25" s="193" t="s">
        <v>70</v>
      </c>
      <c r="L25" s="220" t="s">
        <v>307</v>
      </c>
      <c r="M25" s="197" t="s">
        <v>13</v>
      </c>
      <c r="N25" s="198">
        <f t="shared" si="1"/>
        <v>98.7</v>
      </c>
      <c r="O25" s="199" t="s">
        <v>12</v>
      </c>
      <c r="P25" s="200"/>
      <c r="Q25" s="218"/>
      <c r="R25" s="208"/>
      <c r="S25" s="208"/>
      <c r="T25" s="208"/>
      <c r="U25" s="208"/>
      <c r="V25" s="208"/>
      <c r="W25" s="219"/>
      <c r="X25" s="219"/>
      <c r="Y25" s="219"/>
      <c r="Z25" s="219"/>
      <c r="AA25" s="219"/>
      <c r="AB25" s="219"/>
    </row>
    <row r="26" ht="15.75" customHeight="1">
      <c r="A26" s="211" t="s">
        <v>308</v>
      </c>
      <c r="B26" s="193" t="s">
        <v>70</v>
      </c>
      <c r="C26" s="8">
        <v>45543.0</v>
      </c>
      <c r="D26" s="17">
        <v>0.3541666666666667</v>
      </c>
      <c r="E26" s="8">
        <v>45543.0</v>
      </c>
      <c r="F26" s="9">
        <v>0.7791666666666667</v>
      </c>
      <c r="G26" s="216">
        <v>107.9</v>
      </c>
      <c r="H26" s="196">
        <v>1.0</v>
      </c>
      <c r="I26" s="216">
        <v>110.9</v>
      </c>
      <c r="J26" s="195">
        <v>110.7</v>
      </c>
      <c r="K26" s="193" t="s">
        <v>70</v>
      </c>
      <c r="L26" s="220" t="s">
        <v>309</v>
      </c>
      <c r="M26" s="197" t="s">
        <v>13</v>
      </c>
      <c r="N26" s="198">
        <f t="shared" si="1"/>
        <v>2.8</v>
      </c>
      <c r="O26" s="199" t="s">
        <v>12</v>
      </c>
      <c r="P26" s="200"/>
      <c r="Q26" s="218"/>
      <c r="R26" s="208"/>
      <c r="S26" s="208"/>
      <c r="T26" s="208"/>
      <c r="U26" s="208"/>
      <c r="V26" s="208"/>
      <c r="W26" s="219"/>
      <c r="X26" s="219"/>
      <c r="Y26" s="219"/>
      <c r="Z26" s="219"/>
      <c r="AA26" s="219"/>
      <c r="AB26" s="219"/>
    </row>
    <row r="27">
      <c r="A27" s="211" t="s">
        <v>310</v>
      </c>
      <c r="B27" s="193" t="s">
        <v>70</v>
      </c>
      <c r="C27" s="8">
        <v>45543.0</v>
      </c>
      <c r="D27" s="17">
        <v>0.39444444444444443</v>
      </c>
      <c r="E27" s="8">
        <v>45543.0</v>
      </c>
      <c r="F27" s="9">
        <v>0.7819444444444444</v>
      </c>
      <c r="G27" s="221">
        <v>110.3</v>
      </c>
      <c r="H27" s="196">
        <v>1.0</v>
      </c>
      <c r="I27" s="221">
        <v>111.3</v>
      </c>
      <c r="J27" s="221">
        <v>110.6</v>
      </c>
      <c r="K27" s="193" t="s">
        <v>70</v>
      </c>
      <c r="L27" s="21" t="s">
        <v>311</v>
      </c>
      <c r="M27" s="197" t="s">
        <v>13</v>
      </c>
      <c r="N27" s="198">
        <f t="shared" si="1"/>
        <v>0.3</v>
      </c>
      <c r="O27" s="199" t="s">
        <v>12</v>
      </c>
      <c r="P27" s="200"/>
      <c r="Q27" s="207"/>
      <c r="R27" s="208"/>
      <c r="S27" s="208"/>
      <c r="T27" s="208"/>
      <c r="U27" s="208"/>
      <c r="V27" s="208"/>
      <c r="W27" s="222"/>
      <c r="X27" s="222"/>
      <c r="Y27" s="222"/>
      <c r="Z27" s="222"/>
      <c r="AA27" s="222"/>
      <c r="AB27" s="222"/>
    </row>
    <row r="28" ht="15.75" customHeight="1">
      <c r="A28" s="211" t="s">
        <v>312</v>
      </c>
      <c r="B28" s="193" t="s">
        <v>70</v>
      </c>
      <c r="C28" s="8">
        <v>45543.0</v>
      </c>
      <c r="D28" s="17">
        <v>0.44305555555555554</v>
      </c>
      <c r="E28" s="8">
        <v>45543.0</v>
      </c>
      <c r="F28" s="9">
        <v>0.7847222222222222</v>
      </c>
      <c r="G28" s="195">
        <v>109.4</v>
      </c>
      <c r="H28" s="196">
        <v>1.0</v>
      </c>
      <c r="I28" s="195">
        <v>109.9</v>
      </c>
      <c r="J28" s="223">
        <v>109.9</v>
      </c>
      <c r="K28" s="193" t="s">
        <v>70</v>
      </c>
      <c r="L28" s="220" t="s">
        <v>313</v>
      </c>
      <c r="M28" s="197" t="s">
        <v>13</v>
      </c>
      <c r="N28" s="198">
        <f t="shared" si="1"/>
        <v>0.5</v>
      </c>
      <c r="O28" s="199" t="s">
        <v>12</v>
      </c>
      <c r="P28" s="200"/>
      <c r="Q28" s="224"/>
      <c r="R28" s="208"/>
      <c r="S28" s="208"/>
      <c r="T28" s="208"/>
      <c r="U28" s="208"/>
      <c r="V28" s="208"/>
      <c r="W28" s="208"/>
      <c r="X28" s="208"/>
      <c r="Y28" s="208"/>
      <c r="Z28" s="208"/>
      <c r="AA28" s="208"/>
      <c r="AB28" s="208"/>
    </row>
    <row r="29" ht="15.75" customHeight="1">
      <c r="A29" s="211" t="s">
        <v>314</v>
      </c>
      <c r="B29" s="193" t="s">
        <v>70</v>
      </c>
      <c r="C29" s="8">
        <v>45543.0</v>
      </c>
      <c r="D29" s="9">
        <v>0.4597222222222222</v>
      </c>
      <c r="E29" s="8">
        <v>45543.0</v>
      </c>
      <c r="F29" s="9">
        <v>0.7909722222222222</v>
      </c>
      <c r="G29" s="195">
        <v>110.2</v>
      </c>
      <c r="H29" s="196">
        <v>1.0</v>
      </c>
      <c r="I29" s="195">
        <v>113.1</v>
      </c>
      <c r="J29" s="195">
        <v>113.1</v>
      </c>
      <c r="K29" s="193" t="s">
        <v>70</v>
      </c>
      <c r="L29" s="220" t="s">
        <v>315</v>
      </c>
      <c r="M29" s="197" t="s">
        <v>13</v>
      </c>
      <c r="N29" s="198">
        <f t="shared" si="1"/>
        <v>2.9</v>
      </c>
      <c r="O29" s="199" t="s">
        <v>12</v>
      </c>
      <c r="P29" s="200"/>
      <c r="Q29" s="225"/>
      <c r="R29" s="201"/>
      <c r="S29" s="208"/>
      <c r="T29" s="208"/>
      <c r="U29" s="208"/>
      <c r="V29" s="208"/>
      <c r="W29" s="208"/>
      <c r="X29" s="208"/>
      <c r="Y29" s="208"/>
      <c r="Z29" s="208"/>
      <c r="AA29" s="208"/>
      <c r="AB29" s="208"/>
    </row>
    <row r="30" ht="15.75" customHeight="1">
      <c r="A30" s="211" t="s">
        <v>316</v>
      </c>
      <c r="B30" s="193" t="s">
        <v>70</v>
      </c>
      <c r="C30" s="8">
        <v>45543.0</v>
      </c>
      <c r="D30" s="22">
        <v>0.4895833333333333</v>
      </c>
      <c r="E30" s="8">
        <v>45543.0</v>
      </c>
      <c r="F30" s="9">
        <v>0.7916666666666666</v>
      </c>
      <c r="G30" s="221">
        <v>109.8</v>
      </c>
      <c r="H30" s="196">
        <v>1.0</v>
      </c>
      <c r="I30" s="221">
        <v>111.63</v>
      </c>
      <c r="J30" s="216">
        <v>111.6</v>
      </c>
      <c r="K30" s="193" t="s">
        <v>70</v>
      </c>
      <c r="L30" s="220" t="s">
        <v>317</v>
      </c>
      <c r="M30" s="197" t="s">
        <v>13</v>
      </c>
      <c r="N30" s="198">
        <f t="shared" si="1"/>
        <v>1.8</v>
      </c>
      <c r="O30" s="199" t="s">
        <v>12</v>
      </c>
      <c r="P30" s="200"/>
      <c r="Q30" s="226"/>
      <c r="R30" s="201"/>
      <c r="S30" s="227"/>
      <c r="T30" s="227"/>
      <c r="U30" s="227"/>
      <c r="V30" s="227"/>
      <c r="W30" s="227"/>
      <c r="X30" s="227"/>
      <c r="Y30" s="227"/>
      <c r="Z30" s="227"/>
      <c r="AA30" s="227"/>
      <c r="AB30" s="227"/>
    </row>
    <row r="31" ht="15.75" customHeight="1">
      <c r="A31" s="211" t="s">
        <v>318</v>
      </c>
      <c r="B31" s="193" t="s">
        <v>70</v>
      </c>
      <c r="C31" s="8">
        <v>45545.0</v>
      </c>
      <c r="D31" s="9">
        <v>0.29444444444444445</v>
      </c>
      <c r="E31" s="8">
        <v>45545.0</v>
      </c>
      <c r="F31" s="9">
        <v>0.5854166666666667</v>
      </c>
      <c r="G31" s="228">
        <v>111.0</v>
      </c>
      <c r="H31" s="196">
        <v>1.0</v>
      </c>
      <c r="I31" s="216">
        <v>114.7</v>
      </c>
      <c r="J31" s="221">
        <v>115.0</v>
      </c>
      <c r="K31" s="193" t="s">
        <v>70</v>
      </c>
      <c r="L31" s="229" t="s">
        <v>319</v>
      </c>
      <c r="M31" s="197" t="s">
        <v>13</v>
      </c>
      <c r="N31" s="198">
        <f t="shared" si="1"/>
        <v>4</v>
      </c>
      <c r="O31" s="199" t="s">
        <v>12</v>
      </c>
      <c r="P31" s="200"/>
      <c r="Q31" s="226"/>
      <c r="R31" s="201"/>
      <c r="S31" s="227"/>
      <c r="T31" s="227"/>
      <c r="U31" s="227"/>
      <c r="V31" s="227"/>
      <c r="W31" s="227"/>
      <c r="X31" s="227"/>
      <c r="Y31" s="227"/>
      <c r="Z31" s="227"/>
      <c r="AA31" s="227"/>
      <c r="AB31" s="227"/>
    </row>
    <row r="32" ht="15.75" customHeight="1">
      <c r="A32" s="211" t="s">
        <v>320</v>
      </c>
      <c r="B32" s="193" t="s">
        <v>70</v>
      </c>
      <c r="C32" s="8">
        <v>45545.0</v>
      </c>
      <c r="D32" s="22">
        <v>0.3145833333333333</v>
      </c>
      <c r="E32" s="8">
        <v>45545.0</v>
      </c>
      <c r="F32" s="9">
        <v>0.5875</v>
      </c>
      <c r="G32" s="221">
        <v>109.9</v>
      </c>
      <c r="H32" s="196">
        <v>1.0</v>
      </c>
      <c r="I32" s="230">
        <v>111.67</v>
      </c>
      <c r="J32" s="230">
        <v>111.7</v>
      </c>
      <c r="K32" s="193" t="s">
        <v>70</v>
      </c>
      <c r="L32" s="231" t="s">
        <v>321</v>
      </c>
      <c r="M32" s="197" t="s">
        <v>13</v>
      </c>
      <c r="N32" s="198">
        <f t="shared" si="1"/>
        <v>1.8</v>
      </c>
      <c r="O32" s="199" t="s">
        <v>12</v>
      </c>
      <c r="P32" s="200"/>
      <c r="Q32" s="232"/>
      <c r="R32" s="201"/>
      <c r="S32" s="233"/>
      <c r="T32" s="233"/>
      <c r="U32" s="233"/>
      <c r="V32" s="233"/>
      <c r="W32" s="233"/>
      <c r="X32" s="233"/>
      <c r="Y32" s="233"/>
      <c r="Z32" s="233"/>
      <c r="AA32" s="233"/>
      <c r="AB32" s="233"/>
    </row>
    <row r="33" ht="15.75" customHeight="1">
      <c r="A33" s="211" t="s">
        <v>322</v>
      </c>
      <c r="B33" s="193" t="s">
        <v>70</v>
      </c>
      <c r="C33" s="8">
        <v>45545.0</v>
      </c>
      <c r="D33" s="22">
        <v>0.3326388888888889</v>
      </c>
      <c r="E33" s="8">
        <v>45545.0</v>
      </c>
      <c r="F33" s="9">
        <v>0.5916666666666667</v>
      </c>
      <c r="G33" s="221">
        <v>109.3</v>
      </c>
      <c r="H33" s="196">
        <v>1.0</v>
      </c>
      <c r="I33" s="221">
        <v>111.47</v>
      </c>
      <c r="J33" s="221">
        <v>111.5</v>
      </c>
      <c r="K33" s="193" t="s">
        <v>70</v>
      </c>
      <c r="L33" s="231" t="s">
        <v>323</v>
      </c>
      <c r="M33" s="197" t="s">
        <v>13</v>
      </c>
      <c r="N33" s="198">
        <f t="shared" si="1"/>
        <v>2.2</v>
      </c>
      <c r="O33" s="199" t="s">
        <v>12</v>
      </c>
      <c r="P33" s="200"/>
      <c r="Q33" s="224"/>
      <c r="R33" s="201"/>
      <c r="S33" s="208"/>
      <c r="T33" s="208"/>
      <c r="U33" s="208"/>
      <c r="V33" s="208"/>
      <c r="W33" s="208"/>
      <c r="X33" s="208"/>
      <c r="Y33" s="208"/>
      <c r="Z33" s="208"/>
      <c r="AA33" s="208"/>
      <c r="AB33" s="208"/>
    </row>
    <row r="34" ht="15.0" customHeight="1">
      <c r="A34" s="211" t="s">
        <v>324</v>
      </c>
      <c r="B34" s="193" t="s">
        <v>70</v>
      </c>
      <c r="C34" s="8">
        <v>45545.0</v>
      </c>
      <c r="D34" s="25">
        <v>0.3472222222222222</v>
      </c>
      <c r="E34" s="8">
        <v>45545.0</v>
      </c>
      <c r="F34" s="9">
        <v>0.5986111111111111</v>
      </c>
      <c r="G34" s="221">
        <v>109.6</v>
      </c>
      <c r="H34" s="196">
        <v>1.0</v>
      </c>
      <c r="I34" s="221">
        <v>115.69</v>
      </c>
      <c r="J34" s="211">
        <v>115.7</v>
      </c>
      <c r="K34" s="193" t="s">
        <v>70</v>
      </c>
      <c r="L34" s="231" t="s">
        <v>325</v>
      </c>
      <c r="M34" s="197" t="s">
        <v>13</v>
      </c>
      <c r="N34" s="198">
        <f t="shared" si="1"/>
        <v>6.1</v>
      </c>
      <c r="O34" s="199" t="s">
        <v>12</v>
      </c>
      <c r="P34" s="234"/>
      <c r="Q34" s="226"/>
      <c r="R34" s="201"/>
      <c r="S34" s="227"/>
      <c r="T34" s="227"/>
      <c r="U34" s="227"/>
      <c r="V34" s="227"/>
      <c r="W34" s="227"/>
      <c r="X34" s="227"/>
      <c r="Y34" s="227"/>
      <c r="Z34" s="227"/>
      <c r="AA34" s="227"/>
      <c r="AB34" s="227"/>
    </row>
    <row r="35" ht="15.75" customHeight="1">
      <c r="A35" s="211" t="s">
        <v>326</v>
      </c>
      <c r="B35" s="193" t="s">
        <v>70</v>
      </c>
      <c r="C35" s="8">
        <v>45545.0</v>
      </c>
      <c r="D35" s="25">
        <v>0.36736111111111114</v>
      </c>
      <c r="E35" s="8">
        <v>45545.0</v>
      </c>
      <c r="F35" s="235">
        <v>0.6006944444444444</v>
      </c>
      <c r="G35" s="228">
        <v>109.1</v>
      </c>
      <c r="H35" s="196">
        <v>1.0</v>
      </c>
      <c r="I35" s="228">
        <v>112.6</v>
      </c>
      <c r="J35" s="211">
        <v>112.5</v>
      </c>
      <c r="K35" s="193" t="s">
        <v>70</v>
      </c>
      <c r="L35" s="211" t="s">
        <v>327</v>
      </c>
      <c r="M35" s="197" t="s">
        <v>13</v>
      </c>
      <c r="N35" s="198">
        <f t="shared" si="1"/>
        <v>3.4</v>
      </c>
      <c r="O35" s="199" t="s">
        <v>12</v>
      </c>
      <c r="Q35" s="226"/>
      <c r="R35" s="201"/>
      <c r="S35" s="227"/>
      <c r="T35" s="227"/>
      <c r="U35" s="227"/>
      <c r="V35" s="227"/>
      <c r="W35" s="227"/>
      <c r="X35" s="227"/>
      <c r="Y35" s="227"/>
      <c r="Z35" s="227"/>
      <c r="AA35" s="227"/>
      <c r="AB35" s="227"/>
    </row>
    <row r="36" ht="15.75" customHeight="1">
      <c r="A36" s="211" t="s">
        <v>328</v>
      </c>
      <c r="B36" s="193" t="s">
        <v>70</v>
      </c>
      <c r="C36" s="8">
        <v>45545.0</v>
      </c>
      <c r="D36" s="25">
        <v>0.38055555555555554</v>
      </c>
      <c r="E36" s="8">
        <v>45545.0</v>
      </c>
      <c r="F36" s="235">
        <v>0.6034722222222222</v>
      </c>
      <c r="G36" s="228">
        <v>109.63</v>
      </c>
      <c r="H36" s="196">
        <v>1.0</v>
      </c>
      <c r="I36" s="228">
        <v>116.5</v>
      </c>
      <c r="J36" s="211">
        <v>116.6</v>
      </c>
      <c r="K36" s="193" t="s">
        <v>70</v>
      </c>
      <c r="L36" s="211" t="s">
        <v>329</v>
      </c>
      <c r="M36" s="197" t="s">
        <v>13</v>
      </c>
      <c r="N36" s="198">
        <f t="shared" si="1"/>
        <v>6.97</v>
      </c>
      <c r="O36" s="199" t="s">
        <v>12</v>
      </c>
      <c r="P36" s="236" t="s">
        <v>330</v>
      </c>
      <c r="Q36" s="226"/>
      <c r="R36" s="201"/>
      <c r="S36" s="227"/>
      <c r="T36" s="227"/>
      <c r="U36" s="227"/>
      <c r="V36" s="227"/>
      <c r="W36" s="227"/>
      <c r="X36" s="227"/>
      <c r="Y36" s="227"/>
      <c r="Z36" s="227"/>
      <c r="AA36" s="227"/>
      <c r="AB36" s="227"/>
    </row>
    <row r="37" ht="15.75" customHeight="1">
      <c r="A37" s="211" t="s">
        <v>331</v>
      </c>
      <c r="B37" s="193" t="s">
        <v>70</v>
      </c>
      <c r="C37" s="8">
        <v>45545.0</v>
      </c>
      <c r="D37" s="25">
        <v>0.4013888888888889</v>
      </c>
      <c r="E37" s="8">
        <v>45545.0</v>
      </c>
      <c r="F37" s="22">
        <v>0.10555555555555556</v>
      </c>
      <c r="G37" s="221">
        <v>110.2</v>
      </c>
      <c r="H37" s="196">
        <v>1.0</v>
      </c>
      <c r="I37" s="221">
        <v>113.0</v>
      </c>
      <c r="J37" s="221">
        <v>112.9</v>
      </c>
      <c r="K37" s="193" t="s">
        <v>70</v>
      </c>
      <c r="L37" s="231" t="s">
        <v>332</v>
      </c>
      <c r="M37" s="197" t="s">
        <v>13</v>
      </c>
      <c r="N37" s="198">
        <f t="shared" si="1"/>
        <v>2.7</v>
      </c>
      <c r="O37" s="199" t="s">
        <v>12</v>
      </c>
      <c r="P37" s="200"/>
      <c r="Q37" s="226"/>
      <c r="R37" s="201"/>
      <c r="S37" s="227"/>
      <c r="T37" s="227"/>
      <c r="U37" s="227"/>
      <c r="V37" s="227"/>
      <c r="W37" s="227"/>
      <c r="X37" s="227"/>
      <c r="Y37" s="227"/>
      <c r="Z37" s="227"/>
      <c r="AA37" s="227"/>
      <c r="AB37" s="227"/>
    </row>
    <row r="38" ht="15.75" customHeight="1">
      <c r="A38" s="211" t="s">
        <v>333</v>
      </c>
      <c r="B38" s="193" t="s">
        <v>70</v>
      </c>
      <c r="C38" s="8">
        <v>45545.0</v>
      </c>
      <c r="D38" s="9">
        <v>0.4395833333333333</v>
      </c>
      <c r="E38" s="8">
        <v>45545.0</v>
      </c>
      <c r="F38" s="22">
        <v>0.6097222222222223</v>
      </c>
      <c r="G38" s="221">
        <v>110.8</v>
      </c>
      <c r="H38" s="196">
        <v>1.0</v>
      </c>
      <c r="I38" s="221">
        <v>121.6</v>
      </c>
      <c r="J38" s="221">
        <v>121.4</v>
      </c>
      <c r="K38" s="193" t="s">
        <v>70</v>
      </c>
      <c r="L38" s="211" t="s">
        <v>334</v>
      </c>
      <c r="M38" s="197" t="s">
        <v>13</v>
      </c>
      <c r="N38" s="198">
        <f t="shared" si="1"/>
        <v>10.6</v>
      </c>
      <c r="O38" s="199" t="s">
        <v>12</v>
      </c>
      <c r="P38" s="200"/>
      <c r="Q38" s="226"/>
      <c r="R38" s="201"/>
      <c r="S38" s="227"/>
      <c r="T38" s="227"/>
      <c r="U38" s="227"/>
      <c r="V38" s="227"/>
      <c r="W38" s="227"/>
      <c r="X38" s="227"/>
      <c r="Y38" s="227"/>
      <c r="Z38" s="227"/>
      <c r="AA38" s="227"/>
      <c r="AB38" s="227"/>
    </row>
    <row r="39" ht="15.75" customHeight="1">
      <c r="A39" s="211" t="s">
        <v>335</v>
      </c>
      <c r="B39" s="193" t="s">
        <v>70</v>
      </c>
      <c r="C39" s="8">
        <v>45545.0</v>
      </c>
      <c r="D39" s="9">
        <v>0.46597222222222223</v>
      </c>
      <c r="E39" s="8">
        <v>45545.0</v>
      </c>
      <c r="F39" s="22">
        <v>0.6131944444444445</v>
      </c>
      <c r="G39" s="221">
        <v>109.7</v>
      </c>
      <c r="H39" s="196">
        <v>1.0</v>
      </c>
      <c r="I39" s="195">
        <v>116.9</v>
      </c>
      <c r="J39" s="195">
        <v>117.0</v>
      </c>
      <c r="K39" s="193" t="s">
        <v>70</v>
      </c>
      <c r="L39" s="211" t="s">
        <v>336</v>
      </c>
      <c r="M39" s="197" t="s">
        <v>13</v>
      </c>
      <c r="N39" s="198">
        <f t="shared" si="1"/>
        <v>7.3</v>
      </c>
      <c r="O39" s="199" t="s">
        <v>12</v>
      </c>
      <c r="P39" s="200"/>
      <c r="Q39" s="226"/>
      <c r="R39" s="201"/>
      <c r="S39" s="208"/>
      <c r="T39" s="208"/>
      <c r="U39" s="208"/>
      <c r="V39" s="208"/>
      <c r="W39" s="208"/>
      <c r="X39" s="208"/>
      <c r="Y39" s="208"/>
      <c r="Z39" s="208"/>
      <c r="AA39" s="208"/>
      <c r="AB39" s="208"/>
    </row>
    <row r="40" ht="15.75" customHeight="1">
      <c r="A40" s="211" t="s">
        <v>337</v>
      </c>
      <c r="B40" s="193" t="s">
        <v>70</v>
      </c>
      <c r="C40" s="27">
        <v>45547.0</v>
      </c>
      <c r="D40" s="9">
        <v>0.34791666666666665</v>
      </c>
      <c r="E40" s="27">
        <v>45547.0</v>
      </c>
      <c r="F40" s="29">
        <v>0.5965277777777778</v>
      </c>
      <c r="G40" s="237">
        <v>108.8</v>
      </c>
      <c r="H40" s="196">
        <v>1.0</v>
      </c>
      <c r="I40" s="237">
        <v>114.8</v>
      </c>
      <c r="J40" s="237">
        <v>114.8</v>
      </c>
      <c r="K40" s="193" t="s">
        <v>70</v>
      </c>
      <c r="L40" s="229" t="s">
        <v>338</v>
      </c>
      <c r="M40" s="197" t="s">
        <v>13</v>
      </c>
      <c r="N40" s="198">
        <f t="shared" si="1"/>
        <v>6</v>
      </c>
      <c r="O40" s="199" t="s">
        <v>12</v>
      </c>
      <c r="P40" s="200"/>
      <c r="Q40" s="226"/>
      <c r="R40" s="201"/>
      <c r="S40" s="208"/>
      <c r="T40" s="208"/>
      <c r="U40" s="208"/>
      <c r="V40" s="208"/>
      <c r="W40" s="208"/>
      <c r="X40" s="208"/>
      <c r="Y40" s="208"/>
      <c r="Z40" s="208"/>
      <c r="AA40" s="208"/>
      <c r="AB40" s="208"/>
    </row>
    <row r="41" ht="15.75" customHeight="1">
      <c r="A41" s="211" t="s">
        <v>339</v>
      </c>
      <c r="B41" s="193" t="s">
        <v>70</v>
      </c>
      <c r="C41" s="27">
        <v>45547.0</v>
      </c>
      <c r="D41" s="9">
        <v>0.36319444444444443</v>
      </c>
      <c r="E41" s="27">
        <v>45547.0</v>
      </c>
      <c r="F41" s="22">
        <v>0.5951388888888889</v>
      </c>
      <c r="G41" s="221">
        <v>110.0</v>
      </c>
      <c r="H41" s="196">
        <v>1.0</v>
      </c>
      <c r="I41" s="221">
        <v>114.3</v>
      </c>
      <c r="J41" s="221">
        <v>114.6</v>
      </c>
      <c r="K41" s="193" t="s">
        <v>70</v>
      </c>
      <c r="L41" s="229" t="s">
        <v>340</v>
      </c>
      <c r="M41" s="197" t="s">
        <v>13</v>
      </c>
      <c r="N41" s="198">
        <f t="shared" si="1"/>
        <v>4.6</v>
      </c>
      <c r="O41" s="199" t="s">
        <v>12</v>
      </c>
      <c r="P41" s="200"/>
      <c r="Q41" s="226"/>
      <c r="R41" s="201"/>
      <c r="S41" s="227"/>
      <c r="T41" s="227"/>
      <c r="U41" s="227"/>
      <c r="V41" s="227"/>
      <c r="W41" s="227"/>
      <c r="X41" s="227"/>
      <c r="Y41" s="227"/>
      <c r="Z41" s="227"/>
      <c r="AA41" s="227"/>
      <c r="AB41" s="227"/>
    </row>
    <row r="42" ht="15.75" customHeight="1">
      <c r="A42" s="211" t="s">
        <v>341</v>
      </c>
      <c r="B42" s="193" t="s">
        <v>70</v>
      </c>
      <c r="C42" s="27">
        <v>45547.0</v>
      </c>
      <c r="D42" s="9">
        <v>0.4041666666666667</v>
      </c>
      <c r="E42" s="27">
        <v>45547.0</v>
      </c>
      <c r="F42" s="238">
        <v>0.5888888888888889</v>
      </c>
      <c r="G42" s="239">
        <v>109.2</v>
      </c>
      <c r="H42" s="196">
        <v>1.0</v>
      </c>
      <c r="I42" s="216">
        <v>115.1</v>
      </c>
      <c r="J42" s="216">
        <v>115.0</v>
      </c>
      <c r="K42" s="193" t="s">
        <v>70</v>
      </c>
      <c r="L42" s="229" t="s">
        <v>342</v>
      </c>
      <c r="M42" s="197" t="s">
        <v>13</v>
      </c>
      <c r="N42" s="198">
        <f t="shared" si="1"/>
        <v>5.8</v>
      </c>
      <c r="O42" s="199" t="s">
        <v>12</v>
      </c>
      <c r="P42" s="200"/>
      <c r="Q42" s="226"/>
      <c r="R42" s="201"/>
      <c r="S42" s="227"/>
      <c r="T42" s="227"/>
      <c r="U42" s="227"/>
      <c r="V42" s="227"/>
      <c r="W42" s="227"/>
      <c r="X42" s="227"/>
      <c r="Y42" s="227"/>
      <c r="Z42" s="227"/>
      <c r="AA42" s="227"/>
      <c r="AB42" s="227"/>
    </row>
    <row r="43" ht="15.75" customHeight="1">
      <c r="A43" s="211" t="s">
        <v>343</v>
      </c>
      <c r="B43" s="193" t="s">
        <v>70</v>
      </c>
      <c r="C43" s="27">
        <v>45547.0</v>
      </c>
      <c r="D43" s="9">
        <v>0.4270833333333333</v>
      </c>
      <c r="E43" s="27">
        <v>45547.0</v>
      </c>
      <c r="F43" s="240">
        <v>0.5909722222222222</v>
      </c>
      <c r="G43" s="216">
        <v>108.4</v>
      </c>
      <c r="H43" s="196">
        <v>1.0</v>
      </c>
      <c r="I43" s="216">
        <v>116.8</v>
      </c>
      <c r="J43" s="216">
        <v>116.8</v>
      </c>
      <c r="K43" s="193" t="s">
        <v>70</v>
      </c>
      <c r="L43" s="229" t="s">
        <v>344</v>
      </c>
      <c r="M43" s="197" t="s">
        <v>13</v>
      </c>
      <c r="N43" s="198">
        <f t="shared" si="1"/>
        <v>8.4</v>
      </c>
      <c r="O43" s="199" t="s">
        <v>12</v>
      </c>
      <c r="P43" s="200"/>
      <c r="Q43" s="226"/>
      <c r="R43" s="201"/>
      <c r="S43" s="227"/>
      <c r="T43" s="227"/>
      <c r="U43" s="227"/>
      <c r="V43" s="227"/>
      <c r="W43" s="227"/>
      <c r="X43" s="227"/>
      <c r="Y43" s="227"/>
      <c r="Z43" s="227"/>
      <c r="AA43" s="227"/>
      <c r="AB43" s="227"/>
    </row>
    <row r="44" ht="15.75" customHeight="1">
      <c r="A44" s="211" t="s">
        <v>345</v>
      </c>
      <c r="B44" s="193" t="s">
        <v>70</v>
      </c>
      <c r="C44" s="27">
        <v>45547.0</v>
      </c>
      <c r="D44" s="9">
        <v>0.45694444444444443</v>
      </c>
      <c r="E44" s="27">
        <v>45547.0</v>
      </c>
      <c r="F44" s="9">
        <v>0.5784722222222223</v>
      </c>
      <c r="G44" s="216">
        <v>109.5</v>
      </c>
      <c r="H44" s="196">
        <v>1.0</v>
      </c>
      <c r="I44" s="216">
        <v>120.3</v>
      </c>
      <c r="J44" s="216">
        <v>120.1</v>
      </c>
      <c r="K44" s="193" t="s">
        <v>70</v>
      </c>
      <c r="L44" s="241" t="s">
        <v>346</v>
      </c>
      <c r="M44" s="197" t="s">
        <v>13</v>
      </c>
      <c r="N44" s="198">
        <f t="shared" si="1"/>
        <v>10.6</v>
      </c>
      <c r="O44" s="199" t="s">
        <v>12</v>
      </c>
      <c r="P44" s="200"/>
      <c r="Q44" s="226"/>
      <c r="R44" s="201"/>
      <c r="S44" s="227"/>
      <c r="T44" s="227"/>
      <c r="U44" s="227"/>
      <c r="V44" s="227"/>
      <c r="W44" s="227"/>
      <c r="X44" s="227"/>
      <c r="Y44" s="227"/>
      <c r="Z44" s="227"/>
      <c r="AA44" s="227"/>
      <c r="AB44" s="227"/>
    </row>
    <row r="45" ht="15.75" customHeight="1">
      <c r="A45" s="211" t="s">
        <v>347</v>
      </c>
      <c r="B45" s="193" t="s">
        <v>70</v>
      </c>
      <c r="C45" s="27">
        <v>45547.0</v>
      </c>
      <c r="D45" s="9">
        <v>0.4673611111111111</v>
      </c>
      <c r="E45" s="27">
        <v>45547.0</v>
      </c>
      <c r="F45" s="235">
        <v>0.5868055555555556</v>
      </c>
      <c r="G45" s="211">
        <v>109.6</v>
      </c>
      <c r="H45" s="196">
        <v>1.0</v>
      </c>
      <c r="I45" s="211">
        <v>115.1</v>
      </c>
      <c r="J45" s="211">
        <v>115.1</v>
      </c>
      <c r="K45" s="193" t="s">
        <v>70</v>
      </c>
      <c r="L45" s="211" t="s">
        <v>348</v>
      </c>
      <c r="M45" s="197" t="s">
        <v>13</v>
      </c>
      <c r="N45" s="198">
        <f t="shared" si="1"/>
        <v>5.5</v>
      </c>
      <c r="O45" s="199" t="s">
        <v>12</v>
      </c>
      <c r="P45" s="200"/>
      <c r="Q45" s="226"/>
      <c r="R45" s="201"/>
      <c r="S45" s="208"/>
      <c r="T45" s="208"/>
      <c r="U45" s="208"/>
      <c r="V45" s="208"/>
      <c r="W45" s="208"/>
      <c r="X45" s="208"/>
      <c r="Y45" s="208"/>
      <c r="Z45" s="208"/>
      <c r="AA45" s="208"/>
      <c r="AB45" s="208"/>
    </row>
    <row r="46" ht="15.75" customHeight="1">
      <c r="A46" s="192" t="s">
        <v>75</v>
      </c>
      <c r="B46" s="193" t="s">
        <v>70</v>
      </c>
      <c r="C46" s="27">
        <v>45547.0</v>
      </c>
      <c r="D46" s="193" t="s">
        <v>70</v>
      </c>
      <c r="E46" s="27">
        <v>45547.0</v>
      </c>
      <c r="F46" s="9">
        <v>0.5875</v>
      </c>
      <c r="G46" s="216">
        <v>110.6</v>
      </c>
      <c r="H46" s="196">
        <v>1.0</v>
      </c>
      <c r="I46" s="216">
        <v>110.9</v>
      </c>
      <c r="J46" s="216">
        <v>110.8</v>
      </c>
      <c r="K46" s="193" t="s">
        <v>70</v>
      </c>
      <c r="L46" s="220" t="s">
        <v>349</v>
      </c>
      <c r="M46" s="197" t="s">
        <v>13</v>
      </c>
      <c r="N46" s="198">
        <f t="shared" si="1"/>
        <v>0.2</v>
      </c>
      <c r="O46" s="199" t="s">
        <v>12</v>
      </c>
      <c r="P46" s="200"/>
      <c r="Q46" s="226"/>
      <c r="R46" s="201"/>
      <c r="S46" s="208"/>
      <c r="T46" s="208"/>
      <c r="U46" s="208"/>
      <c r="V46" s="208"/>
      <c r="W46" s="208"/>
      <c r="X46" s="208"/>
      <c r="Y46" s="208"/>
      <c r="Z46" s="208"/>
      <c r="AA46" s="208"/>
      <c r="AB46" s="208"/>
    </row>
    <row r="47" ht="15.75" customHeight="1">
      <c r="A47" s="204" t="s">
        <v>262</v>
      </c>
      <c r="B47" s="195">
        <v>100.2</v>
      </c>
      <c r="C47" s="27">
        <v>45547.0</v>
      </c>
      <c r="D47" s="193" t="s">
        <v>70</v>
      </c>
      <c r="E47" s="27">
        <v>45547.0</v>
      </c>
      <c r="F47" s="9">
        <v>0.5972222222222222</v>
      </c>
      <c r="G47" s="216">
        <v>109.9</v>
      </c>
      <c r="H47" s="196">
        <v>1.0</v>
      </c>
      <c r="I47" s="216">
        <v>209.8</v>
      </c>
      <c r="J47" s="216">
        <v>209.8</v>
      </c>
      <c r="K47" s="193" t="s">
        <v>70</v>
      </c>
      <c r="L47" s="220" t="s">
        <v>303</v>
      </c>
      <c r="M47" s="197" t="s">
        <v>13</v>
      </c>
      <c r="N47" s="198">
        <f t="shared" si="1"/>
        <v>99.9</v>
      </c>
      <c r="O47" s="199" t="s">
        <v>12</v>
      </c>
      <c r="P47" s="200"/>
      <c r="Q47" s="218"/>
      <c r="R47" s="201"/>
      <c r="S47" s="219"/>
      <c r="T47" s="219"/>
      <c r="U47" s="219"/>
      <c r="V47" s="219"/>
      <c r="W47" s="219"/>
      <c r="X47" s="219"/>
      <c r="Y47" s="219"/>
      <c r="Z47" s="219"/>
      <c r="AA47" s="219"/>
      <c r="AB47" s="219"/>
    </row>
    <row r="48">
      <c r="A48" s="211" t="s">
        <v>350</v>
      </c>
      <c r="B48" s="193" t="s">
        <v>70</v>
      </c>
      <c r="C48" s="27">
        <v>45547.0</v>
      </c>
      <c r="D48" s="9">
        <v>0.4791666666666667</v>
      </c>
      <c r="E48" s="27">
        <v>45547.0</v>
      </c>
      <c r="F48" s="9">
        <v>0.5840277777777778</v>
      </c>
      <c r="G48" s="221">
        <v>109.4</v>
      </c>
      <c r="H48" s="196">
        <v>1.0</v>
      </c>
      <c r="I48" s="195">
        <v>114.4</v>
      </c>
      <c r="J48" s="195">
        <v>114.5</v>
      </c>
      <c r="K48" s="193" t="s">
        <v>70</v>
      </c>
      <c r="L48" s="242" t="s">
        <v>351</v>
      </c>
      <c r="M48" s="197" t="s">
        <v>13</v>
      </c>
      <c r="N48" s="198">
        <f t="shared" si="1"/>
        <v>5.1</v>
      </c>
      <c r="O48" s="199" t="s">
        <v>12</v>
      </c>
      <c r="P48" s="200"/>
      <c r="Q48" s="207"/>
      <c r="R48" s="201"/>
      <c r="S48" s="222"/>
      <c r="T48" s="222"/>
      <c r="U48" s="222"/>
      <c r="V48" s="222"/>
      <c r="W48" s="222"/>
      <c r="X48" s="222"/>
      <c r="Y48" s="222"/>
      <c r="Z48" s="222"/>
      <c r="AA48" s="222"/>
      <c r="AB48" s="222"/>
    </row>
    <row r="49" ht="15.75" customHeight="1">
      <c r="A49" s="20" t="s">
        <v>352</v>
      </c>
      <c r="B49" s="193" t="s">
        <v>70</v>
      </c>
      <c r="C49" s="27">
        <v>45547.0</v>
      </c>
      <c r="D49" s="29">
        <v>0.4895833333333333</v>
      </c>
      <c r="E49" s="27">
        <v>45547.0</v>
      </c>
      <c r="F49" s="9">
        <v>0.575</v>
      </c>
      <c r="G49" s="195">
        <v>110.5</v>
      </c>
      <c r="H49" s="196">
        <v>1.0</v>
      </c>
      <c r="I49" s="216">
        <v>117.6</v>
      </c>
      <c r="J49" s="216">
        <v>117.9</v>
      </c>
      <c r="K49" s="193" t="s">
        <v>70</v>
      </c>
      <c r="L49" s="241" t="s">
        <v>353</v>
      </c>
      <c r="M49" s="197" t="s">
        <v>13</v>
      </c>
      <c r="N49" s="198">
        <f t="shared" si="1"/>
        <v>7.4</v>
      </c>
      <c r="O49" s="199" t="s">
        <v>12</v>
      </c>
      <c r="P49" s="200"/>
      <c r="Q49" s="226"/>
      <c r="R49" s="201"/>
      <c r="S49" s="208"/>
      <c r="T49" s="208"/>
      <c r="U49" s="208"/>
      <c r="V49" s="208"/>
      <c r="W49" s="208"/>
      <c r="X49" s="208"/>
      <c r="Y49" s="208"/>
      <c r="Z49" s="208"/>
      <c r="AA49" s="208"/>
      <c r="AB49" s="208"/>
    </row>
    <row r="50" ht="15.75" customHeight="1">
      <c r="A50" s="21" t="s">
        <v>354</v>
      </c>
      <c r="B50" s="193" t="s">
        <v>70</v>
      </c>
      <c r="C50" s="8">
        <v>45551.0</v>
      </c>
      <c r="D50" s="9">
        <v>0.2638888888888889</v>
      </c>
      <c r="E50" s="8">
        <v>45551.0</v>
      </c>
      <c r="F50" s="9">
        <v>0.5833333333333334</v>
      </c>
      <c r="G50" s="195">
        <v>103.7</v>
      </c>
      <c r="H50" s="196">
        <v>1.0</v>
      </c>
      <c r="I50" s="195">
        <v>109.6</v>
      </c>
      <c r="J50" s="195">
        <v>109.7</v>
      </c>
      <c r="K50" s="193" t="s">
        <v>70</v>
      </c>
      <c r="L50" s="220" t="s">
        <v>355</v>
      </c>
      <c r="M50" s="197" t="s">
        <v>13</v>
      </c>
      <c r="N50" s="198">
        <f t="shared" si="1"/>
        <v>6</v>
      </c>
      <c r="O50" s="199" t="s">
        <v>12</v>
      </c>
      <c r="P50" s="200"/>
      <c r="Q50" s="218"/>
      <c r="R50" s="201"/>
      <c r="S50" s="208"/>
      <c r="T50" s="208"/>
      <c r="U50" s="208"/>
      <c r="V50" s="208"/>
      <c r="W50" s="208"/>
      <c r="X50" s="208"/>
      <c r="Y50" s="208"/>
      <c r="Z50" s="208"/>
      <c r="AA50" s="208"/>
      <c r="AB50" s="208"/>
    </row>
    <row r="51" ht="15.75" customHeight="1">
      <c r="A51" s="21" t="s">
        <v>356</v>
      </c>
      <c r="B51" s="193" t="s">
        <v>70</v>
      </c>
      <c r="C51" s="8">
        <v>45551.0</v>
      </c>
      <c r="D51" s="9">
        <v>0.2708333333333333</v>
      </c>
      <c r="E51" s="8">
        <v>45551.0</v>
      </c>
      <c r="F51" s="9">
        <v>0.5861111111111111</v>
      </c>
      <c r="G51" s="195">
        <v>106.1</v>
      </c>
      <c r="H51" s="196">
        <v>1.0</v>
      </c>
      <c r="I51" s="195">
        <v>113.1</v>
      </c>
      <c r="J51" s="195">
        <v>112.7</v>
      </c>
      <c r="K51" s="193" t="s">
        <v>70</v>
      </c>
      <c r="L51" s="220" t="s">
        <v>357</v>
      </c>
      <c r="M51" s="197" t="s">
        <v>13</v>
      </c>
      <c r="N51" s="198">
        <f t="shared" si="1"/>
        <v>6.6</v>
      </c>
      <c r="O51" s="199" t="s">
        <v>12</v>
      </c>
      <c r="P51" s="200"/>
      <c r="Q51" s="218"/>
      <c r="R51" s="201"/>
      <c r="S51" s="208"/>
      <c r="T51" s="208"/>
      <c r="U51" s="208"/>
      <c r="V51" s="208"/>
      <c r="W51" s="208"/>
      <c r="X51" s="208"/>
      <c r="Y51" s="208"/>
      <c r="Z51" s="208"/>
      <c r="AA51" s="208"/>
      <c r="AB51" s="208"/>
    </row>
    <row r="52" ht="15.75" customHeight="1">
      <c r="A52" s="21" t="s">
        <v>358</v>
      </c>
      <c r="B52" s="193" t="s">
        <v>70</v>
      </c>
      <c r="C52" s="8">
        <v>45551.0</v>
      </c>
      <c r="D52" s="9">
        <v>0.3854166666666667</v>
      </c>
      <c r="E52" s="8">
        <v>45551.0</v>
      </c>
      <c r="F52" s="22">
        <v>0.5875</v>
      </c>
      <c r="G52" s="221">
        <v>104.3</v>
      </c>
      <c r="H52" s="196">
        <v>1.0</v>
      </c>
      <c r="I52" s="237">
        <v>109.1</v>
      </c>
      <c r="J52" s="237">
        <v>109.3</v>
      </c>
      <c r="K52" s="193" t="s">
        <v>70</v>
      </c>
      <c r="L52" s="220" t="s">
        <v>359</v>
      </c>
      <c r="M52" s="197" t="s">
        <v>13</v>
      </c>
      <c r="N52" s="198">
        <f t="shared" si="1"/>
        <v>5</v>
      </c>
      <c r="O52" s="199" t="s">
        <v>12</v>
      </c>
      <c r="P52" s="200"/>
      <c r="Q52" s="218"/>
      <c r="R52" s="201"/>
      <c r="S52" s="208"/>
      <c r="T52" s="208"/>
      <c r="U52" s="208"/>
      <c r="V52" s="208"/>
      <c r="W52" s="208"/>
      <c r="X52" s="208"/>
      <c r="Y52" s="208"/>
      <c r="Z52" s="208"/>
      <c r="AA52" s="208"/>
      <c r="AB52" s="208"/>
    </row>
    <row r="53" ht="15.75" customHeight="1">
      <c r="A53" s="21" t="s">
        <v>360</v>
      </c>
      <c r="B53" s="193" t="s">
        <v>70</v>
      </c>
      <c r="C53" s="8">
        <v>45551.0</v>
      </c>
      <c r="D53" s="9">
        <v>0.39444444444444443</v>
      </c>
      <c r="E53" s="8">
        <v>45551.0</v>
      </c>
      <c r="F53" s="29">
        <v>0.5888888888888889</v>
      </c>
      <c r="G53" s="237">
        <v>105.0</v>
      </c>
      <c r="H53" s="196">
        <v>1.0</v>
      </c>
      <c r="I53" s="237">
        <v>112.6</v>
      </c>
      <c r="J53" s="237">
        <v>112.6</v>
      </c>
      <c r="K53" s="193" t="s">
        <v>70</v>
      </c>
      <c r="L53" s="220" t="s">
        <v>361</v>
      </c>
      <c r="M53" s="197" t="s">
        <v>13</v>
      </c>
      <c r="N53" s="198">
        <f t="shared" si="1"/>
        <v>7.6</v>
      </c>
      <c r="O53" s="199" t="s">
        <v>12</v>
      </c>
      <c r="P53" s="200"/>
      <c r="Q53" s="218"/>
      <c r="R53" s="201"/>
      <c r="S53" s="208"/>
      <c r="T53" s="208"/>
      <c r="U53" s="208"/>
      <c r="V53" s="208"/>
      <c r="W53" s="208"/>
      <c r="X53" s="208"/>
      <c r="Y53" s="208"/>
      <c r="Z53" s="208"/>
      <c r="AA53" s="208"/>
      <c r="AB53" s="208"/>
    </row>
    <row r="54" ht="15.75" customHeight="1">
      <c r="A54" s="243"/>
      <c r="B54" s="243"/>
      <c r="C54" s="243"/>
      <c r="D54" s="243"/>
      <c r="E54" s="243"/>
      <c r="F54" s="243"/>
      <c r="G54" s="243"/>
      <c r="H54" s="243"/>
      <c r="I54" s="243"/>
      <c r="J54" s="243"/>
      <c r="K54" s="243"/>
      <c r="L54" s="243"/>
      <c r="M54" s="243"/>
      <c r="N54" s="243"/>
      <c r="O54" s="243"/>
      <c r="P54" s="243"/>
      <c r="Q54" s="243"/>
      <c r="R54" s="243"/>
      <c r="S54" s="208"/>
      <c r="T54" s="208"/>
      <c r="U54" s="208"/>
      <c r="V54" s="208"/>
      <c r="W54" s="208"/>
      <c r="X54" s="208"/>
      <c r="Y54" s="208"/>
      <c r="Z54" s="208"/>
      <c r="AA54" s="208"/>
      <c r="AB54" s="208"/>
    </row>
    <row r="55" ht="15.75" customHeight="1">
      <c r="A55" s="243"/>
      <c r="B55" s="243"/>
      <c r="C55" s="243"/>
      <c r="D55" s="243"/>
      <c r="E55" s="243"/>
      <c r="F55" s="243"/>
      <c r="G55" s="243"/>
      <c r="H55" s="243"/>
      <c r="I55" s="243"/>
      <c r="J55" s="243"/>
      <c r="K55" s="243"/>
      <c r="L55" s="243"/>
      <c r="M55" s="243"/>
      <c r="N55" s="243"/>
      <c r="O55" s="243"/>
      <c r="P55" s="243"/>
      <c r="Q55" s="243"/>
      <c r="R55" s="243"/>
      <c r="S55" s="208"/>
      <c r="T55" s="208"/>
      <c r="U55" s="208"/>
      <c r="V55" s="208"/>
      <c r="W55" s="208"/>
      <c r="X55" s="208"/>
      <c r="Y55" s="208"/>
      <c r="Z55" s="208"/>
      <c r="AA55" s="208"/>
      <c r="AB55" s="208"/>
    </row>
    <row r="56" ht="15.75" customHeight="1">
      <c r="A56" s="243"/>
      <c r="B56" s="243"/>
      <c r="C56" s="243"/>
      <c r="D56" s="243"/>
      <c r="E56" s="243"/>
      <c r="F56" s="243"/>
      <c r="G56" s="243"/>
      <c r="H56" s="243"/>
      <c r="I56" s="243"/>
      <c r="J56" s="243"/>
      <c r="K56" s="243"/>
      <c r="L56" s="243"/>
      <c r="M56" s="243"/>
      <c r="N56" s="243"/>
      <c r="O56" s="243"/>
      <c r="P56" s="243"/>
      <c r="Q56" s="243"/>
      <c r="R56" s="243"/>
      <c r="S56" s="208"/>
      <c r="T56" s="208"/>
      <c r="U56" s="208"/>
      <c r="V56" s="208"/>
      <c r="W56" s="208"/>
      <c r="X56" s="208"/>
      <c r="Y56" s="208"/>
      <c r="Z56" s="208"/>
      <c r="AA56" s="208"/>
      <c r="AB56" s="208"/>
    </row>
    <row r="57" ht="15.75" customHeight="1">
      <c r="A57" s="243"/>
      <c r="B57" s="243"/>
      <c r="C57" s="243"/>
      <c r="D57" s="243"/>
      <c r="E57" s="243"/>
      <c r="F57" s="243"/>
      <c r="G57" s="243"/>
      <c r="H57" s="243"/>
      <c r="I57" s="243"/>
      <c r="J57" s="243"/>
      <c r="K57" s="243"/>
      <c r="L57" s="243"/>
      <c r="M57" s="243"/>
      <c r="N57" s="243"/>
      <c r="O57" s="243"/>
      <c r="P57" s="243"/>
      <c r="Q57" s="243"/>
      <c r="R57" s="243"/>
      <c r="S57" s="208"/>
      <c r="T57" s="208"/>
      <c r="U57" s="208"/>
      <c r="V57" s="208"/>
      <c r="W57" s="208"/>
      <c r="X57" s="208"/>
      <c r="Y57" s="208"/>
      <c r="Z57" s="208"/>
      <c r="AA57" s="208"/>
      <c r="AB57" s="208"/>
    </row>
    <row r="58" ht="15.75" customHeight="1">
      <c r="A58" s="243"/>
      <c r="B58" s="243"/>
      <c r="C58" s="243"/>
      <c r="D58" s="243"/>
      <c r="E58" s="243"/>
      <c r="F58" s="243"/>
      <c r="G58" s="243"/>
      <c r="H58" s="243"/>
      <c r="I58" s="243"/>
      <c r="J58" s="243"/>
      <c r="K58" s="243"/>
      <c r="L58" s="243"/>
      <c r="M58" s="243"/>
      <c r="N58" s="243"/>
      <c r="O58" s="243"/>
      <c r="P58" s="243"/>
      <c r="Q58" s="243"/>
      <c r="R58" s="243"/>
      <c r="S58" s="208"/>
      <c r="T58" s="208"/>
      <c r="U58" s="208"/>
      <c r="V58" s="208"/>
      <c r="W58" s="208"/>
      <c r="X58" s="208"/>
      <c r="Y58" s="208"/>
      <c r="Z58" s="208"/>
      <c r="AA58" s="208"/>
      <c r="AB58" s="208"/>
    </row>
    <row r="59" ht="15.75" customHeight="1">
      <c r="A59" s="243"/>
      <c r="B59" s="243"/>
      <c r="C59" s="243"/>
      <c r="D59" s="243"/>
      <c r="E59" s="243"/>
      <c r="F59" s="243"/>
      <c r="G59" s="243"/>
      <c r="H59" s="243"/>
      <c r="I59" s="243"/>
      <c r="J59" s="243"/>
      <c r="K59" s="243"/>
      <c r="L59" s="243"/>
      <c r="M59" s="243"/>
      <c r="N59" s="243"/>
      <c r="O59" s="243"/>
      <c r="P59" s="243"/>
      <c r="Q59" s="243"/>
      <c r="R59" s="243"/>
      <c r="S59" s="208"/>
      <c r="T59" s="208"/>
      <c r="U59" s="208"/>
      <c r="V59" s="208"/>
      <c r="W59" s="208"/>
      <c r="X59" s="208"/>
      <c r="Y59" s="208"/>
      <c r="Z59" s="208"/>
      <c r="AA59" s="208"/>
      <c r="AB59" s="208"/>
    </row>
    <row r="60" ht="15.75" customHeight="1">
      <c r="A60" s="243"/>
      <c r="B60" s="243"/>
      <c r="C60" s="243"/>
      <c r="D60" s="243"/>
      <c r="E60" s="243"/>
      <c r="F60" s="243"/>
      <c r="G60" s="243"/>
      <c r="H60" s="243"/>
      <c r="I60" s="243"/>
      <c r="J60" s="243"/>
      <c r="K60" s="243"/>
      <c r="L60" s="243"/>
      <c r="M60" s="243"/>
      <c r="N60" s="243"/>
      <c r="O60" s="243"/>
      <c r="P60" s="243"/>
      <c r="Q60" s="243"/>
      <c r="R60" s="243"/>
      <c r="S60" s="208"/>
      <c r="T60" s="208"/>
      <c r="U60" s="208"/>
      <c r="V60" s="208"/>
      <c r="W60" s="208"/>
      <c r="X60" s="208"/>
      <c r="Y60" s="208"/>
      <c r="Z60" s="208"/>
      <c r="AA60" s="208"/>
      <c r="AB60" s="208"/>
    </row>
    <row r="61" ht="15.75" customHeight="1">
      <c r="A61" s="243"/>
      <c r="B61" s="243"/>
      <c r="C61" s="243"/>
      <c r="D61" s="243"/>
      <c r="E61" s="243"/>
      <c r="F61" s="243"/>
      <c r="G61" s="243"/>
      <c r="H61" s="243"/>
      <c r="I61" s="243"/>
      <c r="J61" s="243"/>
      <c r="K61" s="243"/>
      <c r="L61" s="243"/>
      <c r="M61" s="243"/>
      <c r="N61" s="243"/>
      <c r="O61" s="243"/>
      <c r="P61" s="243"/>
      <c r="Q61" s="243"/>
      <c r="R61" s="243"/>
      <c r="S61" s="208"/>
      <c r="T61" s="208"/>
      <c r="U61" s="208"/>
      <c r="V61" s="208"/>
      <c r="W61" s="208"/>
      <c r="X61" s="208"/>
      <c r="Y61" s="208"/>
      <c r="Z61" s="208"/>
      <c r="AA61" s="208"/>
      <c r="AB61" s="208"/>
    </row>
    <row r="62" ht="15.75" customHeight="1">
      <c r="A62" s="243"/>
      <c r="B62" s="243"/>
      <c r="C62" s="243"/>
      <c r="D62" s="243"/>
      <c r="E62" s="243"/>
      <c r="F62" s="243"/>
      <c r="G62" s="243"/>
      <c r="H62" s="243"/>
      <c r="I62" s="243"/>
      <c r="J62" s="243"/>
      <c r="K62" s="243"/>
      <c r="L62" s="243"/>
      <c r="M62" s="243"/>
      <c r="N62" s="243"/>
      <c r="O62" s="243"/>
      <c r="P62" s="243"/>
      <c r="Q62" s="243"/>
      <c r="R62" s="243"/>
      <c r="S62" s="208"/>
      <c r="T62" s="208"/>
      <c r="U62" s="208"/>
      <c r="V62" s="208"/>
      <c r="W62" s="208"/>
      <c r="X62" s="208"/>
      <c r="Y62" s="208"/>
      <c r="Z62" s="208"/>
      <c r="AA62" s="208"/>
      <c r="AB62" s="208"/>
    </row>
    <row r="63" ht="15.75" customHeight="1">
      <c r="A63" s="243"/>
      <c r="B63" s="243"/>
      <c r="C63" s="243"/>
      <c r="D63" s="243"/>
      <c r="E63" s="243"/>
      <c r="F63" s="243"/>
      <c r="G63" s="243"/>
      <c r="H63" s="243"/>
      <c r="I63" s="243"/>
      <c r="J63" s="243"/>
      <c r="K63" s="243"/>
      <c r="L63" s="243"/>
      <c r="M63" s="243"/>
      <c r="N63" s="243"/>
      <c r="O63" s="243"/>
      <c r="P63" s="243"/>
      <c r="Q63" s="243"/>
      <c r="R63" s="243"/>
      <c r="S63" s="208"/>
      <c r="T63" s="208"/>
      <c r="U63" s="208"/>
      <c r="V63" s="208"/>
      <c r="W63" s="208"/>
      <c r="X63" s="208"/>
      <c r="Y63" s="208"/>
      <c r="Z63" s="208"/>
      <c r="AA63" s="208"/>
      <c r="AB63" s="208"/>
    </row>
    <row r="64" ht="15.75" customHeight="1">
      <c r="A64" s="243"/>
      <c r="B64" s="243"/>
      <c r="C64" s="243"/>
      <c r="D64" s="243"/>
      <c r="E64" s="243"/>
      <c r="F64" s="243"/>
      <c r="G64" s="243"/>
      <c r="H64" s="243"/>
      <c r="I64" s="243"/>
      <c r="J64" s="243"/>
      <c r="K64" s="243"/>
      <c r="L64" s="243"/>
      <c r="M64" s="243"/>
      <c r="N64" s="243"/>
      <c r="O64" s="243"/>
      <c r="P64" s="243"/>
      <c r="Q64" s="243"/>
      <c r="R64" s="243"/>
      <c r="S64" s="208"/>
      <c r="T64" s="208"/>
      <c r="U64" s="208"/>
      <c r="V64" s="208"/>
      <c r="W64" s="208"/>
      <c r="X64" s="208"/>
      <c r="Y64" s="208"/>
      <c r="Z64" s="208"/>
      <c r="AA64" s="208"/>
      <c r="AB64" s="208"/>
    </row>
    <row r="65" ht="15.75" customHeight="1">
      <c r="A65" s="243"/>
      <c r="B65" s="243"/>
      <c r="C65" s="243"/>
      <c r="D65" s="243"/>
      <c r="E65" s="243"/>
      <c r="F65" s="243"/>
      <c r="G65" s="243"/>
      <c r="H65" s="243"/>
      <c r="I65" s="243"/>
      <c r="J65" s="243"/>
      <c r="K65" s="243"/>
      <c r="L65" s="243"/>
      <c r="M65" s="243"/>
      <c r="N65" s="243"/>
      <c r="O65" s="243"/>
      <c r="P65" s="243"/>
      <c r="Q65" s="243"/>
      <c r="R65" s="243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</row>
    <row r="66" ht="15.75" customHeight="1">
      <c r="A66" s="243"/>
      <c r="B66" s="243"/>
      <c r="C66" s="243"/>
      <c r="D66" s="243"/>
      <c r="E66" s="243"/>
      <c r="F66" s="243"/>
      <c r="G66" s="243"/>
      <c r="H66" s="243"/>
      <c r="I66" s="243"/>
      <c r="J66" s="243"/>
      <c r="K66" s="243"/>
      <c r="L66" s="243"/>
      <c r="M66" s="243"/>
      <c r="N66" s="243"/>
      <c r="O66" s="243"/>
      <c r="P66" s="243"/>
      <c r="Q66" s="243"/>
      <c r="R66" s="243"/>
      <c r="S66" s="208"/>
      <c r="T66" s="208"/>
      <c r="U66" s="208"/>
      <c r="V66" s="208"/>
      <c r="W66" s="208"/>
      <c r="X66" s="208"/>
      <c r="Y66" s="208"/>
      <c r="Z66" s="208"/>
      <c r="AA66" s="208"/>
      <c r="AB66" s="208"/>
    </row>
    <row r="67" ht="15.75" customHeight="1">
      <c r="A67" s="243"/>
      <c r="B67" s="243"/>
      <c r="C67" s="243"/>
      <c r="D67" s="243"/>
      <c r="E67" s="243"/>
      <c r="F67" s="243"/>
      <c r="G67" s="243"/>
      <c r="H67" s="243"/>
      <c r="I67" s="243"/>
      <c r="J67" s="243"/>
      <c r="K67" s="243"/>
      <c r="L67" s="243"/>
      <c r="M67" s="243"/>
      <c r="N67" s="243"/>
      <c r="O67" s="243"/>
      <c r="P67" s="243"/>
      <c r="Q67" s="243"/>
      <c r="R67" s="243"/>
      <c r="S67" s="208"/>
      <c r="T67" s="208"/>
      <c r="U67" s="208"/>
      <c r="V67" s="208"/>
      <c r="W67" s="208"/>
      <c r="X67" s="208"/>
      <c r="Y67" s="208"/>
      <c r="Z67" s="208"/>
      <c r="AA67" s="208"/>
      <c r="AB67" s="208"/>
    </row>
    <row r="68" ht="15.75" customHeight="1">
      <c r="A68" s="243"/>
      <c r="B68" s="243"/>
      <c r="C68" s="243"/>
      <c r="D68" s="243"/>
      <c r="E68" s="243"/>
      <c r="F68" s="243"/>
      <c r="G68" s="243"/>
      <c r="H68" s="243"/>
      <c r="I68" s="243"/>
      <c r="J68" s="243"/>
      <c r="K68" s="243"/>
      <c r="L68" s="243"/>
      <c r="M68" s="243"/>
      <c r="N68" s="243"/>
      <c r="O68" s="243"/>
      <c r="P68" s="243"/>
      <c r="Q68" s="243"/>
      <c r="R68" s="243"/>
      <c r="S68" s="208"/>
      <c r="T68" s="208"/>
      <c r="U68" s="208"/>
      <c r="V68" s="208"/>
      <c r="W68" s="208"/>
      <c r="X68" s="208"/>
      <c r="Y68" s="208"/>
      <c r="Z68" s="208"/>
      <c r="AA68" s="208"/>
      <c r="AB68" s="208"/>
    </row>
    <row r="69" ht="15.75" customHeight="1">
      <c r="A69" s="243"/>
      <c r="B69" s="243"/>
      <c r="C69" s="243"/>
      <c r="D69" s="243"/>
      <c r="E69" s="243"/>
      <c r="F69" s="243"/>
      <c r="G69" s="243"/>
      <c r="H69" s="243"/>
      <c r="I69" s="243"/>
      <c r="J69" s="243"/>
      <c r="K69" s="243"/>
      <c r="L69" s="243"/>
      <c r="M69" s="243"/>
      <c r="N69" s="243"/>
      <c r="O69" s="243"/>
      <c r="P69" s="243"/>
      <c r="Q69" s="243"/>
      <c r="R69" s="243"/>
      <c r="S69" s="208"/>
      <c r="T69" s="208"/>
      <c r="U69" s="208"/>
      <c r="V69" s="208"/>
      <c r="W69" s="208"/>
      <c r="X69" s="208"/>
      <c r="Y69" s="208"/>
      <c r="Z69" s="208"/>
      <c r="AA69" s="208"/>
      <c r="AB69" s="208"/>
    </row>
    <row r="70" ht="15.75" customHeight="1">
      <c r="A70" s="243"/>
      <c r="B70" s="243"/>
      <c r="C70" s="243"/>
      <c r="D70" s="243"/>
      <c r="E70" s="243"/>
      <c r="F70" s="243"/>
      <c r="G70" s="243"/>
      <c r="H70" s="243"/>
      <c r="I70" s="243"/>
      <c r="J70" s="243"/>
      <c r="K70" s="243"/>
      <c r="L70" s="243"/>
      <c r="M70" s="243"/>
      <c r="N70" s="243"/>
      <c r="O70" s="243"/>
      <c r="P70" s="243"/>
      <c r="Q70" s="243"/>
      <c r="R70" s="243"/>
      <c r="S70" s="208"/>
      <c r="T70" s="208"/>
      <c r="U70" s="208"/>
      <c r="V70" s="208"/>
      <c r="W70" s="208"/>
      <c r="X70" s="208"/>
      <c r="Y70" s="208"/>
      <c r="Z70" s="208"/>
      <c r="AA70" s="208"/>
      <c r="AB70" s="208"/>
    </row>
    <row r="71" ht="15.75" customHeight="1">
      <c r="A71" s="243"/>
      <c r="B71" s="243"/>
      <c r="C71" s="243"/>
      <c r="D71" s="243"/>
      <c r="E71" s="243"/>
      <c r="F71" s="243"/>
      <c r="G71" s="243"/>
      <c r="H71" s="243"/>
      <c r="I71" s="243"/>
      <c r="J71" s="243"/>
      <c r="K71" s="243"/>
      <c r="L71" s="243"/>
      <c r="M71" s="243"/>
      <c r="N71" s="243"/>
      <c r="O71" s="243"/>
      <c r="P71" s="243"/>
      <c r="Q71" s="243"/>
      <c r="R71" s="243"/>
      <c r="S71" s="208"/>
      <c r="T71" s="208"/>
      <c r="U71" s="208"/>
      <c r="V71" s="208"/>
      <c r="W71" s="208"/>
      <c r="X71" s="208"/>
      <c r="Y71" s="208"/>
      <c r="Z71" s="208"/>
      <c r="AA71" s="208"/>
      <c r="AB71" s="208"/>
    </row>
    <row r="72" ht="15.75" customHeight="1">
      <c r="A72" s="243"/>
      <c r="B72" s="243"/>
      <c r="C72" s="243"/>
      <c r="D72" s="243"/>
      <c r="E72" s="243"/>
      <c r="F72" s="243"/>
      <c r="G72" s="243"/>
      <c r="H72" s="243"/>
      <c r="I72" s="243"/>
      <c r="J72" s="243"/>
      <c r="K72" s="243"/>
      <c r="L72" s="243"/>
      <c r="M72" s="243"/>
      <c r="N72" s="243"/>
      <c r="O72" s="243"/>
      <c r="P72" s="243"/>
      <c r="Q72" s="243"/>
      <c r="R72" s="243"/>
      <c r="S72" s="208"/>
      <c r="T72" s="208"/>
      <c r="U72" s="208"/>
      <c r="V72" s="208"/>
      <c r="W72" s="208"/>
      <c r="X72" s="208"/>
      <c r="Y72" s="208"/>
      <c r="Z72" s="208"/>
      <c r="AA72" s="208"/>
      <c r="AB72" s="208"/>
    </row>
    <row r="73" ht="15.75" customHeight="1">
      <c r="A73" s="243"/>
      <c r="B73" s="243"/>
      <c r="C73" s="243"/>
      <c r="D73" s="243"/>
      <c r="E73" s="243"/>
      <c r="F73" s="243"/>
      <c r="G73" s="243"/>
      <c r="H73" s="243"/>
      <c r="I73" s="243"/>
      <c r="J73" s="243"/>
      <c r="K73" s="243"/>
      <c r="L73" s="243"/>
      <c r="M73" s="243"/>
      <c r="N73" s="243"/>
      <c r="O73" s="243"/>
      <c r="P73" s="243"/>
      <c r="Q73" s="243"/>
      <c r="R73" s="243"/>
      <c r="S73" s="208"/>
      <c r="T73" s="208"/>
      <c r="U73" s="208"/>
      <c r="V73" s="208"/>
      <c r="W73" s="208"/>
      <c r="X73" s="208"/>
      <c r="Y73" s="208"/>
      <c r="Z73" s="208"/>
      <c r="AA73" s="208"/>
      <c r="AB73" s="208"/>
    </row>
    <row r="74" ht="15.75" customHeight="1">
      <c r="A74" s="243"/>
      <c r="B74" s="243"/>
      <c r="C74" s="243"/>
      <c r="D74" s="243"/>
      <c r="E74" s="243"/>
      <c r="F74" s="243"/>
      <c r="G74" s="243"/>
      <c r="H74" s="243"/>
      <c r="I74" s="243"/>
      <c r="J74" s="243"/>
      <c r="K74" s="243"/>
      <c r="L74" s="243"/>
      <c r="M74" s="243"/>
      <c r="N74" s="243"/>
      <c r="O74" s="243"/>
      <c r="P74" s="243"/>
      <c r="Q74" s="243"/>
      <c r="R74" s="243"/>
      <c r="S74" s="208"/>
      <c r="T74" s="208"/>
      <c r="U74" s="208"/>
      <c r="V74" s="208"/>
      <c r="W74" s="208"/>
      <c r="X74" s="208"/>
      <c r="Y74" s="208"/>
      <c r="Z74" s="208"/>
      <c r="AA74" s="208"/>
      <c r="AB74" s="208"/>
    </row>
    <row r="75" ht="15.75" customHeight="1">
      <c r="A75" s="243"/>
      <c r="B75" s="243"/>
      <c r="C75" s="243"/>
      <c r="D75" s="243"/>
      <c r="E75" s="243"/>
      <c r="F75" s="243"/>
      <c r="G75" s="243"/>
      <c r="H75" s="243"/>
      <c r="I75" s="243"/>
      <c r="J75" s="243"/>
      <c r="K75" s="243"/>
      <c r="L75" s="243"/>
      <c r="M75" s="243"/>
      <c r="N75" s="243"/>
      <c r="O75" s="243"/>
      <c r="P75" s="243"/>
      <c r="Q75" s="243"/>
      <c r="R75" s="243"/>
      <c r="S75" s="208"/>
      <c r="T75" s="208"/>
      <c r="U75" s="208"/>
      <c r="V75" s="208"/>
      <c r="W75" s="208"/>
      <c r="X75" s="208"/>
      <c r="Y75" s="208"/>
      <c r="Z75" s="208"/>
      <c r="AA75" s="208"/>
      <c r="AB75" s="208"/>
    </row>
    <row r="76" ht="15.75" customHeight="1">
      <c r="A76" s="243"/>
      <c r="B76" s="243"/>
      <c r="C76" s="243"/>
      <c r="D76" s="243"/>
      <c r="E76" s="243"/>
      <c r="F76" s="243"/>
      <c r="G76" s="243"/>
      <c r="H76" s="243"/>
      <c r="I76" s="243"/>
      <c r="J76" s="243"/>
      <c r="K76" s="243"/>
      <c r="L76" s="243"/>
      <c r="M76" s="243"/>
      <c r="N76" s="243"/>
      <c r="O76" s="243"/>
      <c r="P76" s="243"/>
      <c r="Q76" s="243"/>
      <c r="R76" s="243"/>
      <c r="S76" s="208"/>
      <c r="T76" s="208"/>
      <c r="U76" s="208"/>
      <c r="V76" s="208"/>
      <c r="W76" s="208"/>
      <c r="X76" s="208"/>
      <c r="Y76" s="208"/>
      <c r="Z76" s="208"/>
      <c r="AA76" s="208"/>
      <c r="AB76" s="208"/>
    </row>
    <row r="77" ht="15.75" customHeight="1">
      <c r="A77" s="243"/>
      <c r="B77" s="243"/>
      <c r="C77" s="243"/>
      <c r="D77" s="243"/>
      <c r="E77" s="243"/>
      <c r="F77" s="243"/>
      <c r="G77" s="243"/>
      <c r="H77" s="243"/>
      <c r="I77" s="243"/>
      <c r="J77" s="243"/>
      <c r="K77" s="243"/>
      <c r="L77" s="243"/>
      <c r="M77" s="243"/>
      <c r="N77" s="243"/>
      <c r="O77" s="243"/>
      <c r="P77" s="243"/>
      <c r="Q77" s="243"/>
      <c r="R77" s="243"/>
      <c r="S77" s="208"/>
      <c r="T77" s="208"/>
      <c r="U77" s="208"/>
      <c r="V77" s="208"/>
      <c r="W77" s="208"/>
      <c r="X77" s="208"/>
      <c r="Y77" s="208"/>
      <c r="Z77" s="208"/>
      <c r="AA77" s="208"/>
      <c r="AB77" s="208"/>
    </row>
    <row r="78" ht="15.75" customHeight="1">
      <c r="A78" s="243"/>
      <c r="B78" s="243"/>
      <c r="C78" s="243"/>
      <c r="D78" s="243"/>
      <c r="E78" s="243"/>
      <c r="F78" s="243"/>
      <c r="G78" s="243"/>
      <c r="H78" s="243"/>
      <c r="I78" s="243"/>
      <c r="J78" s="243"/>
      <c r="K78" s="243"/>
      <c r="L78" s="243"/>
      <c r="M78" s="243"/>
      <c r="N78" s="243"/>
      <c r="O78" s="243"/>
      <c r="P78" s="243"/>
      <c r="Q78" s="243"/>
      <c r="R78" s="243"/>
      <c r="S78" s="208"/>
      <c r="T78" s="208"/>
      <c r="U78" s="208"/>
      <c r="V78" s="208"/>
      <c r="W78" s="208"/>
      <c r="X78" s="208"/>
      <c r="Y78" s="208"/>
      <c r="Z78" s="208"/>
      <c r="AA78" s="208"/>
      <c r="AB78" s="208"/>
    </row>
    <row r="79" ht="15.75" customHeight="1">
      <c r="A79" s="243"/>
      <c r="B79" s="243"/>
      <c r="C79" s="243"/>
      <c r="D79" s="243"/>
      <c r="E79" s="243"/>
      <c r="F79" s="243"/>
      <c r="G79" s="243"/>
      <c r="H79" s="243"/>
      <c r="I79" s="243"/>
      <c r="J79" s="243"/>
      <c r="K79" s="243"/>
      <c r="L79" s="243"/>
      <c r="M79" s="243"/>
      <c r="N79" s="243"/>
      <c r="O79" s="243"/>
      <c r="P79" s="243"/>
      <c r="Q79" s="243"/>
      <c r="R79" s="243"/>
      <c r="S79" s="208"/>
      <c r="T79" s="208"/>
      <c r="U79" s="208"/>
      <c r="V79" s="208"/>
      <c r="W79" s="208"/>
      <c r="X79" s="208"/>
      <c r="Y79" s="208"/>
      <c r="Z79" s="208"/>
      <c r="AA79" s="208"/>
      <c r="AB79" s="208"/>
    </row>
    <row r="80" ht="15.75" customHeight="1">
      <c r="A80" s="243"/>
      <c r="B80" s="243"/>
      <c r="C80" s="243"/>
      <c r="D80" s="243"/>
      <c r="E80" s="243"/>
      <c r="F80" s="243"/>
      <c r="G80" s="243"/>
      <c r="H80" s="243"/>
      <c r="I80" s="243"/>
      <c r="J80" s="243"/>
      <c r="K80" s="243"/>
      <c r="L80" s="243"/>
      <c r="M80" s="243"/>
      <c r="N80" s="243"/>
      <c r="O80" s="243"/>
      <c r="P80" s="243"/>
      <c r="Q80" s="243"/>
      <c r="R80" s="243"/>
      <c r="S80" s="208"/>
      <c r="T80" s="208"/>
      <c r="U80" s="208"/>
      <c r="V80" s="208"/>
      <c r="W80" s="208"/>
      <c r="X80" s="208"/>
      <c r="Y80" s="208"/>
      <c r="Z80" s="208"/>
      <c r="AA80" s="208"/>
      <c r="AB80" s="208"/>
    </row>
    <row r="81" ht="15.75" customHeight="1">
      <c r="A81" s="243"/>
      <c r="B81" s="243"/>
      <c r="C81" s="243"/>
      <c r="D81" s="243"/>
      <c r="E81" s="243"/>
      <c r="F81" s="243"/>
      <c r="G81" s="243"/>
      <c r="H81" s="243"/>
      <c r="I81" s="243"/>
      <c r="J81" s="243"/>
      <c r="K81" s="243"/>
      <c r="L81" s="243"/>
      <c r="M81" s="243"/>
      <c r="N81" s="243"/>
      <c r="O81" s="243"/>
      <c r="P81" s="243"/>
      <c r="Q81" s="243"/>
      <c r="R81" s="243"/>
      <c r="S81" s="208"/>
      <c r="T81" s="208"/>
      <c r="U81" s="208"/>
      <c r="V81" s="208"/>
      <c r="W81" s="208"/>
      <c r="X81" s="208"/>
      <c r="Y81" s="208"/>
      <c r="Z81" s="208"/>
      <c r="AA81" s="208"/>
      <c r="AB81" s="208"/>
    </row>
    <row r="82" ht="15.75" customHeight="1">
      <c r="A82" s="243"/>
      <c r="B82" s="243"/>
      <c r="C82" s="243"/>
      <c r="D82" s="243"/>
      <c r="E82" s="243"/>
      <c r="F82" s="243"/>
      <c r="G82" s="243"/>
      <c r="H82" s="243"/>
      <c r="I82" s="243"/>
      <c r="J82" s="243"/>
      <c r="K82" s="243"/>
      <c r="L82" s="243"/>
      <c r="M82" s="243"/>
      <c r="N82" s="243"/>
      <c r="O82" s="243"/>
      <c r="P82" s="243"/>
      <c r="Q82" s="243"/>
      <c r="R82" s="243"/>
      <c r="S82" s="208"/>
      <c r="T82" s="208"/>
      <c r="U82" s="208"/>
      <c r="V82" s="208"/>
      <c r="W82" s="208"/>
      <c r="X82" s="208"/>
      <c r="Y82" s="208"/>
      <c r="Z82" s="208"/>
      <c r="AA82" s="208"/>
      <c r="AB82" s="208"/>
    </row>
    <row r="83" ht="15.75" customHeight="1">
      <c r="A83" s="243"/>
      <c r="B83" s="243"/>
      <c r="C83" s="243"/>
      <c r="D83" s="243"/>
      <c r="E83" s="243"/>
      <c r="F83" s="243"/>
      <c r="G83" s="243"/>
      <c r="H83" s="243"/>
      <c r="I83" s="243"/>
      <c r="J83" s="243"/>
      <c r="K83" s="243"/>
      <c r="L83" s="243"/>
      <c r="M83" s="243"/>
      <c r="N83" s="243"/>
      <c r="O83" s="243"/>
      <c r="P83" s="243"/>
      <c r="Q83" s="243"/>
      <c r="R83" s="243"/>
      <c r="S83" s="208"/>
      <c r="T83" s="208"/>
      <c r="U83" s="208"/>
      <c r="V83" s="208"/>
      <c r="W83" s="208"/>
      <c r="X83" s="208"/>
      <c r="Y83" s="208"/>
      <c r="Z83" s="208"/>
      <c r="AA83" s="208"/>
      <c r="AB83" s="208"/>
    </row>
    <row r="84" ht="15.75" customHeight="1">
      <c r="A84" s="243"/>
      <c r="B84" s="243"/>
      <c r="C84" s="243"/>
      <c r="D84" s="243"/>
      <c r="E84" s="243"/>
      <c r="F84" s="243"/>
      <c r="G84" s="243"/>
      <c r="H84" s="243"/>
      <c r="I84" s="243"/>
      <c r="J84" s="243"/>
      <c r="K84" s="243"/>
      <c r="L84" s="243"/>
      <c r="M84" s="243"/>
      <c r="N84" s="243"/>
      <c r="O84" s="243"/>
      <c r="P84" s="243"/>
      <c r="Q84" s="243"/>
      <c r="R84" s="243"/>
      <c r="S84" s="208"/>
      <c r="T84" s="208"/>
      <c r="U84" s="208"/>
      <c r="V84" s="208"/>
      <c r="W84" s="208"/>
      <c r="X84" s="208"/>
      <c r="Y84" s="208"/>
      <c r="Z84" s="208"/>
      <c r="AA84" s="208"/>
      <c r="AB84" s="208"/>
    </row>
    <row r="85" ht="15.75" customHeight="1">
      <c r="A85" s="243"/>
      <c r="B85" s="243"/>
      <c r="C85" s="243"/>
      <c r="D85" s="243"/>
      <c r="E85" s="243"/>
      <c r="F85" s="243"/>
      <c r="G85" s="243"/>
      <c r="H85" s="243"/>
      <c r="I85" s="243"/>
      <c r="J85" s="243"/>
      <c r="K85" s="243"/>
      <c r="L85" s="243"/>
      <c r="M85" s="243"/>
      <c r="N85" s="243"/>
      <c r="O85" s="243"/>
      <c r="P85" s="243"/>
      <c r="Q85" s="243"/>
      <c r="R85" s="243"/>
      <c r="S85" s="208"/>
      <c r="T85" s="208"/>
      <c r="U85" s="208"/>
      <c r="V85" s="208"/>
      <c r="W85" s="208"/>
      <c r="X85" s="208"/>
      <c r="Y85" s="208"/>
      <c r="Z85" s="208"/>
      <c r="AA85" s="208"/>
      <c r="AB85" s="208"/>
    </row>
    <row r="86" ht="15.75" customHeight="1">
      <c r="A86" s="243"/>
      <c r="B86" s="243"/>
      <c r="C86" s="243"/>
      <c r="D86" s="243"/>
      <c r="E86" s="243"/>
      <c r="F86" s="243"/>
      <c r="G86" s="243"/>
      <c r="H86" s="243"/>
      <c r="I86" s="243"/>
      <c r="J86" s="243"/>
      <c r="K86" s="243"/>
      <c r="L86" s="243"/>
      <c r="M86" s="243"/>
      <c r="N86" s="243"/>
      <c r="O86" s="243"/>
      <c r="P86" s="243"/>
      <c r="Q86" s="243"/>
      <c r="R86" s="243"/>
      <c r="S86" s="208"/>
      <c r="T86" s="208"/>
      <c r="U86" s="208"/>
      <c r="V86" s="208"/>
      <c r="W86" s="208"/>
      <c r="X86" s="208"/>
      <c r="Y86" s="208"/>
      <c r="Z86" s="208"/>
      <c r="AA86" s="208"/>
      <c r="AB86" s="208"/>
    </row>
    <row r="87" ht="15.75" customHeight="1">
      <c r="A87" s="243"/>
      <c r="B87" s="243"/>
      <c r="C87" s="243"/>
      <c r="D87" s="243"/>
      <c r="E87" s="243"/>
      <c r="F87" s="243"/>
      <c r="G87" s="243"/>
      <c r="H87" s="243"/>
      <c r="I87" s="243"/>
      <c r="J87" s="243"/>
      <c r="K87" s="243"/>
      <c r="L87" s="243"/>
      <c r="M87" s="243"/>
      <c r="N87" s="243"/>
      <c r="O87" s="243"/>
      <c r="P87" s="243"/>
      <c r="Q87" s="243"/>
      <c r="R87" s="243"/>
      <c r="S87" s="208"/>
      <c r="T87" s="208"/>
      <c r="U87" s="208"/>
      <c r="V87" s="208"/>
      <c r="W87" s="208"/>
      <c r="X87" s="208"/>
      <c r="Y87" s="208"/>
      <c r="Z87" s="208"/>
      <c r="AA87" s="208"/>
      <c r="AB87" s="208"/>
    </row>
    <row r="88" ht="15.75" customHeight="1">
      <c r="A88" s="243"/>
      <c r="B88" s="243"/>
      <c r="C88" s="243"/>
      <c r="D88" s="243"/>
      <c r="E88" s="243"/>
      <c r="F88" s="243"/>
      <c r="G88" s="243"/>
      <c r="H88" s="243"/>
      <c r="I88" s="243"/>
      <c r="J88" s="243"/>
      <c r="K88" s="243"/>
      <c r="L88" s="243"/>
      <c r="M88" s="243"/>
      <c r="N88" s="243"/>
      <c r="O88" s="243"/>
      <c r="P88" s="243"/>
      <c r="Q88" s="243"/>
      <c r="R88" s="243"/>
      <c r="S88" s="208"/>
      <c r="T88" s="208"/>
      <c r="U88" s="208"/>
      <c r="V88" s="208"/>
      <c r="W88" s="208"/>
      <c r="X88" s="208"/>
      <c r="Y88" s="208"/>
      <c r="Z88" s="208"/>
      <c r="AA88" s="208"/>
      <c r="AB88" s="208"/>
    </row>
    <row r="89" ht="15.75" customHeight="1">
      <c r="A89" s="243"/>
      <c r="B89" s="243"/>
      <c r="C89" s="243"/>
      <c r="D89" s="243"/>
      <c r="E89" s="243"/>
      <c r="F89" s="243"/>
      <c r="G89" s="243"/>
      <c r="H89" s="243"/>
      <c r="I89" s="243"/>
      <c r="J89" s="243"/>
      <c r="K89" s="243"/>
      <c r="L89" s="243"/>
      <c r="M89" s="243"/>
      <c r="N89" s="243"/>
      <c r="O89" s="243"/>
      <c r="P89" s="243"/>
      <c r="Q89" s="243"/>
      <c r="R89" s="243"/>
      <c r="S89" s="208"/>
      <c r="T89" s="208"/>
      <c r="U89" s="208"/>
      <c r="V89" s="208"/>
      <c r="W89" s="208"/>
      <c r="X89" s="208"/>
      <c r="Y89" s="208"/>
      <c r="Z89" s="208"/>
      <c r="AA89" s="208"/>
      <c r="AB89" s="208"/>
    </row>
    <row r="90" ht="15.75" customHeight="1">
      <c r="A90" s="243"/>
      <c r="B90" s="243"/>
      <c r="C90" s="243"/>
      <c r="D90" s="243"/>
      <c r="E90" s="243"/>
      <c r="F90" s="243"/>
      <c r="G90" s="243"/>
      <c r="H90" s="243"/>
      <c r="I90" s="243"/>
      <c r="J90" s="243"/>
      <c r="K90" s="243"/>
      <c r="L90" s="243"/>
      <c r="M90" s="243"/>
      <c r="N90" s="243"/>
      <c r="O90" s="243"/>
      <c r="P90" s="243"/>
      <c r="Q90" s="243"/>
      <c r="R90" s="243"/>
      <c r="S90" s="208"/>
      <c r="T90" s="208"/>
      <c r="U90" s="208"/>
      <c r="V90" s="208"/>
      <c r="W90" s="208"/>
      <c r="X90" s="208"/>
      <c r="Y90" s="208"/>
      <c r="Z90" s="208"/>
      <c r="AA90" s="208"/>
      <c r="AB90" s="208"/>
    </row>
    <row r="91" ht="15.75" customHeight="1">
      <c r="A91" s="243"/>
      <c r="B91" s="243"/>
      <c r="C91" s="243"/>
      <c r="D91" s="243"/>
      <c r="E91" s="243"/>
      <c r="F91" s="243"/>
      <c r="G91" s="243"/>
      <c r="H91" s="243"/>
      <c r="I91" s="243"/>
      <c r="J91" s="243"/>
      <c r="K91" s="243"/>
      <c r="L91" s="243"/>
      <c r="M91" s="243"/>
      <c r="N91" s="243"/>
      <c r="O91" s="243"/>
      <c r="P91" s="243"/>
      <c r="Q91" s="243"/>
      <c r="R91" s="243"/>
      <c r="S91" s="208"/>
      <c r="T91" s="208"/>
      <c r="U91" s="208"/>
      <c r="V91" s="208"/>
      <c r="W91" s="208"/>
      <c r="X91" s="208"/>
      <c r="Y91" s="208"/>
      <c r="Z91" s="208"/>
      <c r="AA91" s="208"/>
      <c r="AB91" s="208"/>
    </row>
    <row r="92" ht="15.75" customHeight="1">
      <c r="A92" s="243"/>
      <c r="B92" s="243"/>
      <c r="C92" s="243"/>
      <c r="D92" s="243"/>
      <c r="E92" s="243"/>
      <c r="F92" s="243"/>
      <c r="G92" s="243"/>
      <c r="H92" s="243"/>
      <c r="I92" s="243"/>
      <c r="J92" s="243"/>
      <c r="K92" s="243"/>
      <c r="L92" s="243"/>
      <c r="M92" s="243"/>
      <c r="N92" s="243"/>
      <c r="O92" s="243"/>
      <c r="P92" s="243"/>
      <c r="Q92" s="243"/>
      <c r="R92" s="243"/>
      <c r="S92" s="208"/>
      <c r="T92" s="208"/>
      <c r="U92" s="208"/>
      <c r="V92" s="208"/>
      <c r="W92" s="208"/>
      <c r="X92" s="208"/>
      <c r="Y92" s="208"/>
      <c r="Z92" s="208"/>
      <c r="AA92" s="208"/>
      <c r="AB92" s="208"/>
    </row>
    <row r="93" ht="15.75" customHeight="1">
      <c r="A93" s="243"/>
      <c r="B93" s="243"/>
      <c r="C93" s="243"/>
      <c r="D93" s="243"/>
      <c r="E93" s="243"/>
      <c r="F93" s="243"/>
      <c r="G93" s="243"/>
      <c r="H93" s="243"/>
      <c r="I93" s="243"/>
      <c r="J93" s="243"/>
      <c r="K93" s="243"/>
      <c r="L93" s="243"/>
      <c r="M93" s="243"/>
      <c r="N93" s="243"/>
      <c r="O93" s="243"/>
      <c r="P93" s="243"/>
      <c r="Q93" s="243"/>
      <c r="R93" s="243"/>
      <c r="S93" s="208"/>
      <c r="T93" s="208"/>
      <c r="U93" s="208"/>
      <c r="V93" s="208"/>
      <c r="W93" s="208"/>
      <c r="X93" s="208"/>
      <c r="Y93" s="208"/>
      <c r="Z93" s="208"/>
      <c r="AA93" s="208"/>
      <c r="AB93" s="208"/>
    </row>
    <row r="94" ht="15.75" customHeight="1">
      <c r="A94" s="243"/>
      <c r="B94" s="243"/>
      <c r="C94" s="243"/>
      <c r="D94" s="243"/>
      <c r="E94" s="243"/>
      <c r="F94" s="243"/>
      <c r="G94" s="243"/>
      <c r="H94" s="243"/>
      <c r="I94" s="243"/>
      <c r="J94" s="243"/>
      <c r="K94" s="243"/>
      <c r="L94" s="243"/>
      <c r="M94" s="243"/>
      <c r="N94" s="243"/>
      <c r="O94" s="243"/>
      <c r="P94" s="243"/>
      <c r="Q94" s="243"/>
      <c r="R94" s="243"/>
      <c r="S94" s="208"/>
      <c r="T94" s="208"/>
      <c r="U94" s="208"/>
      <c r="V94" s="208"/>
      <c r="W94" s="208"/>
      <c r="X94" s="208"/>
      <c r="Y94" s="208"/>
      <c r="Z94" s="208"/>
      <c r="AA94" s="208"/>
      <c r="AB94" s="208"/>
    </row>
    <row r="95" ht="15.75" customHeight="1">
      <c r="A95" s="243"/>
      <c r="B95" s="243"/>
      <c r="C95" s="243"/>
      <c r="D95" s="243"/>
      <c r="E95" s="243"/>
      <c r="F95" s="243"/>
      <c r="G95" s="243"/>
      <c r="H95" s="243"/>
      <c r="I95" s="243"/>
      <c r="J95" s="243"/>
      <c r="K95" s="243"/>
      <c r="L95" s="243"/>
      <c r="M95" s="243"/>
      <c r="N95" s="243"/>
      <c r="O95" s="243"/>
      <c r="P95" s="243"/>
      <c r="Q95" s="243"/>
      <c r="R95" s="243"/>
      <c r="S95" s="208"/>
      <c r="T95" s="208"/>
      <c r="U95" s="208"/>
      <c r="V95" s="208"/>
      <c r="W95" s="208"/>
      <c r="X95" s="208"/>
      <c r="Y95" s="208"/>
      <c r="Z95" s="208"/>
      <c r="AA95" s="208"/>
      <c r="AB95" s="208"/>
    </row>
    <row r="96" ht="15.75" customHeight="1">
      <c r="A96" s="243"/>
      <c r="B96" s="243"/>
      <c r="C96" s="243"/>
      <c r="D96" s="243"/>
      <c r="E96" s="243"/>
      <c r="F96" s="243"/>
      <c r="G96" s="243"/>
      <c r="H96" s="243"/>
      <c r="I96" s="243"/>
      <c r="J96" s="243"/>
      <c r="K96" s="243"/>
      <c r="L96" s="243"/>
      <c r="M96" s="243"/>
      <c r="N96" s="243"/>
      <c r="O96" s="243"/>
      <c r="P96" s="243"/>
      <c r="Q96" s="243"/>
      <c r="R96" s="243"/>
      <c r="S96" s="208"/>
      <c r="T96" s="208"/>
      <c r="U96" s="208"/>
      <c r="V96" s="208"/>
      <c r="W96" s="208"/>
      <c r="X96" s="208"/>
      <c r="Y96" s="208"/>
      <c r="Z96" s="208"/>
      <c r="AA96" s="208"/>
      <c r="AB96" s="208"/>
    </row>
    <row r="97" ht="15.75" customHeight="1">
      <c r="A97" s="243"/>
      <c r="B97" s="243"/>
      <c r="C97" s="243"/>
      <c r="D97" s="243"/>
      <c r="E97" s="243"/>
      <c r="F97" s="243"/>
      <c r="G97" s="243"/>
      <c r="H97" s="243"/>
      <c r="I97" s="243"/>
      <c r="J97" s="243"/>
      <c r="K97" s="243"/>
      <c r="L97" s="243"/>
      <c r="M97" s="243"/>
      <c r="N97" s="243"/>
      <c r="O97" s="243"/>
      <c r="P97" s="243"/>
      <c r="Q97" s="243"/>
      <c r="R97" s="243"/>
      <c r="S97" s="208"/>
      <c r="T97" s="208"/>
      <c r="U97" s="208"/>
      <c r="V97" s="208"/>
      <c r="W97" s="208"/>
      <c r="X97" s="208"/>
      <c r="Y97" s="208"/>
      <c r="Z97" s="208"/>
      <c r="AA97" s="208"/>
      <c r="AB97" s="208"/>
    </row>
    <row r="98" ht="15.75" customHeight="1">
      <c r="A98" s="243"/>
      <c r="B98" s="243"/>
      <c r="C98" s="243"/>
      <c r="D98" s="243"/>
      <c r="E98" s="243"/>
      <c r="F98" s="243"/>
      <c r="G98" s="243"/>
      <c r="H98" s="243"/>
      <c r="I98" s="243"/>
      <c r="J98" s="243"/>
      <c r="K98" s="243"/>
      <c r="L98" s="243"/>
      <c r="M98" s="243"/>
      <c r="N98" s="243"/>
      <c r="O98" s="243"/>
      <c r="P98" s="243"/>
      <c r="Q98" s="243"/>
      <c r="R98" s="243"/>
      <c r="S98" s="208"/>
      <c r="T98" s="208"/>
      <c r="U98" s="208"/>
      <c r="V98" s="208"/>
      <c r="W98" s="208"/>
      <c r="X98" s="208"/>
      <c r="Y98" s="208"/>
      <c r="Z98" s="208"/>
      <c r="AA98" s="208"/>
      <c r="AB98" s="208"/>
    </row>
    <row r="99" ht="15.75" customHeight="1">
      <c r="A99" s="243"/>
      <c r="B99" s="243"/>
      <c r="C99" s="243"/>
      <c r="D99" s="243"/>
      <c r="E99" s="243"/>
      <c r="F99" s="243"/>
      <c r="G99" s="243"/>
      <c r="H99" s="243"/>
      <c r="I99" s="243"/>
      <c r="J99" s="243"/>
      <c r="K99" s="243"/>
      <c r="L99" s="243"/>
      <c r="M99" s="243"/>
      <c r="N99" s="243"/>
      <c r="O99" s="243"/>
      <c r="P99" s="243"/>
      <c r="Q99" s="243"/>
      <c r="R99" s="243"/>
      <c r="S99" s="208"/>
      <c r="T99" s="208"/>
      <c r="U99" s="208"/>
      <c r="V99" s="208"/>
      <c r="W99" s="208"/>
      <c r="X99" s="208"/>
      <c r="Y99" s="208"/>
      <c r="Z99" s="208"/>
      <c r="AA99" s="208"/>
      <c r="AB99" s="208"/>
    </row>
    <row r="100" ht="15.75" customHeight="1">
      <c r="A100" s="243"/>
      <c r="B100" s="243"/>
      <c r="C100" s="243"/>
      <c r="D100" s="243"/>
      <c r="E100" s="243"/>
      <c r="F100" s="243"/>
      <c r="G100" s="243"/>
      <c r="H100" s="243"/>
      <c r="I100" s="243"/>
      <c r="J100" s="243"/>
      <c r="K100" s="243"/>
      <c r="L100" s="243"/>
      <c r="M100" s="243"/>
      <c r="N100" s="243"/>
      <c r="O100" s="243"/>
      <c r="P100" s="243"/>
      <c r="Q100" s="243"/>
      <c r="R100" s="243"/>
      <c r="S100" s="208"/>
      <c r="T100" s="208"/>
      <c r="U100" s="208"/>
      <c r="V100" s="208"/>
      <c r="W100" s="208"/>
      <c r="X100" s="208"/>
      <c r="Y100" s="208"/>
      <c r="Z100" s="208"/>
      <c r="AA100" s="208"/>
      <c r="AB100" s="208"/>
    </row>
    <row r="101" ht="15.75" customHeight="1">
      <c r="A101" s="243"/>
      <c r="B101" s="243"/>
      <c r="C101" s="243"/>
      <c r="D101" s="243"/>
      <c r="E101" s="243"/>
      <c r="F101" s="243"/>
      <c r="G101" s="243"/>
      <c r="H101" s="243"/>
      <c r="I101" s="243"/>
      <c r="J101" s="243"/>
      <c r="K101" s="243"/>
      <c r="L101" s="243"/>
      <c r="M101" s="243"/>
      <c r="N101" s="243"/>
      <c r="O101" s="243"/>
      <c r="P101" s="243"/>
      <c r="Q101" s="243"/>
      <c r="R101" s="243"/>
      <c r="S101" s="208"/>
      <c r="T101" s="208"/>
      <c r="U101" s="208"/>
      <c r="V101" s="208"/>
      <c r="W101" s="208"/>
      <c r="X101" s="208"/>
      <c r="Y101" s="208"/>
      <c r="Z101" s="208"/>
      <c r="AA101" s="208"/>
      <c r="AB101" s="208"/>
    </row>
    <row r="102" ht="15.75" customHeight="1">
      <c r="A102" s="243"/>
      <c r="B102" s="243"/>
      <c r="C102" s="243"/>
      <c r="D102" s="243"/>
      <c r="E102" s="243"/>
      <c r="F102" s="243"/>
      <c r="G102" s="243"/>
      <c r="H102" s="243"/>
      <c r="I102" s="243"/>
      <c r="J102" s="243"/>
      <c r="K102" s="243"/>
      <c r="L102" s="243"/>
      <c r="M102" s="243"/>
      <c r="N102" s="243"/>
      <c r="O102" s="243"/>
      <c r="P102" s="243"/>
      <c r="Q102" s="243"/>
      <c r="R102" s="243"/>
      <c r="S102" s="208"/>
      <c r="T102" s="208"/>
      <c r="U102" s="208"/>
      <c r="V102" s="208"/>
      <c r="W102" s="208"/>
      <c r="X102" s="208"/>
      <c r="Y102" s="208"/>
      <c r="Z102" s="208"/>
      <c r="AA102" s="208"/>
      <c r="AB102" s="208"/>
    </row>
    <row r="103" ht="15.75" customHeight="1">
      <c r="A103" s="243"/>
      <c r="B103" s="243"/>
      <c r="C103" s="243"/>
      <c r="D103" s="243"/>
      <c r="E103" s="243"/>
      <c r="F103" s="243"/>
      <c r="G103" s="243"/>
      <c r="H103" s="243"/>
      <c r="I103" s="243"/>
      <c r="J103" s="243"/>
      <c r="K103" s="243"/>
      <c r="L103" s="243"/>
      <c r="M103" s="243"/>
      <c r="N103" s="243"/>
      <c r="O103" s="243"/>
      <c r="P103" s="243"/>
      <c r="Q103" s="243"/>
      <c r="R103" s="243"/>
      <c r="S103" s="208"/>
      <c r="T103" s="208"/>
      <c r="U103" s="208"/>
      <c r="V103" s="208"/>
      <c r="W103" s="208"/>
      <c r="X103" s="208"/>
      <c r="Y103" s="208"/>
      <c r="Z103" s="208"/>
      <c r="AA103" s="208"/>
      <c r="AB103" s="208"/>
    </row>
    <row r="104" ht="15.75" customHeight="1">
      <c r="A104" s="243"/>
      <c r="B104" s="243"/>
      <c r="C104" s="243"/>
      <c r="D104" s="243"/>
      <c r="E104" s="243"/>
      <c r="F104" s="243"/>
      <c r="G104" s="243"/>
      <c r="H104" s="243"/>
      <c r="I104" s="243"/>
      <c r="J104" s="243"/>
      <c r="K104" s="243"/>
      <c r="L104" s="243"/>
      <c r="M104" s="243"/>
      <c r="N104" s="243"/>
      <c r="O104" s="243"/>
      <c r="P104" s="243"/>
      <c r="Q104" s="243"/>
      <c r="R104" s="243"/>
      <c r="S104" s="208"/>
      <c r="T104" s="208"/>
      <c r="U104" s="208"/>
      <c r="V104" s="208"/>
      <c r="W104" s="208"/>
      <c r="X104" s="208"/>
      <c r="Y104" s="208"/>
      <c r="Z104" s="208"/>
      <c r="AA104" s="208"/>
      <c r="AB104" s="208"/>
    </row>
    <row r="105" ht="15.75" customHeight="1">
      <c r="A105" s="243"/>
      <c r="B105" s="243"/>
      <c r="C105" s="243"/>
      <c r="D105" s="243"/>
      <c r="E105" s="243"/>
      <c r="F105" s="243"/>
      <c r="G105" s="243"/>
      <c r="H105" s="243"/>
      <c r="I105" s="243"/>
      <c r="J105" s="243"/>
      <c r="K105" s="243"/>
      <c r="L105" s="243"/>
      <c r="M105" s="243"/>
      <c r="N105" s="243"/>
      <c r="O105" s="243"/>
      <c r="P105" s="243"/>
      <c r="Q105" s="243"/>
      <c r="R105" s="243"/>
      <c r="S105" s="208"/>
      <c r="T105" s="208"/>
      <c r="U105" s="208"/>
      <c r="V105" s="208"/>
      <c r="W105" s="208"/>
      <c r="X105" s="208"/>
      <c r="Y105" s="208"/>
      <c r="Z105" s="208"/>
      <c r="AA105" s="208"/>
      <c r="AB105" s="208"/>
    </row>
    <row r="106" ht="15.75" customHeight="1">
      <c r="A106" s="243"/>
      <c r="B106" s="243"/>
      <c r="C106" s="243"/>
      <c r="D106" s="243"/>
      <c r="E106" s="243"/>
      <c r="F106" s="243"/>
      <c r="G106" s="243"/>
      <c r="H106" s="243"/>
      <c r="I106" s="243"/>
      <c r="J106" s="243"/>
      <c r="K106" s="243"/>
      <c r="L106" s="243"/>
      <c r="M106" s="243"/>
      <c r="N106" s="243"/>
      <c r="O106" s="243"/>
      <c r="P106" s="243"/>
      <c r="Q106" s="243"/>
      <c r="R106" s="243"/>
      <c r="S106" s="208"/>
      <c r="T106" s="208"/>
      <c r="U106" s="208"/>
      <c r="V106" s="208"/>
      <c r="W106" s="208"/>
      <c r="X106" s="208"/>
      <c r="Y106" s="208"/>
      <c r="Z106" s="208"/>
      <c r="AA106" s="208"/>
      <c r="AB106" s="208"/>
    </row>
    <row r="107" ht="15.75" customHeight="1">
      <c r="A107" s="243"/>
      <c r="B107" s="243"/>
      <c r="C107" s="243"/>
      <c r="D107" s="243"/>
      <c r="E107" s="243"/>
      <c r="F107" s="243"/>
      <c r="G107" s="243"/>
      <c r="H107" s="243"/>
      <c r="I107" s="243"/>
      <c r="J107" s="243"/>
      <c r="K107" s="243"/>
      <c r="L107" s="243"/>
      <c r="M107" s="243"/>
      <c r="N107" s="243"/>
      <c r="O107" s="243"/>
      <c r="P107" s="243"/>
      <c r="Q107" s="243"/>
      <c r="R107" s="243"/>
      <c r="S107" s="208"/>
      <c r="T107" s="208"/>
      <c r="U107" s="208"/>
      <c r="V107" s="208"/>
      <c r="W107" s="208"/>
      <c r="X107" s="208"/>
      <c r="Y107" s="208"/>
      <c r="Z107" s="208"/>
      <c r="AA107" s="208"/>
      <c r="AB107" s="208"/>
    </row>
    <row r="108" ht="15.75" customHeight="1">
      <c r="A108" s="243"/>
      <c r="B108" s="243"/>
      <c r="C108" s="243"/>
      <c r="D108" s="243"/>
      <c r="E108" s="243"/>
      <c r="F108" s="243"/>
      <c r="G108" s="243"/>
      <c r="H108" s="243"/>
      <c r="I108" s="243"/>
      <c r="J108" s="243"/>
      <c r="K108" s="243"/>
      <c r="L108" s="243"/>
      <c r="M108" s="243"/>
      <c r="N108" s="243"/>
      <c r="O108" s="243"/>
      <c r="P108" s="243"/>
      <c r="Q108" s="243"/>
      <c r="R108" s="243"/>
      <c r="S108" s="208"/>
      <c r="T108" s="208"/>
      <c r="U108" s="208"/>
      <c r="V108" s="208"/>
      <c r="W108" s="208"/>
      <c r="X108" s="208"/>
      <c r="Y108" s="208"/>
      <c r="Z108" s="208"/>
      <c r="AA108" s="208"/>
      <c r="AB108" s="208"/>
    </row>
    <row r="109" ht="15.75" customHeight="1">
      <c r="A109" s="243"/>
      <c r="B109" s="243"/>
      <c r="C109" s="243"/>
      <c r="D109" s="243"/>
      <c r="E109" s="243"/>
      <c r="F109" s="243"/>
      <c r="G109" s="243"/>
      <c r="H109" s="243"/>
      <c r="I109" s="243"/>
      <c r="J109" s="243"/>
      <c r="K109" s="243"/>
      <c r="L109" s="243"/>
      <c r="M109" s="243"/>
      <c r="N109" s="243"/>
      <c r="O109" s="243"/>
      <c r="P109" s="243"/>
      <c r="Q109" s="243"/>
      <c r="R109" s="243"/>
      <c r="S109" s="208"/>
      <c r="T109" s="208"/>
      <c r="U109" s="208"/>
      <c r="V109" s="208"/>
      <c r="W109" s="208"/>
      <c r="X109" s="208"/>
      <c r="Y109" s="208"/>
      <c r="Z109" s="208"/>
      <c r="AA109" s="208"/>
      <c r="AB109" s="208"/>
    </row>
    <row r="110" ht="15.75" customHeight="1">
      <c r="A110" s="243"/>
      <c r="B110" s="243"/>
      <c r="C110" s="243"/>
      <c r="D110" s="243"/>
      <c r="E110" s="243"/>
      <c r="F110" s="243"/>
      <c r="G110" s="243"/>
      <c r="H110" s="243"/>
      <c r="I110" s="243"/>
      <c r="J110" s="243"/>
      <c r="K110" s="243"/>
      <c r="L110" s="243"/>
      <c r="M110" s="243"/>
      <c r="N110" s="243"/>
      <c r="O110" s="243"/>
      <c r="P110" s="243"/>
      <c r="Q110" s="243"/>
      <c r="R110" s="243"/>
      <c r="S110" s="208"/>
      <c r="T110" s="208"/>
      <c r="U110" s="208"/>
      <c r="V110" s="208"/>
      <c r="W110" s="208"/>
      <c r="X110" s="208"/>
      <c r="Y110" s="208"/>
      <c r="Z110" s="208"/>
      <c r="AA110" s="208"/>
      <c r="AB110" s="208"/>
    </row>
    <row r="111" ht="15.75" customHeight="1">
      <c r="A111" s="243"/>
      <c r="B111" s="243"/>
      <c r="C111" s="243"/>
      <c r="D111" s="243"/>
      <c r="E111" s="243"/>
      <c r="F111" s="243"/>
      <c r="G111" s="243"/>
      <c r="H111" s="243"/>
      <c r="I111" s="243"/>
      <c r="J111" s="243"/>
      <c r="K111" s="243"/>
      <c r="L111" s="243"/>
      <c r="M111" s="243"/>
      <c r="N111" s="243"/>
      <c r="O111" s="243"/>
      <c r="P111" s="243"/>
      <c r="Q111" s="243"/>
      <c r="R111" s="243"/>
      <c r="S111" s="208"/>
      <c r="T111" s="208"/>
      <c r="U111" s="208"/>
      <c r="V111" s="208"/>
      <c r="W111" s="208"/>
      <c r="X111" s="208"/>
      <c r="Y111" s="208"/>
      <c r="Z111" s="208"/>
      <c r="AA111" s="208"/>
      <c r="AB111" s="208"/>
    </row>
    <row r="112" ht="15.75" customHeight="1">
      <c r="A112" s="243"/>
      <c r="B112" s="243"/>
      <c r="C112" s="243"/>
      <c r="D112" s="243"/>
      <c r="E112" s="243"/>
      <c r="F112" s="243"/>
      <c r="G112" s="243"/>
      <c r="H112" s="243"/>
      <c r="I112" s="243"/>
      <c r="J112" s="243"/>
      <c r="K112" s="243"/>
      <c r="L112" s="243"/>
      <c r="M112" s="243"/>
      <c r="N112" s="243"/>
      <c r="O112" s="243"/>
      <c r="P112" s="243"/>
      <c r="Q112" s="243"/>
      <c r="R112" s="243"/>
      <c r="S112" s="208"/>
      <c r="T112" s="208"/>
      <c r="U112" s="208"/>
      <c r="V112" s="208"/>
      <c r="W112" s="208"/>
      <c r="X112" s="208"/>
      <c r="Y112" s="208"/>
      <c r="Z112" s="208"/>
      <c r="AA112" s="208"/>
      <c r="AB112" s="208"/>
    </row>
    <row r="113" ht="15.75" customHeight="1">
      <c r="A113" s="243"/>
      <c r="B113" s="243"/>
      <c r="C113" s="243"/>
      <c r="D113" s="243"/>
      <c r="E113" s="243"/>
      <c r="F113" s="243"/>
      <c r="G113" s="243"/>
      <c r="H113" s="243"/>
      <c r="I113" s="243"/>
      <c r="J113" s="243"/>
      <c r="K113" s="243"/>
      <c r="L113" s="243"/>
      <c r="M113" s="243"/>
      <c r="N113" s="243"/>
      <c r="O113" s="243"/>
      <c r="P113" s="243"/>
      <c r="Q113" s="243"/>
      <c r="R113" s="243"/>
      <c r="S113" s="208"/>
      <c r="T113" s="208"/>
      <c r="U113" s="208"/>
      <c r="V113" s="208"/>
      <c r="W113" s="208"/>
      <c r="X113" s="208"/>
      <c r="Y113" s="208"/>
      <c r="Z113" s="208"/>
      <c r="AA113" s="208"/>
      <c r="AB113" s="208"/>
    </row>
    <row r="114" ht="15.75" customHeight="1">
      <c r="A114" s="243"/>
      <c r="B114" s="243"/>
      <c r="C114" s="243"/>
      <c r="D114" s="243"/>
      <c r="E114" s="243"/>
      <c r="F114" s="243"/>
      <c r="G114" s="243"/>
      <c r="H114" s="243"/>
      <c r="I114" s="243"/>
      <c r="J114" s="243"/>
      <c r="K114" s="243"/>
      <c r="L114" s="243"/>
      <c r="M114" s="243"/>
      <c r="N114" s="243"/>
      <c r="O114" s="243"/>
      <c r="P114" s="243"/>
      <c r="Q114" s="243"/>
      <c r="R114" s="243"/>
      <c r="S114" s="208"/>
      <c r="T114" s="208"/>
      <c r="U114" s="208"/>
      <c r="V114" s="208"/>
      <c r="W114" s="208"/>
      <c r="X114" s="208"/>
      <c r="Y114" s="208"/>
      <c r="Z114" s="208"/>
      <c r="AA114" s="208"/>
      <c r="AB114" s="208"/>
    </row>
    <row r="115" ht="15.75" customHeight="1">
      <c r="A115" s="243"/>
      <c r="B115" s="243"/>
      <c r="C115" s="243"/>
      <c r="D115" s="243"/>
      <c r="E115" s="243"/>
      <c r="F115" s="243"/>
      <c r="G115" s="243"/>
      <c r="H115" s="243"/>
      <c r="I115" s="243"/>
      <c r="J115" s="243"/>
      <c r="K115" s="243"/>
      <c r="L115" s="243"/>
      <c r="M115" s="243"/>
      <c r="N115" s="243"/>
      <c r="O115" s="243"/>
      <c r="P115" s="243"/>
      <c r="Q115" s="243"/>
      <c r="R115" s="243"/>
      <c r="S115" s="208"/>
      <c r="T115" s="208"/>
      <c r="U115" s="208"/>
      <c r="V115" s="208"/>
      <c r="W115" s="208"/>
      <c r="X115" s="208"/>
      <c r="Y115" s="208"/>
      <c r="Z115" s="208"/>
      <c r="AA115" s="208"/>
      <c r="AB115" s="208"/>
    </row>
    <row r="116" ht="15.75" customHeight="1">
      <c r="A116" s="243"/>
      <c r="B116" s="243"/>
      <c r="C116" s="243"/>
      <c r="D116" s="243"/>
      <c r="E116" s="243"/>
      <c r="F116" s="243"/>
      <c r="G116" s="243"/>
      <c r="H116" s="243"/>
      <c r="I116" s="243"/>
      <c r="J116" s="243"/>
      <c r="K116" s="243"/>
      <c r="L116" s="243"/>
      <c r="M116" s="243"/>
      <c r="N116" s="243"/>
      <c r="O116" s="243"/>
      <c r="P116" s="243"/>
      <c r="Q116" s="243"/>
      <c r="R116" s="243"/>
      <c r="S116" s="208"/>
      <c r="T116" s="208"/>
      <c r="U116" s="208"/>
      <c r="V116" s="208"/>
      <c r="W116" s="208"/>
      <c r="X116" s="208"/>
      <c r="Y116" s="208"/>
      <c r="Z116" s="208"/>
      <c r="AA116" s="208"/>
      <c r="AB116" s="208"/>
    </row>
    <row r="117" ht="15.75" customHeight="1">
      <c r="A117" s="243"/>
      <c r="B117" s="243"/>
      <c r="C117" s="243"/>
      <c r="D117" s="243"/>
      <c r="E117" s="243"/>
      <c r="F117" s="243"/>
      <c r="G117" s="243"/>
      <c r="H117" s="243"/>
      <c r="I117" s="243"/>
      <c r="J117" s="243"/>
      <c r="K117" s="243"/>
      <c r="L117" s="243"/>
      <c r="M117" s="243"/>
      <c r="N117" s="243"/>
      <c r="O117" s="243"/>
      <c r="P117" s="243"/>
      <c r="Q117" s="243"/>
      <c r="R117" s="243"/>
      <c r="S117" s="208"/>
      <c r="T117" s="208"/>
      <c r="U117" s="208"/>
      <c r="V117" s="208"/>
      <c r="W117" s="208"/>
      <c r="X117" s="208"/>
      <c r="Y117" s="208"/>
      <c r="Z117" s="208"/>
      <c r="AA117" s="208"/>
      <c r="AB117" s="208"/>
    </row>
    <row r="118" ht="15.75" customHeight="1">
      <c r="A118" s="243"/>
      <c r="B118" s="243"/>
      <c r="C118" s="243"/>
      <c r="D118" s="243"/>
      <c r="E118" s="243"/>
      <c r="F118" s="243"/>
      <c r="G118" s="243"/>
      <c r="H118" s="243"/>
      <c r="I118" s="243"/>
      <c r="J118" s="243"/>
      <c r="K118" s="243"/>
      <c r="L118" s="243"/>
      <c r="M118" s="243"/>
      <c r="N118" s="243"/>
      <c r="O118" s="243"/>
      <c r="P118" s="243"/>
      <c r="Q118" s="243"/>
      <c r="R118" s="243"/>
      <c r="S118" s="208"/>
      <c r="T118" s="208"/>
      <c r="U118" s="208"/>
      <c r="V118" s="208"/>
      <c r="W118" s="208"/>
      <c r="X118" s="208"/>
      <c r="Y118" s="208"/>
      <c r="Z118" s="208"/>
      <c r="AA118" s="208"/>
      <c r="AB118" s="208"/>
    </row>
    <row r="119" ht="15.75" customHeight="1">
      <c r="A119" s="243"/>
      <c r="B119" s="243"/>
      <c r="C119" s="243"/>
      <c r="D119" s="243"/>
      <c r="E119" s="243"/>
      <c r="F119" s="243"/>
      <c r="G119" s="243"/>
      <c r="H119" s="243"/>
      <c r="I119" s="243"/>
      <c r="J119" s="243"/>
      <c r="K119" s="243"/>
      <c r="L119" s="243"/>
      <c r="M119" s="243"/>
      <c r="N119" s="243"/>
      <c r="O119" s="243"/>
      <c r="P119" s="243"/>
      <c r="Q119" s="243"/>
      <c r="R119" s="243"/>
      <c r="S119" s="208"/>
      <c r="T119" s="208"/>
      <c r="U119" s="208"/>
      <c r="V119" s="208"/>
      <c r="W119" s="208"/>
      <c r="X119" s="208"/>
      <c r="Y119" s="208"/>
      <c r="Z119" s="208"/>
      <c r="AA119" s="208"/>
      <c r="AB119" s="208"/>
    </row>
    <row r="120" ht="15.75" customHeight="1">
      <c r="A120" s="243"/>
      <c r="B120" s="243"/>
      <c r="C120" s="243"/>
      <c r="D120" s="243"/>
      <c r="E120" s="243"/>
      <c r="F120" s="243"/>
      <c r="G120" s="243"/>
      <c r="H120" s="243"/>
      <c r="I120" s="243"/>
      <c r="J120" s="243"/>
      <c r="K120" s="243"/>
      <c r="L120" s="243"/>
      <c r="M120" s="243"/>
      <c r="N120" s="243"/>
      <c r="O120" s="243"/>
      <c r="P120" s="243"/>
      <c r="Q120" s="243"/>
      <c r="R120" s="243"/>
      <c r="S120" s="208"/>
      <c r="T120" s="208"/>
      <c r="U120" s="208"/>
      <c r="V120" s="208"/>
      <c r="W120" s="208"/>
      <c r="X120" s="208"/>
      <c r="Y120" s="208"/>
      <c r="Z120" s="208"/>
      <c r="AA120" s="208"/>
      <c r="AB120" s="208"/>
    </row>
    <row r="121" ht="15.75" customHeight="1">
      <c r="A121" s="243"/>
      <c r="B121" s="243"/>
      <c r="C121" s="243"/>
      <c r="D121" s="243"/>
      <c r="E121" s="243"/>
      <c r="F121" s="243"/>
      <c r="G121" s="243"/>
      <c r="H121" s="243"/>
      <c r="I121" s="243"/>
      <c r="J121" s="243"/>
      <c r="K121" s="243"/>
      <c r="L121" s="243"/>
      <c r="M121" s="243"/>
      <c r="N121" s="243"/>
      <c r="O121" s="243"/>
      <c r="P121" s="243"/>
      <c r="Q121" s="243"/>
      <c r="R121" s="243"/>
      <c r="S121" s="208"/>
      <c r="T121" s="208"/>
      <c r="U121" s="208"/>
      <c r="V121" s="208"/>
      <c r="W121" s="208"/>
      <c r="X121" s="208"/>
      <c r="Y121" s="208"/>
      <c r="Z121" s="208"/>
      <c r="AA121" s="208"/>
      <c r="AB121" s="208"/>
    </row>
    <row r="122" ht="15.75" customHeight="1">
      <c r="A122" s="243"/>
      <c r="B122" s="243"/>
      <c r="C122" s="243"/>
      <c r="D122" s="243"/>
      <c r="E122" s="243"/>
      <c r="F122" s="243"/>
      <c r="G122" s="243"/>
      <c r="H122" s="243"/>
      <c r="I122" s="243"/>
      <c r="J122" s="243"/>
      <c r="K122" s="243"/>
      <c r="L122" s="243"/>
      <c r="M122" s="243"/>
      <c r="N122" s="243"/>
      <c r="O122" s="243"/>
      <c r="P122" s="243"/>
      <c r="Q122" s="243"/>
      <c r="R122" s="243"/>
      <c r="S122" s="208"/>
      <c r="T122" s="208"/>
      <c r="U122" s="208"/>
      <c r="V122" s="208"/>
      <c r="W122" s="208"/>
      <c r="X122" s="208"/>
      <c r="Y122" s="208"/>
      <c r="Z122" s="208"/>
      <c r="AA122" s="208"/>
      <c r="AB122" s="208"/>
    </row>
    <row r="123" ht="15.75" customHeight="1">
      <c r="A123" s="243"/>
      <c r="B123" s="243"/>
      <c r="C123" s="243"/>
      <c r="D123" s="243"/>
      <c r="E123" s="243"/>
      <c r="F123" s="243"/>
      <c r="G123" s="243"/>
      <c r="H123" s="243"/>
      <c r="I123" s="243"/>
      <c r="J123" s="243"/>
      <c r="K123" s="243"/>
      <c r="L123" s="243"/>
      <c r="M123" s="243"/>
      <c r="N123" s="243"/>
      <c r="O123" s="243"/>
      <c r="P123" s="243"/>
      <c r="Q123" s="243"/>
      <c r="R123" s="243"/>
      <c r="S123" s="208"/>
      <c r="T123" s="208"/>
      <c r="U123" s="208"/>
      <c r="V123" s="208"/>
      <c r="W123" s="208"/>
      <c r="X123" s="208"/>
      <c r="Y123" s="208"/>
      <c r="Z123" s="208"/>
      <c r="AA123" s="208"/>
      <c r="AB123" s="208"/>
    </row>
    <row r="124" ht="15.75" customHeight="1">
      <c r="A124" s="243"/>
      <c r="B124" s="243"/>
      <c r="C124" s="243"/>
      <c r="D124" s="243"/>
      <c r="E124" s="243"/>
      <c r="F124" s="243"/>
      <c r="G124" s="243"/>
      <c r="H124" s="243"/>
      <c r="I124" s="243"/>
      <c r="J124" s="243"/>
      <c r="K124" s="243"/>
      <c r="L124" s="243"/>
      <c r="M124" s="243"/>
      <c r="N124" s="243"/>
      <c r="O124" s="243"/>
      <c r="P124" s="243"/>
      <c r="Q124" s="243"/>
      <c r="R124" s="243"/>
      <c r="S124" s="208"/>
      <c r="T124" s="208"/>
      <c r="U124" s="208"/>
      <c r="V124" s="208"/>
      <c r="W124" s="208"/>
      <c r="X124" s="208"/>
      <c r="Y124" s="208"/>
      <c r="Z124" s="208"/>
      <c r="AA124" s="208"/>
      <c r="AB124" s="208"/>
    </row>
    <row r="125" ht="15.75" customHeight="1">
      <c r="A125" s="243"/>
      <c r="B125" s="243"/>
      <c r="C125" s="243"/>
      <c r="D125" s="243"/>
      <c r="E125" s="243"/>
      <c r="F125" s="243"/>
      <c r="G125" s="243"/>
      <c r="H125" s="243"/>
      <c r="I125" s="243"/>
      <c r="J125" s="243"/>
      <c r="K125" s="243"/>
      <c r="L125" s="243"/>
      <c r="M125" s="243"/>
      <c r="N125" s="243"/>
      <c r="O125" s="243"/>
      <c r="P125" s="243"/>
      <c r="Q125" s="243"/>
      <c r="R125" s="243"/>
      <c r="S125" s="208"/>
      <c r="T125" s="208"/>
      <c r="U125" s="208"/>
      <c r="V125" s="208"/>
      <c r="W125" s="208"/>
      <c r="X125" s="208"/>
      <c r="Y125" s="208"/>
      <c r="Z125" s="208"/>
      <c r="AA125" s="208"/>
      <c r="AB125" s="208"/>
    </row>
    <row r="126" ht="15.75" customHeight="1">
      <c r="A126" s="243"/>
      <c r="B126" s="243"/>
      <c r="C126" s="243"/>
      <c r="D126" s="243"/>
      <c r="E126" s="243"/>
      <c r="F126" s="243"/>
      <c r="G126" s="243"/>
      <c r="H126" s="243"/>
      <c r="I126" s="243"/>
      <c r="J126" s="243"/>
      <c r="K126" s="243"/>
      <c r="L126" s="243"/>
      <c r="M126" s="243"/>
      <c r="N126" s="243"/>
      <c r="O126" s="243"/>
      <c r="P126" s="243"/>
      <c r="Q126" s="243"/>
      <c r="R126" s="243"/>
      <c r="S126" s="208"/>
      <c r="T126" s="208"/>
      <c r="U126" s="208"/>
      <c r="V126" s="208"/>
      <c r="W126" s="208"/>
      <c r="X126" s="208"/>
      <c r="Y126" s="208"/>
      <c r="Z126" s="208"/>
      <c r="AA126" s="208"/>
      <c r="AB126" s="208"/>
    </row>
    <row r="127" ht="15.75" customHeight="1">
      <c r="A127" s="243"/>
      <c r="B127" s="243"/>
      <c r="C127" s="243"/>
      <c r="D127" s="243"/>
      <c r="E127" s="243"/>
      <c r="F127" s="243"/>
      <c r="G127" s="243"/>
      <c r="H127" s="243"/>
      <c r="I127" s="243"/>
      <c r="J127" s="243"/>
      <c r="K127" s="243"/>
      <c r="L127" s="243"/>
      <c r="M127" s="243"/>
      <c r="N127" s="243"/>
      <c r="O127" s="243"/>
      <c r="P127" s="243"/>
      <c r="Q127" s="243"/>
      <c r="R127" s="243"/>
      <c r="S127" s="208"/>
      <c r="T127" s="208"/>
      <c r="U127" s="208"/>
      <c r="V127" s="208"/>
      <c r="W127" s="208"/>
      <c r="X127" s="208"/>
      <c r="Y127" s="208"/>
      <c r="Z127" s="208"/>
      <c r="AA127" s="208"/>
      <c r="AB127" s="208"/>
    </row>
    <row r="128" ht="15.75" customHeight="1">
      <c r="A128" s="243"/>
      <c r="B128" s="243"/>
      <c r="C128" s="243"/>
      <c r="D128" s="243"/>
      <c r="E128" s="243"/>
      <c r="F128" s="243"/>
      <c r="G128" s="243"/>
      <c r="H128" s="243"/>
      <c r="I128" s="243"/>
      <c r="J128" s="243"/>
      <c r="K128" s="243"/>
      <c r="L128" s="243"/>
      <c r="M128" s="243"/>
      <c r="N128" s="243"/>
      <c r="O128" s="243"/>
      <c r="P128" s="243"/>
      <c r="Q128" s="243"/>
      <c r="R128" s="243"/>
      <c r="S128" s="208"/>
      <c r="T128" s="208"/>
      <c r="U128" s="208"/>
      <c r="V128" s="208"/>
      <c r="W128" s="208"/>
      <c r="X128" s="208"/>
      <c r="Y128" s="208"/>
      <c r="Z128" s="208"/>
      <c r="AA128" s="208"/>
      <c r="AB128" s="208"/>
    </row>
    <row r="129" ht="15.75" customHeight="1">
      <c r="A129" s="243"/>
      <c r="B129" s="243"/>
      <c r="C129" s="243"/>
      <c r="D129" s="243"/>
      <c r="E129" s="243"/>
      <c r="F129" s="243"/>
      <c r="G129" s="243"/>
      <c r="H129" s="243"/>
      <c r="I129" s="243"/>
      <c r="J129" s="243"/>
      <c r="K129" s="243"/>
      <c r="L129" s="243"/>
      <c r="M129" s="243"/>
      <c r="N129" s="243"/>
      <c r="O129" s="243"/>
      <c r="P129" s="243"/>
      <c r="Q129" s="243"/>
      <c r="R129" s="243"/>
      <c r="S129" s="208"/>
      <c r="T129" s="208"/>
      <c r="U129" s="208"/>
      <c r="V129" s="208"/>
      <c r="W129" s="208"/>
      <c r="X129" s="208"/>
      <c r="Y129" s="208"/>
      <c r="Z129" s="208"/>
      <c r="AA129" s="208"/>
      <c r="AB129" s="208"/>
    </row>
    <row r="130" ht="15.75" customHeight="1">
      <c r="A130" s="243"/>
      <c r="B130" s="243"/>
      <c r="C130" s="243"/>
      <c r="D130" s="243"/>
      <c r="E130" s="243"/>
      <c r="F130" s="243"/>
      <c r="G130" s="243"/>
      <c r="H130" s="243"/>
      <c r="I130" s="243"/>
      <c r="J130" s="243"/>
      <c r="K130" s="243"/>
      <c r="L130" s="243"/>
      <c r="M130" s="243"/>
      <c r="N130" s="243"/>
      <c r="O130" s="243"/>
      <c r="P130" s="243"/>
      <c r="Q130" s="243"/>
      <c r="R130" s="243"/>
      <c r="S130" s="208"/>
      <c r="T130" s="208"/>
      <c r="U130" s="208"/>
      <c r="V130" s="208"/>
      <c r="W130" s="208"/>
      <c r="X130" s="208"/>
      <c r="Y130" s="208"/>
      <c r="Z130" s="208"/>
      <c r="AA130" s="208"/>
      <c r="AB130" s="208"/>
    </row>
    <row r="131" ht="15.75" customHeight="1">
      <c r="A131" s="243"/>
      <c r="B131" s="243"/>
      <c r="C131" s="243"/>
      <c r="D131" s="243"/>
      <c r="E131" s="243"/>
      <c r="F131" s="243"/>
      <c r="G131" s="243"/>
      <c r="H131" s="243"/>
      <c r="I131" s="243"/>
      <c r="J131" s="243"/>
      <c r="K131" s="243"/>
      <c r="L131" s="243"/>
      <c r="M131" s="243"/>
      <c r="N131" s="243"/>
      <c r="O131" s="243"/>
      <c r="P131" s="243"/>
      <c r="Q131" s="243"/>
      <c r="R131" s="243"/>
      <c r="S131" s="208"/>
      <c r="T131" s="208"/>
      <c r="U131" s="208"/>
      <c r="V131" s="208"/>
      <c r="W131" s="208"/>
      <c r="X131" s="208"/>
      <c r="Y131" s="208"/>
      <c r="Z131" s="208"/>
      <c r="AA131" s="208"/>
      <c r="AB131" s="208"/>
    </row>
    <row r="132" ht="15.75" customHeight="1">
      <c r="A132" s="243"/>
      <c r="B132" s="243"/>
      <c r="C132" s="243"/>
      <c r="D132" s="243"/>
      <c r="E132" s="243"/>
      <c r="F132" s="243"/>
      <c r="G132" s="243"/>
      <c r="H132" s="243"/>
      <c r="I132" s="243"/>
      <c r="J132" s="243"/>
      <c r="K132" s="243"/>
      <c r="L132" s="243"/>
      <c r="M132" s="243"/>
      <c r="N132" s="243"/>
      <c r="O132" s="243"/>
      <c r="P132" s="243"/>
      <c r="Q132" s="243"/>
      <c r="R132" s="243"/>
      <c r="S132" s="208"/>
      <c r="T132" s="208"/>
      <c r="U132" s="208"/>
      <c r="V132" s="208"/>
      <c r="W132" s="208"/>
      <c r="X132" s="208"/>
      <c r="Y132" s="208"/>
      <c r="Z132" s="208"/>
      <c r="AA132" s="208"/>
      <c r="AB132" s="208"/>
    </row>
    <row r="133" ht="15.75" customHeight="1">
      <c r="A133" s="243"/>
      <c r="B133" s="243"/>
      <c r="C133" s="243"/>
      <c r="D133" s="243"/>
      <c r="E133" s="243"/>
      <c r="F133" s="243"/>
      <c r="G133" s="243"/>
      <c r="H133" s="243"/>
      <c r="I133" s="243"/>
      <c r="J133" s="243"/>
      <c r="K133" s="243"/>
      <c r="L133" s="243"/>
      <c r="M133" s="243"/>
      <c r="N133" s="243"/>
      <c r="O133" s="243"/>
      <c r="P133" s="243"/>
      <c r="Q133" s="243"/>
      <c r="R133" s="243"/>
      <c r="S133" s="208"/>
      <c r="T133" s="208"/>
      <c r="U133" s="208"/>
      <c r="V133" s="208"/>
      <c r="W133" s="208"/>
      <c r="X133" s="208"/>
      <c r="Y133" s="208"/>
      <c r="Z133" s="208"/>
      <c r="AA133" s="208"/>
      <c r="AB133" s="208"/>
    </row>
    <row r="134" ht="15.75" customHeight="1">
      <c r="A134" s="243"/>
      <c r="B134" s="243"/>
      <c r="C134" s="243"/>
      <c r="D134" s="243"/>
      <c r="E134" s="243"/>
      <c r="F134" s="243"/>
      <c r="G134" s="243"/>
      <c r="H134" s="243"/>
      <c r="I134" s="243"/>
      <c r="J134" s="243"/>
      <c r="K134" s="243"/>
      <c r="L134" s="243"/>
      <c r="M134" s="243"/>
      <c r="N134" s="243"/>
      <c r="O134" s="243"/>
      <c r="P134" s="243"/>
      <c r="Q134" s="243"/>
      <c r="R134" s="243"/>
      <c r="S134" s="208"/>
      <c r="T134" s="208"/>
      <c r="U134" s="208"/>
      <c r="V134" s="208"/>
      <c r="W134" s="208"/>
      <c r="X134" s="208"/>
      <c r="Y134" s="208"/>
      <c r="Z134" s="208"/>
      <c r="AA134" s="208"/>
      <c r="AB134" s="208"/>
    </row>
    <row r="135" ht="15.75" customHeight="1">
      <c r="A135" s="243"/>
      <c r="B135" s="243"/>
      <c r="C135" s="243"/>
      <c r="D135" s="243"/>
      <c r="E135" s="243"/>
      <c r="F135" s="243"/>
      <c r="G135" s="243"/>
      <c r="H135" s="243"/>
      <c r="I135" s="243"/>
      <c r="J135" s="243"/>
      <c r="K135" s="243"/>
      <c r="L135" s="243"/>
      <c r="M135" s="243"/>
      <c r="N135" s="243"/>
      <c r="O135" s="243"/>
      <c r="P135" s="243"/>
      <c r="Q135" s="243"/>
      <c r="R135" s="243"/>
      <c r="S135" s="208"/>
      <c r="T135" s="208"/>
      <c r="U135" s="208"/>
      <c r="V135" s="208"/>
      <c r="W135" s="208"/>
      <c r="X135" s="208"/>
      <c r="Y135" s="208"/>
      <c r="Z135" s="208"/>
      <c r="AA135" s="208"/>
      <c r="AB135" s="208"/>
    </row>
    <row r="136" ht="15.75" customHeight="1">
      <c r="A136" s="243"/>
      <c r="B136" s="243"/>
      <c r="C136" s="243"/>
      <c r="D136" s="243"/>
      <c r="E136" s="243"/>
      <c r="F136" s="243"/>
      <c r="G136" s="243"/>
      <c r="H136" s="243"/>
      <c r="I136" s="243"/>
      <c r="J136" s="243"/>
      <c r="K136" s="243"/>
      <c r="L136" s="243"/>
      <c r="M136" s="243"/>
      <c r="N136" s="243"/>
      <c r="O136" s="243"/>
      <c r="P136" s="243"/>
      <c r="Q136" s="243"/>
      <c r="R136" s="243"/>
      <c r="S136" s="208"/>
      <c r="T136" s="208"/>
      <c r="U136" s="208"/>
      <c r="V136" s="208"/>
      <c r="W136" s="208"/>
      <c r="X136" s="208"/>
      <c r="Y136" s="208"/>
      <c r="Z136" s="208"/>
      <c r="AA136" s="208"/>
      <c r="AB136" s="208"/>
    </row>
    <row r="137" ht="15.75" customHeight="1">
      <c r="A137" s="243"/>
      <c r="B137" s="243"/>
      <c r="C137" s="243"/>
      <c r="D137" s="243"/>
      <c r="E137" s="243"/>
      <c r="F137" s="243"/>
      <c r="G137" s="243"/>
      <c r="H137" s="243"/>
      <c r="I137" s="243"/>
      <c r="J137" s="243"/>
      <c r="K137" s="243"/>
      <c r="L137" s="243"/>
      <c r="M137" s="243"/>
      <c r="N137" s="243"/>
      <c r="O137" s="243"/>
      <c r="P137" s="243"/>
      <c r="Q137" s="243"/>
      <c r="R137" s="243"/>
      <c r="S137" s="208"/>
      <c r="T137" s="208"/>
      <c r="U137" s="208"/>
      <c r="V137" s="208"/>
      <c r="W137" s="208"/>
      <c r="X137" s="208"/>
      <c r="Y137" s="208"/>
      <c r="Z137" s="208"/>
      <c r="AA137" s="208"/>
      <c r="AB137" s="208"/>
    </row>
    <row r="138" ht="15.75" customHeight="1">
      <c r="A138" s="243"/>
      <c r="B138" s="243"/>
      <c r="C138" s="243"/>
      <c r="D138" s="243"/>
      <c r="E138" s="243"/>
      <c r="F138" s="243"/>
      <c r="G138" s="243"/>
      <c r="H138" s="243"/>
      <c r="I138" s="243"/>
      <c r="J138" s="243"/>
      <c r="K138" s="243"/>
      <c r="L138" s="243"/>
      <c r="M138" s="243"/>
      <c r="N138" s="243"/>
      <c r="O138" s="243"/>
      <c r="P138" s="243"/>
      <c r="Q138" s="243"/>
      <c r="R138" s="243"/>
      <c r="S138" s="208"/>
      <c r="T138" s="208"/>
      <c r="U138" s="208"/>
      <c r="V138" s="208"/>
      <c r="W138" s="208"/>
      <c r="X138" s="208"/>
      <c r="Y138" s="208"/>
      <c r="Z138" s="208"/>
      <c r="AA138" s="208"/>
      <c r="AB138" s="208"/>
    </row>
    <row r="139" ht="15.75" customHeight="1">
      <c r="A139" s="243"/>
      <c r="B139" s="243"/>
      <c r="C139" s="243"/>
      <c r="D139" s="243"/>
      <c r="E139" s="243"/>
      <c r="F139" s="243"/>
      <c r="G139" s="243"/>
      <c r="H139" s="243"/>
      <c r="I139" s="243"/>
      <c r="J139" s="243"/>
      <c r="K139" s="243"/>
      <c r="L139" s="243"/>
      <c r="M139" s="243"/>
      <c r="N139" s="243"/>
      <c r="O139" s="243"/>
      <c r="P139" s="243"/>
      <c r="Q139" s="243"/>
      <c r="R139" s="243"/>
      <c r="S139" s="208"/>
      <c r="T139" s="208"/>
      <c r="U139" s="208"/>
      <c r="V139" s="208"/>
      <c r="W139" s="208"/>
      <c r="X139" s="208"/>
      <c r="Y139" s="208"/>
      <c r="Z139" s="208"/>
      <c r="AA139" s="208"/>
      <c r="AB139" s="208"/>
    </row>
    <row r="140" ht="15.75" customHeight="1">
      <c r="A140" s="243"/>
      <c r="B140" s="243"/>
      <c r="C140" s="243"/>
      <c r="D140" s="243"/>
      <c r="E140" s="243"/>
      <c r="F140" s="243"/>
      <c r="G140" s="243"/>
      <c r="H140" s="243"/>
      <c r="I140" s="243"/>
      <c r="J140" s="243"/>
      <c r="K140" s="243"/>
      <c r="L140" s="243"/>
      <c r="M140" s="243"/>
      <c r="N140" s="243"/>
      <c r="O140" s="243"/>
      <c r="P140" s="243"/>
      <c r="Q140" s="243"/>
      <c r="R140" s="243"/>
      <c r="S140" s="208"/>
      <c r="T140" s="208"/>
      <c r="U140" s="208"/>
      <c r="V140" s="208"/>
      <c r="W140" s="208"/>
      <c r="X140" s="208"/>
      <c r="Y140" s="208"/>
      <c r="Z140" s="208"/>
      <c r="AA140" s="208"/>
      <c r="AB140" s="208"/>
    </row>
    <row r="141" ht="15.75" customHeight="1">
      <c r="A141" s="243"/>
      <c r="B141" s="243"/>
      <c r="C141" s="243"/>
      <c r="D141" s="243"/>
      <c r="E141" s="243"/>
      <c r="F141" s="243"/>
      <c r="G141" s="243"/>
      <c r="H141" s="243"/>
      <c r="I141" s="243"/>
      <c r="J141" s="243"/>
      <c r="K141" s="243"/>
      <c r="L141" s="243"/>
      <c r="M141" s="243"/>
      <c r="N141" s="243"/>
      <c r="O141" s="243"/>
      <c r="P141" s="243"/>
      <c r="Q141" s="243"/>
      <c r="R141" s="243"/>
      <c r="S141" s="208"/>
      <c r="T141" s="208"/>
      <c r="U141" s="208"/>
      <c r="V141" s="208"/>
      <c r="W141" s="208"/>
      <c r="X141" s="208"/>
      <c r="Y141" s="208"/>
      <c r="Z141" s="208"/>
      <c r="AA141" s="208"/>
      <c r="AB141" s="208"/>
    </row>
    <row r="142" ht="15.75" customHeight="1">
      <c r="A142" s="243"/>
      <c r="B142" s="243"/>
      <c r="C142" s="243"/>
      <c r="D142" s="243"/>
      <c r="E142" s="243"/>
      <c r="F142" s="243"/>
      <c r="G142" s="243"/>
      <c r="H142" s="243"/>
      <c r="I142" s="243"/>
      <c r="J142" s="243"/>
      <c r="K142" s="243"/>
      <c r="L142" s="243"/>
      <c r="M142" s="243"/>
      <c r="N142" s="243"/>
      <c r="O142" s="243"/>
      <c r="P142" s="243"/>
      <c r="Q142" s="243"/>
      <c r="R142" s="243"/>
      <c r="S142" s="208"/>
      <c r="T142" s="208"/>
      <c r="U142" s="208"/>
      <c r="V142" s="208"/>
      <c r="W142" s="208"/>
      <c r="X142" s="208"/>
      <c r="Y142" s="208"/>
      <c r="Z142" s="208"/>
      <c r="AA142" s="208"/>
      <c r="AB142" s="208"/>
    </row>
    <row r="143" ht="15.75" customHeight="1">
      <c r="A143" s="243"/>
      <c r="B143" s="244"/>
      <c r="C143" s="245"/>
      <c r="D143" s="246"/>
      <c r="E143" s="245"/>
      <c r="F143" s="247"/>
      <c r="G143" s="244"/>
      <c r="H143" s="243"/>
      <c r="I143" s="244"/>
      <c r="J143" s="244"/>
      <c r="K143" s="244"/>
      <c r="L143" s="248"/>
      <c r="M143" s="248"/>
      <c r="N143" s="244"/>
      <c r="O143" s="249"/>
      <c r="P143" s="249"/>
      <c r="Q143" s="208"/>
      <c r="R143" s="208"/>
      <c r="S143" s="208"/>
      <c r="T143" s="208"/>
      <c r="U143" s="208"/>
      <c r="V143" s="208"/>
      <c r="W143" s="208"/>
      <c r="X143" s="208"/>
      <c r="Y143" s="208"/>
      <c r="Z143" s="208"/>
      <c r="AA143" s="208"/>
      <c r="AB143" s="208"/>
    </row>
    <row r="144" ht="15.75" customHeight="1">
      <c r="A144" s="243"/>
      <c r="B144" s="244"/>
      <c r="C144" s="245"/>
      <c r="D144" s="246"/>
      <c r="E144" s="245"/>
      <c r="F144" s="247"/>
      <c r="G144" s="244"/>
      <c r="H144" s="243"/>
      <c r="I144" s="244"/>
      <c r="J144" s="244"/>
      <c r="K144" s="244"/>
      <c r="L144" s="248"/>
      <c r="M144" s="248"/>
      <c r="N144" s="244"/>
      <c r="O144" s="249"/>
      <c r="P144" s="249"/>
      <c r="Q144" s="208"/>
      <c r="R144" s="208"/>
      <c r="S144" s="208"/>
      <c r="T144" s="208"/>
      <c r="U144" s="208"/>
      <c r="V144" s="208"/>
      <c r="W144" s="208"/>
      <c r="X144" s="208"/>
      <c r="Y144" s="208"/>
      <c r="Z144" s="208"/>
      <c r="AA144" s="208"/>
      <c r="AB144" s="208"/>
    </row>
    <row r="145" ht="15.75" customHeight="1">
      <c r="A145" s="243"/>
      <c r="B145" s="244"/>
      <c r="C145" s="245"/>
      <c r="D145" s="246"/>
      <c r="E145" s="245"/>
      <c r="F145" s="247"/>
      <c r="G145" s="244"/>
      <c r="H145" s="243"/>
      <c r="I145" s="244"/>
      <c r="J145" s="244"/>
      <c r="K145" s="244"/>
      <c r="L145" s="248"/>
      <c r="M145" s="248"/>
      <c r="N145" s="244"/>
      <c r="O145" s="249"/>
      <c r="P145" s="249"/>
      <c r="Q145" s="208"/>
      <c r="R145" s="208"/>
      <c r="S145" s="208"/>
      <c r="T145" s="208"/>
      <c r="U145" s="208"/>
      <c r="V145" s="208"/>
      <c r="W145" s="208"/>
      <c r="X145" s="208"/>
      <c r="Y145" s="208"/>
      <c r="Z145" s="208"/>
      <c r="AA145" s="208"/>
      <c r="AB145" s="208"/>
    </row>
    <row r="146" ht="15.75" customHeight="1">
      <c r="A146" s="243"/>
      <c r="B146" s="244"/>
      <c r="C146" s="245"/>
      <c r="D146" s="246"/>
      <c r="E146" s="245"/>
      <c r="F146" s="247"/>
      <c r="G146" s="244"/>
      <c r="H146" s="243"/>
      <c r="I146" s="244"/>
      <c r="J146" s="244"/>
      <c r="K146" s="244"/>
      <c r="L146" s="248"/>
      <c r="M146" s="248"/>
      <c r="N146" s="244"/>
      <c r="O146" s="249"/>
      <c r="P146" s="249"/>
      <c r="Q146" s="208"/>
      <c r="R146" s="208"/>
      <c r="S146" s="208"/>
      <c r="T146" s="208"/>
      <c r="U146" s="208"/>
      <c r="V146" s="208"/>
      <c r="W146" s="208"/>
      <c r="X146" s="208"/>
      <c r="Y146" s="208"/>
      <c r="Z146" s="208"/>
      <c r="AA146" s="208"/>
      <c r="AB146" s="208"/>
    </row>
    <row r="147" ht="15.75" customHeight="1">
      <c r="A147" s="243"/>
      <c r="B147" s="244"/>
      <c r="C147" s="245"/>
      <c r="D147" s="246"/>
      <c r="E147" s="245"/>
      <c r="F147" s="247"/>
      <c r="G147" s="244"/>
      <c r="H147" s="243"/>
      <c r="I147" s="244"/>
      <c r="J147" s="244"/>
      <c r="K147" s="244"/>
      <c r="L147" s="248"/>
      <c r="M147" s="248"/>
      <c r="N147" s="244"/>
      <c r="O147" s="249"/>
      <c r="P147" s="249"/>
      <c r="Q147" s="208"/>
      <c r="R147" s="208"/>
      <c r="S147" s="208"/>
      <c r="T147" s="208"/>
      <c r="U147" s="208"/>
      <c r="V147" s="208"/>
      <c r="W147" s="208"/>
      <c r="X147" s="208"/>
      <c r="Y147" s="208"/>
      <c r="Z147" s="208"/>
      <c r="AA147" s="208"/>
      <c r="AB147" s="208"/>
    </row>
    <row r="148" ht="15.75" customHeight="1">
      <c r="A148" s="243"/>
      <c r="B148" s="244"/>
      <c r="C148" s="245"/>
      <c r="D148" s="246"/>
      <c r="E148" s="245"/>
      <c r="F148" s="247"/>
      <c r="G148" s="244"/>
      <c r="H148" s="243"/>
      <c r="I148" s="244"/>
      <c r="J148" s="244"/>
      <c r="K148" s="244"/>
      <c r="L148" s="248"/>
      <c r="M148" s="248"/>
      <c r="N148" s="244"/>
      <c r="O148" s="249"/>
      <c r="P148" s="249"/>
      <c r="Q148" s="208"/>
      <c r="R148" s="208"/>
      <c r="S148" s="208"/>
      <c r="T148" s="208"/>
      <c r="U148" s="208"/>
      <c r="V148" s="208"/>
      <c r="W148" s="208"/>
      <c r="X148" s="208"/>
      <c r="Y148" s="208"/>
      <c r="Z148" s="208"/>
      <c r="AA148" s="208"/>
      <c r="AB148" s="208"/>
    </row>
    <row r="149" ht="15.75" customHeight="1">
      <c r="A149" s="243"/>
      <c r="B149" s="244"/>
      <c r="C149" s="245"/>
      <c r="D149" s="246"/>
      <c r="E149" s="245"/>
      <c r="F149" s="247"/>
      <c r="G149" s="244"/>
      <c r="H149" s="243"/>
      <c r="I149" s="244"/>
      <c r="J149" s="244"/>
      <c r="K149" s="244"/>
      <c r="L149" s="248"/>
      <c r="M149" s="248"/>
      <c r="N149" s="244"/>
      <c r="O149" s="249"/>
      <c r="P149" s="249"/>
      <c r="Q149" s="208"/>
      <c r="R149" s="208"/>
      <c r="S149" s="208"/>
      <c r="T149" s="208"/>
      <c r="U149" s="208"/>
      <c r="V149" s="208"/>
      <c r="W149" s="208"/>
      <c r="X149" s="208"/>
      <c r="Y149" s="208"/>
      <c r="Z149" s="208"/>
      <c r="AA149" s="208"/>
      <c r="AB149" s="208"/>
    </row>
    <row r="150" ht="15.75" customHeight="1">
      <c r="A150" s="243"/>
      <c r="B150" s="244"/>
      <c r="C150" s="245"/>
      <c r="D150" s="246"/>
      <c r="E150" s="245"/>
      <c r="F150" s="247"/>
      <c r="G150" s="244"/>
      <c r="H150" s="243"/>
      <c r="I150" s="244"/>
      <c r="J150" s="244"/>
      <c r="K150" s="244"/>
      <c r="L150" s="248"/>
      <c r="M150" s="248"/>
      <c r="N150" s="244"/>
      <c r="O150" s="249"/>
      <c r="P150" s="249"/>
      <c r="Q150" s="208"/>
      <c r="R150" s="208"/>
      <c r="S150" s="208"/>
      <c r="T150" s="208"/>
      <c r="U150" s="208"/>
      <c r="V150" s="208"/>
      <c r="W150" s="208"/>
      <c r="X150" s="208"/>
      <c r="Y150" s="208"/>
      <c r="Z150" s="208"/>
      <c r="AA150" s="208"/>
      <c r="AB150" s="208"/>
    </row>
    <row r="151" ht="15.75" customHeight="1">
      <c r="A151" s="243"/>
      <c r="B151" s="244"/>
      <c r="C151" s="245"/>
      <c r="D151" s="246"/>
      <c r="E151" s="245"/>
      <c r="F151" s="247"/>
      <c r="G151" s="244"/>
      <c r="H151" s="243"/>
      <c r="I151" s="244"/>
      <c r="J151" s="244"/>
      <c r="K151" s="244"/>
      <c r="L151" s="248"/>
      <c r="M151" s="248"/>
      <c r="N151" s="244"/>
      <c r="O151" s="249"/>
      <c r="P151" s="249"/>
      <c r="Q151" s="208"/>
      <c r="R151" s="208"/>
      <c r="S151" s="208"/>
      <c r="T151" s="208"/>
      <c r="U151" s="208"/>
      <c r="V151" s="208"/>
      <c r="W151" s="208"/>
      <c r="X151" s="208"/>
      <c r="Y151" s="208"/>
      <c r="Z151" s="208"/>
      <c r="AA151" s="208"/>
      <c r="AB151" s="208"/>
    </row>
    <row r="152" ht="15.75" customHeight="1">
      <c r="A152" s="243"/>
      <c r="B152" s="244"/>
      <c r="C152" s="245"/>
      <c r="D152" s="246"/>
      <c r="E152" s="245"/>
      <c r="F152" s="247"/>
      <c r="G152" s="244"/>
      <c r="H152" s="243"/>
      <c r="I152" s="244"/>
      <c r="J152" s="244"/>
      <c r="K152" s="244"/>
      <c r="L152" s="248"/>
      <c r="M152" s="248"/>
      <c r="N152" s="244"/>
      <c r="O152" s="249"/>
      <c r="P152" s="249"/>
      <c r="Q152" s="208"/>
      <c r="R152" s="208"/>
      <c r="S152" s="208"/>
      <c r="T152" s="208"/>
      <c r="U152" s="208"/>
      <c r="V152" s="208"/>
      <c r="W152" s="208"/>
      <c r="X152" s="208"/>
      <c r="Y152" s="208"/>
      <c r="Z152" s="208"/>
      <c r="AA152" s="208"/>
      <c r="AB152" s="208"/>
    </row>
    <row r="153" ht="15.75" customHeight="1">
      <c r="A153" s="243"/>
      <c r="B153" s="244"/>
      <c r="C153" s="245"/>
      <c r="D153" s="246"/>
      <c r="E153" s="245"/>
      <c r="F153" s="247"/>
      <c r="G153" s="244"/>
      <c r="H153" s="243"/>
      <c r="I153" s="244"/>
      <c r="J153" s="244"/>
      <c r="K153" s="244"/>
      <c r="L153" s="248"/>
      <c r="M153" s="248"/>
      <c r="N153" s="244"/>
      <c r="O153" s="249"/>
      <c r="P153" s="249"/>
      <c r="Q153" s="208"/>
      <c r="R153" s="208"/>
      <c r="S153" s="208"/>
      <c r="T153" s="208"/>
      <c r="U153" s="208"/>
      <c r="V153" s="208"/>
      <c r="W153" s="208"/>
      <c r="X153" s="208"/>
      <c r="Y153" s="208"/>
      <c r="Z153" s="208"/>
      <c r="AA153" s="208"/>
      <c r="AB153" s="208"/>
    </row>
    <row r="154" ht="15.75" customHeight="1">
      <c r="A154" s="243"/>
      <c r="B154" s="244"/>
      <c r="C154" s="245"/>
      <c r="D154" s="246"/>
      <c r="E154" s="245"/>
      <c r="F154" s="247"/>
      <c r="G154" s="244"/>
      <c r="H154" s="243"/>
      <c r="I154" s="244"/>
      <c r="J154" s="244"/>
      <c r="K154" s="244"/>
      <c r="L154" s="248"/>
      <c r="M154" s="248"/>
      <c r="N154" s="244"/>
      <c r="O154" s="249"/>
      <c r="P154" s="249"/>
      <c r="Q154" s="208"/>
      <c r="R154" s="208"/>
      <c r="S154" s="208"/>
      <c r="T154" s="208"/>
      <c r="U154" s="208"/>
      <c r="V154" s="208"/>
      <c r="W154" s="208"/>
      <c r="X154" s="208"/>
      <c r="Y154" s="208"/>
      <c r="Z154" s="208"/>
      <c r="AA154" s="208"/>
      <c r="AB154" s="208"/>
    </row>
    <row r="155" ht="15.75" customHeight="1">
      <c r="A155" s="243"/>
      <c r="B155" s="244"/>
      <c r="C155" s="245"/>
      <c r="D155" s="246"/>
      <c r="E155" s="245"/>
      <c r="F155" s="247"/>
      <c r="G155" s="244"/>
      <c r="H155" s="243"/>
      <c r="I155" s="244"/>
      <c r="J155" s="244"/>
      <c r="K155" s="244"/>
      <c r="L155" s="248"/>
      <c r="M155" s="248"/>
      <c r="N155" s="244"/>
      <c r="O155" s="249"/>
      <c r="P155" s="249"/>
      <c r="Q155" s="208"/>
      <c r="R155" s="208"/>
      <c r="S155" s="208"/>
      <c r="T155" s="208"/>
      <c r="U155" s="208"/>
      <c r="V155" s="208"/>
      <c r="W155" s="208"/>
      <c r="X155" s="208"/>
      <c r="Y155" s="208"/>
      <c r="Z155" s="208"/>
      <c r="AA155" s="208"/>
      <c r="AB155" s="208"/>
    </row>
    <row r="156" ht="15.75" customHeight="1">
      <c r="A156" s="243"/>
      <c r="B156" s="244"/>
      <c r="C156" s="245"/>
      <c r="D156" s="246"/>
      <c r="E156" s="245"/>
      <c r="F156" s="247"/>
      <c r="G156" s="244"/>
      <c r="H156" s="243"/>
      <c r="I156" s="244"/>
      <c r="J156" s="244"/>
      <c r="K156" s="244"/>
      <c r="L156" s="248"/>
      <c r="M156" s="248"/>
      <c r="N156" s="244"/>
      <c r="O156" s="249"/>
      <c r="P156" s="249"/>
      <c r="Q156" s="208"/>
      <c r="R156" s="208"/>
      <c r="S156" s="208"/>
      <c r="T156" s="208"/>
      <c r="U156" s="208"/>
      <c r="V156" s="208"/>
      <c r="W156" s="208"/>
      <c r="X156" s="208"/>
      <c r="Y156" s="208"/>
      <c r="Z156" s="208"/>
      <c r="AA156" s="208"/>
      <c r="AB156" s="208"/>
    </row>
    <row r="157" ht="15.75" customHeight="1">
      <c r="A157" s="243"/>
      <c r="B157" s="244"/>
      <c r="C157" s="245"/>
      <c r="D157" s="246"/>
      <c r="E157" s="245"/>
      <c r="F157" s="247"/>
      <c r="G157" s="244"/>
      <c r="H157" s="243"/>
      <c r="I157" s="244"/>
      <c r="J157" s="244"/>
      <c r="K157" s="244"/>
      <c r="L157" s="248"/>
      <c r="M157" s="248"/>
      <c r="N157" s="244"/>
      <c r="O157" s="249"/>
      <c r="P157" s="249"/>
      <c r="Q157" s="208"/>
      <c r="R157" s="208"/>
      <c r="S157" s="208"/>
      <c r="T157" s="208"/>
      <c r="U157" s="208"/>
      <c r="V157" s="208"/>
      <c r="W157" s="208"/>
      <c r="X157" s="208"/>
      <c r="Y157" s="208"/>
      <c r="Z157" s="208"/>
      <c r="AA157" s="208"/>
      <c r="AB157" s="208"/>
    </row>
    <row r="158" ht="15.75" customHeight="1">
      <c r="A158" s="243"/>
      <c r="B158" s="244"/>
      <c r="C158" s="245"/>
      <c r="D158" s="246"/>
      <c r="E158" s="245"/>
      <c r="F158" s="247"/>
      <c r="G158" s="244"/>
      <c r="H158" s="243"/>
      <c r="I158" s="244"/>
      <c r="J158" s="244"/>
      <c r="K158" s="244"/>
      <c r="L158" s="248"/>
      <c r="M158" s="248"/>
      <c r="N158" s="244"/>
      <c r="O158" s="249"/>
      <c r="P158" s="249"/>
      <c r="Q158" s="208"/>
      <c r="R158" s="208"/>
      <c r="S158" s="208"/>
      <c r="T158" s="208"/>
      <c r="U158" s="208"/>
      <c r="V158" s="208"/>
      <c r="W158" s="208"/>
      <c r="X158" s="208"/>
      <c r="Y158" s="208"/>
      <c r="Z158" s="208"/>
      <c r="AA158" s="208"/>
      <c r="AB158" s="208"/>
    </row>
    <row r="159" ht="15.75" customHeight="1">
      <c r="A159" s="243"/>
      <c r="B159" s="244"/>
      <c r="C159" s="245"/>
      <c r="D159" s="246"/>
      <c r="E159" s="245"/>
      <c r="F159" s="247"/>
      <c r="G159" s="244"/>
      <c r="H159" s="243"/>
      <c r="I159" s="244"/>
      <c r="J159" s="244"/>
      <c r="K159" s="244"/>
      <c r="L159" s="248"/>
      <c r="M159" s="248"/>
      <c r="N159" s="244"/>
      <c r="O159" s="249"/>
      <c r="P159" s="249"/>
      <c r="Q159" s="208"/>
      <c r="R159" s="208"/>
      <c r="S159" s="208"/>
      <c r="T159" s="208"/>
      <c r="U159" s="208"/>
      <c r="V159" s="208"/>
      <c r="W159" s="208"/>
      <c r="X159" s="208"/>
      <c r="Y159" s="208"/>
      <c r="Z159" s="208"/>
      <c r="AA159" s="208"/>
      <c r="AB159" s="208"/>
    </row>
    <row r="160" ht="15.75" customHeight="1">
      <c r="A160" s="243"/>
      <c r="B160" s="244"/>
      <c r="C160" s="245"/>
      <c r="D160" s="246"/>
      <c r="E160" s="245"/>
      <c r="F160" s="247"/>
      <c r="G160" s="244"/>
      <c r="H160" s="243"/>
      <c r="I160" s="244"/>
      <c r="J160" s="244"/>
      <c r="K160" s="244"/>
      <c r="L160" s="248"/>
      <c r="M160" s="248"/>
      <c r="N160" s="244"/>
      <c r="O160" s="249"/>
      <c r="P160" s="249"/>
      <c r="Q160" s="208"/>
      <c r="R160" s="208"/>
      <c r="S160" s="208"/>
      <c r="T160" s="208"/>
      <c r="U160" s="208"/>
      <c r="V160" s="208"/>
      <c r="W160" s="208"/>
      <c r="X160" s="208"/>
      <c r="Y160" s="208"/>
      <c r="Z160" s="208"/>
      <c r="AA160" s="208"/>
      <c r="AB160" s="208"/>
    </row>
    <row r="161" ht="15.75" customHeight="1">
      <c r="A161" s="243"/>
      <c r="B161" s="244"/>
      <c r="C161" s="245"/>
      <c r="D161" s="246"/>
      <c r="E161" s="245"/>
      <c r="F161" s="247"/>
      <c r="G161" s="244"/>
      <c r="H161" s="243"/>
      <c r="I161" s="244"/>
      <c r="J161" s="244"/>
      <c r="K161" s="244"/>
      <c r="L161" s="248"/>
      <c r="M161" s="248"/>
      <c r="N161" s="244"/>
      <c r="O161" s="249"/>
      <c r="P161" s="249"/>
      <c r="Q161" s="208"/>
      <c r="R161" s="208"/>
      <c r="S161" s="208"/>
      <c r="T161" s="208"/>
      <c r="U161" s="208"/>
      <c r="V161" s="208"/>
      <c r="W161" s="208"/>
      <c r="X161" s="208"/>
      <c r="Y161" s="208"/>
      <c r="Z161" s="208"/>
      <c r="AA161" s="208"/>
      <c r="AB161" s="208"/>
    </row>
    <row r="162" ht="15.75" customHeight="1">
      <c r="A162" s="243"/>
      <c r="B162" s="244"/>
      <c r="C162" s="245"/>
      <c r="D162" s="246"/>
      <c r="E162" s="245"/>
      <c r="F162" s="247"/>
      <c r="G162" s="244"/>
      <c r="H162" s="243"/>
      <c r="I162" s="244"/>
      <c r="J162" s="244"/>
      <c r="K162" s="244"/>
      <c r="L162" s="248"/>
      <c r="M162" s="248"/>
      <c r="N162" s="244"/>
      <c r="O162" s="249"/>
      <c r="P162" s="249"/>
      <c r="Q162" s="208"/>
      <c r="R162" s="208"/>
      <c r="S162" s="208"/>
      <c r="T162" s="208"/>
      <c r="U162" s="208"/>
      <c r="V162" s="208"/>
      <c r="W162" s="208"/>
      <c r="X162" s="208"/>
      <c r="Y162" s="208"/>
      <c r="Z162" s="208"/>
      <c r="AA162" s="208"/>
      <c r="AB162" s="208"/>
    </row>
    <row r="163" ht="15.75" customHeight="1">
      <c r="A163" s="243"/>
      <c r="B163" s="244"/>
      <c r="C163" s="245"/>
      <c r="D163" s="246"/>
      <c r="E163" s="245"/>
      <c r="F163" s="247"/>
      <c r="G163" s="244"/>
      <c r="H163" s="243"/>
      <c r="I163" s="244"/>
      <c r="J163" s="244"/>
      <c r="K163" s="244"/>
      <c r="L163" s="248"/>
      <c r="M163" s="248"/>
      <c r="N163" s="244"/>
      <c r="O163" s="249"/>
      <c r="P163" s="249"/>
      <c r="Q163" s="208"/>
      <c r="R163" s="208"/>
      <c r="S163" s="208"/>
      <c r="T163" s="208"/>
      <c r="U163" s="208"/>
      <c r="V163" s="208"/>
      <c r="W163" s="208"/>
      <c r="X163" s="208"/>
      <c r="Y163" s="208"/>
      <c r="Z163" s="208"/>
      <c r="AA163" s="208"/>
      <c r="AB163" s="208"/>
    </row>
    <row r="164" ht="15.75" customHeight="1">
      <c r="A164" s="243"/>
      <c r="B164" s="244"/>
      <c r="C164" s="245"/>
      <c r="D164" s="246"/>
      <c r="E164" s="245"/>
      <c r="F164" s="247"/>
      <c r="G164" s="244"/>
      <c r="H164" s="243"/>
      <c r="I164" s="244"/>
      <c r="J164" s="244"/>
      <c r="K164" s="244"/>
      <c r="L164" s="248"/>
      <c r="M164" s="248"/>
      <c r="N164" s="244"/>
      <c r="O164" s="249"/>
      <c r="P164" s="249"/>
      <c r="Q164" s="208"/>
      <c r="R164" s="208"/>
      <c r="S164" s="208"/>
      <c r="T164" s="208"/>
      <c r="U164" s="208"/>
      <c r="V164" s="208"/>
      <c r="W164" s="208"/>
      <c r="X164" s="208"/>
      <c r="Y164" s="208"/>
      <c r="Z164" s="208"/>
      <c r="AA164" s="208"/>
      <c r="AB164" s="208"/>
    </row>
    <row r="165" ht="15.75" customHeight="1">
      <c r="A165" s="243"/>
      <c r="B165" s="244"/>
      <c r="C165" s="245"/>
      <c r="D165" s="246"/>
      <c r="E165" s="245"/>
      <c r="F165" s="247"/>
      <c r="G165" s="244"/>
      <c r="H165" s="243"/>
      <c r="I165" s="244"/>
      <c r="J165" s="244"/>
      <c r="K165" s="244"/>
      <c r="L165" s="248"/>
      <c r="M165" s="248"/>
      <c r="N165" s="244"/>
      <c r="O165" s="249"/>
      <c r="P165" s="249"/>
      <c r="Q165" s="208"/>
      <c r="R165" s="208"/>
      <c r="S165" s="208"/>
      <c r="T165" s="208"/>
      <c r="U165" s="208"/>
      <c r="V165" s="208"/>
      <c r="W165" s="208"/>
      <c r="X165" s="208"/>
      <c r="Y165" s="208"/>
      <c r="Z165" s="208"/>
      <c r="AA165" s="208"/>
      <c r="AB165" s="208"/>
    </row>
    <row r="166" ht="15.75" customHeight="1">
      <c r="A166" s="243"/>
      <c r="B166" s="244"/>
      <c r="C166" s="245"/>
      <c r="D166" s="246"/>
      <c r="E166" s="245"/>
      <c r="F166" s="247"/>
      <c r="G166" s="244"/>
      <c r="H166" s="243"/>
      <c r="I166" s="244"/>
      <c r="J166" s="244"/>
      <c r="K166" s="244"/>
      <c r="L166" s="248"/>
      <c r="M166" s="248"/>
      <c r="N166" s="244"/>
      <c r="O166" s="249"/>
      <c r="P166" s="249"/>
      <c r="Q166" s="208"/>
      <c r="R166" s="208"/>
      <c r="S166" s="208"/>
      <c r="T166" s="208"/>
      <c r="U166" s="208"/>
      <c r="V166" s="208"/>
      <c r="W166" s="208"/>
      <c r="X166" s="208"/>
      <c r="Y166" s="208"/>
      <c r="Z166" s="208"/>
      <c r="AA166" s="208"/>
      <c r="AB166" s="208"/>
    </row>
    <row r="167" ht="15.75" customHeight="1">
      <c r="A167" s="243"/>
      <c r="B167" s="244"/>
      <c r="C167" s="245"/>
      <c r="D167" s="246"/>
      <c r="E167" s="245"/>
      <c r="F167" s="247"/>
      <c r="G167" s="244"/>
      <c r="H167" s="243"/>
      <c r="I167" s="244"/>
      <c r="J167" s="244"/>
      <c r="K167" s="244"/>
      <c r="L167" s="248"/>
      <c r="M167" s="248"/>
      <c r="N167" s="244"/>
      <c r="O167" s="249"/>
      <c r="P167" s="249"/>
      <c r="Q167" s="208"/>
      <c r="R167" s="208"/>
      <c r="S167" s="208"/>
      <c r="T167" s="208"/>
      <c r="U167" s="208"/>
      <c r="V167" s="208"/>
      <c r="W167" s="208"/>
      <c r="X167" s="208"/>
      <c r="Y167" s="208"/>
      <c r="Z167" s="208"/>
      <c r="AA167" s="208"/>
      <c r="AB167" s="208"/>
    </row>
    <row r="168" ht="15.75" customHeight="1">
      <c r="A168" s="243"/>
      <c r="B168" s="244"/>
      <c r="C168" s="245"/>
      <c r="D168" s="246"/>
      <c r="E168" s="245"/>
      <c r="F168" s="247"/>
      <c r="G168" s="244"/>
      <c r="H168" s="243"/>
      <c r="I168" s="244"/>
      <c r="J168" s="244"/>
      <c r="K168" s="244"/>
      <c r="L168" s="248"/>
      <c r="M168" s="248"/>
      <c r="N168" s="244"/>
      <c r="O168" s="249"/>
      <c r="P168" s="249"/>
      <c r="Q168" s="208"/>
      <c r="R168" s="208"/>
      <c r="S168" s="208"/>
      <c r="T168" s="208"/>
      <c r="U168" s="208"/>
      <c r="V168" s="208"/>
      <c r="W168" s="208"/>
      <c r="X168" s="208"/>
      <c r="Y168" s="208"/>
      <c r="Z168" s="208"/>
      <c r="AA168" s="208"/>
      <c r="AB168" s="208"/>
    </row>
    <row r="169" ht="15.75" customHeight="1">
      <c r="A169" s="243"/>
      <c r="B169" s="244"/>
      <c r="C169" s="245"/>
      <c r="D169" s="246"/>
      <c r="E169" s="245"/>
      <c r="F169" s="247"/>
      <c r="G169" s="244"/>
      <c r="H169" s="243"/>
      <c r="I169" s="244"/>
      <c r="J169" s="244"/>
      <c r="K169" s="244"/>
      <c r="L169" s="248"/>
      <c r="M169" s="248"/>
      <c r="N169" s="244"/>
      <c r="O169" s="249"/>
      <c r="P169" s="249"/>
      <c r="Q169" s="208"/>
      <c r="R169" s="208"/>
      <c r="S169" s="208"/>
      <c r="T169" s="208"/>
      <c r="U169" s="208"/>
      <c r="V169" s="208"/>
      <c r="W169" s="208"/>
      <c r="X169" s="208"/>
      <c r="Y169" s="208"/>
      <c r="Z169" s="208"/>
      <c r="AA169" s="208"/>
      <c r="AB169" s="208"/>
    </row>
    <row r="170" ht="15.75" customHeight="1">
      <c r="A170" s="243"/>
      <c r="B170" s="244"/>
      <c r="C170" s="245"/>
      <c r="D170" s="246"/>
      <c r="E170" s="245"/>
      <c r="F170" s="247"/>
      <c r="G170" s="244"/>
      <c r="H170" s="243"/>
      <c r="I170" s="244"/>
      <c r="J170" s="244"/>
      <c r="K170" s="244"/>
      <c r="L170" s="248"/>
      <c r="M170" s="248"/>
      <c r="N170" s="244"/>
      <c r="O170" s="249"/>
      <c r="P170" s="249"/>
      <c r="Q170" s="208"/>
      <c r="R170" s="208"/>
      <c r="S170" s="208"/>
      <c r="T170" s="208"/>
      <c r="U170" s="208"/>
      <c r="V170" s="208"/>
      <c r="W170" s="208"/>
      <c r="X170" s="208"/>
      <c r="Y170" s="208"/>
      <c r="Z170" s="208"/>
      <c r="AA170" s="208"/>
      <c r="AB170" s="208"/>
    </row>
    <row r="171" ht="15.75" customHeight="1">
      <c r="A171" s="243"/>
      <c r="B171" s="244"/>
      <c r="C171" s="245"/>
      <c r="D171" s="246"/>
      <c r="E171" s="245"/>
      <c r="F171" s="247"/>
      <c r="G171" s="244"/>
      <c r="H171" s="243"/>
      <c r="I171" s="244"/>
      <c r="J171" s="244"/>
      <c r="K171" s="244"/>
      <c r="L171" s="248"/>
      <c r="M171" s="248"/>
      <c r="N171" s="244"/>
      <c r="O171" s="249"/>
      <c r="P171" s="249"/>
      <c r="Q171" s="208"/>
      <c r="R171" s="208"/>
      <c r="S171" s="208"/>
      <c r="T171" s="208"/>
      <c r="U171" s="208"/>
      <c r="V171" s="208"/>
      <c r="W171" s="208"/>
      <c r="X171" s="208"/>
      <c r="Y171" s="208"/>
      <c r="Z171" s="208"/>
      <c r="AA171" s="208"/>
      <c r="AB171" s="208"/>
    </row>
    <row r="172" ht="15.75" customHeight="1">
      <c r="A172" s="243"/>
      <c r="B172" s="244"/>
      <c r="C172" s="245"/>
      <c r="D172" s="246"/>
      <c r="E172" s="245"/>
      <c r="F172" s="247"/>
      <c r="G172" s="244"/>
      <c r="H172" s="243"/>
      <c r="I172" s="244"/>
      <c r="J172" s="244"/>
      <c r="K172" s="244"/>
      <c r="L172" s="248"/>
      <c r="M172" s="248"/>
      <c r="N172" s="244"/>
      <c r="O172" s="249"/>
      <c r="P172" s="249"/>
      <c r="Q172" s="208"/>
      <c r="R172" s="208"/>
      <c r="S172" s="208"/>
      <c r="T172" s="208"/>
      <c r="U172" s="208"/>
      <c r="V172" s="208"/>
      <c r="W172" s="208"/>
      <c r="X172" s="208"/>
      <c r="Y172" s="208"/>
      <c r="Z172" s="208"/>
      <c r="AA172" s="208"/>
      <c r="AB172" s="208"/>
    </row>
    <row r="173" ht="15.75" customHeight="1">
      <c r="A173" s="243"/>
      <c r="B173" s="244"/>
      <c r="C173" s="245"/>
      <c r="D173" s="246"/>
      <c r="E173" s="245"/>
      <c r="F173" s="247"/>
      <c r="G173" s="244"/>
      <c r="H173" s="243"/>
      <c r="I173" s="244"/>
      <c r="J173" s="244"/>
      <c r="K173" s="244"/>
      <c r="L173" s="248"/>
      <c r="M173" s="248"/>
      <c r="N173" s="244"/>
      <c r="O173" s="249"/>
      <c r="P173" s="249"/>
      <c r="Q173" s="208"/>
      <c r="R173" s="208"/>
      <c r="S173" s="208"/>
      <c r="T173" s="208"/>
      <c r="U173" s="208"/>
      <c r="V173" s="208"/>
      <c r="W173" s="208"/>
      <c r="X173" s="208"/>
      <c r="Y173" s="208"/>
      <c r="Z173" s="208"/>
      <c r="AA173" s="208"/>
      <c r="AB173" s="208"/>
    </row>
    <row r="174" ht="15.75" customHeight="1">
      <c r="A174" s="243"/>
      <c r="B174" s="244"/>
      <c r="C174" s="245"/>
      <c r="D174" s="246"/>
      <c r="E174" s="245"/>
      <c r="F174" s="247"/>
      <c r="G174" s="244"/>
      <c r="H174" s="243"/>
      <c r="I174" s="244"/>
      <c r="J174" s="244"/>
      <c r="K174" s="244"/>
      <c r="L174" s="248"/>
      <c r="M174" s="248"/>
      <c r="N174" s="244"/>
      <c r="O174" s="249"/>
      <c r="P174" s="249"/>
      <c r="Q174" s="208"/>
      <c r="R174" s="208"/>
      <c r="S174" s="208"/>
      <c r="T174" s="208"/>
      <c r="U174" s="208"/>
      <c r="V174" s="208"/>
      <c r="W174" s="208"/>
      <c r="X174" s="208"/>
      <c r="Y174" s="208"/>
      <c r="Z174" s="208"/>
      <c r="AA174" s="208"/>
      <c r="AB174" s="208"/>
    </row>
    <row r="175" ht="15.75" customHeight="1">
      <c r="A175" s="243"/>
      <c r="B175" s="244"/>
      <c r="C175" s="245"/>
      <c r="D175" s="246"/>
      <c r="E175" s="245"/>
      <c r="F175" s="247"/>
      <c r="G175" s="244"/>
      <c r="H175" s="243"/>
      <c r="I175" s="244"/>
      <c r="J175" s="244"/>
      <c r="K175" s="244"/>
      <c r="L175" s="248"/>
      <c r="M175" s="248"/>
      <c r="N175" s="244"/>
      <c r="O175" s="249"/>
      <c r="P175" s="249"/>
      <c r="Q175" s="208"/>
      <c r="R175" s="208"/>
      <c r="S175" s="208"/>
      <c r="T175" s="208"/>
      <c r="U175" s="208"/>
      <c r="V175" s="208"/>
      <c r="W175" s="208"/>
      <c r="X175" s="208"/>
      <c r="Y175" s="208"/>
      <c r="Z175" s="208"/>
      <c r="AA175" s="208"/>
      <c r="AB175" s="208"/>
    </row>
    <row r="176" ht="15.75" customHeight="1">
      <c r="A176" s="243"/>
      <c r="B176" s="244"/>
      <c r="C176" s="245"/>
      <c r="D176" s="246"/>
      <c r="E176" s="245"/>
      <c r="F176" s="247"/>
      <c r="G176" s="244"/>
      <c r="H176" s="243"/>
      <c r="I176" s="244"/>
      <c r="J176" s="244"/>
      <c r="K176" s="244"/>
      <c r="L176" s="248"/>
      <c r="M176" s="248"/>
      <c r="N176" s="244"/>
      <c r="O176" s="249"/>
      <c r="P176" s="249"/>
      <c r="Q176" s="208"/>
      <c r="R176" s="208"/>
      <c r="S176" s="208"/>
      <c r="T176" s="208"/>
      <c r="U176" s="208"/>
      <c r="V176" s="208"/>
      <c r="W176" s="208"/>
      <c r="X176" s="208"/>
      <c r="Y176" s="208"/>
      <c r="Z176" s="208"/>
      <c r="AA176" s="208"/>
      <c r="AB176" s="208"/>
    </row>
    <row r="177" ht="15.75" customHeight="1">
      <c r="A177" s="243"/>
      <c r="B177" s="244"/>
      <c r="C177" s="245"/>
      <c r="D177" s="246"/>
      <c r="E177" s="245"/>
      <c r="F177" s="247"/>
      <c r="G177" s="244"/>
      <c r="H177" s="243"/>
      <c r="I177" s="244"/>
      <c r="J177" s="244"/>
      <c r="K177" s="244"/>
      <c r="L177" s="248"/>
      <c r="M177" s="248"/>
      <c r="N177" s="244"/>
      <c r="O177" s="249"/>
      <c r="P177" s="249"/>
      <c r="Q177" s="208"/>
      <c r="R177" s="208"/>
      <c r="S177" s="208"/>
      <c r="T177" s="208"/>
      <c r="U177" s="208"/>
      <c r="V177" s="208"/>
      <c r="W177" s="208"/>
      <c r="X177" s="208"/>
      <c r="Y177" s="208"/>
      <c r="Z177" s="208"/>
      <c r="AA177" s="208"/>
      <c r="AB177" s="208"/>
    </row>
    <row r="178" ht="15.75" customHeight="1">
      <c r="A178" s="243"/>
      <c r="B178" s="244"/>
      <c r="C178" s="245"/>
      <c r="D178" s="246"/>
      <c r="E178" s="245"/>
      <c r="F178" s="247"/>
      <c r="G178" s="244"/>
      <c r="H178" s="243"/>
      <c r="I178" s="244"/>
      <c r="J178" s="244"/>
      <c r="K178" s="244"/>
      <c r="L178" s="248"/>
      <c r="M178" s="248"/>
      <c r="N178" s="244"/>
      <c r="O178" s="249"/>
      <c r="P178" s="249"/>
      <c r="Q178" s="208"/>
      <c r="R178" s="208"/>
      <c r="S178" s="208"/>
      <c r="T178" s="208"/>
      <c r="U178" s="208"/>
      <c r="V178" s="208"/>
      <c r="W178" s="208"/>
      <c r="X178" s="208"/>
      <c r="Y178" s="208"/>
      <c r="Z178" s="208"/>
      <c r="AA178" s="208"/>
      <c r="AB178" s="208"/>
    </row>
    <row r="179" ht="15.75" customHeight="1">
      <c r="A179" s="243"/>
      <c r="B179" s="244"/>
      <c r="C179" s="245"/>
      <c r="D179" s="246"/>
      <c r="E179" s="245"/>
      <c r="F179" s="247"/>
      <c r="G179" s="244"/>
      <c r="H179" s="243"/>
      <c r="I179" s="244"/>
      <c r="J179" s="244"/>
      <c r="K179" s="244"/>
      <c r="L179" s="248"/>
      <c r="M179" s="248"/>
      <c r="N179" s="244"/>
      <c r="O179" s="249"/>
      <c r="P179" s="249"/>
      <c r="Q179" s="208"/>
      <c r="R179" s="208"/>
      <c r="S179" s="208"/>
      <c r="T179" s="208"/>
      <c r="U179" s="208"/>
      <c r="V179" s="208"/>
      <c r="W179" s="208"/>
      <c r="X179" s="208"/>
      <c r="Y179" s="208"/>
      <c r="Z179" s="208"/>
      <c r="AA179" s="208"/>
      <c r="AB179" s="208"/>
    </row>
    <row r="180" ht="15.75" customHeight="1">
      <c r="A180" s="243"/>
      <c r="B180" s="244"/>
      <c r="C180" s="245"/>
      <c r="D180" s="246"/>
      <c r="E180" s="245"/>
      <c r="F180" s="247"/>
      <c r="G180" s="244"/>
      <c r="H180" s="243"/>
      <c r="I180" s="244"/>
      <c r="J180" s="244"/>
      <c r="K180" s="244"/>
      <c r="L180" s="248"/>
      <c r="M180" s="248"/>
      <c r="N180" s="244"/>
      <c r="O180" s="249"/>
      <c r="P180" s="249"/>
      <c r="Q180" s="208"/>
      <c r="R180" s="208"/>
      <c r="S180" s="208"/>
      <c r="T180" s="208"/>
      <c r="U180" s="208"/>
      <c r="V180" s="208"/>
      <c r="W180" s="208"/>
      <c r="X180" s="208"/>
      <c r="Y180" s="208"/>
      <c r="Z180" s="208"/>
      <c r="AA180" s="208"/>
      <c r="AB180" s="208"/>
    </row>
    <row r="181" ht="15.75" customHeight="1">
      <c r="A181" s="243"/>
      <c r="B181" s="244"/>
      <c r="C181" s="245"/>
      <c r="D181" s="246"/>
      <c r="E181" s="245"/>
      <c r="F181" s="247"/>
      <c r="G181" s="244"/>
      <c r="H181" s="243"/>
      <c r="I181" s="244"/>
      <c r="J181" s="244"/>
      <c r="K181" s="244"/>
      <c r="L181" s="248"/>
      <c r="M181" s="248"/>
      <c r="N181" s="244"/>
      <c r="O181" s="249"/>
      <c r="P181" s="249"/>
      <c r="Q181" s="208"/>
      <c r="R181" s="208"/>
      <c r="S181" s="208"/>
      <c r="T181" s="208"/>
      <c r="U181" s="208"/>
      <c r="V181" s="208"/>
      <c r="W181" s="208"/>
      <c r="X181" s="208"/>
      <c r="Y181" s="208"/>
      <c r="Z181" s="208"/>
      <c r="AA181" s="208"/>
      <c r="AB181" s="208"/>
    </row>
    <row r="182" ht="15.75" customHeight="1">
      <c r="A182" s="243"/>
      <c r="B182" s="244"/>
      <c r="C182" s="245"/>
      <c r="D182" s="246"/>
      <c r="E182" s="245"/>
      <c r="F182" s="247"/>
      <c r="G182" s="244"/>
      <c r="H182" s="243"/>
      <c r="I182" s="244"/>
      <c r="J182" s="244"/>
      <c r="K182" s="244"/>
      <c r="L182" s="248"/>
      <c r="M182" s="248"/>
      <c r="N182" s="244"/>
      <c r="O182" s="249"/>
      <c r="P182" s="249"/>
      <c r="Q182" s="208"/>
      <c r="R182" s="208"/>
      <c r="S182" s="208"/>
      <c r="T182" s="208"/>
      <c r="U182" s="208"/>
      <c r="V182" s="208"/>
      <c r="W182" s="208"/>
      <c r="X182" s="208"/>
      <c r="Y182" s="208"/>
      <c r="Z182" s="208"/>
      <c r="AA182" s="208"/>
      <c r="AB182" s="208"/>
    </row>
    <row r="183" ht="15.75" customHeight="1">
      <c r="A183" s="243"/>
      <c r="B183" s="244"/>
      <c r="C183" s="245"/>
      <c r="D183" s="246"/>
      <c r="E183" s="245"/>
      <c r="F183" s="247"/>
      <c r="G183" s="244"/>
      <c r="H183" s="243"/>
      <c r="I183" s="244"/>
      <c r="J183" s="244"/>
      <c r="K183" s="244"/>
      <c r="L183" s="248"/>
      <c r="M183" s="248"/>
      <c r="N183" s="244"/>
      <c r="O183" s="249"/>
      <c r="P183" s="249"/>
      <c r="Q183" s="208"/>
      <c r="R183" s="208"/>
      <c r="S183" s="208"/>
      <c r="T183" s="208"/>
      <c r="U183" s="208"/>
      <c r="V183" s="208"/>
      <c r="W183" s="208"/>
      <c r="X183" s="208"/>
      <c r="Y183" s="208"/>
      <c r="Z183" s="208"/>
      <c r="AA183" s="208"/>
      <c r="AB183" s="208"/>
    </row>
    <row r="184" ht="15.75" customHeight="1">
      <c r="A184" s="243"/>
      <c r="B184" s="244"/>
      <c r="C184" s="245"/>
      <c r="D184" s="246"/>
      <c r="E184" s="245"/>
      <c r="F184" s="247"/>
      <c r="G184" s="244"/>
      <c r="H184" s="243"/>
      <c r="I184" s="244"/>
      <c r="J184" s="244"/>
      <c r="K184" s="244"/>
      <c r="L184" s="248"/>
      <c r="M184" s="248"/>
      <c r="N184" s="244"/>
      <c r="O184" s="249"/>
      <c r="P184" s="249"/>
      <c r="Q184" s="208"/>
      <c r="R184" s="208"/>
      <c r="S184" s="208"/>
      <c r="T184" s="208"/>
      <c r="U184" s="208"/>
      <c r="V184" s="208"/>
      <c r="W184" s="208"/>
      <c r="X184" s="208"/>
      <c r="Y184" s="208"/>
      <c r="Z184" s="208"/>
      <c r="AA184" s="208"/>
      <c r="AB184" s="208"/>
    </row>
    <row r="185" ht="15.75" customHeight="1">
      <c r="A185" s="243"/>
      <c r="B185" s="244"/>
      <c r="C185" s="245"/>
      <c r="D185" s="246"/>
      <c r="E185" s="245"/>
      <c r="F185" s="247"/>
      <c r="G185" s="244"/>
      <c r="H185" s="243"/>
      <c r="I185" s="244"/>
      <c r="J185" s="244"/>
      <c r="K185" s="244"/>
      <c r="L185" s="248"/>
      <c r="M185" s="248"/>
      <c r="N185" s="244"/>
      <c r="O185" s="249"/>
      <c r="P185" s="249"/>
      <c r="Q185" s="208"/>
      <c r="R185" s="208"/>
      <c r="S185" s="208"/>
      <c r="T185" s="208"/>
      <c r="U185" s="208"/>
      <c r="V185" s="208"/>
      <c r="W185" s="208"/>
      <c r="X185" s="208"/>
      <c r="Y185" s="208"/>
      <c r="Z185" s="208"/>
      <c r="AA185" s="208"/>
      <c r="AB185" s="208"/>
    </row>
    <row r="186" ht="15.75" customHeight="1">
      <c r="A186" s="243"/>
      <c r="B186" s="244"/>
      <c r="C186" s="245"/>
      <c r="D186" s="246"/>
      <c r="E186" s="245"/>
      <c r="F186" s="247"/>
      <c r="G186" s="244"/>
      <c r="H186" s="243"/>
      <c r="I186" s="244"/>
      <c r="J186" s="244"/>
      <c r="K186" s="244"/>
      <c r="L186" s="248"/>
      <c r="M186" s="248"/>
      <c r="N186" s="244"/>
      <c r="O186" s="249"/>
      <c r="P186" s="249"/>
      <c r="Q186" s="208"/>
      <c r="R186" s="208"/>
      <c r="S186" s="208"/>
      <c r="T186" s="208"/>
      <c r="U186" s="208"/>
      <c r="V186" s="208"/>
      <c r="W186" s="208"/>
      <c r="X186" s="208"/>
      <c r="Y186" s="208"/>
      <c r="Z186" s="208"/>
      <c r="AA186" s="208"/>
      <c r="AB186" s="208"/>
    </row>
    <row r="187" ht="15.75" customHeight="1">
      <c r="A187" s="243"/>
      <c r="B187" s="244"/>
      <c r="C187" s="245"/>
      <c r="D187" s="246"/>
      <c r="E187" s="245"/>
      <c r="F187" s="247"/>
      <c r="G187" s="244"/>
      <c r="H187" s="243"/>
      <c r="I187" s="244"/>
      <c r="J187" s="244"/>
      <c r="K187" s="244"/>
      <c r="L187" s="248"/>
      <c r="M187" s="248"/>
      <c r="N187" s="244"/>
      <c r="O187" s="249"/>
      <c r="P187" s="249"/>
      <c r="Q187" s="208"/>
      <c r="R187" s="208"/>
      <c r="S187" s="208"/>
      <c r="T187" s="208"/>
      <c r="U187" s="208"/>
      <c r="V187" s="208"/>
      <c r="W187" s="208"/>
      <c r="X187" s="208"/>
      <c r="Y187" s="208"/>
      <c r="Z187" s="208"/>
      <c r="AA187" s="208"/>
      <c r="AB187" s="208"/>
    </row>
    <row r="188" ht="15.75" customHeight="1">
      <c r="A188" s="243"/>
      <c r="B188" s="244"/>
      <c r="C188" s="245"/>
      <c r="D188" s="246"/>
      <c r="E188" s="245"/>
      <c r="F188" s="247"/>
      <c r="G188" s="244"/>
      <c r="H188" s="243"/>
      <c r="I188" s="244"/>
      <c r="J188" s="244"/>
      <c r="K188" s="244"/>
      <c r="L188" s="248"/>
      <c r="M188" s="248"/>
      <c r="N188" s="244"/>
      <c r="O188" s="249"/>
      <c r="P188" s="249"/>
      <c r="Q188" s="208"/>
      <c r="R188" s="208"/>
      <c r="S188" s="208"/>
      <c r="T188" s="208"/>
      <c r="U188" s="208"/>
      <c r="V188" s="208"/>
      <c r="W188" s="208"/>
      <c r="X188" s="208"/>
      <c r="Y188" s="208"/>
      <c r="Z188" s="208"/>
      <c r="AA188" s="208"/>
      <c r="AB188" s="208"/>
    </row>
    <row r="189" ht="15.75" customHeight="1">
      <c r="A189" s="243"/>
      <c r="B189" s="244"/>
      <c r="C189" s="245"/>
      <c r="D189" s="246"/>
      <c r="E189" s="245"/>
      <c r="F189" s="247"/>
      <c r="G189" s="244"/>
      <c r="H189" s="243"/>
      <c r="I189" s="244"/>
      <c r="J189" s="244"/>
      <c r="K189" s="244"/>
      <c r="L189" s="248"/>
      <c r="M189" s="248"/>
      <c r="N189" s="244"/>
      <c r="O189" s="249"/>
      <c r="P189" s="249"/>
      <c r="Q189" s="208"/>
      <c r="R189" s="208"/>
      <c r="S189" s="208"/>
      <c r="T189" s="208"/>
      <c r="U189" s="208"/>
      <c r="V189" s="208"/>
      <c r="W189" s="208"/>
      <c r="X189" s="208"/>
      <c r="Y189" s="208"/>
      <c r="Z189" s="208"/>
      <c r="AA189" s="208"/>
      <c r="AB189" s="208"/>
    </row>
    <row r="190" ht="15.75" customHeight="1">
      <c r="A190" s="243"/>
      <c r="B190" s="244"/>
      <c r="C190" s="245"/>
      <c r="D190" s="246"/>
      <c r="E190" s="245"/>
      <c r="F190" s="247"/>
      <c r="G190" s="244"/>
      <c r="H190" s="243"/>
      <c r="I190" s="244"/>
      <c r="J190" s="244"/>
      <c r="K190" s="244"/>
      <c r="L190" s="248"/>
      <c r="M190" s="248"/>
      <c r="N190" s="244"/>
      <c r="O190" s="249"/>
      <c r="P190" s="249"/>
      <c r="Q190" s="208"/>
      <c r="R190" s="208"/>
      <c r="S190" s="208"/>
      <c r="T190" s="208"/>
      <c r="U190" s="208"/>
      <c r="V190" s="208"/>
      <c r="W190" s="208"/>
      <c r="X190" s="208"/>
      <c r="Y190" s="208"/>
      <c r="Z190" s="208"/>
      <c r="AA190" s="208"/>
      <c r="AB190" s="208"/>
    </row>
    <row r="191" ht="15.75" customHeight="1">
      <c r="A191" s="243"/>
      <c r="B191" s="244"/>
      <c r="C191" s="245"/>
      <c r="D191" s="246"/>
      <c r="E191" s="245"/>
      <c r="F191" s="247"/>
      <c r="G191" s="244"/>
      <c r="H191" s="243"/>
      <c r="I191" s="244"/>
      <c r="J191" s="244"/>
      <c r="K191" s="244"/>
      <c r="L191" s="248"/>
      <c r="M191" s="248"/>
      <c r="N191" s="244"/>
      <c r="O191" s="249"/>
      <c r="P191" s="249"/>
      <c r="Q191" s="208"/>
      <c r="R191" s="208"/>
      <c r="S191" s="208"/>
      <c r="T191" s="208"/>
      <c r="U191" s="208"/>
      <c r="V191" s="208"/>
      <c r="W191" s="208"/>
      <c r="X191" s="208"/>
      <c r="Y191" s="208"/>
      <c r="Z191" s="208"/>
      <c r="AA191" s="208"/>
      <c r="AB191" s="208"/>
    </row>
    <row r="192" ht="15.75" customHeight="1">
      <c r="A192" s="243"/>
      <c r="B192" s="244"/>
      <c r="C192" s="245"/>
      <c r="D192" s="246"/>
      <c r="E192" s="245"/>
      <c r="F192" s="247"/>
      <c r="G192" s="244"/>
      <c r="H192" s="243"/>
      <c r="I192" s="244"/>
      <c r="J192" s="244"/>
      <c r="K192" s="244"/>
      <c r="L192" s="248"/>
      <c r="M192" s="248"/>
      <c r="N192" s="244"/>
      <c r="O192" s="249"/>
      <c r="P192" s="249"/>
      <c r="Q192" s="208"/>
      <c r="R192" s="208"/>
      <c r="S192" s="208"/>
      <c r="T192" s="208"/>
      <c r="U192" s="208"/>
      <c r="V192" s="208"/>
      <c r="W192" s="208"/>
      <c r="X192" s="208"/>
      <c r="Y192" s="208"/>
      <c r="Z192" s="208"/>
      <c r="AA192" s="208"/>
      <c r="AB192" s="208"/>
    </row>
    <row r="193" ht="15.75" customHeight="1">
      <c r="A193" s="243"/>
      <c r="B193" s="244"/>
      <c r="C193" s="245"/>
      <c r="D193" s="246"/>
      <c r="E193" s="245"/>
      <c r="F193" s="247"/>
      <c r="G193" s="244"/>
      <c r="H193" s="243"/>
      <c r="I193" s="244"/>
      <c r="J193" s="244"/>
      <c r="K193" s="244"/>
      <c r="L193" s="248"/>
      <c r="M193" s="248"/>
      <c r="N193" s="244"/>
      <c r="O193" s="249"/>
      <c r="P193" s="249"/>
      <c r="Q193" s="208"/>
      <c r="R193" s="208"/>
      <c r="S193" s="208"/>
      <c r="T193" s="208"/>
      <c r="U193" s="208"/>
      <c r="V193" s="208"/>
      <c r="W193" s="208"/>
      <c r="X193" s="208"/>
      <c r="Y193" s="208"/>
      <c r="Z193" s="208"/>
      <c r="AA193" s="208"/>
      <c r="AB193" s="208"/>
    </row>
    <row r="194" ht="15.75" customHeight="1">
      <c r="A194" s="243"/>
      <c r="B194" s="244"/>
      <c r="C194" s="245"/>
      <c r="D194" s="246"/>
      <c r="E194" s="245"/>
      <c r="F194" s="247"/>
      <c r="G194" s="244"/>
      <c r="H194" s="243"/>
      <c r="I194" s="244"/>
      <c r="J194" s="244"/>
      <c r="K194" s="244"/>
      <c r="L194" s="248"/>
      <c r="M194" s="248"/>
      <c r="N194" s="244"/>
      <c r="O194" s="249"/>
      <c r="P194" s="249"/>
      <c r="Q194" s="208"/>
      <c r="R194" s="208"/>
      <c r="S194" s="208"/>
      <c r="T194" s="208"/>
      <c r="U194" s="208"/>
      <c r="V194" s="208"/>
      <c r="W194" s="208"/>
      <c r="X194" s="208"/>
      <c r="Y194" s="208"/>
      <c r="Z194" s="208"/>
      <c r="AA194" s="208"/>
      <c r="AB194" s="208"/>
    </row>
    <row r="195" ht="15.75" customHeight="1">
      <c r="A195" s="243"/>
      <c r="B195" s="244"/>
      <c r="C195" s="245"/>
      <c r="D195" s="246"/>
      <c r="E195" s="245"/>
      <c r="F195" s="247"/>
      <c r="G195" s="244"/>
      <c r="H195" s="243"/>
      <c r="I195" s="244"/>
      <c r="J195" s="244"/>
      <c r="K195" s="244"/>
      <c r="L195" s="248"/>
      <c r="M195" s="248"/>
      <c r="N195" s="244"/>
      <c r="O195" s="249"/>
      <c r="P195" s="249"/>
      <c r="Q195" s="208"/>
      <c r="R195" s="208"/>
      <c r="S195" s="208"/>
      <c r="T195" s="208"/>
      <c r="U195" s="208"/>
      <c r="V195" s="208"/>
      <c r="W195" s="208"/>
      <c r="X195" s="208"/>
      <c r="Y195" s="208"/>
      <c r="Z195" s="208"/>
      <c r="AA195" s="208"/>
      <c r="AB195" s="208"/>
    </row>
    <row r="196" ht="15.75" customHeight="1">
      <c r="A196" s="243"/>
      <c r="B196" s="244"/>
      <c r="C196" s="245"/>
      <c r="D196" s="246"/>
      <c r="E196" s="245"/>
      <c r="F196" s="247"/>
      <c r="G196" s="244"/>
      <c r="H196" s="243"/>
      <c r="I196" s="244"/>
      <c r="J196" s="244"/>
      <c r="K196" s="244"/>
      <c r="L196" s="248"/>
      <c r="M196" s="248"/>
      <c r="N196" s="244"/>
      <c r="O196" s="249"/>
      <c r="P196" s="249"/>
      <c r="Q196" s="208"/>
      <c r="R196" s="208"/>
      <c r="S196" s="208"/>
      <c r="T196" s="208"/>
      <c r="U196" s="208"/>
      <c r="V196" s="208"/>
      <c r="W196" s="208"/>
      <c r="X196" s="208"/>
      <c r="Y196" s="208"/>
      <c r="Z196" s="208"/>
      <c r="AA196" s="208"/>
      <c r="AB196" s="208"/>
    </row>
    <row r="197" ht="15.75" customHeight="1">
      <c r="A197" s="243"/>
      <c r="B197" s="244"/>
      <c r="C197" s="245"/>
      <c r="D197" s="246"/>
      <c r="E197" s="245"/>
      <c r="F197" s="247"/>
      <c r="G197" s="244"/>
      <c r="H197" s="243"/>
      <c r="I197" s="244"/>
      <c r="J197" s="244"/>
      <c r="K197" s="244"/>
      <c r="L197" s="248"/>
      <c r="M197" s="248"/>
      <c r="N197" s="244"/>
      <c r="O197" s="249"/>
      <c r="P197" s="249"/>
      <c r="Q197" s="208"/>
      <c r="R197" s="208"/>
      <c r="S197" s="208"/>
      <c r="T197" s="208"/>
      <c r="U197" s="208"/>
      <c r="V197" s="208"/>
      <c r="W197" s="208"/>
      <c r="X197" s="208"/>
      <c r="Y197" s="208"/>
      <c r="Z197" s="208"/>
      <c r="AA197" s="208"/>
      <c r="AB197" s="208"/>
    </row>
    <row r="198" ht="15.75" customHeight="1">
      <c r="A198" s="243"/>
      <c r="B198" s="244"/>
      <c r="C198" s="245"/>
      <c r="D198" s="246"/>
      <c r="E198" s="245"/>
      <c r="F198" s="247"/>
      <c r="G198" s="244"/>
      <c r="H198" s="243"/>
      <c r="I198" s="244"/>
      <c r="J198" s="244"/>
      <c r="K198" s="244"/>
      <c r="L198" s="248"/>
      <c r="M198" s="248"/>
      <c r="N198" s="244"/>
      <c r="O198" s="249"/>
      <c r="P198" s="249"/>
      <c r="Q198" s="208"/>
      <c r="R198" s="208"/>
      <c r="S198" s="208"/>
      <c r="T198" s="208"/>
      <c r="U198" s="208"/>
      <c r="V198" s="208"/>
      <c r="W198" s="208"/>
      <c r="X198" s="208"/>
      <c r="Y198" s="208"/>
      <c r="Z198" s="208"/>
      <c r="AA198" s="208"/>
      <c r="AB198" s="208"/>
    </row>
    <row r="199" ht="15.75" customHeight="1">
      <c r="A199" s="243"/>
      <c r="B199" s="244"/>
      <c r="C199" s="245"/>
      <c r="D199" s="246"/>
      <c r="E199" s="245"/>
      <c r="F199" s="247"/>
      <c r="G199" s="244"/>
      <c r="H199" s="243"/>
      <c r="I199" s="244"/>
      <c r="J199" s="244"/>
      <c r="K199" s="244"/>
      <c r="L199" s="248"/>
      <c r="M199" s="248"/>
      <c r="N199" s="244"/>
      <c r="O199" s="249"/>
      <c r="P199" s="249"/>
      <c r="Q199" s="208"/>
      <c r="R199" s="208"/>
      <c r="S199" s="208"/>
      <c r="T199" s="208"/>
      <c r="U199" s="208"/>
      <c r="V199" s="208"/>
      <c r="W199" s="208"/>
      <c r="X199" s="208"/>
      <c r="Y199" s="208"/>
      <c r="Z199" s="208"/>
      <c r="AA199" s="208"/>
      <c r="AB199" s="208"/>
    </row>
    <row r="200" ht="15.75" customHeight="1">
      <c r="A200" s="243"/>
      <c r="B200" s="244"/>
      <c r="C200" s="245"/>
      <c r="D200" s="246"/>
      <c r="E200" s="245"/>
      <c r="F200" s="247"/>
      <c r="G200" s="244"/>
      <c r="H200" s="243"/>
      <c r="I200" s="244"/>
      <c r="J200" s="244"/>
      <c r="K200" s="244"/>
      <c r="L200" s="248"/>
      <c r="M200" s="248"/>
      <c r="N200" s="244"/>
      <c r="O200" s="249"/>
      <c r="P200" s="249"/>
      <c r="Q200" s="208"/>
      <c r="R200" s="208"/>
      <c r="S200" s="208"/>
      <c r="T200" s="208"/>
      <c r="U200" s="208"/>
      <c r="V200" s="208"/>
      <c r="W200" s="208"/>
      <c r="X200" s="208"/>
      <c r="Y200" s="208"/>
      <c r="Z200" s="208"/>
      <c r="AA200" s="208"/>
      <c r="AB200" s="208"/>
    </row>
    <row r="201" ht="15.75" customHeight="1">
      <c r="A201" s="243"/>
      <c r="B201" s="244"/>
      <c r="C201" s="245"/>
      <c r="D201" s="246"/>
      <c r="E201" s="245"/>
      <c r="F201" s="247"/>
      <c r="G201" s="244"/>
      <c r="H201" s="243"/>
      <c r="I201" s="244"/>
      <c r="J201" s="244"/>
      <c r="K201" s="244"/>
      <c r="L201" s="248"/>
      <c r="M201" s="248"/>
      <c r="N201" s="244"/>
      <c r="O201" s="249"/>
      <c r="P201" s="249"/>
      <c r="Q201" s="208"/>
      <c r="R201" s="208"/>
      <c r="S201" s="208"/>
      <c r="T201" s="208"/>
      <c r="U201" s="208"/>
      <c r="V201" s="208"/>
      <c r="W201" s="208"/>
      <c r="X201" s="208"/>
      <c r="Y201" s="208"/>
      <c r="Z201" s="208"/>
      <c r="AA201" s="208"/>
      <c r="AB201" s="208"/>
    </row>
    <row r="202" ht="15.75" customHeight="1">
      <c r="A202" s="243"/>
      <c r="B202" s="244"/>
      <c r="C202" s="245"/>
      <c r="D202" s="246"/>
      <c r="E202" s="245"/>
      <c r="F202" s="247"/>
      <c r="G202" s="244"/>
      <c r="H202" s="243"/>
      <c r="I202" s="244"/>
      <c r="J202" s="244"/>
      <c r="K202" s="244"/>
      <c r="L202" s="248"/>
      <c r="M202" s="248"/>
      <c r="N202" s="244"/>
      <c r="O202" s="249"/>
      <c r="P202" s="249"/>
      <c r="Q202" s="208"/>
      <c r="R202" s="208"/>
      <c r="S202" s="208"/>
      <c r="T202" s="208"/>
      <c r="U202" s="208"/>
      <c r="V202" s="208"/>
      <c r="W202" s="208"/>
      <c r="X202" s="208"/>
      <c r="Y202" s="208"/>
      <c r="Z202" s="208"/>
      <c r="AA202" s="208"/>
      <c r="AB202" s="208"/>
    </row>
    <row r="203" ht="15.75" customHeight="1">
      <c r="A203" s="243"/>
      <c r="B203" s="244"/>
      <c r="C203" s="245"/>
      <c r="D203" s="246"/>
      <c r="E203" s="245"/>
      <c r="F203" s="247"/>
      <c r="G203" s="244"/>
      <c r="H203" s="243"/>
      <c r="I203" s="244"/>
      <c r="J203" s="244"/>
      <c r="K203" s="244"/>
      <c r="L203" s="248"/>
      <c r="M203" s="248"/>
      <c r="N203" s="244"/>
      <c r="O203" s="249"/>
      <c r="P203" s="249"/>
      <c r="Q203" s="208"/>
      <c r="R203" s="208"/>
      <c r="S203" s="208"/>
      <c r="T203" s="208"/>
      <c r="U203" s="208"/>
      <c r="V203" s="208"/>
      <c r="W203" s="208"/>
      <c r="X203" s="208"/>
      <c r="Y203" s="208"/>
      <c r="Z203" s="208"/>
      <c r="AA203" s="208"/>
      <c r="AB203" s="208"/>
    </row>
    <row r="204" ht="15.75" customHeight="1">
      <c r="A204" s="243"/>
      <c r="B204" s="244"/>
      <c r="C204" s="245"/>
      <c r="D204" s="246"/>
      <c r="E204" s="245"/>
      <c r="F204" s="247"/>
      <c r="G204" s="244"/>
      <c r="H204" s="243"/>
      <c r="I204" s="244"/>
      <c r="J204" s="244"/>
      <c r="K204" s="244"/>
      <c r="L204" s="248"/>
      <c r="M204" s="248"/>
      <c r="N204" s="244"/>
      <c r="O204" s="249"/>
      <c r="P204" s="249"/>
      <c r="Q204" s="208"/>
      <c r="R204" s="208"/>
      <c r="S204" s="208"/>
      <c r="T204" s="208"/>
      <c r="U204" s="208"/>
      <c r="V204" s="208"/>
      <c r="W204" s="208"/>
      <c r="X204" s="208"/>
      <c r="Y204" s="208"/>
      <c r="Z204" s="208"/>
      <c r="AA204" s="208"/>
      <c r="AB204" s="208"/>
    </row>
    <row r="205" ht="15.75" customHeight="1">
      <c r="A205" s="243"/>
      <c r="B205" s="244"/>
      <c r="C205" s="245"/>
      <c r="D205" s="246"/>
      <c r="E205" s="245"/>
      <c r="F205" s="247"/>
      <c r="G205" s="244"/>
      <c r="H205" s="243"/>
      <c r="I205" s="244"/>
      <c r="J205" s="244"/>
      <c r="K205" s="244"/>
      <c r="L205" s="248"/>
      <c r="M205" s="248"/>
      <c r="N205" s="244"/>
      <c r="O205" s="249"/>
      <c r="P205" s="249"/>
      <c r="Q205" s="208"/>
      <c r="R205" s="208"/>
      <c r="S205" s="208"/>
      <c r="T205" s="208"/>
      <c r="U205" s="208"/>
      <c r="V205" s="208"/>
      <c r="W205" s="208"/>
      <c r="X205" s="208"/>
      <c r="Y205" s="208"/>
      <c r="Z205" s="208"/>
      <c r="AA205" s="208"/>
      <c r="AB205" s="208"/>
    </row>
    <row r="206" ht="15.75" customHeight="1">
      <c r="A206" s="243"/>
      <c r="B206" s="244"/>
      <c r="C206" s="245"/>
      <c r="D206" s="246"/>
      <c r="E206" s="245"/>
      <c r="F206" s="247"/>
      <c r="G206" s="244"/>
      <c r="H206" s="243"/>
      <c r="I206" s="244"/>
      <c r="J206" s="244"/>
      <c r="K206" s="244"/>
      <c r="L206" s="248"/>
      <c r="M206" s="248"/>
      <c r="N206" s="244"/>
      <c r="O206" s="249"/>
      <c r="P206" s="249"/>
      <c r="Q206" s="208"/>
      <c r="R206" s="208"/>
      <c r="S206" s="208"/>
      <c r="T206" s="208"/>
      <c r="U206" s="208"/>
      <c r="V206" s="208"/>
      <c r="W206" s="208"/>
      <c r="X206" s="208"/>
      <c r="Y206" s="208"/>
      <c r="Z206" s="208"/>
      <c r="AA206" s="208"/>
      <c r="AB206" s="208"/>
    </row>
    <row r="207" ht="15.75" customHeight="1">
      <c r="A207" s="243"/>
      <c r="B207" s="244"/>
      <c r="C207" s="245"/>
      <c r="D207" s="246"/>
      <c r="E207" s="245"/>
      <c r="F207" s="247"/>
      <c r="G207" s="244"/>
      <c r="H207" s="243"/>
      <c r="I207" s="244"/>
      <c r="J207" s="244"/>
      <c r="K207" s="244"/>
      <c r="L207" s="248"/>
      <c r="M207" s="248"/>
      <c r="N207" s="244"/>
      <c r="O207" s="249"/>
      <c r="P207" s="249"/>
      <c r="Q207" s="208"/>
      <c r="R207" s="208"/>
      <c r="S207" s="208"/>
      <c r="T207" s="208"/>
      <c r="U207" s="208"/>
      <c r="V207" s="208"/>
      <c r="W207" s="208"/>
      <c r="X207" s="208"/>
      <c r="Y207" s="208"/>
      <c r="Z207" s="208"/>
      <c r="AA207" s="208"/>
      <c r="AB207" s="208"/>
    </row>
    <row r="208" ht="15.75" customHeight="1">
      <c r="A208" s="243"/>
      <c r="B208" s="244"/>
      <c r="C208" s="245"/>
      <c r="D208" s="246"/>
      <c r="E208" s="245"/>
      <c r="F208" s="247"/>
      <c r="G208" s="244"/>
      <c r="H208" s="243"/>
      <c r="I208" s="244"/>
      <c r="J208" s="244"/>
      <c r="K208" s="244"/>
      <c r="L208" s="248"/>
      <c r="M208" s="248"/>
      <c r="N208" s="244"/>
      <c r="O208" s="249"/>
      <c r="P208" s="249"/>
      <c r="Q208" s="208"/>
      <c r="R208" s="208"/>
      <c r="S208" s="208"/>
      <c r="T208" s="208"/>
      <c r="U208" s="208"/>
      <c r="V208" s="208"/>
      <c r="W208" s="208"/>
      <c r="X208" s="208"/>
      <c r="Y208" s="208"/>
      <c r="Z208" s="208"/>
      <c r="AA208" s="208"/>
      <c r="AB208" s="208"/>
    </row>
    <row r="209" ht="15.75" customHeight="1">
      <c r="A209" s="243"/>
      <c r="B209" s="244"/>
      <c r="C209" s="245"/>
      <c r="D209" s="246"/>
      <c r="E209" s="245"/>
      <c r="F209" s="247"/>
      <c r="G209" s="244"/>
      <c r="H209" s="243"/>
      <c r="I209" s="244"/>
      <c r="J209" s="244"/>
      <c r="K209" s="244"/>
      <c r="L209" s="248"/>
      <c r="M209" s="248"/>
      <c r="N209" s="244"/>
      <c r="O209" s="249"/>
      <c r="P209" s="249"/>
      <c r="Q209" s="208"/>
      <c r="R209" s="208"/>
      <c r="S209" s="208"/>
      <c r="T209" s="208"/>
      <c r="U209" s="208"/>
      <c r="V209" s="208"/>
      <c r="W209" s="208"/>
      <c r="X209" s="208"/>
      <c r="Y209" s="208"/>
      <c r="Z209" s="208"/>
      <c r="AA209" s="208"/>
      <c r="AB209" s="208"/>
    </row>
    <row r="210" ht="15.75" customHeight="1">
      <c r="A210" s="243"/>
      <c r="B210" s="244"/>
      <c r="C210" s="245"/>
      <c r="D210" s="246"/>
      <c r="E210" s="245"/>
      <c r="F210" s="247"/>
      <c r="G210" s="244"/>
      <c r="H210" s="243"/>
      <c r="I210" s="244"/>
      <c r="J210" s="244"/>
      <c r="K210" s="244"/>
      <c r="L210" s="248"/>
      <c r="M210" s="248"/>
      <c r="N210" s="244"/>
      <c r="O210" s="249"/>
      <c r="P210" s="249"/>
      <c r="Q210" s="208"/>
      <c r="R210" s="208"/>
      <c r="S210" s="208"/>
      <c r="T210" s="208"/>
      <c r="U210" s="208"/>
      <c r="V210" s="208"/>
      <c r="W210" s="208"/>
      <c r="X210" s="208"/>
      <c r="Y210" s="208"/>
      <c r="Z210" s="208"/>
      <c r="AA210" s="208"/>
      <c r="AB210" s="208"/>
    </row>
    <row r="211" ht="15.75" customHeight="1">
      <c r="A211" s="243"/>
      <c r="B211" s="244"/>
      <c r="C211" s="245"/>
      <c r="D211" s="246"/>
      <c r="E211" s="245"/>
      <c r="F211" s="247"/>
      <c r="G211" s="244"/>
      <c r="H211" s="243"/>
      <c r="I211" s="244"/>
      <c r="J211" s="244"/>
      <c r="K211" s="244"/>
      <c r="L211" s="248"/>
      <c r="M211" s="248"/>
      <c r="N211" s="244"/>
      <c r="O211" s="249"/>
      <c r="P211" s="249"/>
      <c r="Q211" s="208"/>
      <c r="R211" s="208"/>
      <c r="S211" s="208"/>
      <c r="T211" s="208"/>
      <c r="U211" s="208"/>
      <c r="V211" s="208"/>
      <c r="W211" s="208"/>
      <c r="X211" s="208"/>
      <c r="Y211" s="208"/>
      <c r="Z211" s="208"/>
      <c r="AA211" s="208"/>
      <c r="AB211" s="208"/>
    </row>
    <row r="212" ht="15.75" customHeight="1">
      <c r="A212" s="243"/>
      <c r="B212" s="244"/>
      <c r="C212" s="245"/>
      <c r="D212" s="246"/>
      <c r="E212" s="245"/>
      <c r="F212" s="247"/>
      <c r="G212" s="244"/>
      <c r="H212" s="243"/>
      <c r="I212" s="244"/>
      <c r="J212" s="244"/>
      <c r="K212" s="244"/>
      <c r="L212" s="248"/>
      <c r="M212" s="248"/>
      <c r="N212" s="244"/>
      <c r="O212" s="249"/>
      <c r="P212" s="249"/>
      <c r="Q212" s="208"/>
      <c r="R212" s="208"/>
      <c r="S212" s="208"/>
      <c r="T212" s="208"/>
      <c r="U212" s="208"/>
      <c r="V212" s="208"/>
      <c r="W212" s="208"/>
      <c r="X212" s="208"/>
      <c r="Y212" s="208"/>
      <c r="Z212" s="208"/>
      <c r="AA212" s="208"/>
      <c r="AB212" s="208"/>
    </row>
    <row r="213" ht="15.75" customHeight="1">
      <c r="A213" s="243"/>
      <c r="B213" s="244"/>
      <c r="C213" s="245"/>
      <c r="D213" s="246"/>
      <c r="E213" s="245"/>
      <c r="F213" s="247"/>
      <c r="G213" s="244"/>
      <c r="H213" s="243"/>
      <c r="I213" s="244"/>
      <c r="J213" s="244"/>
      <c r="K213" s="244"/>
      <c r="L213" s="248"/>
      <c r="M213" s="248"/>
      <c r="N213" s="244"/>
      <c r="O213" s="249"/>
      <c r="P213" s="249"/>
      <c r="Q213" s="208"/>
      <c r="R213" s="208"/>
      <c r="S213" s="208"/>
      <c r="T213" s="208"/>
      <c r="U213" s="208"/>
      <c r="V213" s="208"/>
      <c r="W213" s="208"/>
      <c r="X213" s="208"/>
      <c r="Y213" s="208"/>
      <c r="Z213" s="208"/>
      <c r="AA213" s="208"/>
      <c r="AB213" s="208"/>
    </row>
    <row r="214" ht="15.75" customHeight="1">
      <c r="A214" s="243"/>
      <c r="B214" s="244"/>
      <c r="C214" s="245"/>
      <c r="D214" s="246"/>
      <c r="E214" s="245"/>
      <c r="F214" s="247"/>
      <c r="G214" s="244"/>
      <c r="H214" s="243"/>
      <c r="I214" s="244"/>
      <c r="J214" s="244"/>
      <c r="K214" s="244"/>
      <c r="L214" s="248"/>
      <c r="M214" s="248"/>
      <c r="N214" s="244"/>
      <c r="O214" s="249"/>
      <c r="P214" s="249"/>
      <c r="Q214" s="208"/>
      <c r="R214" s="208"/>
      <c r="S214" s="208"/>
      <c r="T214" s="208"/>
      <c r="U214" s="208"/>
      <c r="V214" s="208"/>
      <c r="W214" s="208"/>
      <c r="X214" s="208"/>
      <c r="Y214" s="208"/>
      <c r="Z214" s="208"/>
      <c r="AA214" s="208"/>
      <c r="AB214" s="208"/>
    </row>
    <row r="215" ht="15.75" customHeight="1">
      <c r="A215" s="243"/>
      <c r="B215" s="244"/>
      <c r="C215" s="245"/>
      <c r="D215" s="246"/>
      <c r="E215" s="245"/>
      <c r="F215" s="247"/>
      <c r="G215" s="244"/>
      <c r="H215" s="243"/>
      <c r="I215" s="244"/>
      <c r="J215" s="244"/>
      <c r="K215" s="244"/>
      <c r="L215" s="248"/>
      <c r="M215" s="248"/>
      <c r="N215" s="244"/>
      <c r="O215" s="249"/>
      <c r="P215" s="249"/>
      <c r="Q215" s="208"/>
      <c r="R215" s="208"/>
      <c r="S215" s="208"/>
      <c r="T215" s="208"/>
      <c r="U215" s="208"/>
      <c r="V215" s="208"/>
      <c r="W215" s="208"/>
      <c r="X215" s="208"/>
      <c r="Y215" s="208"/>
      <c r="Z215" s="208"/>
      <c r="AA215" s="208"/>
      <c r="AB215" s="208"/>
    </row>
    <row r="216" ht="15.75" customHeight="1">
      <c r="A216" s="243"/>
      <c r="B216" s="244"/>
      <c r="C216" s="245"/>
      <c r="D216" s="246"/>
      <c r="E216" s="245"/>
      <c r="F216" s="247"/>
      <c r="G216" s="244"/>
      <c r="H216" s="243"/>
      <c r="I216" s="244"/>
      <c r="J216" s="244"/>
      <c r="K216" s="244"/>
      <c r="L216" s="248"/>
      <c r="M216" s="248"/>
      <c r="N216" s="244"/>
      <c r="O216" s="249"/>
      <c r="P216" s="249"/>
      <c r="Q216" s="208"/>
      <c r="R216" s="208"/>
      <c r="S216" s="208"/>
      <c r="T216" s="208"/>
      <c r="U216" s="208"/>
      <c r="V216" s="208"/>
      <c r="W216" s="208"/>
      <c r="X216" s="208"/>
      <c r="Y216" s="208"/>
      <c r="Z216" s="208"/>
      <c r="AA216" s="208"/>
      <c r="AB216" s="208"/>
    </row>
    <row r="217" ht="15.75" customHeight="1">
      <c r="A217" s="243"/>
      <c r="B217" s="244"/>
      <c r="C217" s="245"/>
      <c r="D217" s="246"/>
      <c r="E217" s="245"/>
      <c r="F217" s="247"/>
      <c r="G217" s="244"/>
      <c r="H217" s="243"/>
      <c r="I217" s="244"/>
      <c r="J217" s="244"/>
      <c r="K217" s="244"/>
      <c r="L217" s="248"/>
      <c r="M217" s="248"/>
      <c r="N217" s="244"/>
      <c r="O217" s="249"/>
      <c r="P217" s="249"/>
      <c r="Q217" s="208"/>
      <c r="R217" s="208"/>
      <c r="S217" s="208"/>
      <c r="T217" s="208"/>
      <c r="U217" s="208"/>
      <c r="V217" s="208"/>
      <c r="W217" s="208"/>
      <c r="X217" s="208"/>
      <c r="Y217" s="208"/>
      <c r="Z217" s="208"/>
      <c r="AA217" s="208"/>
      <c r="AB217" s="208"/>
    </row>
    <row r="218" ht="15.75" customHeight="1">
      <c r="A218" s="243"/>
      <c r="B218" s="244"/>
      <c r="C218" s="245"/>
      <c r="D218" s="246"/>
      <c r="E218" s="245"/>
      <c r="F218" s="247"/>
      <c r="G218" s="244"/>
      <c r="H218" s="243"/>
      <c r="I218" s="244"/>
      <c r="J218" s="244"/>
      <c r="K218" s="244"/>
      <c r="L218" s="248"/>
      <c r="M218" s="248"/>
      <c r="N218" s="244"/>
      <c r="O218" s="249"/>
      <c r="P218" s="249"/>
      <c r="Q218" s="208"/>
      <c r="R218" s="208"/>
      <c r="S218" s="208"/>
      <c r="T218" s="208"/>
      <c r="U218" s="208"/>
      <c r="V218" s="208"/>
      <c r="W218" s="208"/>
      <c r="X218" s="208"/>
      <c r="Y218" s="208"/>
      <c r="Z218" s="208"/>
      <c r="AA218" s="208"/>
      <c r="AB218" s="208"/>
    </row>
    <row r="219" ht="15.75" customHeight="1">
      <c r="A219" s="243"/>
      <c r="B219" s="244"/>
      <c r="C219" s="245"/>
      <c r="D219" s="246"/>
      <c r="E219" s="245"/>
      <c r="F219" s="247"/>
      <c r="G219" s="244"/>
      <c r="H219" s="243"/>
      <c r="I219" s="244"/>
      <c r="J219" s="244"/>
      <c r="K219" s="244"/>
      <c r="L219" s="248"/>
      <c r="M219" s="248"/>
      <c r="N219" s="244"/>
      <c r="O219" s="249"/>
      <c r="P219" s="249"/>
      <c r="Q219" s="208"/>
      <c r="R219" s="208"/>
      <c r="S219" s="208"/>
      <c r="T219" s="208"/>
      <c r="U219" s="208"/>
      <c r="V219" s="208"/>
      <c r="W219" s="208"/>
      <c r="X219" s="208"/>
      <c r="Y219" s="208"/>
      <c r="Z219" s="208"/>
      <c r="AA219" s="208"/>
      <c r="AB219" s="208"/>
    </row>
    <row r="220" ht="15.75" customHeight="1">
      <c r="A220" s="243"/>
      <c r="B220" s="244"/>
      <c r="C220" s="245"/>
      <c r="D220" s="246"/>
      <c r="E220" s="245"/>
      <c r="F220" s="247"/>
      <c r="G220" s="244"/>
      <c r="H220" s="243"/>
      <c r="I220" s="244"/>
      <c r="J220" s="244"/>
      <c r="K220" s="244"/>
      <c r="L220" s="248"/>
      <c r="M220" s="248"/>
      <c r="N220" s="244"/>
      <c r="O220" s="249"/>
      <c r="P220" s="249"/>
      <c r="Q220" s="208"/>
      <c r="R220" s="208"/>
      <c r="S220" s="208"/>
      <c r="T220" s="208"/>
      <c r="U220" s="208"/>
      <c r="V220" s="208"/>
      <c r="W220" s="208"/>
      <c r="X220" s="208"/>
      <c r="Y220" s="208"/>
      <c r="Z220" s="208"/>
      <c r="AA220" s="208"/>
      <c r="AB220" s="208"/>
    </row>
    <row r="221" ht="15.75" customHeight="1">
      <c r="A221" s="243"/>
      <c r="B221" s="244"/>
      <c r="C221" s="245"/>
      <c r="D221" s="246"/>
      <c r="E221" s="245"/>
      <c r="F221" s="247"/>
      <c r="G221" s="244"/>
      <c r="H221" s="243"/>
      <c r="I221" s="244"/>
      <c r="J221" s="244"/>
      <c r="K221" s="244"/>
      <c r="L221" s="248"/>
      <c r="M221" s="248"/>
      <c r="N221" s="244"/>
      <c r="O221" s="249"/>
      <c r="P221" s="249"/>
      <c r="Q221" s="208"/>
      <c r="R221" s="208"/>
      <c r="S221" s="208"/>
      <c r="T221" s="208"/>
      <c r="U221" s="208"/>
      <c r="V221" s="208"/>
      <c r="W221" s="208"/>
      <c r="X221" s="208"/>
      <c r="Y221" s="208"/>
      <c r="Z221" s="208"/>
      <c r="AA221" s="208"/>
      <c r="AB221" s="208"/>
    </row>
    <row r="222" ht="15.75" customHeight="1">
      <c r="A222" s="243"/>
      <c r="B222" s="244"/>
      <c r="C222" s="245"/>
      <c r="D222" s="246"/>
      <c r="E222" s="245"/>
      <c r="F222" s="247"/>
      <c r="G222" s="244"/>
      <c r="H222" s="243"/>
      <c r="I222" s="244"/>
      <c r="J222" s="244"/>
      <c r="K222" s="244"/>
      <c r="L222" s="248"/>
      <c r="M222" s="248"/>
      <c r="N222" s="244"/>
      <c r="O222" s="249"/>
      <c r="P222" s="249"/>
      <c r="Q222" s="208"/>
      <c r="R222" s="208"/>
      <c r="S222" s="208"/>
      <c r="T222" s="208"/>
      <c r="U222" s="208"/>
      <c r="V222" s="208"/>
      <c r="W222" s="208"/>
      <c r="X222" s="208"/>
      <c r="Y222" s="208"/>
      <c r="Z222" s="208"/>
      <c r="AA222" s="208"/>
      <c r="AB222" s="208"/>
    </row>
    <row r="223" ht="15.75" customHeight="1">
      <c r="A223" s="243"/>
      <c r="B223" s="244"/>
      <c r="C223" s="245"/>
      <c r="D223" s="246"/>
      <c r="E223" s="245"/>
      <c r="F223" s="247"/>
      <c r="G223" s="244"/>
      <c r="H223" s="243"/>
      <c r="I223" s="244"/>
      <c r="J223" s="244"/>
      <c r="K223" s="244"/>
      <c r="L223" s="248"/>
      <c r="M223" s="248"/>
      <c r="N223" s="244"/>
      <c r="O223" s="249"/>
      <c r="P223" s="249"/>
      <c r="Q223" s="208"/>
      <c r="R223" s="208"/>
      <c r="S223" s="208"/>
      <c r="T223" s="208"/>
      <c r="U223" s="208"/>
      <c r="V223" s="208"/>
      <c r="W223" s="208"/>
      <c r="X223" s="208"/>
      <c r="Y223" s="208"/>
      <c r="Z223" s="208"/>
      <c r="AA223" s="208"/>
      <c r="AB223" s="208"/>
    </row>
    <row r="224" ht="15.75" customHeight="1">
      <c r="A224" s="243"/>
      <c r="B224" s="244"/>
      <c r="C224" s="245"/>
      <c r="D224" s="246"/>
      <c r="E224" s="245"/>
      <c r="F224" s="247"/>
      <c r="G224" s="244"/>
      <c r="H224" s="243"/>
      <c r="I224" s="244"/>
      <c r="J224" s="244"/>
      <c r="K224" s="244"/>
      <c r="L224" s="248"/>
      <c r="M224" s="248"/>
      <c r="N224" s="244"/>
      <c r="O224" s="249"/>
      <c r="P224" s="249"/>
      <c r="Q224" s="208"/>
      <c r="R224" s="208"/>
      <c r="S224" s="208"/>
      <c r="T224" s="208"/>
      <c r="U224" s="208"/>
      <c r="V224" s="208"/>
      <c r="W224" s="208"/>
      <c r="X224" s="208"/>
      <c r="Y224" s="208"/>
      <c r="Z224" s="208"/>
      <c r="AA224" s="208"/>
      <c r="AB224" s="208"/>
    </row>
    <row r="225" ht="15.75" customHeight="1">
      <c r="A225" s="243"/>
      <c r="B225" s="244"/>
      <c r="C225" s="245"/>
      <c r="D225" s="246"/>
      <c r="E225" s="245"/>
      <c r="F225" s="247"/>
      <c r="G225" s="244"/>
      <c r="H225" s="243"/>
      <c r="I225" s="244"/>
      <c r="J225" s="244"/>
      <c r="K225" s="244"/>
      <c r="L225" s="248"/>
      <c r="M225" s="248"/>
      <c r="N225" s="244"/>
      <c r="O225" s="249"/>
      <c r="P225" s="249"/>
      <c r="Q225" s="208"/>
      <c r="R225" s="208"/>
      <c r="S225" s="208"/>
      <c r="T225" s="208"/>
      <c r="U225" s="208"/>
      <c r="V225" s="208"/>
      <c r="W225" s="208"/>
      <c r="X225" s="208"/>
      <c r="Y225" s="208"/>
      <c r="Z225" s="208"/>
      <c r="AA225" s="208"/>
      <c r="AB225" s="208"/>
    </row>
    <row r="226" ht="15.75" customHeight="1">
      <c r="A226" s="243"/>
      <c r="B226" s="244"/>
      <c r="C226" s="245"/>
      <c r="D226" s="246"/>
      <c r="E226" s="245"/>
      <c r="F226" s="247"/>
      <c r="G226" s="244"/>
      <c r="H226" s="243"/>
      <c r="I226" s="244"/>
      <c r="J226" s="244"/>
      <c r="K226" s="244"/>
      <c r="L226" s="248"/>
      <c r="M226" s="248"/>
      <c r="N226" s="244"/>
      <c r="O226" s="249"/>
      <c r="P226" s="249"/>
      <c r="Q226" s="208"/>
      <c r="R226" s="208"/>
      <c r="S226" s="208"/>
      <c r="T226" s="208"/>
      <c r="U226" s="208"/>
      <c r="V226" s="208"/>
      <c r="W226" s="208"/>
      <c r="X226" s="208"/>
      <c r="Y226" s="208"/>
      <c r="Z226" s="208"/>
      <c r="AA226" s="208"/>
      <c r="AB226" s="208"/>
    </row>
    <row r="227" ht="15.75" customHeight="1">
      <c r="A227" s="243"/>
      <c r="B227" s="244"/>
      <c r="C227" s="245"/>
      <c r="D227" s="246"/>
      <c r="E227" s="245"/>
      <c r="F227" s="247"/>
      <c r="G227" s="244"/>
      <c r="H227" s="243"/>
      <c r="I227" s="244"/>
      <c r="J227" s="244"/>
      <c r="K227" s="244"/>
      <c r="L227" s="248"/>
      <c r="M227" s="248"/>
      <c r="N227" s="244"/>
      <c r="O227" s="249"/>
      <c r="P227" s="249"/>
      <c r="Q227" s="208"/>
      <c r="R227" s="208"/>
      <c r="S227" s="208"/>
      <c r="T227" s="208"/>
      <c r="U227" s="208"/>
      <c r="V227" s="208"/>
      <c r="W227" s="208"/>
      <c r="X227" s="208"/>
      <c r="Y227" s="208"/>
      <c r="Z227" s="208"/>
      <c r="AA227" s="208"/>
      <c r="AB227" s="208"/>
    </row>
    <row r="228" ht="15.75" customHeight="1">
      <c r="A228" s="243"/>
      <c r="B228" s="244"/>
      <c r="C228" s="245"/>
      <c r="D228" s="246"/>
      <c r="E228" s="245"/>
      <c r="F228" s="247"/>
      <c r="G228" s="244"/>
      <c r="H228" s="243"/>
      <c r="I228" s="244"/>
      <c r="J228" s="244"/>
      <c r="K228" s="244"/>
      <c r="L228" s="248"/>
      <c r="M228" s="248"/>
      <c r="N228" s="244"/>
      <c r="O228" s="249"/>
      <c r="P228" s="249"/>
      <c r="Q228" s="208"/>
      <c r="R228" s="208"/>
      <c r="S228" s="208"/>
      <c r="T228" s="208"/>
      <c r="U228" s="208"/>
      <c r="V228" s="208"/>
      <c r="W228" s="208"/>
      <c r="X228" s="208"/>
      <c r="Y228" s="208"/>
      <c r="Z228" s="208"/>
      <c r="AA228" s="208"/>
      <c r="AB228" s="208"/>
    </row>
    <row r="229" ht="15.75" customHeight="1">
      <c r="A229" s="243"/>
      <c r="B229" s="244"/>
      <c r="C229" s="245"/>
      <c r="D229" s="246"/>
      <c r="E229" s="245"/>
      <c r="F229" s="247"/>
      <c r="G229" s="244"/>
      <c r="H229" s="243"/>
      <c r="I229" s="244"/>
      <c r="J229" s="244"/>
      <c r="K229" s="244"/>
      <c r="L229" s="248"/>
      <c r="M229" s="248"/>
      <c r="N229" s="244"/>
      <c r="O229" s="249"/>
      <c r="P229" s="249"/>
      <c r="Q229" s="208"/>
      <c r="R229" s="208"/>
      <c r="S229" s="208"/>
      <c r="T229" s="208"/>
      <c r="U229" s="208"/>
      <c r="V229" s="208"/>
      <c r="W229" s="208"/>
      <c r="X229" s="208"/>
      <c r="Y229" s="208"/>
      <c r="Z229" s="208"/>
      <c r="AA229" s="208"/>
      <c r="AB229" s="208"/>
    </row>
    <row r="230" ht="15.75" customHeight="1">
      <c r="A230" s="243"/>
      <c r="B230" s="244"/>
      <c r="C230" s="245"/>
      <c r="D230" s="246"/>
      <c r="E230" s="245"/>
      <c r="F230" s="247"/>
      <c r="G230" s="244"/>
      <c r="H230" s="243"/>
      <c r="I230" s="244"/>
      <c r="J230" s="244"/>
      <c r="K230" s="244"/>
      <c r="L230" s="248"/>
      <c r="M230" s="248"/>
      <c r="N230" s="244"/>
      <c r="O230" s="249"/>
      <c r="P230" s="249"/>
      <c r="Q230" s="208"/>
      <c r="R230" s="208"/>
      <c r="S230" s="208"/>
      <c r="T230" s="208"/>
      <c r="U230" s="208"/>
      <c r="V230" s="208"/>
      <c r="W230" s="208"/>
      <c r="X230" s="208"/>
      <c r="Y230" s="208"/>
      <c r="Z230" s="208"/>
      <c r="AA230" s="208"/>
      <c r="AB230" s="208"/>
    </row>
    <row r="231" ht="15.75" customHeight="1">
      <c r="A231" s="243"/>
      <c r="B231" s="244"/>
      <c r="C231" s="245"/>
      <c r="D231" s="246"/>
      <c r="E231" s="245"/>
      <c r="F231" s="247"/>
      <c r="G231" s="244"/>
      <c r="H231" s="243"/>
      <c r="I231" s="244"/>
      <c r="J231" s="244"/>
      <c r="K231" s="244"/>
      <c r="L231" s="248"/>
      <c r="M231" s="248"/>
      <c r="N231" s="244"/>
      <c r="O231" s="249"/>
      <c r="P231" s="249"/>
      <c r="Q231" s="208"/>
      <c r="R231" s="208"/>
      <c r="S231" s="208"/>
      <c r="T231" s="208"/>
      <c r="U231" s="208"/>
      <c r="V231" s="208"/>
      <c r="W231" s="208"/>
      <c r="X231" s="208"/>
      <c r="Y231" s="208"/>
      <c r="Z231" s="208"/>
      <c r="AA231" s="208"/>
      <c r="AB231" s="208"/>
    </row>
    <row r="232" ht="15.75" customHeight="1">
      <c r="A232" s="243"/>
      <c r="B232" s="244"/>
      <c r="C232" s="245"/>
      <c r="D232" s="246"/>
      <c r="E232" s="245"/>
      <c r="F232" s="247"/>
      <c r="G232" s="244"/>
      <c r="H232" s="243"/>
      <c r="I232" s="244"/>
      <c r="J232" s="244"/>
      <c r="K232" s="244"/>
      <c r="L232" s="248"/>
      <c r="M232" s="248"/>
      <c r="N232" s="244"/>
      <c r="O232" s="249"/>
      <c r="P232" s="249"/>
      <c r="Q232" s="208"/>
      <c r="R232" s="208"/>
      <c r="S232" s="208"/>
      <c r="T232" s="208"/>
      <c r="U232" s="208"/>
      <c r="V232" s="208"/>
      <c r="W232" s="208"/>
      <c r="X232" s="208"/>
      <c r="Y232" s="208"/>
      <c r="Z232" s="208"/>
      <c r="AA232" s="208"/>
      <c r="AB232" s="208"/>
    </row>
    <row r="233" ht="15.75" customHeight="1">
      <c r="A233" s="243"/>
      <c r="B233" s="244"/>
      <c r="C233" s="245"/>
      <c r="D233" s="246"/>
      <c r="E233" s="245"/>
      <c r="F233" s="247"/>
      <c r="G233" s="244"/>
      <c r="H233" s="243"/>
      <c r="I233" s="244"/>
      <c r="J233" s="244"/>
      <c r="K233" s="244"/>
      <c r="L233" s="248"/>
      <c r="M233" s="248"/>
      <c r="N233" s="244"/>
      <c r="O233" s="249"/>
      <c r="P233" s="249"/>
      <c r="Q233" s="208"/>
      <c r="R233" s="208"/>
      <c r="S233" s="208"/>
      <c r="T233" s="208"/>
      <c r="U233" s="208"/>
      <c r="V233" s="208"/>
      <c r="W233" s="208"/>
      <c r="X233" s="208"/>
      <c r="Y233" s="208"/>
      <c r="Z233" s="208"/>
      <c r="AA233" s="208"/>
      <c r="AB233" s="208"/>
    </row>
    <row r="234" ht="15.75" customHeight="1">
      <c r="A234" s="243"/>
      <c r="B234" s="244"/>
      <c r="C234" s="245"/>
      <c r="D234" s="246"/>
      <c r="E234" s="245"/>
      <c r="F234" s="247"/>
      <c r="G234" s="244"/>
      <c r="H234" s="243"/>
      <c r="I234" s="244"/>
      <c r="J234" s="244"/>
      <c r="K234" s="244"/>
      <c r="L234" s="248"/>
      <c r="M234" s="248"/>
      <c r="N234" s="244"/>
      <c r="O234" s="249"/>
      <c r="P234" s="249"/>
      <c r="Q234" s="208"/>
      <c r="R234" s="208"/>
      <c r="S234" s="208"/>
      <c r="T234" s="208"/>
      <c r="U234" s="208"/>
      <c r="V234" s="208"/>
      <c r="W234" s="208"/>
      <c r="X234" s="208"/>
      <c r="Y234" s="208"/>
      <c r="Z234" s="208"/>
      <c r="AA234" s="208"/>
      <c r="AB234" s="208"/>
    </row>
    <row r="235" ht="15.75" customHeight="1">
      <c r="A235" s="243"/>
      <c r="B235" s="244"/>
      <c r="C235" s="245"/>
      <c r="D235" s="246"/>
      <c r="E235" s="245"/>
      <c r="F235" s="247"/>
      <c r="G235" s="244"/>
      <c r="H235" s="243"/>
      <c r="I235" s="244"/>
      <c r="J235" s="244"/>
      <c r="K235" s="244"/>
      <c r="L235" s="248"/>
      <c r="M235" s="248"/>
      <c r="N235" s="244"/>
      <c r="O235" s="249"/>
      <c r="P235" s="249"/>
      <c r="Q235" s="208"/>
      <c r="R235" s="208"/>
      <c r="S235" s="208"/>
      <c r="T235" s="208"/>
      <c r="U235" s="208"/>
      <c r="V235" s="208"/>
      <c r="W235" s="208"/>
      <c r="X235" s="208"/>
      <c r="Y235" s="208"/>
      <c r="Z235" s="208"/>
      <c r="AA235" s="208"/>
      <c r="AB235" s="208"/>
    </row>
    <row r="236" ht="15.75" customHeight="1">
      <c r="A236" s="243"/>
      <c r="B236" s="244"/>
      <c r="C236" s="245"/>
      <c r="D236" s="246"/>
      <c r="E236" s="245"/>
      <c r="F236" s="247"/>
      <c r="G236" s="244"/>
      <c r="H236" s="243"/>
      <c r="I236" s="244"/>
      <c r="J236" s="244"/>
      <c r="K236" s="244"/>
      <c r="L236" s="248"/>
      <c r="M236" s="248"/>
      <c r="N236" s="244"/>
      <c r="O236" s="249"/>
      <c r="P236" s="249"/>
      <c r="Q236" s="208"/>
      <c r="R236" s="208"/>
      <c r="S236" s="208"/>
      <c r="T236" s="208"/>
      <c r="U236" s="208"/>
      <c r="V236" s="208"/>
      <c r="W236" s="208"/>
      <c r="X236" s="208"/>
      <c r="Y236" s="208"/>
      <c r="Z236" s="208"/>
      <c r="AA236" s="208"/>
      <c r="AB236" s="208"/>
    </row>
    <row r="237" ht="15.75" customHeight="1">
      <c r="A237" s="243"/>
      <c r="B237" s="244"/>
      <c r="C237" s="245"/>
      <c r="D237" s="246"/>
      <c r="E237" s="245"/>
      <c r="F237" s="247"/>
      <c r="G237" s="244"/>
      <c r="H237" s="243"/>
      <c r="I237" s="244"/>
      <c r="J237" s="244"/>
      <c r="K237" s="244"/>
      <c r="L237" s="248"/>
      <c r="M237" s="248"/>
      <c r="N237" s="244"/>
      <c r="O237" s="249"/>
      <c r="P237" s="249"/>
      <c r="Q237" s="208"/>
      <c r="R237" s="208"/>
      <c r="S237" s="208"/>
      <c r="T237" s="208"/>
      <c r="U237" s="208"/>
      <c r="V237" s="208"/>
      <c r="W237" s="208"/>
      <c r="X237" s="208"/>
      <c r="Y237" s="208"/>
      <c r="Z237" s="208"/>
      <c r="AA237" s="208"/>
      <c r="AB237" s="208"/>
    </row>
    <row r="238" ht="15.75" customHeight="1">
      <c r="A238" s="243"/>
      <c r="B238" s="244"/>
      <c r="C238" s="245"/>
      <c r="D238" s="246"/>
      <c r="E238" s="245"/>
      <c r="F238" s="247"/>
      <c r="G238" s="244"/>
      <c r="H238" s="243"/>
      <c r="I238" s="244"/>
      <c r="J238" s="244"/>
      <c r="K238" s="244"/>
      <c r="L238" s="248"/>
      <c r="M238" s="248"/>
      <c r="N238" s="244"/>
      <c r="O238" s="249"/>
      <c r="P238" s="249"/>
      <c r="Q238" s="208"/>
      <c r="R238" s="208"/>
      <c r="S238" s="208"/>
      <c r="T238" s="208"/>
      <c r="U238" s="208"/>
      <c r="V238" s="208"/>
      <c r="W238" s="208"/>
      <c r="X238" s="208"/>
      <c r="Y238" s="208"/>
      <c r="Z238" s="208"/>
      <c r="AA238" s="208"/>
      <c r="AB238" s="208"/>
    </row>
    <row r="239" ht="15.75" customHeight="1">
      <c r="A239" s="243"/>
      <c r="B239" s="244"/>
      <c r="C239" s="245"/>
      <c r="D239" s="246"/>
      <c r="E239" s="245"/>
      <c r="F239" s="247"/>
      <c r="G239" s="244"/>
      <c r="H239" s="243"/>
      <c r="I239" s="244"/>
      <c r="J239" s="244"/>
      <c r="K239" s="244"/>
      <c r="L239" s="248"/>
      <c r="M239" s="248"/>
      <c r="N239" s="244"/>
      <c r="O239" s="249"/>
      <c r="P239" s="249"/>
      <c r="Q239" s="208"/>
      <c r="R239" s="208"/>
      <c r="S239" s="208"/>
      <c r="T239" s="208"/>
      <c r="U239" s="208"/>
      <c r="V239" s="208"/>
      <c r="W239" s="208"/>
      <c r="X239" s="208"/>
      <c r="Y239" s="208"/>
      <c r="Z239" s="208"/>
      <c r="AA239" s="208"/>
      <c r="AB239" s="208"/>
    </row>
    <row r="240" ht="15.75" customHeight="1">
      <c r="A240" s="243"/>
      <c r="B240" s="244"/>
      <c r="C240" s="245"/>
      <c r="D240" s="246"/>
      <c r="E240" s="245"/>
      <c r="F240" s="247"/>
      <c r="G240" s="244"/>
      <c r="H240" s="243"/>
      <c r="I240" s="244"/>
      <c r="J240" s="244"/>
      <c r="K240" s="244"/>
      <c r="L240" s="248"/>
      <c r="M240" s="248"/>
      <c r="N240" s="244"/>
      <c r="O240" s="249"/>
      <c r="P240" s="249"/>
      <c r="Q240" s="208"/>
      <c r="R240" s="208"/>
      <c r="S240" s="208"/>
      <c r="T240" s="208"/>
      <c r="U240" s="208"/>
      <c r="V240" s="208"/>
      <c r="W240" s="208"/>
      <c r="X240" s="208"/>
      <c r="Y240" s="208"/>
      <c r="Z240" s="208"/>
      <c r="AA240" s="208"/>
      <c r="AB240" s="208"/>
    </row>
    <row r="241" ht="15.75" customHeight="1">
      <c r="A241" s="243"/>
      <c r="B241" s="244"/>
      <c r="C241" s="245"/>
      <c r="D241" s="246"/>
      <c r="E241" s="245"/>
      <c r="F241" s="247"/>
      <c r="G241" s="244"/>
      <c r="H241" s="243"/>
      <c r="I241" s="244"/>
      <c r="J241" s="244"/>
      <c r="K241" s="244"/>
      <c r="L241" s="248"/>
      <c r="M241" s="248"/>
      <c r="N241" s="244"/>
      <c r="O241" s="249"/>
      <c r="P241" s="249"/>
      <c r="Q241" s="208"/>
      <c r="R241" s="208"/>
      <c r="S241" s="208"/>
      <c r="T241" s="208"/>
      <c r="U241" s="208"/>
      <c r="V241" s="208"/>
      <c r="W241" s="208"/>
      <c r="X241" s="208"/>
      <c r="Y241" s="208"/>
      <c r="Z241" s="208"/>
      <c r="AA241" s="208"/>
      <c r="AB241" s="208"/>
    </row>
    <row r="242" ht="15.75" customHeight="1">
      <c r="A242" s="243"/>
      <c r="B242" s="244"/>
      <c r="C242" s="245"/>
      <c r="D242" s="246"/>
      <c r="E242" s="245"/>
      <c r="F242" s="247"/>
      <c r="G242" s="244"/>
      <c r="H242" s="243"/>
      <c r="I242" s="244"/>
      <c r="J242" s="244"/>
      <c r="K242" s="244"/>
      <c r="L242" s="248"/>
      <c r="M242" s="248"/>
      <c r="N242" s="244"/>
      <c r="O242" s="249"/>
      <c r="P242" s="249"/>
      <c r="Q242" s="208"/>
      <c r="R242" s="208"/>
      <c r="S242" s="208"/>
      <c r="T242" s="208"/>
      <c r="U242" s="208"/>
      <c r="V242" s="208"/>
      <c r="W242" s="208"/>
      <c r="X242" s="208"/>
      <c r="Y242" s="208"/>
      <c r="Z242" s="208"/>
      <c r="AA242" s="208"/>
      <c r="AB242" s="208"/>
    </row>
    <row r="243" ht="15.75" customHeight="1">
      <c r="A243" s="243"/>
      <c r="B243" s="244"/>
      <c r="C243" s="245"/>
      <c r="D243" s="246"/>
      <c r="E243" s="245"/>
      <c r="F243" s="247"/>
      <c r="G243" s="244"/>
      <c r="H243" s="243"/>
      <c r="I243" s="244"/>
      <c r="J243" s="244"/>
      <c r="K243" s="244"/>
      <c r="L243" s="248"/>
      <c r="M243" s="248"/>
      <c r="N243" s="244"/>
      <c r="O243" s="249"/>
      <c r="P243" s="249"/>
      <c r="Q243" s="208"/>
      <c r="R243" s="208"/>
      <c r="S243" s="208"/>
      <c r="T243" s="208"/>
      <c r="U243" s="208"/>
      <c r="V243" s="208"/>
      <c r="W243" s="208"/>
      <c r="X243" s="208"/>
      <c r="Y243" s="208"/>
      <c r="Z243" s="208"/>
      <c r="AA243" s="208"/>
      <c r="AB243" s="208"/>
    </row>
    <row r="244" ht="15.75" customHeight="1">
      <c r="A244" s="243"/>
      <c r="B244" s="244"/>
      <c r="C244" s="245"/>
      <c r="D244" s="246"/>
      <c r="E244" s="245"/>
      <c r="F244" s="247"/>
      <c r="G244" s="244"/>
      <c r="H244" s="243"/>
      <c r="I244" s="244"/>
      <c r="J244" s="244"/>
      <c r="K244" s="244"/>
      <c r="L244" s="248"/>
      <c r="M244" s="248"/>
      <c r="N244" s="244"/>
      <c r="O244" s="249"/>
      <c r="P244" s="249"/>
      <c r="Q244" s="208"/>
      <c r="R244" s="208"/>
      <c r="S244" s="208"/>
      <c r="T244" s="208"/>
      <c r="U244" s="208"/>
      <c r="V244" s="208"/>
      <c r="W244" s="208"/>
      <c r="X244" s="208"/>
      <c r="Y244" s="208"/>
      <c r="Z244" s="208"/>
      <c r="AA244" s="208"/>
      <c r="AB244" s="208"/>
    </row>
    <row r="245" ht="15.75" customHeight="1">
      <c r="A245" s="243"/>
      <c r="B245" s="244"/>
      <c r="C245" s="245"/>
      <c r="D245" s="246"/>
      <c r="E245" s="245"/>
      <c r="F245" s="247"/>
      <c r="G245" s="244"/>
      <c r="H245" s="243"/>
      <c r="I245" s="244"/>
      <c r="J245" s="244"/>
      <c r="K245" s="244"/>
      <c r="L245" s="248"/>
      <c r="M245" s="248"/>
      <c r="N245" s="244"/>
      <c r="O245" s="249"/>
      <c r="P245" s="249"/>
      <c r="Q245" s="208"/>
      <c r="R245" s="208"/>
      <c r="S245" s="208"/>
      <c r="T245" s="208"/>
      <c r="U245" s="208"/>
      <c r="V245" s="208"/>
      <c r="W245" s="208"/>
      <c r="X245" s="208"/>
      <c r="Y245" s="208"/>
      <c r="Z245" s="208"/>
      <c r="AA245" s="208"/>
      <c r="AB245" s="208"/>
    </row>
    <row r="246" ht="15.75" customHeight="1">
      <c r="A246" s="243"/>
      <c r="B246" s="244"/>
      <c r="C246" s="245"/>
      <c r="D246" s="246"/>
      <c r="E246" s="245"/>
      <c r="F246" s="247"/>
      <c r="G246" s="244"/>
      <c r="H246" s="243"/>
      <c r="I246" s="244"/>
      <c r="J246" s="244"/>
      <c r="K246" s="244"/>
      <c r="L246" s="248"/>
      <c r="M246" s="248"/>
      <c r="N246" s="244"/>
      <c r="O246" s="249"/>
      <c r="P246" s="249"/>
      <c r="Q246" s="208"/>
      <c r="R246" s="208"/>
      <c r="S246" s="208"/>
      <c r="T246" s="208"/>
      <c r="U246" s="208"/>
      <c r="V246" s="208"/>
      <c r="W246" s="208"/>
      <c r="X246" s="208"/>
      <c r="Y246" s="208"/>
      <c r="Z246" s="208"/>
      <c r="AA246" s="208"/>
      <c r="AB246" s="208"/>
    </row>
    <row r="247" ht="15.75" customHeight="1">
      <c r="A247" s="243"/>
      <c r="B247" s="244"/>
      <c r="C247" s="245"/>
      <c r="D247" s="246"/>
      <c r="E247" s="245"/>
      <c r="F247" s="247"/>
      <c r="G247" s="244"/>
      <c r="H247" s="243"/>
      <c r="I247" s="244"/>
      <c r="J247" s="244"/>
      <c r="K247" s="244"/>
      <c r="L247" s="248"/>
      <c r="M247" s="248"/>
      <c r="N247" s="244"/>
      <c r="O247" s="249"/>
      <c r="P247" s="249"/>
      <c r="Q247" s="208"/>
      <c r="R247" s="208"/>
      <c r="S247" s="208"/>
      <c r="T247" s="208"/>
      <c r="U247" s="208"/>
      <c r="V247" s="208"/>
      <c r="W247" s="208"/>
      <c r="X247" s="208"/>
      <c r="Y247" s="208"/>
      <c r="Z247" s="208"/>
      <c r="AA247" s="208"/>
      <c r="AB247" s="208"/>
    </row>
    <row r="248" ht="15.75" customHeight="1">
      <c r="A248" s="243"/>
      <c r="B248" s="244"/>
      <c r="C248" s="245"/>
      <c r="D248" s="246"/>
      <c r="E248" s="245"/>
      <c r="F248" s="247"/>
      <c r="G248" s="244"/>
      <c r="H248" s="243"/>
      <c r="I248" s="244"/>
      <c r="J248" s="244"/>
      <c r="K248" s="244"/>
      <c r="L248" s="248"/>
      <c r="M248" s="248"/>
      <c r="N248" s="244"/>
      <c r="O248" s="249"/>
      <c r="P248" s="249"/>
      <c r="Q248" s="208"/>
      <c r="R248" s="208"/>
      <c r="S248" s="208"/>
      <c r="T248" s="208"/>
      <c r="U248" s="208"/>
      <c r="V248" s="208"/>
      <c r="W248" s="208"/>
      <c r="X248" s="208"/>
      <c r="Y248" s="208"/>
      <c r="Z248" s="208"/>
      <c r="AA248" s="208"/>
      <c r="AB248" s="208"/>
    </row>
    <row r="249" ht="15.75" customHeight="1">
      <c r="A249" s="243"/>
      <c r="B249" s="244"/>
      <c r="C249" s="245"/>
      <c r="D249" s="246"/>
      <c r="E249" s="245"/>
      <c r="F249" s="247"/>
      <c r="G249" s="244"/>
      <c r="H249" s="243"/>
      <c r="I249" s="244"/>
      <c r="J249" s="244"/>
      <c r="K249" s="244"/>
      <c r="L249" s="248"/>
      <c r="M249" s="248"/>
      <c r="N249" s="244"/>
      <c r="O249" s="249"/>
      <c r="P249" s="249"/>
      <c r="Q249" s="208"/>
      <c r="R249" s="208"/>
      <c r="S249" s="208"/>
      <c r="T249" s="208"/>
      <c r="U249" s="208"/>
      <c r="V249" s="208"/>
      <c r="W249" s="208"/>
      <c r="X249" s="208"/>
      <c r="Y249" s="208"/>
      <c r="Z249" s="208"/>
      <c r="AA249" s="208"/>
      <c r="AB249" s="208"/>
    </row>
    <row r="250" ht="15.75" customHeight="1">
      <c r="A250" s="243"/>
      <c r="B250" s="244"/>
      <c r="C250" s="245"/>
      <c r="D250" s="246"/>
      <c r="E250" s="245"/>
      <c r="F250" s="247"/>
      <c r="G250" s="244"/>
      <c r="H250" s="243"/>
      <c r="I250" s="244"/>
      <c r="J250" s="244"/>
      <c r="K250" s="244"/>
      <c r="L250" s="248"/>
      <c r="M250" s="248"/>
      <c r="N250" s="244"/>
      <c r="O250" s="249"/>
      <c r="P250" s="249"/>
      <c r="Q250" s="208"/>
      <c r="R250" s="208"/>
      <c r="S250" s="208"/>
      <c r="T250" s="208"/>
      <c r="U250" s="208"/>
      <c r="V250" s="208"/>
      <c r="W250" s="208"/>
      <c r="X250" s="208"/>
      <c r="Y250" s="208"/>
      <c r="Z250" s="208"/>
      <c r="AA250" s="208"/>
      <c r="AB250" s="208"/>
    </row>
    <row r="251" ht="15.75" customHeight="1">
      <c r="A251" s="243"/>
      <c r="B251" s="244"/>
      <c r="C251" s="245"/>
      <c r="D251" s="246"/>
      <c r="E251" s="245"/>
      <c r="F251" s="247"/>
      <c r="G251" s="244"/>
      <c r="H251" s="243"/>
      <c r="I251" s="244"/>
      <c r="J251" s="244"/>
      <c r="K251" s="244"/>
      <c r="L251" s="248"/>
      <c r="M251" s="248"/>
      <c r="N251" s="244"/>
      <c r="O251" s="249"/>
      <c r="P251" s="249"/>
      <c r="Q251" s="208"/>
      <c r="R251" s="208"/>
      <c r="S251" s="208"/>
      <c r="T251" s="208"/>
      <c r="U251" s="208"/>
      <c r="V251" s="208"/>
      <c r="W251" s="208"/>
      <c r="X251" s="208"/>
      <c r="Y251" s="208"/>
      <c r="Z251" s="208"/>
      <c r="AA251" s="208"/>
      <c r="AB251" s="208"/>
    </row>
    <row r="252" ht="15.75" customHeight="1">
      <c r="A252" s="243"/>
      <c r="B252" s="244"/>
      <c r="C252" s="245"/>
      <c r="D252" s="246"/>
      <c r="E252" s="245"/>
      <c r="F252" s="247"/>
      <c r="G252" s="244"/>
      <c r="H252" s="243"/>
      <c r="I252" s="244"/>
      <c r="J252" s="244"/>
      <c r="K252" s="244"/>
      <c r="L252" s="248"/>
      <c r="M252" s="248"/>
      <c r="N252" s="244"/>
      <c r="O252" s="249"/>
      <c r="P252" s="249"/>
      <c r="Q252" s="208"/>
      <c r="R252" s="208"/>
      <c r="S252" s="208"/>
      <c r="T252" s="208"/>
      <c r="U252" s="208"/>
      <c r="V252" s="208"/>
      <c r="W252" s="208"/>
      <c r="X252" s="208"/>
      <c r="Y252" s="208"/>
      <c r="Z252" s="208"/>
      <c r="AA252" s="208"/>
      <c r="AB252" s="208"/>
    </row>
    <row r="253" ht="15.75" customHeight="1">
      <c r="A253" s="243"/>
      <c r="B253" s="244"/>
      <c r="C253" s="245"/>
      <c r="D253" s="246"/>
      <c r="E253" s="245"/>
      <c r="F253" s="247"/>
      <c r="G253" s="244"/>
      <c r="H253" s="243"/>
      <c r="I253" s="244"/>
      <c r="J253" s="244"/>
      <c r="K253" s="244"/>
      <c r="L253" s="248"/>
      <c r="M253" s="248"/>
      <c r="N253" s="244"/>
      <c r="O253" s="249"/>
      <c r="P253" s="249"/>
      <c r="Q253" s="208"/>
      <c r="R253" s="208"/>
      <c r="S253" s="208"/>
      <c r="T253" s="208"/>
      <c r="U253" s="208"/>
      <c r="V253" s="208"/>
      <c r="W253" s="208"/>
      <c r="X253" s="208"/>
      <c r="Y253" s="208"/>
      <c r="Z253" s="208"/>
      <c r="AA253" s="208"/>
      <c r="AB253" s="208"/>
    </row>
    <row r="254" ht="15.75" customHeight="1">
      <c r="A254" s="243"/>
      <c r="B254" s="244"/>
      <c r="C254" s="245"/>
      <c r="D254" s="246"/>
      <c r="E254" s="245"/>
      <c r="F254" s="247"/>
      <c r="G254" s="244"/>
      <c r="H254" s="243"/>
      <c r="I254" s="244"/>
      <c r="J254" s="244"/>
      <c r="K254" s="244"/>
      <c r="L254" s="248"/>
      <c r="M254" s="248"/>
      <c r="N254" s="244"/>
      <c r="O254" s="249"/>
      <c r="P254" s="249"/>
      <c r="Q254" s="208"/>
      <c r="R254" s="208"/>
      <c r="S254" s="208"/>
      <c r="T254" s="208"/>
      <c r="U254" s="208"/>
      <c r="V254" s="208"/>
      <c r="W254" s="208"/>
      <c r="X254" s="208"/>
      <c r="Y254" s="208"/>
      <c r="Z254" s="208"/>
      <c r="AA254" s="208"/>
      <c r="AB254" s="208"/>
    </row>
    <row r="255" ht="15.75" customHeight="1">
      <c r="A255" s="243"/>
      <c r="B255" s="244"/>
      <c r="C255" s="245"/>
      <c r="D255" s="246"/>
      <c r="E255" s="245"/>
      <c r="F255" s="247"/>
      <c r="G255" s="244"/>
      <c r="H255" s="243"/>
      <c r="I255" s="244"/>
      <c r="J255" s="244"/>
      <c r="K255" s="244"/>
      <c r="L255" s="248"/>
      <c r="M255" s="248"/>
      <c r="N255" s="244"/>
      <c r="O255" s="249"/>
      <c r="P255" s="249"/>
      <c r="Q255" s="208"/>
      <c r="R255" s="208"/>
      <c r="S255" s="208"/>
      <c r="T255" s="208"/>
      <c r="U255" s="208"/>
      <c r="V255" s="208"/>
      <c r="W255" s="208"/>
      <c r="X255" s="208"/>
      <c r="Y255" s="208"/>
      <c r="Z255" s="208"/>
      <c r="AA255" s="208"/>
      <c r="AB255" s="208"/>
    </row>
    <row r="256" ht="15.75" customHeight="1">
      <c r="A256" s="243"/>
      <c r="B256" s="244"/>
      <c r="C256" s="245"/>
      <c r="D256" s="246"/>
      <c r="E256" s="245"/>
      <c r="F256" s="247"/>
      <c r="G256" s="244"/>
      <c r="H256" s="243"/>
      <c r="I256" s="244"/>
      <c r="J256" s="244"/>
      <c r="K256" s="244"/>
      <c r="L256" s="248"/>
      <c r="M256" s="248"/>
      <c r="N256" s="244"/>
      <c r="O256" s="249"/>
      <c r="P256" s="249"/>
      <c r="Q256" s="208"/>
      <c r="R256" s="208"/>
      <c r="S256" s="208"/>
      <c r="T256" s="208"/>
      <c r="U256" s="208"/>
      <c r="V256" s="208"/>
      <c r="W256" s="208"/>
      <c r="X256" s="208"/>
      <c r="Y256" s="208"/>
      <c r="Z256" s="208"/>
      <c r="AA256" s="208"/>
      <c r="AB256" s="208"/>
    </row>
    <row r="257" ht="15.75" customHeight="1">
      <c r="A257" s="243"/>
      <c r="B257" s="244"/>
      <c r="C257" s="245"/>
      <c r="D257" s="246"/>
      <c r="E257" s="245"/>
      <c r="F257" s="247"/>
      <c r="G257" s="244"/>
      <c r="H257" s="243"/>
      <c r="I257" s="244"/>
      <c r="J257" s="244"/>
      <c r="K257" s="244"/>
      <c r="L257" s="248"/>
      <c r="M257" s="248"/>
      <c r="N257" s="244"/>
      <c r="O257" s="249"/>
      <c r="P257" s="249"/>
      <c r="Q257" s="208"/>
      <c r="R257" s="208"/>
      <c r="S257" s="208"/>
      <c r="T257" s="208"/>
      <c r="U257" s="208"/>
      <c r="V257" s="208"/>
      <c r="W257" s="208"/>
      <c r="X257" s="208"/>
      <c r="Y257" s="208"/>
      <c r="Z257" s="208"/>
      <c r="AA257" s="208"/>
      <c r="AB257" s="208"/>
    </row>
    <row r="258" ht="15.75" customHeight="1">
      <c r="A258" s="243"/>
      <c r="B258" s="244"/>
      <c r="C258" s="245"/>
      <c r="D258" s="246"/>
      <c r="E258" s="245"/>
      <c r="F258" s="247"/>
      <c r="G258" s="244"/>
      <c r="H258" s="243"/>
      <c r="I258" s="244"/>
      <c r="J258" s="244"/>
      <c r="K258" s="244"/>
      <c r="L258" s="248"/>
      <c r="M258" s="248"/>
      <c r="N258" s="244"/>
      <c r="O258" s="249"/>
      <c r="P258" s="249"/>
      <c r="Q258" s="208"/>
      <c r="R258" s="208"/>
      <c r="S258" s="208"/>
      <c r="T258" s="208"/>
      <c r="U258" s="208"/>
      <c r="V258" s="208"/>
      <c r="W258" s="208"/>
      <c r="X258" s="208"/>
      <c r="Y258" s="208"/>
      <c r="Z258" s="208"/>
      <c r="AA258" s="208"/>
      <c r="AB258" s="208"/>
    </row>
    <row r="259" ht="15.75" customHeight="1">
      <c r="A259" s="243"/>
      <c r="B259" s="244"/>
      <c r="C259" s="245"/>
      <c r="D259" s="246"/>
      <c r="E259" s="245"/>
      <c r="F259" s="247"/>
      <c r="G259" s="244"/>
      <c r="H259" s="243"/>
      <c r="I259" s="244"/>
      <c r="J259" s="244"/>
      <c r="K259" s="244"/>
      <c r="L259" s="248"/>
      <c r="M259" s="248"/>
      <c r="N259" s="244"/>
      <c r="O259" s="249"/>
      <c r="P259" s="249"/>
      <c r="Q259" s="208"/>
      <c r="R259" s="208"/>
      <c r="S259" s="208"/>
      <c r="T259" s="208"/>
      <c r="U259" s="208"/>
      <c r="V259" s="208"/>
      <c r="W259" s="208"/>
      <c r="X259" s="208"/>
      <c r="Y259" s="208"/>
      <c r="Z259" s="208"/>
      <c r="AA259" s="208"/>
      <c r="AB259" s="208"/>
    </row>
    <row r="260" ht="15.75" customHeight="1">
      <c r="A260" s="243"/>
      <c r="B260" s="244"/>
      <c r="C260" s="245"/>
      <c r="D260" s="246"/>
      <c r="E260" s="245"/>
      <c r="F260" s="247"/>
      <c r="G260" s="244"/>
      <c r="H260" s="243"/>
      <c r="I260" s="244"/>
      <c r="J260" s="244"/>
      <c r="K260" s="244"/>
      <c r="L260" s="248"/>
      <c r="M260" s="248"/>
      <c r="N260" s="244"/>
      <c r="O260" s="249"/>
      <c r="P260" s="249"/>
      <c r="Q260" s="208"/>
      <c r="R260" s="208"/>
      <c r="S260" s="208"/>
      <c r="T260" s="208"/>
      <c r="U260" s="208"/>
      <c r="V260" s="208"/>
      <c r="W260" s="208"/>
      <c r="X260" s="208"/>
      <c r="Y260" s="208"/>
      <c r="Z260" s="208"/>
      <c r="AA260" s="208"/>
      <c r="AB260" s="208"/>
    </row>
    <row r="261" ht="15.75" customHeight="1">
      <c r="A261" s="243"/>
      <c r="B261" s="244"/>
      <c r="C261" s="245"/>
      <c r="D261" s="246"/>
      <c r="E261" s="245"/>
      <c r="F261" s="247"/>
      <c r="G261" s="244"/>
      <c r="H261" s="243"/>
      <c r="I261" s="244"/>
      <c r="J261" s="244"/>
      <c r="K261" s="244"/>
      <c r="L261" s="248"/>
      <c r="M261" s="248"/>
      <c r="N261" s="244"/>
      <c r="O261" s="249"/>
      <c r="P261" s="249"/>
      <c r="Q261" s="208"/>
      <c r="R261" s="208"/>
      <c r="S261" s="208"/>
      <c r="T261" s="208"/>
      <c r="U261" s="208"/>
      <c r="V261" s="208"/>
      <c r="W261" s="208"/>
      <c r="X261" s="208"/>
      <c r="Y261" s="208"/>
      <c r="Z261" s="208"/>
      <c r="AA261" s="208"/>
      <c r="AB261" s="208"/>
    </row>
    <row r="262" ht="15.75" customHeight="1">
      <c r="A262" s="243"/>
      <c r="B262" s="244"/>
      <c r="C262" s="245"/>
      <c r="D262" s="246"/>
      <c r="E262" s="245"/>
      <c r="F262" s="247"/>
      <c r="G262" s="244"/>
      <c r="H262" s="243"/>
      <c r="I262" s="244"/>
      <c r="J262" s="244"/>
      <c r="K262" s="244"/>
      <c r="L262" s="248"/>
      <c r="M262" s="248"/>
      <c r="N262" s="244"/>
      <c r="O262" s="249"/>
      <c r="P262" s="249"/>
      <c r="Q262" s="208"/>
      <c r="R262" s="208"/>
      <c r="S262" s="208"/>
      <c r="T262" s="208"/>
      <c r="U262" s="208"/>
      <c r="V262" s="208"/>
      <c r="W262" s="208"/>
      <c r="X262" s="208"/>
      <c r="Y262" s="208"/>
      <c r="Z262" s="208"/>
      <c r="AA262" s="208"/>
      <c r="AB262" s="208"/>
    </row>
    <row r="263" ht="15.75" customHeight="1">
      <c r="A263" s="243"/>
      <c r="B263" s="244"/>
      <c r="C263" s="245"/>
      <c r="D263" s="246"/>
      <c r="E263" s="245"/>
      <c r="F263" s="247"/>
      <c r="G263" s="244"/>
      <c r="H263" s="243"/>
      <c r="I263" s="244"/>
      <c r="J263" s="244"/>
      <c r="K263" s="244"/>
      <c r="L263" s="248"/>
      <c r="M263" s="248"/>
      <c r="N263" s="244"/>
      <c r="O263" s="249"/>
      <c r="P263" s="249"/>
      <c r="Q263" s="208"/>
      <c r="R263" s="208"/>
      <c r="S263" s="208"/>
      <c r="T263" s="208"/>
      <c r="U263" s="208"/>
      <c r="V263" s="208"/>
      <c r="W263" s="208"/>
      <c r="X263" s="208"/>
      <c r="Y263" s="208"/>
      <c r="Z263" s="208"/>
      <c r="AA263" s="208"/>
      <c r="AB263" s="208"/>
    </row>
    <row r="264" ht="15.75" customHeight="1">
      <c r="A264" s="243"/>
      <c r="B264" s="244"/>
      <c r="C264" s="245"/>
      <c r="D264" s="246"/>
      <c r="E264" s="245"/>
      <c r="F264" s="247"/>
      <c r="G264" s="244"/>
      <c r="H264" s="243"/>
      <c r="I264" s="244"/>
      <c r="J264" s="244"/>
      <c r="K264" s="244"/>
      <c r="L264" s="248"/>
      <c r="M264" s="248"/>
      <c r="N264" s="244"/>
      <c r="O264" s="249"/>
      <c r="P264" s="249"/>
      <c r="Q264" s="208"/>
      <c r="R264" s="208"/>
      <c r="S264" s="208"/>
      <c r="T264" s="208"/>
      <c r="U264" s="208"/>
      <c r="V264" s="208"/>
      <c r="W264" s="208"/>
      <c r="X264" s="208"/>
      <c r="Y264" s="208"/>
      <c r="Z264" s="208"/>
      <c r="AA264" s="208"/>
      <c r="AB264" s="208"/>
    </row>
    <row r="265" ht="15.75" customHeight="1">
      <c r="A265" s="243"/>
      <c r="B265" s="244"/>
      <c r="C265" s="245"/>
      <c r="D265" s="246"/>
      <c r="E265" s="245"/>
      <c r="F265" s="247"/>
      <c r="G265" s="244"/>
      <c r="H265" s="243"/>
      <c r="I265" s="244"/>
      <c r="J265" s="244"/>
      <c r="K265" s="244"/>
      <c r="L265" s="248"/>
      <c r="M265" s="248"/>
      <c r="N265" s="244"/>
      <c r="O265" s="249"/>
      <c r="P265" s="249"/>
      <c r="Q265" s="208"/>
      <c r="R265" s="208"/>
      <c r="S265" s="208"/>
      <c r="T265" s="208"/>
      <c r="U265" s="208"/>
      <c r="V265" s="208"/>
      <c r="W265" s="208"/>
      <c r="X265" s="208"/>
      <c r="Y265" s="208"/>
      <c r="Z265" s="208"/>
      <c r="AA265" s="208"/>
      <c r="AB265" s="208"/>
    </row>
    <row r="266" ht="15.75" customHeight="1">
      <c r="A266" s="243"/>
      <c r="B266" s="244"/>
      <c r="C266" s="245"/>
      <c r="D266" s="246"/>
      <c r="E266" s="245"/>
      <c r="F266" s="247"/>
      <c r="G266" s="244"/>
      <c r="H266" s="243"/>
      <c r="I266" s="244"/>
      <c r="J266" s="244"/>
      <c r="K266" s="244"/>
      <c r="L266" s="248"/>
      <c r="M266" s="248"/>
      <c r="N266" s="244"/>
      <c r="O266" s="249"/>
      <c r="P266" s="249"/>
      <c r="Q266" s="208"/>
      <c r="R266" s="208"/>
      <c r="S266" s="208"/>
      <c r="T266" s="208"/>
      <c r="U266" s="208"/>
      <c r="V266" s="208"/>
      <c r="W266" s="208"/>
      <c r="X266" s="208"/>
      <c r="Y266" s="208"/>
      <c r="Z266" s="208"/>
      <c r="AA266" s="208"/>
      <c r="AB266" s="208"/>
    </row>
    <row r="267" ht="15.75" customHeight="1">
      <c r="A267" s="243"/>
      <c r="B267" s="244"/>
      <c r="C267" s="245"/>
      <c r="D267" s="246"/>
      <c r="E267" s="245"/>
      <c r="F267" s="247"/>
      <c r="G267" s="244"/>
      <c r="H267" s="243"/>
      <c r="I267" s="244"/>
      <c r="J267" s="244"/>
      <c r="K267" s="244"/>
      <c r="L267" s="248"/>
      <c r="M267" s="248"/>
      <c r="N267" s="244"/>
      <c r="O267" s="249"/>
      <c r="P267" s="249"/>
      <c r="Q267" s="208"/>
      <c r="R267" s="208"/>
      <c r="S267" s="208"/>
      <c r="T267" s="208"/>
      <c r="U267" s="208"/>
      <c r="V267" s="208"/>
      <c r="W267" s="208"/>
      <c r="X267" s="208"/>
      <c r="Y267" s="208"/>
      <c r="Z267" s="208"/>
      <c r="AA267" s="208"/>
      <c r="AB267" s="208"/>
    </row>
    <row r="268" ht="15.75" customHeight="1">
      <c r="A268" s="243"/>
      <c r="B268" s="244"/>
      <c r="C268" s="245"/>
      <c r="D268" s="246"/>
      <c r="E268" s="245"/>
      <c r="F268" s="247"/>
      <c r="G268" s="244"/>
      <c r="H268" s="243"/>
      <c r="I268" s="244"/>
      <c r="J268" s="244"/>
      <c r="K268" s="244"/>
      <c r="L268" s="248"/>
      <c r="M268" s="248"/>
      <c r="N268" s="244"/>
      <c r="O268" s="249"/>
      <c r="P268" s="249"/>
      <c r="Q268" s="208"/>
      <c r="R268" s="208"/>
      <c r="S268" s="208"/>
      <c r="T268" s="208"/>
      <c r="U268" s="208"/>
      <c r="V268" s="208"/>
      <c r="W268" s="208"/>
      <c r="X268" s="208"/>
      <c r="Y268" s="208"/>
      <c r="Z268" s="208"/>
      <c r="AA268" s="208"/>
      <c r="AB268" s="208"/>
    </row>
    <row r="269" ht="15.75" customHeight="1">
      <c r="A269" s="243"/>
      <c r="B269" s="244"/>
      <c r="C269" s="245"/>
      <c r="D269" s="246"/>
      <c r="E269" s="245"/>
      <c r="F269" s="247"/>
      <c r="G269" s="244"/>
      <c r="H269" s="243"/>
      <c r="I269" s="244"/>
      <c r="J269" s="244"/>
      <c r="K269" s="244"/>
      <c r="L269" s="248"/>
      <c r="M269" s="248"/>
      <c r="N269" s="244"/>
      <c r="O269" s="249"/>
      <c r="P269" s="249"/>
      <c r="Q269" s="208"/>
      <c r="R269" s="208"/>
      <c r="S269" s="208"/>
      <c r="T269" s="208"/>
      <c r="U269" s="208"/>
      <c r="V269" s="208"/>
      <c r="W269" s="208"/>
      <c r="X269" s="208"/>
      <c r="Y269" s="208"/>
      <c r="Z269" s="208"/>
      <c r="AA269" s="208"/>
      <c r="AB269" s="208"/>
    </row>
    <row r="270" ht="15.75" customHeight="1">
      <c r="A270" s="243"/>
      <c r="B270" s="244"/>
      <c r="C270" s="245"/>
      <c r="D270" s="246"/>
      <c r="E270" s="245"/>
      <c r="F270" s="247"/>
      <c r="G270" s="244"/>
      <c r="H270" s="243"/>
      <c r="I270" s="244"/>
      <c r="J270" s="244"/>
      <c r="K270" s="244"/>
      <c r="L270" s="248"/>
      <c r="M270" s="248"/>
      <c r="N270" s="244"/>
      <c r="O270" s="249"/>
      <c r="P270" s="249"/>
      <c r="Q270" s="208"/>
      <c r="R270" s="208"/>
      <c r="S270" s="208"/>
      <c r="T270" s="208"/>
      <c r="U270" s="208"/>
      <c r="V270" s="208"/>
      <c r="W270" s="208"/>
      <c r="X270" s="208"/>
      <c r="Y270" s="208"/>
      <c r="Z270" s="208"/>
      <c r="AA270" s="208"/>
      <c r="AB270" s="208"/>
    </row>
    <row r="271" ht="15.75" customHeight="1">
      <c r="A271" s="243"/>
      <c r="B271" s="244"/>
      <c r="C271" s="245"/>
      <c r="D271" s="246"/>
      <c r="E271" s="245"/>
      <c r="F271" s="247"/>
      <c r="G271" s="244"/>
      <c r="H271" s="243"/>
      <c r="I271" s="244"/>
      <c r="J271" s="244"/>
      <c r="K271" s="244"/>
      <c r="L271" s="248"/>
      <c r="M271" s="248"/>
      <c r="N271" s="244"/>
      <c r="O271" s="249"/>
      <c r="P271" s="249"/>
      <c r="Q271" s="208"/>
      <c r="R271" s="208"/>
      <c r="S271" s="208"/>
      <c r="T271" s="208"/>
      <c r="U271" s="208"/>
      <c r="V271" s="208"/>
      <c r="W271" s="208"/>
      <c r="X271" s="208"/>
      <c r="Y271" s="208"/>
      <c r="Z271" s="208"/>
      <c r="AA271" s="208"/>
      <c r="AB271" s="208"/>
    </row>
    <row r="272" ht="15.75" customHeight="1">
      <c r="A272" s="243"/>
      <c r="B272" s="244"/>
      <c r="C272" s="245"/>
      <c r="D272" s="246"/>
      <c r="E272" s="245"/>
      <c r="F272" s="247"/>
      <c r="G272" s="244"/>
      <c r="H272" s="243"/>
      <c r="I272" s="244"/>
      <c r="J272" s="244"/>
      <c r="K272" s="244"/>
      <c r="L272" s="248"/>
      <c r="M272" s="248"/>
      <c r="N272" s="244"/>
      <c r="O272" s="249"/>
      <c r="P272" s="249"/>
      <c r="Q272" s="208"/>
      <c r="R272" s="208"/>
      <c r="S272" s="208"/>
      <c r="T272" s="208"/>
      <c r="U272" s="208"/>
      <c r="V272" s="208"/>
      <c r="W272" s="208"/>
      <c r="X272" s="208"/>
      <c r="Y272" s="208"/>
      <c r="Z272" s="208"/>
      <c r="AA272" s="208"/>
      <c r="AB272" s="208"/>
    </row>
    <row r="273" ht="15.75" customHeight="1">
      <c r="A273" s="243"/>
      <c r="B273" s="244"/>
      <c r="C273" s="245"/>
      <c r="D273" s="246"/>
      <c r="E273" s="245"/>
      <c r="F273" s="247"/>
      <c r="G273" s="244"/>
      <c r="H273" s="243"/>
      <c r="I273" s="244"/>
      <c r="J273" s="244"/>
      <c r="K273" s="244"/>
      <c r="L273" s="248"/>
      <c r="M273" s="248"/>
      <c r="N273" s="244"/>
      <c r="O273" s="249"/>
      <c r="P273" s="249"/>
      <c r="Q273" s="208"/>
      <c r="R273" s="208"/>
      <c r="S273" s="208"/>
      <c r="T273" s="208"/>
      <c r="U273" s="208"/>
      <c r="V273" s="208"/>
      <c r="W273" s="208"/>
      <c r="X273" s="208"/>
      <c r="Y273" s="208"/>
      <c r="Z273" s="208"/>
      <c r="AA273" s="208"/>
      <c r="AB273" s="208"/>
    </row>
    <row r="274" ht="15.75" customHeight="1">
      <c r="A274" s="243"/>
      <c r="B274" s="244"/>
      <c r="C274" s="245"/>
      <c r="D274" s="246"/>
      <c r="E274" s="245"/>
      <c r="F274" s="247"/>
      <c r="G274" s="244"/>
      <c r="H274" s="243"/>
      <c r="I274" s="244"/>
      <c r="J274" s="244"/>
      <c r="K274" s="244"/>
      <c r="L274" s="248"/>
      <c r="M274" s="248"/>
      <c r="N274" s="244"/>
      <c r="O274" s="249"/>
      <c r="P274" s="249"/>
      <c r="Q274" s="208"/>
      <c r="R274" s="208"/>
      <c r="S274" s="208"/>
      <c r="T274" s="208"/>
      <c r="U274" s="208"/>
      <c r="V274" s="208"/>
      <c r="W274" s="208"/>
      <c r="X274" s="208"/>
      <c r="Y274" s="208"/>
      <c r="Z274" s="208"/>
      <c r="AA274" s="208"/>
      <c r="AB274" s="208"/>
    </row>
    <row r="275" ht="15.75" customHeight="1">
      <c r="A275" s="243"/>
      <c r="B275" s="244"/>
      <c r="C275" s="245"/>
      <c r="D275" s="246"/>
      <c r="E275" s="245"/>
      <c r="F275" s="247"/>
      <c r="G275" s="244"/>
      <c r="H275" s="243"/>
      <c r="I275" s="244"/>
      <c r="J275" s="244"/>
      <c r="K275" s="244"/>
      <c r="L275" s="248"/>
      <c r="M275" s="248"/>
      <c r="N275" s="244"/>
      <c r="O275" s="249"/>
      <c r="P275" s="249"/>
      <c r="Q275" s="208"/>
      <c r="R275" s="208"/>
      <c r="S275" s="208"/>
      <c r="T275" s="208"/>
      <c r="U275" s="208"/>
      <c r="V275" s="208"/>
      <c r="W275" s="208"/>
      <c r="X275" s="208"/>
      <c r="Y275" s="208"/>
      <c r="Z275" s="208"/>
      <c r="AA275" s="208"/>
      <c r="AB275" s="208"/>
    </row>
    <row r="276" ht="15.75" customHeight="1">
      <c r="A276" s="243"/>
      <c r="B276" s="244"/>
      <c r="C276" s="245"/>
      <c r="D276" s="246"/>
      <c r="E276" s="245"/>
      <c r="F276" s="247"/>
      <c r="G276" s="244"/>
      <c r="H276" s="243"/>
      <c r="I276" s="244"/>
      <c r="J276" s="244"/>
      <c r="K276" s="244"/>
      <c r="L276" s="248"/>
      <c r="M276" s="248"/>
      <c r="N276" s="244"/>
      <c r="O276" s="249"/>
      <c r="P276" s="249"/>
      <c r="Q276" s="208"/>
      <c r="R276" s="208"/>
      <c r="S276" s="208"/>
      <c r="T276" s="208"/>
      <c r="U276" s="208"/>
      <c r="V276" s="208"/>
      <c r="W276" s="208"/>
      <c r="X276" s="208"/>
      <c r="Y276" s="208"/>
      <c r="Z276" s="208"/>
      <c r="AA276" s="208"/>
      <c r="AB276" s="208"/>
    </row>
    <row r="277" ht="15.75" customHeight="1">
      <c r="A277" s="243"/>
      <c r="B277" s="244"/>
      <c r="C277" s="245"/>
      <c r="D277" s="246"/>
      <c r="E277" s="245"/>
      <c r="F277" s="247"/>
      <c r="G277" s="244"/>
      <c r="H277" s="243"/>
      <c r="I277" s="244"/>
      <c r="J277" s="244"/>
      <c r="K277" s="244"/>
      <c r="L277" s="248"/>
      <c r="M277" s="248"/>
      <c r="N277" s="244"/>
      <c r="O277" s="249"/>
      <c r="P277" s="249"/>
      <c r="Q277" s="208"/>
      <c r="R277" s="208"/>
      <c r="S277" s="208"/>
      <c r="T277" s="208"/>
      <c r="U277" s="208"/>
      <c r="V277" s="208"/>
      <c r="W277" s="208"/>
      <c r="X277" s="208"/>
      <c r="Y277" s="208"/>
      <c r="Z277" s="208"/>
      <c r="AA277" s="208"/>
      <c r="AB277" s="208"/>
    </row>
    <row r="278" ht="15.75" customHeight="1">
      <c r="A278" s="243"/>
      <c r="B278" s="244"/>
      <c r="C278" s="245"/>
      <c r="D278" s="246"/>
      <c r="E278" s="245"/>
      <c r="F278" s="247"/>
      <c r="G278" s="244"/>
      <c r="H278" s="243"/>
      <c r="I278" s="244"/>
      <c r="J278" s="244"/>
      <c r="K278" s="244"/>
      <c r="L278" s="248"/>
      <c r="M278" s="248"/>
      <c r="N278" s="244"/>
      <c r="O278" s="249"/>
      <c r="P278" s="249"/>
      <c r="Q278" s="208"/>
      <c r="R278" s="208"/>
      <c r="S278" s="208"/>
      <c r="T278" s="208"/>
      <c r="U278" s="208"/>
      <c r="V278" s="208"/>
      <c r="W278" s="208"/>
      <c r="X278" s="208"/>
      <c r="Y278" s="208"/>
      <c r="Z278" s="208"/>
      <c r="AA278" s="208"/>
      <c r="AB278" s="208"/>
    </row>
    <row r="279" ht="15.75" customHeight="1">
      <c r="A279" s="243"/>
      <c r="B279" s="244"/>
      <c r="C279" s="245"/>
      <c r="D279" s="246"/>
      <c r="E279" s="245"/>
      <c r="F279" s="247"/>
      <c r="G279" s="244"/>
      <c r="H279" s="243"/>
      <c r="I279" s="244"/>
      <c r="J279" s="244"/>
      <c r="K279" s="244"/>
      <c r="L279" s="248"/>
      <c r="M279" s="248"/>
      <c r="N279" s="244"/>
      <c r="O279" s="249"/>
      <c r="P279" s="249"/>
      <c r="Q279" s="208"/>
      <c r="R279" s="208"/>
      <c r="S279" s="208"/>
      <c r="T279" s="208"/>
      <c r="U279" s="208"/>
      <c r="V279" s="208"/>
      <c r="W279" s="208"/>
      <c r="X279" s="208"/>
      <c r="Y279" s="208"/>
      <c r="Z279" s="208"/>
      <c r="AA279" s="208"/>
      <c r="AB279" s="208"/>
    </row>
    <row r="280" ht="15.75" customHeight="1">
      <c r="A280" s="243"/>
      <c r="B280" s="244"/>
      <c r="C280" s="245"/>
      <c r="D280" s="246"/>
      <c r="E280" s="245"/>
      <c r="F280" s="247"/>
      <c r="G280" s="244"/>
      <c r="H280" s="243"/>
      <c r="I280" s="244"/>
      <c r="J280" s="244"/>
      <c r="K280" s="244"/>
      <c r="L280" s="248"/>
      <c r="M280" s="248"/>
      <c r="N280" s="244"/>
      <c r="O280" s="249"/>
      <c r="P280" s="249"/>
      <c r="Q280" s="208"/>
      <c r="R280" s="208"/>
      <c r="S280" s="208"/>
      <c r="T280" s="208"/>
      <c r="U280" s="208"/>
      <c r="V280" s="208"/>
      <c r="W280" s="208"/>
      <c r="X280" s="208"/>
      <c r="Y280" s="208"/>
      <c r="Z280" s="208"/>
      <c r="AA280" s="208"/>
      <c r="AB280" s="208"/>
    </row>
    <row r="281" ht="15.75" customHeight="1">
      <c r="A281" s="243"/>
      <c r="B281" s="244"/>
      <c r="C281" s="245"/>
      <c r="D281" s="246"/>
      <c r="E281" s="245"/>
      <c r="F281" s="247"/>
      <c r="G281" s="244"/>
      <c r="H281" s="243"/>
      <c r="I281" s="244"/>
      <c r="J281" s="244"/>
      <c r="K281" s="244"/>
      <c r="L281" s="248"/>
      <c r="M281" s="248"/>
      <c r="N281" s="244"/>
      <c r="O281" s="249"/>
      <c r="P281" s="249"/>
      <c r="Q281" s="208"/>
      <c r="R281" s="208"/>
      <c r="S281" s="208"/>
      <c r="T281" s="208"/>
      <c r="U281" s="208"/>
      <c r="V281" s="208"/>
      <c r="W281" s="208"/>
      <c r="X281" s="208"/>
      <c r="Y281" s="208"/>
      <c r="Z281" s="208"/>
      <c r="AA281" s="208"/>
      <c r="AB281" s="208"/>
    </row>
    <row r="282" ht="15.75" customHeight="1">
      <c r="A282" s="243"/>
      <c r="B282" s="244"/>
      <c r="C282" s="245"/>
      <c r="D282" s="246"/>
      <c r="E282" s="245"/>
      <c r="F282" s="247"/>
      <c r="G282" s="244"/>
      <c r="H282" s="243"/>
      <c r="I282" s="244"/>
      <c r="J282" s="244"/>
      <c r="K282" s="244"/>
      <c r="L282" s="248"/>
      <c r="M282" s="248"/>
      <c r="N282" s="244"/>
      <c r="O282" s="249"/>
      <c r="P282" s="249"/>
      <c r="Q282" s="208"/>
      <c r="R282" s="208"/>
      <c r="S282" s="208"/>
      <c r="T282" s="208"/>
      <c r="U282" s="208"/>
      <c r="V282" s="208"/>
      <c r="W282" s="208"/>
      <c r="X282" s="208"/>
      <c r="Y282" s="208"/>
      <c r="Z282" s="208"/>
      <c r="AA282" s="208"/>
      <c r="AB282" s="208"/>
    </row>
    <row r="283" ht="15.75" customHeight="1">
      <c r="A283" s="243"/>
      <c r="B283" s="244"/>
      <c r="C283" s="245"/>
      <c r="D283" s="246"/>
      <c r="E283" s="245"/>
      <c r="F283" s="247"/>
      <c r="G283" s="244"/>
      <c r="H283" s="243"/>
      <c r="I283" s="244"/>
      <c r="J283" s="244"/>
      <c r="K283" s="244"/>
      <c r="L283" s="248"/>
      <c r="M283" s="248"/>
      <c r="N283" s="244"/>
      <c r="O283" s="249"/>
      <c r="P283" s="249"/>
      <c r="Q283" s="208"/>
      <c r="R283" s="208"/>
      <c r="S283" s="208"/>
      <c r="T283" s="208"/>
      <c r="U283" s="208"/>
      <c r="V283" s="208"/>
      <c r="W283" s="208"/>
      <c r="X283" s="208"/>
      <c r="Y283" s="208"/>
      <c r="Z283" s="208"/>
      <c r="AA283" s="208"/>
      <c r="AB283" s="208"/>
    </row>
    <row r="284" ht="15.75" customHeight="1">
      <c r="A284" s="243"/>
      <c r="B284" s="244"/>
      <c r="C284" s="245"/>
      <c r="D284" s="246"/>
      <c r="E284" s="245"/>
      <c r="F284" s="247"/>
      <c r="G284" s="244"/>
      <c r="H284" s="243"/>
      <c r="I284" s="244"/>
      <c r="J284" s="244"/>
      <c r="K284" s="244"/>
      <c r="L284" s="248"/>
      <c r="M284" s="248"/>
      <c r="N284" s="244"/>
      <c r="O284" s="249"/>
      <c r="P284" s="249"/>
      <c r="Q284" s="208"/>
      <c r="R284" s="208"/>
      <c r="S284" s="208"/>
      <c r="T284" s="208"/>
      <c r="U284" s="208"/>
      <c r="V284" s="208"/>
      <c r="W284" s="208"/>
      <c r="X284" s="208"/>
      <c r="Y284" s="208"/>
      <c r="Z284" s="208"/>
      <c r="AA284" s="208"/>
      <c r="AB284" s="208"/>
    </row>
    <row r="285" ht="15.75" customHeight="1">
      <c r="A285" s="243"/>
      <c r="B285" s="244"/>
      <c r="C285" s="245"/>
      <c r="D285" s="246"/>
      <c r="E285" s="245"/>
      <c r="F285" s="247"/>
      <c r="G285" s="244"/>
      <c r="H285" s="243"/>
      <c r="I285" s="244"/>
      <c r="J285" s="244"/>
      <c r="K285" s="244"/>
      <c r="L285" s="248"/>
      <c r="M285" s="248"/>
      <c r="N285" s="244"/>
      <c r="O285" s="249"/>
      <c r="P285" s="249"/>
      <c r="Q285" s="208"/>
      <c r="R285" s="208"/>
      <c r="S285" s="208"/>
      <c r="T285" s="208"/>
      <c r="U285" s="208"/>
      <c r="V285" s="208"/>
      <c r="W285" s="208"/>
      <c r="X285" s="208"/>
      <c r="Y285" s="208"/>
      <c r="Z285" s="208"/>
      <c r="AA285" s="208"/>
      <c r="AB285" s="208"/>
    </row>
    <row r="286" ht="15.75" customHeight="1">
      <c r="A286" s="243"/>
      <c r="B286" s="244"/>
      <c r="C286" s="245"/>
      <c r="D286" s="246"/>
      <c r="E286" s="245"/>
      <c r="F286" s="247"/>
      <c r="G286" s="244"/>
      <c r="H286" s="243"/>
      <c r="I286" s="244"/>
      <c r="J286" s="244"/>
      <c r="K286" s="244"/>
      <c r="L286" s="248"/>
      <c r="M286" s="248"/>
      <c r="N286" s="244"/>
      <c r="O286" s="249"/>
      <c r="P286" s="249"/>
      <c r="Q286" s="208"/>
      <c r="R286" s="208"/>
      <c r="S286" s="208"/>
      <c r="T286" s="208"/>
      <c r="U286" s="208"/>
      <c r="V286" s="208"/>
      <c r="W286" s="208"/>
      <c r="X286" s="208"/>
      <c r="Y286" s="208"/>
      <c r="Z286" s="208"/>
      <c r="AA286" s="208"/>
      <c r="AB286" s="208"/>
    </row>
    <row r="287" ht="15.75" customHeight="1">
      <c r="A287" s="243"/>
      <c r="B287" s="244"/>
      <c r="C287" s="245"/>
      <c r="D287" s="246"/>
      <c r="E287" s="245"/>
      <c r="F287" s="247"/>
      <c r="G287" s="244"/>
      <c r="H287" s="243"/>
      <c r="I287" s="244"/>
      <c r="J287" s="244"/>
      <c r="K287" s="244"/>
      <c r="L287" s="248"/>
      <c r="M287" s="248"/>
      <c r="N287" s="244"/>
      <c r="O287" s="249"/>
      <c r="P287" s="249"/>
      <c r="Q287" s="208"/>
      <c r="R287" s="208"/>
      <c r="S287" s="208"/>
      <c r="T287" s="208"/>
      <c r="U287" s="208"/>
      <c r="V287" s="208"/>
      <c r="W287" s="208"/>
      <c r="X287" s="208"/>
      <c r="Y287" s="208"/>
      <c r="Z287" s="208"/>
      <c r="AA287" s="208"/>
      <c r="AB287" s="208"/>
    </row>
    <row r="288" ht="15.75" customHeight="1">
      <c r="A288" s="243"/>
      <c r="B288" s="244"/>
      <c r="C288" s="245"/>
      <c r="D288" s="246"/>
      <c r="E288" s="245"/>
      <c r="F288" s="247"/>
      <c r="G288" s="244"/>
      <c r="H288" s="243"/>
      <c r="I288" s="244"/>
      <c r="J288" s="244"/>
      <c r="K288" s="244"/>
      <c r="L288" s="248"/>
      <c r="M288" s="248"/>
      <c r="N288" s="244"/>
      <c r="O288" s="249"/>
      <c r="P288" s="249"/>
      <c r="Q288" s="208"/>
      <c r="R288" s="208"/>
      <c r="S288" s="208"/>
      <c r="T288" s="208"/>
      <c r="U288" s="208"/>
      <c r="V288" s="208"/>
      <c r="W288" s="208"/>
      <c r="X288" s="208"/>
      <c r="Y288" s="208"/>
      <c r="Z288" s="208"/>
      <c r="AA288" s="208"/>
      <c r="AB288" s="208"/>
    </row>
    <row r="289" ht="15.75" customHeight="1">
      <c r="A289" s="243"/>
      <c r="B289" s="244"/>
      <c r="C289" s="245"/>
      <c r="D289" s="246"/>
      <c r="E289" s="245"/>
      <c r="F289" s="247"/>
      <c r="G289" s="244"/>
      <c r="H289" s="243"/>
      <c r="I289" s="244"/>
      <c r="J289" s="244"/>
      <c r="K289" s="244"/>
      <c r="L289" s="248"/>
      <c r="M289" s="248"/>
      <c r="N289" s="244"/>
      <c r="O289" s="249"/>
      <c r="P289" s="249"/>
      <c r="Q289" s="208"/>
      <c r="R289" s="208"/>
      <c r="S289" s="208"/>
      <c r="T289" s="208"/>
      <c r="U289" s="208"/>
      <c r="V289" s="208"/>
      <c r="W289" s="208"/>
      <c r="X289" s="208"/>
      <c r="Y289" s="208"/>
      <c r="Z289" s="208"/>
      <c r="AA289" s="208"/>
      <c r="AB289" s="208"/>
    </row>
    <row r="290" ht="15.75" customHeight="1">
      <c r="A290" s="243"/>
      <c r="B290" s="244"/>
      <c r="C290" s="245"/>
      <c r="D290" s="246"/>
      <c r="E290" s="245"/>
      <c r="F290" s="247"/>
      <c r="G290" s="244"/>
      <c r="H290" s="243"/>
      <c r="I290" s="244"/>
      <c r="J290" s="244"/>
      <c r="K290" s="244"/>
      <c r="L290" s="248"/>
      <c r="M290" s="248"/>
      <c r="N290" s="244"/>
      <c r="O290" s="249"/>
      <c r="P290" s="249"/>
      <c r="Q290" s="208"/>
      <c r="R290" s="208"/>
      <c r="S290" s="208"/>
      <c r="T290" s="208"/>
      <c r="U290" s="208"/>
      <c r="V290" s="208"/>
      <c r="W290" s="208"/>
      <c r="X290" s="208"/>
      <c r="Y290" s="208"/>
      <c r="Z290" s="208"/>
      <c r="AA290" s="208"/>
      <c r="AB290" s="208"/>
    </row>
    <row r="291" ht="15.75" customHeight="1">
      <c r="A291" s="243"/>
      <c r="B291" s="244"/>
      <c r="C291" s="245"/>
      <c r="D291" s="246"/>
      <c r="E291" s="245"/>
      <c r="F291" s="247"/>
      <c r="G291" s="244"/>
      <c r="H291" s="243"/>
      <c r="I291" s="244"/>
      <c r="J291" s="244"/>
      <c r="K291" s="244"/>
      <c r="L291" s="248"/>
      <c r="M291" s="248"/>
      <c r="N291" s="244"/>
      <c r="O291" s="249"/>
      <c r="P291" s="249"/>
      <c r="Q291" s="208"/>
      <c r="R291" s="208"/>
      <c r="S291" s="208"/>
      <c r="T291" s="208"/>
      <c r="U291" s="208"/>
      <c r="V291" s="208"/>
      <c r="W291" s="208"/>
      <c r="X291" s="208"/>
      <c r="Y291" s="208"/>
      <c r="Z291" s="208"/>
      <c r="AA291" s="208"/>
      <c r="AB291" s="208"/>
    </row>
    <row r="292" ht="15.75" customHeight="1">
      <c r="A292" s="243"/>
      <c r="B292" s="244"/>
      <c r="C292" s="245"/>
      <c r="D292" s="246"/>
      <c r="E292" s="245"/>
      <c r="F292" s="247"/>
      <c r="G292" s="244"/>
      <c r="H292" s="243"/>
      <c r="I292" s="244"/>
      <c r="J292" s="244"/>
      <c r="K292" s="244"/>
      <c r="L292" s="248"/>
      <c r="M292" s="248"/>
      <c r="N292" s="244"/>
      <c r="O292" s="249"/>
      <c r="P292" s="249"/>
      <c r="Q292" s="208"/>
      <c r="R292" s="208"/>
      <c r="S292" s="208"/>
      <c r="T292" s="208"/>
      <c r="U292" s="208"/>
      <c r="V292" s="208"/>
      <c r="W292" s="208"/>
      <c r="X292" s="208"/>
      <c r="Y292" s="208"/>
      <c r="Z292" s="208"/>
      <c r="AA292" s="208"/>
      <c r="AB292" s="208"/>
    </row>
    <row r="293" ht="15.75" customHeight="1">
      <c r="A293" s="243"/>
      <c r="B293" s="244"/>
      <c r="C293" s="245"/>
      <c r="D293" s="246"/>
      <c r="E293" s="245"/>
      <c r="F293" s="247"/>
      <c r="G293" s="244"/>
      <c r="H293" s="243"/>
      <c r="I293" s="244"/>
      <c r="J293" s="244"/>
      <c r="K293" s="244"/>
      <c r="L293" s="248"/>
      <c r="M293" s="248"/>
      <c r="N293" s="244"/>
      <c r="O293" s="249"/>
      <c r="P293" s="249"/>
      <c r="Q293" s="208"/>
      <c r="R293" s="208"/>
      <c r="S293" s="208"/>
      <c r="T293" s="208"/>
      <c r="U293" s="208"/>
      <c r="V293" s="208"/>
      <c r="W293" s="208"/>
      <c r="X293" s="208"/>
      <c r="Y293" s="208"/>
      <c r="Z293" s="208"/>
      <c r="AA293" s="208"/>
      <c r="AB293" s="208"/>
    </row>
    <row r="294" ht="15.75" customHeight="1">
      <c r="A294" s="243"/>
      <c r="B294" s="244"/>
      <c r="C294" s="245"/>
      <c r="D294" s="246"/>
      <c r="E294" s="245"/>
      <c r="F294" s="247"/>
      <c r="G294" s="244"/>
      <c r="H294" s="243"/>
      <c r="I294" s="244"/>
      <c r="J294" s="244"/>
      <c r="K294" s="244"/>
      <c r="L294" s="248"/>
      <c r="M294" s="248"/>
      <c r="N294" s="244"/>
      <c r="O294" s="249"/>
      <c r="P294" s="249"/>
      <c r="Q294" s="208"/>
      <c r="R294" s="208"/>
      <c r="S294" s="208"/>
      <c r="T294" s="208"/>
      <c r="U294" s="208"/>
      <c r="V294" s="208"/>
      <c r="W294" s="208"/>
      <c r="X294" s="208"/>
      <c r="Y294" s="208"/>
      <c r="Z294" s="208"/>
      <c r="AA294" s="208"/>
      <c r="AB294" s="208"/>
    </row>
    <row r="295" ht="15.75" customHeight="1">
      <c r="A295" s="243"/>
      <c r="B295" s="244"/>
      <c r="C295" s="245"/>
      <c r="D295" s="246"/>
      <c r="E295" s="245"/>
      <c r="F295" s="247"/>
      <c r="G295" s="244"/>
      <c r="H295" s="243"/>
      <c r="I295" s="244"/>
      <c r="J295" s="244"/>
      <c r="K295" s="244"/>
      <c r="L295" s="248"/>
      <c r="M295" s="248"/>
      <c r="N295" s="244"/>
      <c r="O295" s="249"/>
      <c r="P295" s="249"/>
      <c r="Q295" s="208"/>
      <c r="R295" s="208"/>
      <c r="S295" s="208"/>
      <c r="T295" s="208"/>
      <c r="U295" s="208"/>
      <c r="V295" s="208"/>
      <c r="W295" s="208"/>
      <c r="X295" s="208"/>
      <c r="Y295" s="208"/>
      <c r="Z295" s="208"/>
      <c r="AA295" s="208"/>
      <c r="AB295" s="208"/>
    </row>
    <row r="296" ht="15.75" customHeight="1">
      <c r="A296" s="243"/>
      <c r="B296" s="244"/>
      <c r="C296" s="245"/>
      <c r="D296" s="246"/>
      <c r="E296" s="245"/>
      <c r="F296" s="247"/>
      <c r="G296" s="244"/>
      <c r="H296" s="243"/>
      <c r="I296" s="244"/>
      <c r="J296" s="244"/>
      <c r="K296" s="244"/>
      <c r="L296" s="248"/>
      <c r="M296" s="248"/>
      <c r="N296" s="244"/>
      <c r="O296" s="249"/>
      <c r="P296" s="249"/>
      <c r="Q296" s="208"/>
      <c r="R296" s="208"/>
      <c r="S296" s="208"/>
      <c r="T296" s="208"/>
      <c r="U296" s="208"/>
      <c r="V296" s="208"/>
      <c r="W296" s="208"/>
      <c r="X296" s="208"/>
      <c r="Y296" s="208"/>
      <c r="Z296" s="208"/>
      <c r="AA296" s="208"/>
      <c r="AB296" s="208"/>
    </row>
    <row r="297" ht="15.75" customHeight="1">
      <c r="A297" s="243"/>
      <c r="B297" s="244"/>
      <c r="C297" s="245"/>
      <c r="D297" s="246"/>
      <c r="E297" s="245"/>
      <c r="F297" s="247"/>
      <c r="G297" s="244"/>
      <c r="H297" s="243"/>
      <c r="I297" s="244"/>
      <c r="J297" s="244"/>
      <c r="K297" s="244"/>
      <c r="L297" s="248"/>
      <c r="M297" s="248"/>
      <c r="N297" s="244"/>
      <c r="O297" s="249"/>
      <c r="P297" s="249"/>
      <c r="Q297" s="208"/>
      <c r="R297" s="208"/>
      <c r="S297" s="208"/>
      <c r="T297" s="208"/>
      <c r="U297" s="208"/>
      <c r="V297" s="208"/>
      <c r="W297" s="208"/>
      <c r="X297" s="208"/>
      <c r="Y297" s="208"/>
      <c r="Z297" s="208"/>
      <c r="AA297" s="208"/>
      <c r="AB297" s="208"/>
    </row>
    <row r="298" ht="15.75" customHeight="1">
      <c r="A298" s="243"/>
      <c r="B298" s="244"/>
      <c r="C298" s="245"/>
      <c r="D298" s="246"/>
      <c r="E298" s="245"/>
      <c r="F298" s="247"/>
      <c r="G298" s="244"/>
      <c r="H298" s="243"/>
      <c r="I298" s="244"/>
      <c r="J298" s="244"/>
      <c r="K298" s="244"/>
      <c r="L298" s="248"/>
      <c r="M298" s="248"/>
      <c r="N298" s="244"/>
      <c r="O298" s="249"/>
      <c r="P298" s="249"/>
      <c r="Q298" s="208"/>
      <c r="R298" s="208"/>
      <c r="S298" s="208"/>
      <c r="T298" s="208"/>
      <c r="U298" s="208"/>
      <c r="V298" s="208"/>
      <c r="W298" s="208"/>
      <c r="X298" s="208"/>
      <c r="Y298" s="208"/>
      <c r="Z298" s="208"/>
      <c r="AA298" s="208"/>
      <c r="AB298" s="208"/>
    </row>
    <row r="299" ht="15.75" customHeight="1">
      <c r="A299" s="243"/>
      <c r="B299" s="244"/>
      <c r="C299" s="245"/>
      <c r="D299" s="246"/>
      <c r="E299" s="245"/>
      <c r="F299" s="247"/>
      <c r="G299" s="244"/>
      <c r="H299" s="243"/>
      <c r="I299" s="244"/>
      <c r="J299" s="244"/>
      <c r="K299" s="244"/>
      <c r="L299" s="248"/>
      <c r="M299" s="248"/>
      <c r="N299" s="244"/>
      <c r="O299" s="249"/>
      <c r="P299" s="249"/>
      <c r="Q299" s="208"/>
      <c r="R299" s="208"/>
      <c r="S299" s="208"/>
      <c r="T299" s="208"/>
      <c r="U299" s="208"/>
      <c r="V299" s="208"/>
      <c r="W299" s="208"/>
      <c r="X299" s="208"/>
      <c r="Y299" s="208"/>
      <c r="Z299" s="208"/>
      <c r="AA299" s="208"/>
      <c r="AB299" s="208"/>
    </row>
    <row r="300" ht="15.75" customHeight="1">
      <c r="A300" s="243"/>
      <c r="B300" s="244"/>
      <c r="C300" s="245"/>
      <c r="D300" s="246"/>
      <c r="E300" s="245"/>
      <c r="F300" s="247"/>
      <c r="G300" s="244"/>
      <c r="H300" s="243"/>
      <c r="I300" s="244"/>
      <c r="J300" s="244"/>
      <c r="K300" s="244"/>
      <c r="L300" s="248"/>
      <c r="M300" s="248"/>
      <c r="N300" s="244"/>
      <c r="O300" s="249"/>
      <c r="P300" s="249"/>
      <c r="Q300" s="208"/>
      <c r="R300" s="208"/>
      <c r="S300" s="208"/>
      <c r="T300" s="208"/>
      <c r="U300" s="208"/>
      <c r="V300" s="208"/>
      <c r="W300" s="208"/>
      <c r="X300" s="208"/>
      <c r="Y300" s="208"/>
      <c r="Z300" s="208"/>
      <c r="AA300" s="208"/>
      <c r="AB300" s="208"/>
    </row>
    <row r="301" ht="15.75" customHeight="1">
      <c r="A301" s="243"/>
      <c r="B301" s="244"/>
      <c r="C301" s="245"/>
      <c r="D301" s="246"/>
      <c r="E301" s="245"/>
      <c r="F301" s="247"/>
      <c r="G301" s="244"/>
      <c r="H301" s="243"/>
      <c r="I301" s="244"/>
      <c r="J301" s="244"/>
      <c r="K301" s="244"/>
      <c r="L301" s="248"/>
      <c r="M301" s="248"/>
      <c r="N301" s="244"/>
      <c r="O301" s="249"/>
      <c r="P301" s="249"/>
      <c r="Q301" s="208"/>
      <c r="R301" s="208"/>
      <c r="S301" s="208"/>
      <c r="T301" s="208"/>
      <c r="U301" s="208"/>
      <c r="V301" s="208"/>
      <c r="W301" s="208"/>
      <c r="X301" s="208"/>
      <c r="Y301" s="208"/>
      <c r="Z301" s="208"/>
      <c r="AA301" s="208"/>
      <c r="AB301" s="208"/>
    </row>
    <row r="302" ht="15.75" customHeight="1">
      <c r="A302" s="243"/>
      <c r="B302" s="244"/>
      <c r="C302" s="245"/>
      <c r="D302" s="246"/>
      <c r="E302" s="245"/>
      <c r="F302" s="247"/>
      <c r="G302" s="244"/>
      <c r="H302" s="243"/>
      <c r="I302" s="244"/>
      <c r="J302" s="244"/>
      <c r="K302" s="244"/>
      <c r="L302" s="248"/>
      <c r="M302" s="248"/>
      <c r="N302" s="244"/>
      <c r="O302" s="249"/>
      <c r="P302" s="249"/>
      <c r="Q302" s="208"/>
      <c r="R302" s="208"/>
      <c r="S302" s="208"/>
      <c r="T302" s="208"/>
      <c r="U302" s="208"/>
      <c r="V302" s="208"/>
      <c r="W302" s="208"/>
      <c r="X302" s="208"/>
      <c r="Y302" s="208"/>
      <c r="Z302" s="208"/>
      <c r="AA302" s="208"/>
      <c r="AB302" s="208"/>
    </row>
    <row r="303" ht="15.75" customHeight="1">
      <c r="A303" s="243"/>
      <c r="B303" s="244"/>
      <c r="C303" s="245"/>
      <c r="D303" s="246"/>
      <c r="E303" s="245"/>
      <c r="F303" s="247"/>
      <c r="G303" s="244"/>
      <c r="H303" s="243"/>
      <c r="I303" s="244"/>
      <c r="J303" s="244"/>
      <c r="K303" s="244"/>
      <c r="L303" s="248"/>
      <c r="M303" s="248"/>
      <c r="N303" s="244"/>
      <c r="O303" s="249"/>
      <c r="P303" s="249"/>
      <c r="Q303" s="208"/>
      <c r="R303" s="208"/>
      <c r="S303" s="208"/>
      <c r="T303" s="208"/>
      <c r="U303" s="208"/>
      <c r="V303" s="208"/>
      <c r="W303" s="208"/>
      <c r="X303" s="208"/>
      <c r="Y303" s="208"/>
      <c r="Z303" s="208"/>
      <c r="AA303" s="208"/>
      <c r="AB303" s="208"/>
    </row>
    <row r="304" ht="15.75" customHeight="1">
      <c r="A304" s="243"/>
      <c r="B304" s="244"/>
      <c r="C304" s="245"/>
      <c r="D304" s="246"/>
      <c r="E304" s="245"/>
      <c r="F304" s="247"/>
      <c r="G304" s="244"/>
      <c r="H304" s="243"/>
      <c r="I304" s="244"/>
      <c r="J304" s="244"/>
      <c r="K304" s="244"/>
      <c r="L304" s="248"/>
      <c r="M304" s="248"/>
      <c r="N304" s="244"/>
      <c r="O304" s="249"/>
      <c r="P304" s="249"/>
      <c r="Q304" s="208"/>
      <c r="R304" s="208"/>
      <c r="S304" s="208"/>
      <c r="T304" s="208"/>
      <c r="U304" s="208"/>
      <c r="V304" s="208"/>
      <c r="W304" s="208"/>
      <c r="X304" s="208"/>
      <c r="Y304" s="208"/>
      <c r="Z304" s="208"/>
      <c r="AA304" s="208"/>
      <c r="AB304" s="208"/>
    </row>
    <row r="305" ht="15.75" customHeight="1">
      <c r="A305" s="243"/>
      <c r="B305" s="244"/>
      <c r="C305" s="245"/>
      <c r="D305" s="246"/>
      <c r="E305" s="245"/>
      <c r="F305" s="247"/>
      <c r="G305" s="244"/>
      <c r="H305" s="243"/>
      <c r="I305" s="244"/>
      <c r="J305" s="244"/>
      <c r="K305" s="244"/>
      <c r="L305" s="248"/>
      <c r="M305" s="248"/>
      <c r="N305" s="244"/>
      <c r="O305" s="249"/>
      <c r="P305" s="249"/>
      <c r="Q305" s="208"/>
      <c r="R305" s="208"/>
      <c r="S305" s="208"/>
      <c r="T305" s="208"/>
      <c r="U305" s="208"/>
      <c r="V305" s="208"/>
      <c r="W305" s="208"/>
      <c r="X305" s="208"/>
      <c r="Y305" s="208"/>
      <c r="Z305" s="208"/>
      <c r="AA305" s="208"/>
      <c r="AB305" s="208"/>
    </row>
    <row r="306" ht="15.75" customHeight="1">
      <c r="A306" s="243"/>
      <c r="B306" s="244"/>
      <c r="C306" s="245"/>
      <c r="D306" s="246"/>
      <c r="E306" s="245"/>
      <c r="F306" s="247"/>
      <c r="G306" s="244"/>
      <c r="H306" s="243"/>
      <c r="I306" s="244"/>
      <c r="J306" s="244"/>
      <c r="K306" s="244"/>
      <c r="L306" s="248"/>
      <c r="M306" s="248"/>
      <c r="N306" s="244"/>
      <c r="O306" s="249"/>
      <c r="P306" s="249"/>
      <c r="Q306" s="208"/>
      <c r="R306" s="208"/>
      <c r="S306" s="208"/>
      <c r="T306" s="208"/>
      <c r="U306" s="208"/>
      <c r="V306" s="208"/>
      <c r="W306" s="208"/>
      <c r="X306" s="208"/>
      <c r="Y306" s="208"/>
      <c r="Z306" s="208"/>
      <c r="AA306" s="208"/>
      <c r="AB306" s="208"/>
    </row>
    <row r="307" ht="15.75" customHeight="1">
      <c r="A307" s="243"/>
      <c r="B307" s="244"/>
      <c r="C307" s="245"/>
      <c r="D307" s="246"/>
      <c r="E307" s="245"/>
      <c r="F307" s="247"/>
      <c r="G307" s="244"/>
      <c r="H307" s="243"/>
      <c r="I307" s="244"/>
      <c r="J307" s="244"/>
      <c r="K307" s="244"/>
      <c r="L307" s="248"/>
      <c r="M307" s="248"/>
      <c r="N307" s="244"/>
      <c r="O307" s="249"/>
      <c r="P307" s="249"/>
      <c r="Q307" s="208"/>
      <c r="R307" s="208"/>
      <c r="S307" s="208"/>
      <c r="T307" s="208"/>
      <c r="U307" s="208"/>
      <c r="V307" s="208"/>
      <c r="W307" s="208"/>
      <c r="X307" s="208"/>
      <c r="Y307" s="208"/>
      <c r="Z307" s="208"/>
      <c r="AA307" s="208"/>
      <c r="AB307" s="208"/>
    </row>
    <row r="308" ht="15.75" customHeight="1">
      <c r="A308" s="243"/>
      <c r="B308" s="244"/>
      <c r="C308" s="245"/>
      <c r="D308" s="246"/>
      <c r="E308" s="245"/>
      <c r="F308" s="247"/>
      <c r="G308" s="244"/>
      <c r="H308" s="243"/>
      <c r="I308" s="244"/>
      <c r="J308" s="244"/>
      <c r="K308" s="244"/>
      <c r="L308" s="248"/>
      <c r="M308" s="248"/>
      <c r="N308" s="244"/>
      <c r="O308" s="249"/>
      <c r="P308" s="249"/>
      <c r="Q308" s="208"/>
      <c r="R308" s="208"/>
      <c r="S308" s="208"/>
      <c r="T308" s="208"/>
      <c r="U308" s="208"/>
      <c r="V308" s="208"/>
      <c r="W308" s="208"/>
      <c r="X308" s="208"/>
      <c r="Y308" s="208"/>
      <c r="Z308" s="208"/>
      <c r="AA308" s="208"/>
      <c r="AB308" s="208"/>
    </row>
    <row r="309" ht="15.75" customHeight="1">
      <c r="A309" s="243"/>
      <c r="B309" s="244"/>
      <c r="C309" s="245"/>
      <c r="D309" s="246"/>
      <c r="E309" s="245"/>
      <c r="F309" s="247"/>
      <c r="G309" s="244"/>
      <c r="H309" s="243"/>
      <c r="I309" s="244"/>
      <c r="J309" s="244"/>
      <c r="K309" s="244"/>
      <c r="L309" s="248"/>
      <c r="M309" s="248"/>
      <c r="N309" s="244"/>
      <c r="O309" s="249"/>
      <c r="P309" s="249"/>
      <c r="Q309" s="208"/>
      <c r="R309" s="208"/>
      <c r="S309" s="208"/>
      <c r="T309" s="208"/>
      <c r="U309" s="208"/>
      <c r="V309" s="208"/>
      <c r="W309" s="208"/>
      <c r="X309" s="208"/>
      <c r="Y309" s="208"/>
      <c r="Z309" s="208"/>
      <c r="AA309" s="208"/>
      <c r="AB309" s="208"/>
    </row>
    <row r="310" ht="15.75" customHeight="1">
      <c r="A310" s="243"/>
      <c r="B310" s="244"/>
      <c r="C310" s="245"/>
      <c r="D310" s="246"/>
      <c r="E310" s="245"/>
      <c r="F310" s="247"/>
      <c r="G310" s="244"/>
      <c r="H310" s="243"/>
      <c r="I310" s="244"/>
      <c r="J310" s="244"/>
      <c r="K310" s="244"/>
      <c r="L310" s="248"/>
      <c r="M310" s="248"/>
      <c r="N310" s="244"/>
      <c r="O310" s="249"/>
      <c r="P310" s="249"/>
      <c r="Q310" s="208"/>
      <c r="R310" s="208"/>
      <c r="S310" s="208"/>
      <c r="T310" s="208"/>
      <c r="U310" s="208"/>
      <c r="V310" s="208"/>
      <c r="W310" s="208"/>
      <c r="X310" s="208"/>
      <c r="Y310" s="208"/>
      <c r="Z310" s="208"/>
      <c r="AA310" s="208"/>
      <c r="AB310" s="208"/>
    </row>
    <row r="311" ht="15.75" customHeight="1">
      <c r="A311" s="243"/>
      <c r="B311" s="244"/>
      <c r="C311" s="245"/>
      <c r="D311" s="246"/>
      <c r="E311" s="245"/>
      <c r="F311" s="247"/>
      <c r="G311" s="244"/>
      <c r="H311" s="243"/>
      <c r="I311" s="244"/>
      <c r="J311" s="244"/>
      <c r="K311" s="244"/>
      <c r="L311" s="248"/>
      <c r="M311" s="248"/>
      <c r="N311" s="244"/>
      <c r="O311" s="249"/>
      <c r="P311" s="249"/>
      <c r="Q311" s="208"/>
      <c r="R311" s="208"/>
      <c r="S311" s="208"/>
      <c r="T311" s="208"/>
      <c r="U311" s="208"/>
      <c r="V311" s="208"/>
      <c r="W311" s="208"/>
      <c r="X311" s="208"/>
      <c r="Y311" s="208"/>
      <c r="Z311" s="208"/>
      <c r="AA311" s="208"/>
      <c r="AB311" s="208"/>
    </row>
    <row r="312" ht="15.75" customHeight="1">
      <c r="A312" s="243"/>
      <c r="B312" s="244"/>
      <c r="C312" s="245"/>
      <c r="D312" s="246"/>
      <c r="E312" s="245"/>
      <c r="F312" s="247"/>
      <c r="G312" s="244"/>
      <c r="H312" s="243"/>
      <c r="I312" s="244"/>
      <c r="J312" s="244"/>
      <c r="K312" s="244"/>
      <c r="L312" s="248"/>
      <c r="M312" s="248"/>
      <c r="N312" s="244"/>
      <c r="O312" s="249"/>
      <c r="P312" s="249"/>
      <c r="Q312" s="208"/>
      <c r="R312" s="208"/>
      <c r="S312" s="208"/>
      <c r="T312" s="208"/>
      <c r="U312" s="208"/>
      <c r="V312" s="208"/>
      <c r="W312" s="208"/>
      <c r="X312" s="208"/>
      <c r="Y312" s="208"/>
      <c r="Z312" s="208"/>
      <c r="AA312" s="208"/>
      <c r="AB312" s="208"/>
    </row>
    <row r="313" ht="15.75" customHeight="1">
      <c r="A313" s="243"/>
      <c r="B313" s="244"/>
      <c r="C313" s="245"/>
      <c r="D313" s="246"/>
      <c r="E313" s="245"/>
      <c r="F313" s="247"/>
      <c r="G313" s="244"/>
      <c r="H313" s="243"/>
      <c r="I313" s="244"/>
      <c r="J313" s="244"/>
      <c r="K313" s="244"/>
      <c r="L313" s="248"/>
      <c r="M313" s="248"/>
      <c r="N313" s="244"/>
      <c r="O313" s="249"/>
      <c r="P313" s="249"/>
      <c r="Q313" s="208"/>
      <c r="R313" s="208"/>
      <c r="S313" s="208"/>
      <c r="T313" s="208"/>
      <c r="U313" s="208"/>
      <c r="V313" s="208"/>
      <c r="W313" s="208"/>
      <c r="X313" s="208"/>
      <c r="Y313" s="208"/>
      <c r="Z313" s="208"/>
      <c r="AA313" s="208"/>
      <c r="AB313" s="208"/>
    </row>
    <row r="314" ht="15.75" customHeight="1">
      <c r="A314" s="243"/>
      <c r="B314" s="244"/>
      <c r="C314" s="245"/>
      <c r="D314" s="246"/>
      <c r="E314" s="245"/>
      <c r="F314" s="247"/>
      <c r="G314" s="244"/>
      <c r="H314" s="243"/>
      <c r="I314" s="244"/>
      <c r="J314" s="244"/>
      <c r="K314" s="244"/>
      <c r="L314" s="248"/>
      <c r="M314" s="248"/>
      <c r="N314" s="244"/>
      <c r="O314" s="249"/>
      <c r="P314" s="249"/>
      <c r="Q314" s="208"/>
      <c r="R314" s="208"/>
      <c r="S314" s="208"/>
      <c r="T314" s="208"/>
      <c r="U314" s="208"/>
      <c r="V314" s="208"/>
      <c r="W314" s="208"/>
      <c r="X314" s="208"/>
      <c r="Y314" s="208"/>
      <c r="Z314" s="208"/>
      <c r="AA314" s="208"/>
      <c r="AB314" s="208"/>
    </row>
    <row r="315" ht="15.75" customHeight="1">
      <c r="A315" s="243"/>
      <c r="B315" s="244"/>
      <c r="C315" s="245"/>
      <c r="D315" s="246"/>
      <c r="E315" s="245"/>
      <c r="F315" s="247"/>
      <c r="G315" s="244"/>
      <c r="H315" s="243"/>
      <c r="I315" s="244"/>
      <c r="J315" s="244"/>
      <c r="K315" s="244"/>
      <c r="L315" s="248"/>
      <c r="M315" s="248"/>
      <c r="N315" s="244"/>
      <c r="O315" s="249"/>
      <c r="P315" s="249"/>
      <c r="Q315" s="208"/>
      <c r="R315" s="208"/>
      <c r="S315" s="208"/>
      <c r="T315" s="208"/>
      <c r="U315" s="208"/>
      <c r="V315" s="208"/>
      <c r="W315" s="208"/>
      <c r="X315" s="208"/>
      <c r="Y315" s="208"/>
      <c r="Z315" s="208"/>
      <c r="AA315" s="208"/>
      <c r="AB315" s="208"/>
    </row>
    <row r="316" ht="15.75" customHeight="1">
      <c r="A316" s="243"/>
      <c r="B316" s="244"/>
      <c r="C316" s="245"/>
      <c r="D316" s="246"/>
      <c r="E316" s="245"/>
      <c r="F316" s="247"/>
      <c r="G316" s="244"/>
      <c r="H316" s="243"/>
      <c r="I316" s="244"/>
      <c r="J316" s="244"/>
      <c r="K316" s="244"/>
      <c r="L316" s="248"/>
      <c r="M316" s="248"/>
      <c r="N316" s="244"/>
      <c r="O316" s="249"/>
      <c r="P316" s="249"/>
      <c r="Q316" s="208"/>
      <c r="R316" s="208"/>
      <c r="S316" s="208"/>
      <c r="T316" s="208"/>
      <c r="U316" s="208"/>
      <c r="V316" s="208"/>
      <c r="W316" s="208"/>
      <c r="X316" s="208"/>
      <c r="Y316" s="208"/>
      <c r="Z316" s="208"/>
      <c r="AA316" s="208"/>
      <c r="AB316" s="208"/>
    </row>
    <row r="317" ht="15.75" customHeight="1">
      <c r="A317" s="243"/>
      <c r="B317" s="244"/>
      <c r="C317" s="245"/>
      <c r="D317" s="246"/>
      <c r="E317" s="245"/>
      <c r="F317" s="247"/>
      <c r="G317" s="244"/>
      <c r="H317" s="243"/>
      <c r="I317" s="244"/>
      <c r="J317" s="244"/>
      <c r="K317" s="244"/>
      <c r="L317" s="248"/>
      <c r="M317" s="248"/>
      <c r="N317" s="244"/>
      <c r="O317" s="249"/>
      <c r="P317" s="249"/>
      <c r="Q317" s="208"/>
      <c r="R317" s="208"/>
      <c r="S317" s="208"/>
      <c r="T317" s="208"/>
      <c r="U317" s="208"/>
      <c r="V317" s="208"/>
      <c r="W317" s="208"/>
      <c r="X317" s="208"/>
      <c r="Y317" s="208"/>
      <c r="Z317" s="208"/>
      <c r="AA317" s="208"/>
      <c r="AB317" s="208"/>
    </row>
    <row r="318" ht="15.75" customHeight="1">
      <c r="A318" s="243"/>
      <c r="B318" s="244"/>
      <c r="C318" s="245"/>
      <c r="D318" s="246"/>
      <c r="E318" s="245"/>
      <c r="F318" s="247"/>
      <c r="G318" s="244"/>
      <c r="H318" s="243"/>
      <c r="I318" s="244"/>
      <c r="J318" s="244"/>
      <c r="K318" s="244"/>
      <c r="L318" s="248"/>
      <c r="M318" s="248"/>
      <c r="N318" s="244"/>
      <c r="O318" s="249"/>
      <c r="P318" s="249"/>
      <c r="Q318" s="208"/>
      <c r="R318" s="208"/>
      <c r="S318" s="208"/>
      <c r="T318" s="208"/>
      <c r="U318" s="208"/>
      <c r="V318" s="208"/>
      <c r="W318" s="208"/>
      <c r="X318" s="208"/>
      <c r="Y318" s="208"/>
      <c r="Z318" s="208"/>
      <c r="AA318" s="208"/>
      <c r="AB318" s="208"/>
    </row>
    <row r="319" ht="15.75" customHeight="1">
      <c r="A319" s="243"/>
      <c r="B319" s="244"/>
      <c r="C319" s="245"/>
      <c r="D319" s="246"/>
      <c r="E319" s="245"/>
      <c r="F319" s="247"/>
      <c r="G319" s="244"/>
      <c r="H319" s="243"/>
      <c r="I319" s="244"/>
      <c r="J319" s="244"/>
      <c r="K319" s="244"/>
      <c r="L319" s="248"/>
      <c r="M319" s="248"/>
      <c r="N319" s="244"/>
      <c r="O319" s="249"/>
      <c r="P319" s="249"/>
      <c r="Q319" s="208"/>
      <c r="R319" s="208"/>
      <c r="S319" s="208"/>
      <c r="T319" s="208"/>
      <c r="U319" s="208"/>
      <c r="V319" s="208"/>
      <c r="W319" s="208"/>
      <c r="X319" s="208"/>
      <c r="Y319" s="208"/>
      <c r="Z319" s="208"/>
      <c r="AA319" s="208"/>
      <c r="AB319" s="208"/>
    </row>
    <row r="320" ht="15.75" customHeight="1">
      <c r="A320" s="243"/>
      <c r="B320" s="244"/>
      <c r="C320" s="245"/>
      <c r="D320" s="246"/>
      <c r="E320" s="245"/>
      <c r="F320" s="247"/>
      <c r="G320" s="244"/>
      <c r="H320" s="243"/>
      <c r="I320" s="244"/>
      <c r="J320" s="244"/>
      <c r="K320" s="244"/>
      <c r="L320" s="248"/>
      <c r="M320" s="248"/>
      <c r="N320" s="244"/>
      <c r="O320" s="249"/>
      <c r="P320" s="249"/>
      <c r="Q320" s="208"/>
      <c r="R320" s="208"/>
      <c r="S320" s="208"/>
      <c r="T320" s="208"/>
      <c r="U320" s="208"/>
      <c r="V320" s="208"/>
      <c r="W320" s="208"/>
      <c r="X320" s="208"/>
      <c r="Y320" s="208"/>
      <c r="Z320" s="208"/>
      <c r="AA320" s="208"/>
      <c r="AB320" s="208"/>
    </row>
    <row r="321" ht="15.75" customHeight="1">
      <c r="A321" s="243"/>
      <c r="B321" s="244"/>
      <c r="C321" s="245"/>
      <c r="D321" s="246"/>
      <c r="E321" s="245"/>
      <c r="F321" s="247"/>
      <c r="G321" s="244"/>
      <c r="H321" s="243"/>
      <c r="I321" s="244"/>
      <c r="J321" s="244"/>
      <c r="K321" s="244"/>
      <c r="L321" s="248"/>
      <c r="M321" s="248"/>
      <c r="N321" s="244"/>
      <c r="O321" s="249"/>
      <c r="P321" s="249"/>
      <c r="Q321" s="208"/>
      <c r="R321" s="208"/>
      <c r="S321" s="208"/>
      <c r="T321" s="208"/>
      <c r="U321" s="208"/>
      <c r="V321" s="208"/>
      <c r="W321" s="208"/>
      <c r="X321" s="208"/>
      <c r="Y321" s="208"/>
      <c r="Z321" s="208"/>
      <c r="AA321" s="208"/>
      <c r="AB321" s="208"/>
    </row>
    <row r="322" ht="15.75" customHeight="1">
      <c r="A322" s="243"/>
      <c r="B322" s="244"/>
      <c r="C322" s="245"/>
      <c r="D322" s="246"/>
      <c r="E322" s="245"/>
      <c r="F322" s="247"/>
      <c r="G322" s="244"/>
      <c r="H322" s="243"/>
      <c r="I322" s="244"/>
      <c r="J322" s="244"/>
      <c r="K322" s="244"/>
      <c r="L322" s="248"/>
      <c r="M322" s="248"/>
      <c r="N322" s="244"/>
      <c r="O322" s="249"/>
      <c r="P322" s="249"/>
      <c r="Q322" s="208"/>
      <c r="R322" s="208"/>
      <c r="S322" s="208"/>
      <c r="T322" s="208"/>
      <c r="U322" s="208"/>
      <c r="V322" s="208"/>
      <c r="W322" s="208"/>
      <c r="X322" s="208"/>
      <c r="Y322" s="208"/>
      <c r="Z322" s="208"/>
      <c r="AA322" s="208"/>
      <c r="AB322" s="208"/>
    </row>
    <row r="323" ht="15.75" customHeight="1">
      <c r="A323" s="243"/>
      <c r="B323" s="244"/>
      <c r="C323" s="245"/>
      <c r="D323" s="246"/>
      <c r="E323" s="245"/>
      <c r="F323" s="247"/>
      <c r="G323" s="244"/>
      <c r="H323" s="243"/>
      <c r="I323" s="244"/>
      <c r="J323" s="244"/>
      <c r="K323" s="244"/>
      <c r="L323" s="248"/>
      <c r="M323" s="248"/>
      <c r="N323" s="244"/>
      <c r="O323" s="249"/>
      <c r="P323" s="249"/>
      <c r="Q323" s="208"/>
      <c r="R323" s="208"/>
      <c r="S323" s="208"/>
      <c r="T323" s="208"/>
      <c r="U323" s="208"/>
      <c r="V323" s="208"/>
      <c r="W323" s="208"/>
      <c r="X323" s="208"/>
      <c r="Y323" s="208"/>
      <c r="Z323" s="208"/>
      <c r="AA323" s="208"/>
      <c r="AB323" s="208"/>
    </row>
    <row r="324" ht="15.75" customHeight="1">
      <c r="A324" s="243"/>
      <c r="B324" s="244"/>
      <c r="C324" s="245"/>
      <c r="D324" s="246"/>
      <c r="E324" s="245"/>
      <c r="F324" s="247"/>
      <c r="G324" s="244"/>
      <c r="H324" s="243"/>
      <c r="I324" s="244"/>
      <c r="J324" s="244"/>
      <c r="K324" s="244"/>
      <c r="L324" s="248"/>
      <c r="M324" s="248"/>
      <c r="N324" s="244"/>
      <c r="O324" s="249"/>
      <c r="P324" s="249"/>
      <c r="Q324" s="208"/>
      <c r="R324" s="208"/>
      <c r="S324" s="208"/>
      <c r="T324" s="208"/>
      <c r="U324" s="208"/>
      <c r="V324" s="208"/>
      <c r="W324" s="208"/>
      <c r="X324" s="208"/>
      <c r="Y324" s="208"/>
      <c r="Z324" s="208"/>
      <c r="AA324" s="208"/>
      <c r="AB324" s="208"/>
    </row>
    <row r="325" ht="15.75" customHeight="1">
      <c r="A325" s="243"/>
      <c r="B325" s="244"/>
      <c r="C325" s="245"/>
      <c r="D325" s="246"/>
      <c r="E325" s="245"/>
      <c r="F325" s="247"/>
      <c r="G325" s="244"/>
      <c r="H325" s="243"/>
      <c r="I325" s="244"/>
      <c r="J325" s="244"/>
      <c r="K325" s="244"/>
      <c r="L325" s="248"/>
      <c r="M325" s="248"/>
      <c r="N325" s="244"/>
      <c r="O325" s="249"/>
      <c r="P325" s="249"/>
      <c r="Q325" s="208"/>
      <c r="R325" s="208"/>
      <c r="S325" s="208"/>
      <c r="T325" s="208"/>
      <c r="U325" s="208"/>
      <c r="V325" s="208"/>
      <c r="W325" s="208"/>
      <c r="X325" s="208"/>
      <c r="Y325" s="208"/>
      <c r="Z325" s="208"/>
      <c r="AA325" s="208"/>
      <c r="AB325" s="208"/>
    </row>
    <row r="326" ht="15.75" customHeight="1">
      <c r="A326" s="243"/>
      <c r="B326" s="244"/>
      <c r="C326" s="245"/>
      <c r="D326" s="246"/>
      <c r="E326" s="245"/>
      <c r="F326" s="247"/>
      <c r="G326" s="244"/>
      <c r="H326" s="243"/>
      <c r="I326" s="244"/>
      <c r="J326" s="244"/>
      <c r="K326" s="244"/>
      <c r="L326" s="248"/>
      <c r="M326" s="248"/>
      <c r="N326" s="244"/>
      <c r="O326" s="249"/>
      <c r="P326" s="249"/>
      <c r="Q326" s="208"/>
      <c r="R326" s="208"/>
      <c r="S326" s="208"/>
      <c r="T326" s="208"/>
      <c r="U326" s="208"/>
      <c r="V326" s="208"/>
      <c r="W326" s="208"/>
      <c r="X326" s="208"/>
      <c r="Y326" s="208"/>
      <c r="Z326" s="208"/>
      <c r="AA326" s="208"/>
      <c r="AB326" s="208"/>
    </row>
    <row r="327" ht="15.75" customHeight="1">
      <c r="A327" s="243"/>
      <c r="B327" s="244"/>
      <c r="C327" s="245"/>
      <c r="D327" s="246"/>
      <c r="E327" s="245"/>
      <c r="F327" s="247"/>
      <c r="G327" s="244"/>
      <c r="H327" s="243"/>
      <c r="I327" s="244"/>
      <c r="J327" s="244"/>
      <c r="K327" s="244"/>
      <c r="L327" s="248"/>
      <c r="M327" s="248"/>
      <c r="N327" s="244"/>
      <c r="O327" s="249"/>
      <c r="P327" s="249"/>
      <c r="Q327" s="208"/>
      <c r="R327" s="208"/>
      <c r="S327" s="208"/>
      <c r="T327" s="208"/>
      <c r="U327" s="208"/>
      <c r="V327" s="208"/>
      <c r="W327" s="208"/>
      <c r="X327" s="208"/>
      <c r="Y327" s="208"/>
      <c r="Z327" s="208"/>
      <c r="AA327" s="208"/>
      <c r="AB327" s="208"/>
    </row>
    <row r="328" ht="15.75" customHeight="1">
      <c r="A328" s="243"/>
      <c r="B328" s="244"/>
      <c r="C328" s="245"/>
      <c r="D328" s="246"/>
      <c r="E328" s="245"/>
      <c r="F328" s="247"/>
      <c r="G328" s="244"/>
      <c r="H328" s="243"/>
      <c r="I328" s="244"/>
      <c r="J328" s="244"/>
      <c r="K328" s="244"/>
      <c r="L328" s="248"/>
      <c r="M328" s="248"/>
      <c r="N328" s="244"/>
      <c r="O328" s="249"/>
      <c r="P328" s="249"/>
      <c r="Q328" s="208"/>
      <c r="R328" s="208"/>
      <c r="S328" s="208"/>
      <c r="T328" s="208"/>
      <c r="U328" s="208"/>
      <c r="V328" s="208"/>
      <c r="W328" s="208"/>
      <c r="X328" s="208"/>
      <c r="Y328" s="208"/>
      <c r="Z328" s="208"/>
      <c r="AA328" s="208"/>
      <c r="AB328" s="208"/>
    </row>
    <row r="329" ht="15.75" customHeight="1">
      <c r="A329" s="243"/>
      <c r="B329" s="244"/>
      <c r="C329" s="245"/>
      <c r="D329" s="246"/>
      <c r="E329" s="245"/>
      <c r="F329" s="247"/>
      <c r="G329" s="244"/>
      <c r="H329" s="243"/>
      <c r="I329" s="244"/>
      <c r="J329" s="244"/>
      <c r="K329" s="244"/>
      <c r="L329" s="248"/>
      <c r="M329" s="248"/>
      <c r="N329" s="244"/>
      <c r="O329" s="249"/>
      <c r="P329" s="249"/>
      <c r="Q329" s="208"/>
      <c r="R329" s="208"/>
      <c r="S329" s="208"/>
      <c r="T329" s="208"/>
      <c r="U329" s="208"/>
      <c r="V329" s="208"/>
      <c r="W329" s="208"/>
      <c r="X329" s="208"/>
      <c r="Y329" s="208"/>
      <c r="Z329" s="208"/>
      <c r="AA329" s="208"/>
      <c r="AB329" s="208"/>
    </row>
    <row r="330" ht="15.75" customHeight="1">
      <c r="A330" s="243"/>
      <c r="B330" s="244"/>
      <c r="C330" s="245"/>
      <c r="D330" s="246"/>
      <c r="E330" s="245"/>
      <c r="F330" s="247"/>
      <c r="G330" s="244"/>
      <c r="H330" s="243"/>
      <c r="I330" s="244"/>
      <c r="J330" s="244"/>
      <c r="K330" s="244"/>
      <c r="L330" s="248"/>
      <c r="M330" s="248"/>
      <c r="N330" s="244"/>
      <c r="O330" s="249"/>
      <c r="P330" s="249"/>
      <c r="Q330" s="208"/>
      <c r="R330" s="208"/>
      <c r="S330" s="208"/>
      <c r="T330" s="208"/>
      <c r="U330" s="208"/>
      <c r="V330" s="208"/>
      <c r="W330" s="208"/>
      <c r="X330" s="208"/>
      <c r="Y330" s="208"/>
      <c r="Z330" s="208"/>
      <c r="AA330" s="208"/>
      <c r="AB330" s="208"/>
    </row>
    <row r="331" ht="15.75" customHeight="1">
      <c r="A331" s="243"/>
      <c r="B331" s="244"/>
      <c r="C331" s="245"/>
      <c r="D331" s="246"/>
      <c r="E331" s="245"/>
      <c r="F331" s="247"/>
      <c r="G331" s="244"/>
      <c r="H331" s="243"/>
      <c r="I331" s="244"/>
      <c r="J331" s="244"/>
      <c r="K331" s="244"/>
      <c r="L331" s="248"/>
      <c r="M331" s="248"/>
      <c r="N331" s="244"/>
      <c r="O331" s="249"/>
      <c r="P331" s="249"/>
      <c r="Q331" s="208"/>
      <c r="R331" s="208"/>
      <c r="S331" s="208"/>
      <c r="T331" s="208"/>
      <c r="U331" s="208"/>
      <c r="V331" s="208"/>
      <c r="W331" s="208"/>
      <c r="X331" s="208"/>
      <c r="Y331" s="208"/>
      <c r="Z331" s="208"/>
      <c r="AA331" s="208"/>
      <c r="AB331" s="208"/>
    </row>
    <row r="332" ht="15.75" customHeight="1">
      <c r="A332" s="243"/>
      <c r="B332" s="244"/>
      <c r="C332" s="245"/>
      <c r="D332" s="246"/>
      <c r="E332" s="245"/>
      <c r="F332" s="247"/>
      <c r="G332" s="244"/>
      <c r="H332" s="243"/>
      <c r="I332" s="244"/>
      <c r="J332" s="244"/>
      <c r="K332" s="244"/>
      <c r="L332" s="248"/>
      <c r="M332" s="248"/>
      <c r="N332" s="244"/>
      <c r="O332" s="249"/>
      <c r="P332" s="249"/>
      <c r="Q332" s="208"/>
      <c r="R332" s="208"/>
      <c r="S332" s="208"/>
      <c r="T332" s="208"/>
      <c r="U332" s="208"/>
      <c r="V332" s="208"/>
      <c r="W332" s="208"/>
      <c r="X332" s="208"/>
      <c r="Y332" s="208"/>
      <c r="Z332" s="208"/>
      <c r="AA332" s="208"/>
      <c r="AB332" s="208"/>
    </row>
    <row r="333" ht="15.75" customHeight="1">
      <c r="A333" s="243"/>
      <c r="B333" s="244"/>
      <c r="C333" s="245"/>
      <c r="D333" s="246"/>
      <c r="E333" s="245"/>
      <c r="F333" s="247"/>
      <c r="G333" s="244"/>
      <c r="H333" s="243"/>
      <c r="I333" s="244"/>
      <c r="J333" s="244"/>
      <c r="K333" s="244"/>
      <c r="L333" s="248"/>
      <c r="M333" s="248"/>
      <c r="N333" s="244"/>
      <c r="O333" s="249"/>
      <c r="P333" s="249"/>
      <c r="Q333" s="208"/>
      <c r="R333" s="208"/>
      <c r="S333" s="208"/>
      <c r="T333" s="208"/>
      <c r="U333" s="208"/>
      <c r="V333" s="208"/>
      <c r="W333" s="208"/>
      <c r="X333" s="208"/>
      <c r="Y333" s="208"/>
      <c r="Z333" s="208"/>
      <c r="AA333" s="208"/>
      <c r="AB333" s="208"/>
    </row>
    <row r="334" ht="15.75" customHeight="1">
      <c r="A334" s="243"/>
      <c r="B334" s="244"/>
      <c r="C334" s="245"/>
      <c r="D334" s="246"/>
      <c r="E334" s="245"/>
      <c r="F334" s="247"/>
      <c r="G334" s="244"/>
      <c r="H334" s="243"/>
      <c r="I334" s="244"/>
      <c r="J334" s="244"/>
      <c r="K334" s="244"/>
      <c r="L334" s="248"/>
      <c r="M334" s="248"/>
      <c r="N334" s="244"/>
      <c r="O334" s="249"/>
      <c r="P334" s="249"/>
      <c r="Q334" s="208"/>
      <c r="R334" s="208"/>
      <c r="S334" s="208"/>
      <c r="T334" s="208"/>
      <c r="U334" s="208"/>
      <c r="V334" s="208"/>
      <c r="W334" s="208"/>
      <c r="X334" s="208"/>
      <c r="Y334" s="208"/>
      <c r="Z334" s="208"/>
      <c r="AA334" s="208"/>
      <c r="AB334" s="208"/>
    </row>
    <row r="335" ht="15.75" customHeight="1">
      <c r="A335" s="243"/>
      <c r="B335" s="244"/>
      <c r="C335" s="245"/>
      <c r="D335" s="246"/>
      <c r="E335" s="245"/>
      <c r="F335" s="247"/>
      <c r="G335" s="244"/>
      <c r="H335" s="243"/>
      <c r="I335" s="244"/>
      <c r="J335" s="244"/>
      <c r="K335" s="244"/>
      <c r="L335" s="248"/>
      <c r="M335" s="248"/>
      <c r="N335" s="244"/>
      <c r="O335" s="249"/>
      <c r="P335" s="249"/>
      <c r="Q335" s="208"/>
      <c r="R335" s="208"/>
      <c r="S335" s="208"/>
      <c r="T335" s="208"/>
      <c r="U335" s="208"/>
      <c r="V335" s="208"/>
      <c r="W335" s="208"/>
      <c r="X335" s="208"/>
      <c r="Y335" s="208"/>
      <c r="Z335" s="208"/>
      <c r="AA335" s="208"/>
      <c r="AB335" s="208"/>
    </row>
    <row r="336" ht="15.75" customHeight="1">
      <c r="A336" s="243"/>
      <c r="B336" s="244"/>
      <c r="C336" s="245"/>
      <c r="D336" s="246"/>
      <c r="E336" s="245"/>
      <c r="F336" s="247"/>
      <c r="G336" s="244"/>
      <c r="H336" s="243"/>
      <c r="I336" s="244"/>
      <c r="J336" s="244"/>
      <c r="K336" s="244"/>
      <c r="L336" s="248"/>
      <c r="M336" s="248"/>
      <c r="N336" s="244"/>
      <c r="O336" s="249"/>
      <c r="P336" s="249"/>
      <c r="Q336" s="208"/>
      <c r="R336" s="208"/>
      <c r="S336" s="208"/>
      <c r="T336" s="208"/>
      <c r="U336" s="208"/>
      <c r="V336" s="208"/>
      <c r="W336" s="208"/>
      <c r="X336" s="208"/>
      <c r="Y336" s="208"/>
      <c r="Z336" s="208"/>
      <c r="AA336" s="208"/>
      <c r="AB336" s="208"/>
    </row>
    <row r="337" ht="15.75" customHeight="1">
      <c r="A337" s="243"/>
      <c r="B337" s="244"/>
      <c r="C337" s="245"/>
      <c r="D337" s="246"/>
      <c r="E337" s="245"/>
      <c r="F337" s="247"/>
      <c r="G337" s="244"/>
      <c r="H337" s="243"/>
      <c r="I337" s="244"/>
      <c r="J337" s="244"/>
      <c r="K337" s="244"/>
      <c r="L337" s="248"/>
      <c r="M337" s="248"/>
      <c r="N337" s="244"/>
      <c r="O337" s="249"/>
      <c r="P337" s="249"/>
      <c r="Q337" s="208"/>
      <c r="R337" s="208"/>
      <c r="S337" s="208"/>
      <c r="T337" s="208"/>
      <c r="U337" s="208"/>
      <c r="V337" s="208"/>
      <c r="W337" s="208"/>
      <c r="X337" s="208"/>
      <c r="Y337" s="208"/>
      <c r="Z337" s="208"/>
      <c r="AA337" s="208"/>
      <c r="AB337" s="208"/>
    </row>
    <row r="338" ht="15.75" customHeight="1">
      <c r="A338" s="243"/>
      <c r="B338" s="244"/>
      <c r="C338" s="245"/>
      <c r="D338" s="246"/>
      <c r="E338" s="245"/>
      <c r="F338" s="247"/>
      <c r="G338" s="244"/>
      <c r="H338" s="243"/>
      <c r="I338" s="244"/>
      <c r="J338" s="244"/>
      <c r="K338" s="244"/>
      <c r="L338" s="248"/>
      <c r="M338" s="248"/>
      <c r="N338" s="244"/>
      <c r="O338" s="249"/>
      <c r="P338" s="249"/>
      <c r="Q338" s="208"/>
      <c r="R338" s="208"/>
      <c r="S338" s="208"/>
      <c r="T338" s="208"/>
      <c r="U338" s="208"/>
      <c r="V338" s="208"/>
      <c r="W338" s="208"/>
      <c r="X338" s="208"/>
      <c r="Y338" s="208"/>
      <c r="Z338" s="208"/>
      <c r="AA338" s="208"/>
      <c r="AB338" s="208"/>
    </row>
    <row r="339" ht="15.75" customHeight="1">
      <c r="A339" s="243"/>
      <c r="B339" s="244"/>
      <c r="C339" s="245"/>
      <c r="D339" s="246"/>
      <c r="E339" s="245"/>
      <c r="F339" s="247"/>
      <c r="G339" s="244"/>
      <c r="H339" s="243"/>
      <c r="I339" s="244"/>
      <c r="J339" s="244"/>
      <c r="K339" s="244"/>
      <c r="L339" s="248"/>
      <c r="M339" s="248"/>
      <c r="N339" s="244"/>
      <c r="O339" s="249"/>
      <c r="P339" s="249"/>
      <c r="Q339" s="208"/>
      <c r="R339" s="208"/>
      <c r="S339" s="208"/>
      <c r="T339" s="208"/>
      <c r="U339" s="208"/>
      <c r="V339" s="208"/>
      <c r="W339" s="208"/>
      <c r="X339" s="208"/>
      <c r="Y339" s="208"/>
      <c r="Z339" s="208"/>
      <c r="AA339" s="208"/>
      <c r="AB339" s="208"/>
    </row>
    <row r="340" ht="15.75" customHeight="1">
      <c r="A340" s="243"/>
      <c r="B340" s="244"/>
      <c r="C340" s="245"/>
      <c r="D340" s="246"/>
      <c r="E340" s="245"/>
      <c r="F340" s="247"/>
      <c r="G340" s="244"/>
      <c r="H340" s="243"/>
      <c r="I340" s="244"/>
      <c r="J340" s="244"/>
      <c r="K340" s="244"/>
      <c r="L340" s="248"/>
      <c r="M340" s="248"/>
      <c r="N340" s="244"/>
      <c r="O340" s="249"/>
      <c r="P340" s="249"/>
      <c r="Q340" s="208"/>
      <c r="R340" s="208"/>
      <c r="S340" s="208"/>
      <c r="T340" s="208"/>
      <c r="U340" s="208"/>
      <c r="V340" s="208"/>
      <c r="W340" s="208"/>
      <c r="X340" s="208"/>
      <c r="Y340" s="208"/>
      <c r="Z340" s="208"/>
      <c r="AA340" s="208"/>
      <c r="AB340" s="208"/>
    </row>
    <row r="341" ht="15.75" customHeight="1">
      <c r="A341" s="243"/>
      <c r="B341" s="244"/>
      <c r="C341" s="245"/>
      <c r="D341" s="246"/>
      <c r="E341" s="245"/>
      <c r="F341" s="247"/>
      <c r="G341" s="244"/>
      <c r="H341" s="243"/>
      <c r="I341" s="244"/>
      <c r="J341" s="244"/>
      <c r="K341" s="244"/>
      <c r="L341" s="248"/>
      <c r="M341" s="248"/>
      <c r="N341" s="244"/>
      <c r="O341" s="249"/>
      <c r="P341" s="249"/>
      <c r="Q341" s="208"/>
      <c r="R341" s="208"/>
      <c r="S341" s="208"/>
      <c r="T341" s="208"/>
      <c r="U341" s="208"/>
      <c r="V341" s="208"/>
      <c r="W341" s="208"/>
      <c r="X341" s="208"/>
      <c r="Y341" s="208"/>
      <c r="Z341" s="208"/>
      <c r="AA341" s="208"/>
      <c r="AB341" s="208"/>
    </row>
    <row r="342" ht="15.75" customHeight="1">
      <c r="A342" s="243"/>
      <c r="B342" s="244"/>
      <c r="C342" s="245"/>
      <c r="D342" s="246"/>
      <c r="E342" s="245"/>
      <c r="F342" s="247"/>
      <c r="G342" s="244"/>
      <c r="H342" s="243"/>
      <c r="I342" s="244"/>
      <c r="J342" s="244"/>
      <c r="K342" s="244"/>
      <c r="L342" s="248"/>
      <c r="M342" s="248"/>
      <c r="N342" s="244"/>
      <c r="O342" s="249"/>
      <c r="P342" s="249"/>
      <c r="Q342" s="208"/>
      <c r="R342" s="208"/>
      <c r="S342" s="208"/>
      <c r="T342" s="208"/>
      <c r="U342" s="208"/>
      <c r="V342" s="208"/>
      <c r="W342" s="208"/>
      <c r="X342" s="208"/>
      <c r="Y342" s="208"/>
      <c r="Z342" s="208"/>
      <c r="AA342" s="208"/>
      <c r="AB342" s="208"/>
    </row>
    <row r="343" ht="15.75" customHeight="1">
      <c r="A343" s="243"/>
      <c r="B343" s="244"/>
      <c r="C343" s="245"/>
      <c r="D343" s="246"/>
      <c r="E343" s="245"/>
      <c r="F343" s="247"/>
      <c r="G343" s="244"/>
      <c r="H343" s="243"/>
      <c r="I343" s="244"/>
      <c r="J343" s="244"/>
      <c r="K343" s="244"/>
      <c r="L343" s="248"/>
      <c r="M343" s="248"/>
      <c r="N343" s="244"/>
      <c r="O343" s="249"/>
      <c r="P343" s="249"/>
      <c r="Q343" s="208"/>
      <c r="R343" s="208"/>
      <c r="S343" s="208"/>
      <c r="T343" s="208"/>
      <c r="U343" s="208"/>
      <c r="V343" s="208"/>
      <c r="W343" s="208"/>
      <c r="X343" s="208"/>
      <c r="Y343" s="208"/>
      <c r="Z343" s="208"/>
      <c r="AA343" s="208"/>
      <c r="AB343" s="208"/>
    </row>
    <row r="344" ht="15.75" customHeight="1">
      <c r="A344" s="243"/>
      <c r="B344" s="244"/>
      <c r="C344" s="245"/>
      <c r="D344" s="246"/>
      <c r="E344" s="245"/>
      <c r="F344" s="247"/>
      <c r="G344" s="244"/>
      <c r="H344" s="243"/>
      <c r="I344" s="244"/>
      <c r="J344" s="244"/>
      <c r="K344" s="244"/>
      <c r="L344" s="248"/>
      <c r="M344" s="248"/>
      <c r="N344" s="244"/>
      <c r="O344" s="249"/>
      <c r="P344" s="249"/>
      <c r="Q344" s="208"/>
      <c r="R344" s="208"/>
      <c r="S344" s="208"/>
      <c r="T344" s="208"/>
      <c r="U344" s="208"/>
      <c r="V344" s="208"/>
      <c r="W344" s="208"/>
      <c r="X344" s="208"/>
      <c r="Y344" s="208"/>
      <c r="Z344" s="208"/>
      <c r="AA344" s="208"/>
      <c r="AB344" s="208"/>
    </row>
    <row r="345" ht="15.75" customHeight="1">
      <c r="A345" s="243"/>
      <c r="B345" s="244"/>
      <c r="C345" s="245"/>
      <c r="D345" s="246"/>
      <c r="E345" s="245"/>
      <c r="F345" s="247"/>
      <c r="G345" s="244"/>
      <c r="H345" s="243"/>
      <c r="I345" s="244"/>
      <c r="J345" s="244"/>
      <c r="K345" s="244"/>
      <c r="L345" s="248"/>
      <c r="M345" s="248"/>
      <c r="N345" s="244"/>
      <c r="O345" s="249"/>
      <c r="P345" s="249"/>
      <c r="Q345" s="208"/>
      <c r="R345" s="208"/>
      <c r="S345" s="208"/>
      <c r="T345" s="208"/>
      <c r="U345" s="208"/>
      <c r="V345" s="208"/>
      <c r="W345" s="208"/>
      <c r="X345" s="208"/>
      <c r="Y345" s="208"/>
      <c r="Z345" s="208"/>
      <c r="AA345" s="208"/>
      <c r="AB345" s="208"/>
    </row>
    <row r="346" ht="15.75" customHeight="1">
      <c r="A346" s="243"/>
      <c r="B346" s="244"/>
      <c r="C346" s="245"/>
      <c r="D346" s="246"/>
      <c r="E346" s="245"/>
      <c r="F346" s="247"/>
      <c r="G346" s="244"/>
      <c r="H346" s="243"/>
      <c r="I346" s="244"/>
      <c r="J346" s="244"/>
      <c r="K346" s="244"/>
      <c r="L346" s="248"/>
      <c r="M346" s="248"/>
      <c r="N346" s="244"/>
      <c r="O346" s="249"/>
      <c r="P346" s="249"/>
      <c r="Q346" s="208"/>
      <c r="R346" s="208"/>
      <c r="S346" s="208"/>
      <c r="T346" s="208"/>
      <c r="U346" s="208"/>
      <c r="V346" s="208"/>
      <c r="W346" s="208"/>
      <c r="X346" s="208"/>
      <c r="Y346" s="208"/>
      <c r="Z346" s="208"/>
      <c r="AA346" s="208"/>
      <c r="AB346" s="208"/>
    </row>
    <row r="347" ht="15.75" customHeight="1">
      <c r="A347" s="243"/>
      <c r="B347" s="244"/>
      <c r="C347" s="245"/>
      <c r="D347" s="246"/>
      <c r="E347" s="245"/>
      <c r="F347" s="247"/>
      <c r="G347" s="244"/>
      <c r="H347" s="243"/>
      <c r="I347" s="244"/>
      <c r="J347" s="244"/>
      <c r="K347" s="244"/>
      <c r="L347" s="248"/>
      <c r="M347" s="248"/>
      <c r="N347" s="244"/>
      <c r="O347" s="249"/>
      <c r="P347" s="249"/>
      <c r="Q347" s="208"/>
      <c r="R347" s="208"/>
      <c r="S347" s="208"/>
      <c r="T347" s="208"/>
      <c r="U347" s="208"/>
      <c r="V347" s="208"/>
      <c r="W347" s="208"/>
      <c r="X347" s="208"/>
      <c r="Y347" s="208"/>
      <c r="Z347" s="208"/>
      <c r="AA347" s="208"/>
      <c r="AB347" s="208"/>
    </row>
    <row r="348" ht="15.75" customHeight="1">
      <c r="A348" s="243"/>
      <c r="B348" s="244"/>
      <c r="C348" s="245"/>
      <c r="D348" s="246"/>
      <c r="E348" s="245"/>
      <c r="F348" s="247"/>
      <c r="G348" s="244"/>
      <c r="H348" s="243"/>
      <c r="I348" s="244"/>
      <c r="J348" s="244"/>
      <c r="K348" s="244"/>
      <c r="L348" s="248"/>
      <c r="M348" s="248"/>
      <c r="N348" s="244"/>
      <c r="O348" s="249"/>
      <c r="P348" s="249"/>
      <c r="Q348" s="208"/>
      <c r="R348" s="208"/>
      <c r="S348" s="208"/>
      <c r="T348" s="208"/>
      <c r="U348" s="208"/>
      <c r="V348" s="208"/>
      <c r="W348" s="208"/>
      <c r="X348" s="208"/>
      <c r="Y348" s="208"/>
      <c r="Z348" s="208"/>
      <c r="AA348" s="208"/>
      <c r="AB348" s="208"/>
    </row>
    <row r="349" ht="15.75" customHeight="1">
      <c r="A349" s="243"/>
      <c r="B349" s="244"/>
      <c r="C349" s="245"/>
      <c r="D349" s="246"/>
      <c r="E349" s="245"/>
      <c r="F349" s="247"/>
      <c r="G349" s="244"/>
      <c r="H349" s="243"/>
      <c r="I349" s="244"/>
      <c r="J349" s="244"/>
      <c r="K349" s="244"/>
      <c r="L349" s="248"/>
      <c r="M349" s="248"/>
      <c r="N349" s="244"/>
      <c r="O349" s="249"/>
      <c r="P349" s="249"/>
      <c r="Q349" s="208"/>
      <c r="R349" s="208"/>
      <c r="S349" s="208"/>
      <c r="T349" s="208"/>
      <c r="U349" s="208"/>
      <c r="V349" s="208"/>
      <c r="W349" s="208"/>
      <c r="X349" s="208"/>
      <c r="Y349" s="208"/>
      <c r="Z349" s="208"/>
      <c r="AA349" s="208"/>
      <c r="AB349" s="208"/>
    </row>
    <row r="350" ht="15.75" customHeight="1">
      <c r="A350" s="243"/>
      <c r="B350" s="244"/>
      <c r="C350" s="245"/>
      <c r="D350" s="246"/>
      <c r="E350" s="245"/>
      <c r="F350" s="247"/>
      <c r="G350" s="244"/>
      <c r="H350" s="243"/>
      <c r="I350" s="244"/>
      <c r="J350" s="244"/>
      <c r="K350" s="244"/>
      <c r="L350" s="248"/>
      <c r="M350" s="248"/>
      <c r="N350" s="244"/>
      <c r="O350" s="249"/>
      <c r="P350" s="249"/>
      <c r="Q350" s="208"/>
      <c r="R350" s="208"/>
      <c r="S350" s="208"/>
      <c r="T350" s="208"/>
      <c r="U350" s="208"/>
      <c r="V350" s="208"/>
      <c r="W350" s="208"/>
      <c r="X350" s="208"/>
      <c r="Y350" s="208"/>
      <c r="Z350" s="208"/>
      <c r="AA350" s="208"/>
      <c r="AB350" s="208"/>
    </row>
    <row r="351" ht="15.75" customHeight="1">
      <c r="A351" s="243"/>
      <c r="B351" s="244"/>
      <c r="C351" s="245"/>
      <c r="D351" s="246"/>
      <c r="E351" s="245"/>
      <c r="F351" s="247"/>
      <c r="G351" s="244"/>
      <c r="H351" s="243"/>
      <c r="I351" s="244"/>
      <c r="J351" s="244"/>
      <c r="K351" s="244"/>
      <c r="L351" s="248"/>
      <c r="M351" s="248"/>
      <c r="N351" s="244"/>
      <c r="O351" s="249"/>
      <c r="P351" s="249"/>
      <c r="Q351" s="208"/>
      <c r="R351" s="208"/>
      <c r="S351" s="208"/>
      <c r="T351" s="208"/>
      <c r="U351" s="208"/>
      <c r="V351" s="208"/>
      <c r="W351" s="208"/>
      <c r="X351" s="208"/>
      <c r="Y351" s="208"/>
      <c r="Z351" s="208"/>
      <c r="AA351" s="208"/>
      <c r="AB351" s="208"/>
    </row>
    <row r="352" ht="15.75" customHeight="1">
      <c r="A352" s="243"/>
      <c r="B352" s="244"/>
      <c r="C352" s="245"/>
      <c r="D352" s="246"/>
      <c r="E352" s="245"/>
      <c r="F352" s="247"/>
      <c r="G352" s="244"/>
      <c r="H352" s="243"/>
      <c r="I352" s="244"/>
      <c r="J352" s="244"/>
      <c r="K352" s="244"/>
      <c r="L352" s="248"/>
      <c r="M352" s="248"/>
      <c r="N352" s="244"/>
      <c r="O352" s="249"/>
      <c r="P352" s="249"/>
      <c r="Q352" s="208"/>
      <c r="R352" s="208"/>
      <c r="S352" s="208"/>
      <c r="T352" s="208"/>
      <c r="U352" s="208"/>
      <c r="V352" s="208"/>
      <c r="W352" s="208"/>
      <c r="X352" s="208"/>
      <c r="Y352" s="208"/>
      <c r="Z352" s="208"/>
      <c r="AA352" s="208"/>
      <c r="AB352" s="208"/>
    </row>
    <row r="353" ht="15.75" customHeight="1">
      <c r="A353" s="243"/>
      <c r="B353" s="244"/>
      <c r="C353" s="245"/>
      <c r="D353" s="246"/>
      <c r="E353" s="245"/>
      <c r="F353" s="247"/>
      <c r="G353" s="244"/>
      <c r="H353" s="243"/>
      <c r="I353" s="244"/>
      <c r="J353" s="244"/>
      <c r="K353" s="244"/>
      <c r="L353" s="248"/>
      <c r="M353" s="248"/>
      <c r="N353" s="244"/>
      <c r="O353" s="249"/>
      <c r="P353" s="249"/>
      <c r="Q353" s="208"/>
      <c r="R353" s="208"/>
      <c r="S353" s="208"/>
      <c r="T353" s="208"/>
      <c r="U353" s="208"/>
      <c r="V353" s="208"/>
      <c r="W353" s="208"/>
      <c r="X353" s="208"/>
      <c r="Y353" s="208"/>
      <c r="Z353" s="208"/>
      <c r="AA353" s="208"/>
      <c r="AB353" s="208"/>
    </row>
    <row r="354" ht="15.75" customHeight="1">
      <c r="A354" s="243"/>
      <c r="B354" s="244"/>
      <c r="C354" s="245"/>
      <c r="D354" s="246"/>
      <c r="E354" s="245"/>
      <c r="F354" s="247"/>
      <c r="G354" s="244"/>
      <c r="H354" s="243"/>
      <c r="I354" s="244"/>
      <c r="J354" s="244"/>
      <c r="K354" s="244"/>
      <c r="L354" s="248"/>
      <c r="M354" s="248"/>
      <c r="N354" s="244"/>
      <c r="O354" s="249"/>
      <c r="P354" s="249"/>
      <c r="Q354" s="208"/>
      <c r="R354" s="208"/>
      <c r="S354" s="208"/>
      <c r="T354" s="208"/>
      <c r="U354" s="208"/>
      <c r="V354" s="208"/>
      <c r="W354" s="208"/>
      <c r="X354" s="208"/>
      <c r="Y354" s="208"/>
      <c r="Z354" s="208"/>
      <c r="AA354" s="208"/>
      <c r="AB354" s="208"/>
    </row>
    <row r="355" ht="15.75" customHeight="1">
      <c r="A355" s="243"/>
      <c r="B355" s="244"/>
      <c r="C355" s="245"/>
      <c r="D355" s="246"/>
      <c r="E355" s="245"/>
      <c r="F355" s="247"/>
      <c r="G355" s="244"/>
      <c r="H355" s="243"/>
      <c r="I355" s="244"/>
      <c r="J355" s="244"/>
      <c r="K355" s="244"/>
      <c r="L355" s="248"/>
      <c r="M355" s="248"/>
      <c r="N355" s="244"/>
      <c r="O355" s="249"/>
      <c r="P355" s="249"/>
      <c r="Q355" s="208"/>
      <c r="R355" s="208"/>
      <c r="S355" s="208"/>
      <c r="T355" s="208"/>
      <c r="U355" s="208"/>
      <c r="V355" s="208"/>
      <c r="W355" s="208"/>
      <c r="X355" s="208"/>
      <c r="Y355" s="208"/>
      <c r="Z355" s="208"/>
      <c r="AA355" s="208"/>
      <c r="AB355" s="208"/>
    </row>
    <row r="356" ht="15.75" customHeight="1">
      <c r="A356" s="243"/>
      <c r="B356" s="244"/>
      <c r="C356" s="245"/>
      <c r="D356" s="246"/>
      <c r="E356" s="245"/>
      <c r="F356" s="247"/>
      <c r="G356" s="244"/>
      <c r="H356" s="243"/>
      <c r="I356" s="244"/>
      <c r="J356" s="244"/>
      <c r="K356" s="244"/>
      <c r="L356" s="248"/>
      <c r="M356" s="248"/>
      <c r="N356" s="244"/>
      <c r="O356" s="249"/>
      <c r="P356" s="249"/>
      <c r="Q356" s="208"/>
      <c r="R356" s="208"/>
      <c r="S356" s="208"/>
      <c r="T356" s="208"/>
      <c r="U356" s="208"/>
      <c r="V356" s="208"/>
      <c r="W356" s="208"/>
      <c r="X356" s="208"/>
      <c r="Y356" s="208"/>
      <c r="Z356" s="208"/>
      <c r="AA356" s="208"/>
      <c r="AB356" s="208"/>
    </row>
    <row r="357" ht="15.75" customHeight="1">
      <c r="A357" s="243"/>
      <c r="B357" s="244"/>
      <c r="C357" s="245"/>
      <c r="D357" s="246"/>
      <c r="E357" s="245"/>
      <c r="F357" s="247"/>
      <c r="G357" s="244"/>
      <c r="H357" s="243"/>
      <c r="I357" s="244"/>
      <c r="J357" s="244"/>
      <c r="K357" s="244"/>
      <c r="L357" s="248"/>
      <c r="M357" s="248"/>
      <c r="N357" s="244"/>
      <c r="O357" s="249"/>
      <c r="P357" s="249"/>
      <c r="Q357" s="208"/>
      <c r="R357" s="208"/>
      <c r="S357" s="208"/>
      <c r="T357" s="208"/>
      <c r="U357" s="208"/>
      <c r="V357" s="208"/>
      <c r="W357" s="208"/>
      <c r="X357" s="208"/>
      <c r="Y357" s="208"/>
      <c r="Z357" s="208"/>
      <c r="AA357" s="208"/>
      <c r="AB357" s="208"/>
    </row>
    <row r="358" ht="15.75" customHeight="1">
      <c r="A358" s="243"/>
      <c r="B358" s="244"/>
      <c r="C358" s="245"/>
      <c r="D358" s="246"/>
      <c r="E358" s="245"/>
      <c r="F358" s="247"/>
      <c r="G358" s="244"/>
      <c r="H358" s="243"/>
      <c r="I358" s="244"/>
      <c r="J358" s="244"/>
      <c r="K358" s="244"/>
      <c r="L358" s="248"/>
      <c r="M358" s="248"/>
      <c r="N358" s="244"/>
      <c r="O358" s="249"/>
      <c r="P358" s="249"/>
      <c r="Q358" s="208"/>
      <c r="R358" s="208"/>
      <c r="S358" s="208"/>
      <c r="T358" s="208"/>
      <c r="U358" s="208"/>
      <c r="V358" s="208"/>
      <c r="W358" s="208"/>
      <c r="X358" s="208"/>
      <c r="Y358" s="208"/>
      <c r="Z358" s="208"/>
      <c r="AA358" s="208"/>
      <c r="AB358" s="208"/>
    </row>
    <row r="359" ht="15.75" customHeight="1">
      <c r="A359" s="243"/>
      <c r="B359" s="244"/>
      <c r="C359" s="245"/>
      <c r="D359" s="246"/>
      <c r="E359" s="245"/>
      <c r="F359" s="247"/>
      <c r="G359" s="244"/>
      <c r="H359" s="243"/>
      <c r="I359" s="244"/>
      <c r="J359" s="244"/>
      <c r="K359" s="244"/>
      <c r="L359" s="248"/>
      <c r="M359" s="248"/>
      <c r="N359" s="244"/>
      <c r="O359" s="249"/>
      <c r="P359" s="249"/>
      <c r="Q359" s="208"/>
      <c r="R359" s="208"/>
      <c r="S359" s="208"/>
      <c r="T359" s="208"/>
      <c r="U359" s="208"/>
      <c r="V359" s="208"/>
      <c r="W359" s="208"/>
      <c r="X359" s="208"/>
      <c r="Y359" s="208"/>
      <c r="Z359" s="208"/>
      <c r="AA359" s="208"/>
      <c r="AB359" s="208"/>
    </row>
    <row r="360" ht="15.75" customHeight="1">
      <c r="A360" s="243"/>
      <c r="B360" s="244"/>
      <c r="C360" s="245"/>
      <c r="D360" s="246"/>
      <c r="E360" s="245"/>
      <c r="F360" s="247"/>
      <c r="G360" s="244"/>
      <c r="H360" s="243"/>
      <c r="I360" s="244"/>
      <c r="J360" s="244"/>
      <c r="K360" s="244"/>
      <c r="L360" s="248"/>
      <c r="M360" s="248"/>
      <c r="N360" s="244"/>
      <c r="O360" s="249"/>
      <c r="P360" s="249"/>
      <c r="Q360" s="208"/>
      <c r="R360" s="208"/>
      <c r="S360" s="208"/>
      <c r="T360" s="208"/>
      <c r="U360" s="208"/>
      <c r="V360" s="208"/>
      <c r="W360" s="208"/>
      <c r="X360" s="208"/>
      <c r="Y360" s="208"/>
      <c r="Z360" s="208"/>
      <c r="AA360" s="208"/>
      <c r="AB360" s="208"/>
    </row>
    <row r="361" ht="15.75" customHeight="1">
      <c r="A361" s="243"/>
      <c r="B361" s="244"/>
      <c r="C361" s="245"/>
      <c r="D361" s="246"/>
      <c r="E361" s="245"/>
      <c r="F361" s="247"/>
      <c r="G361" s="244"/>
      <c r="H361" s="243"/>
      <c r="I361" s="244"/>
      <c r="J361" s="244"/>
      <c r="K361" s="244"/>
      <c r="L361" s="248"/>
      <c r="M361" s="248"/>
      <c r="N361" s="244"/>
      <c r="O361" s="249"/>
      <c r="P361" s="249"/>
      <c r="Q361" s="208"/>
      <c r="R361" s="208"/>
      <c r="S361" s="208"/>
      <c r="T361" s="208"/>
      <c r="U361" s="208"/>
      <c r="V361" s="208"/>
      <c r="W361" s="208"/>
      <c r="X361" s="208"/>
      <c r="Y361" s="208"/>
      <c r="Z361" s="208"/>
      <c r="AA361" s="208"/>
      <c r="AB361" s="208"/>
    </row>
    <row r="362" ht="15.75" customHeight="1">
      <c r="A362" s="243"/>
      <c r="B362" s="244"/>
      <c r="C362" s="245"/>
      <c r="D362" s="246"/>
      <c r="E362" s="245"/>
      <c r="F362" s="247"/>
      <c r="G362" s="244"/>
      <c r="H362" s="243"/>
      <c r="I362" s="244"/>
      <c r="J362" s="244"/>
      <c r="K362" s="244"/>
      <c r="L362" s="248"/>
      <c r="M362" s="248"/>
      <c r="N362" s="244"/>
      <c r="O362" s="249"/>
      <c r="P362" s="249"/>
      <c r="Q362" s="208"/>
      <c r="R362" s="208"/>
      <c r="S362" s="208"/>
      <c r="T362" s="208"/>
      <c r="U362" s="208"/>
      <c r="V362" s="208"/>
      <c r="W362" s="208"/>
      <c r="X362" s="208"/>
      <c r="Y362" s="208"/>
      <c r="Z362" s="208"/>
      <c r="AA362" s="208"/>
      <c r="AB362" s="208"/>
    </row>
    <row r="363" ht="15.75" customHeight="1">
      <c r="A363" s="243"/>
      <c r="B363" s="244"/>
      <c r="C363" s="245"/>
      <c r="D363" s="246"/>
      <c r="E363" s="245"/>
      <c r="F363" s="247"/>
      <c r="G363" s="244"/>
      <c r="H363" s="243"/>
      <c r="I363" s="244"/>
      <c r="J363" s="244"/>
      <c r="K363" s="244"/>
      <c r="L363" s="248"/>
      <c r="M363" s="248"/>
      <c r="N363" s="244"/>
      <c r="O363" s="249"/>
      <c r="P363" s="249"/>
      <c r="Q363" s="208"/>
      <c r="R363" s="208"/>
      <c r="S363" s="208"/>
      <c r="T363" s="208"/>
      <c r="U363" s="208"/>
      <c r="V363" s="208"/>
      <c r="W363" s="208"/>
      <c r="X363" s="208"/>
      <c r="Y363" s="208"/>
      <c r="Z363" s="208"/>
      <c r="AA363" s="208"/>
      <c r="AB363" s="208"/>
    </row>
    <row r="364" ht="15.75" customHeight="1">
      <c r="A364" s="243"/>
      <c r="B364" s="244"/>
      <c r="C364" s="245"/>
      <c r="D364" s="246"/>
      <c r="E364" s="245"/>
      <c r="F364" s="247"/>
      <c r="G364" s="244"/>
      <c r="H364" s="243"/>
      <c r="I364" s="244"/>
      <c r="J364" s="244"/>
      <c r="K364" s="244"/>
      <c r="L364" s="248"/>
      <c r="M364" s="248"/>
      <c r="N364" s="244"/>
      <c r="O364" s="249"/>
      <c r="P364" s="249"/>
      <c r="Q364" s="208"/>
      <c r="R364" s="208"/>
      <c r="S364" s="208"/>
      <c r="T364" s="208"/>
      <c r="U364" s="208"/>
      <c r="V364" s="208"/>
      <c r="W364" s="208"/>
      <c r="X364" s="208"/>
      <c r="Y364" s="208"/>
      <c r="Z364" s="208"/>
      <c r="AA364" s="208"/>
      <c r="AB364" s="208"/>
    </row>
    <row r="365" ht="15.75" customHeight="1">
      <c r="A365" s="243"/>
      <c r="B365" s="244"/>
      <c r="C365" s="245"/>
      <c r="D365" s="246"/>
      <c r="E365" s="245"/>
      <c r="F365" s="247"/>
      <c r="G365" s="244"/>
      <c r="H365" s="243"/>
      <c r="I365" s="244"/>
      <c r="J365" s="244"/>
      <c r="K365" s="244"/>
      <c r="L365" s="248"/>
      <c r="M365" s="248"/>
      <c r="N365" s="244"/>
      <c r="O365" s="249"/>
      <c r="P365" s="249"/>
      <c r="Q365" s="208"/>
      <c r="R365" s="208"/>
      <c r="S365" s="208"/>
      <c r="T365" s="208"/>
      <c r="U365" s="208"/>
      <c r="V365" s="208"/>
      <c r="W365" s="208"/>
      <c r="X365" s="208"/>
      <c r="Y365" s="208"/>
      <c r="Z365" s="208"/>
      <c r="AA365" s="208"/>
      <c r="AB365" s="208"/>
    </row>
    <row r="366" ht="15.75" customHeight="1">
      <c r="A366" s="243"/>
      <c r="B366" s="244"/>
      <c r="C366" s="245"/>
      <c r="D366" s="246"/>
      <c r="E366" s="245"/>
      <c r="F366" s="247"/>
      <c r="G366" s="244"/>
      <c r="H366" s="243"/>
      <c r="I366" s="244"/>
      <c r="J366" s="244"/>
      <c r="K366" s="244"/>
      <c r="L366" s="248"/>
      <c r="M366" s="248"/>
      <c r="N366" s="244"/>
      <c r="O366" s="249"/>
      <c r="P366" s="249"/>
      <c r="Q366" s="208"/>
      <c r="R366" s="208"/>
      <c r="S366" s="208"/>
      <c r="T366" s="208"/>
      <c r="U366" s="208"/>
      <c r="V366" s="208"/>
      <c r="W366" s="208"/>
      <c r="X366" s="208"/>
      <c r="Y366" s="208"/>
      <c r="Z366" s="208"/>
      <c r="AA366" s="208"/>
      <c r="AB366" s="208"/>
    </row>
    <row r="367" ht="15.75" customHeight="1">
      <c r="A367" s="243"/>
      <c r="B367" s="244"/>
      <c r="C367" s="245"/>
      <c r="D367" s="246"/>
      <c r="E367" s="245"/>
      <c r="F367" s="247"/>
      <c r="G367" s="244"/>
      <c r="H367" s="243"/>
      <c r="I367" s="244"/>
      <c r="J367" s="244"/>
      <c r="K367" s="244"/>
      <c r="L367" s="248"/>
      <c r="M367" s="248"/>
      <c r="N367" s="244"/>
      <c r="O367" s="249"/>
      <c r="P367" s="249"/>
      <c r="Q367" s="208"/>
      <c r="R367" s="208"/>
      <c r="S367" s="208"/>
      <c r="T367" s="208"/>
      <c r="U367" s="208"/>
      <c r="V367" s="208"/>
      <c r="W367" s="208"/>
      <c r="X367" s="208"/>
      <c r="Y367" s="208"/>
      <c r="Z367" s="208"/>
      <c r="AA367" s="208"/>
      <c r="AB367" s="208"/>
    </row>
    <row r="368" ht="15.75" customHeight="1">
      <c r="A368" s="243"/>
      <c r="B368" s="244"/>
      <c r="C368" s="245"/>
      <c r="D368" s="246"/>
      <c r="E368" s="245"/>
      <c r="F368" s="247"/>
      <c r="G368" s="244"/>
      <c r="H368" s="243"/>
      <c r="I368" s="244"/>
      <c r="J368" s="244"/>
      <c r="K368" s="244"/>
      <c r="L368" s="248"/>
      <c r="M368" s="248"/>
      <c r="N368" s="244"/>
      <c r="O368" s="249"/>
      <c r="P368" s="249"/>
      <c r="Q368" s="208"/>
      <c r="R368" s="208"/>
      <c r="S368" s="208"/>
      <c r="T368" s="208"/>
      <c r="U368" s="208"/>
      <c r="V368" s="208"/>
      <c r="W368" s="208"/>
      <c r="X368" s="208"/>
      <c r="Y368" s="208"/>
      <c r="Z368" s="208"/>
      <c r="AA368" s="208"/>
      <c r="AB368" s="208"/>
    </row>
    <row r="369" ht="15.75" customHeight="1">
      <c r="A369" s="243"/>
      <c r="B369" s="244"/>
      <c r="C369" s="245"/>
      <c r="D369" s="246"/>
      <c r="E369" s="245"/>
      <c r="F369" s="247"/>
      <c r="G369" s="244"/>
      <c r="H369" s="243"/>
      <c r="I369" s="244"/>
      <c r="J369" s="244"/>
      <c r="K369" s="244"/>
      <c r="L369" s="248"/>
      <c r="M369" s="248"/>
      <c r="N369" s="244"/>
      <c r="O369" s="249"/>
      <c r="P369" s="249"/>
      <c r="Q369" s="208"/>
      <c r="R369" s="208"/>
      <c r="S369" s="208"/>
      <c r="T369" s="208"/>
      <c r="U369" s="208"/>
      <c r="V369" s="208"/>
      <c r="W369" s="208"/>
      <c r="X369" s="208"/>
      <c r="Y369" s="208"/>
      <c r="Z369" s="208"/>
      <c r="AA369" s="208"/>
      <c r="AB369" s="208"/>
    </row>
    <row r="370" ht="15.75" customHeight="1">
      <c r="A370" s="243"/>
      <c r="B370" s="244"/>
      <c r="C370" s="245"/>
      <c r="D370" s="246"/>
      <c r="E370" s="245"/>
      <c r="F370" s="247"/>
      <c r="G370" s="244"/>
      <c r="H370" s="243"/>
      <c r="I370" s="244"/>
      <c r="J370" s="244"/>
      <c r="K370" s="244"/>
      <c r="L370" s="248"/>
      <c r="M370" s="248"/>
      <c r="N370" s="244"/>
      <c r="O370" s="249"/>
      <c r="P370" s="249"/>
      <c r="Q370" s="208"/>
      <c r="R370" s="208"/>
      <c r="S370" s="208"/>
      <c r="T370" s="208"/>
      <c r="U370" s="208"/>
      <c r="V370" s="208"/>
      <c r="W370" s="208"/>
      <c r="X370" s="208"/>
      <c r="Y370" s="208"/>
      <c r="Z370" s="208"/>
      <c r="AA370" s="208"/>
      <c r="AB370" s="208"/>
    </row>
    <row r="371" ht="15.75" customHeight="1">
      <c r="A371" s="243"/>
      <c r="B371" s="244"/>
      <c r="C371" s="245"/>
      <c r="D371" s="246"/>
      <c r="E371" s="245"/>
      <c r="F371" s="247"/>
      <c r="G371" s="244"/>
      <c r="H371" s="243"/>
      <c r="I371" s="244"/>
      <c r="J371" s="244"/>
      <c r="K371" s="244"/>
      <c r="L371" s="248"/>
      <c r="M371" s="248"/>
      <c r="N371" s="244"/>
      <c r="O371" s="249"/>
      <c r="P371" s="249"/>
      <c r="Q371" s="208"/>
      <c r="R371" s="208"/>
      <c r="S371" s="208"/>
      <c r="T371" s="208"/>
      <c r="U371" s="208"/>
      <c r="V371" s="208"/>
      <c r="W371" s="208"/>
      <c r="X371" s="208"/>
      <c r="Y371" s="208"/>
      <c r="Z371" s="208"/>
      <c r="AA371" s="208"/>
      <c r="AB371" s="208"/>
    </row>
    <row r="372" ht="15.75" customHeight="1">
      <c r="A372" s="243"/>
      <c r="B372" s="244"/>
      <c r="C372" s="245"/>
      <c r="D372" s="246"/>
      <c r="E372" s="245"/>
      <c r="F372" s="247"/>
      <c r="G372" s="244"/>
      <c r="H372" s="243"/>
      <c r="I372" s="244"/>
      <c r="J372" s="244"/>
      <c r="K372" s="244"/>
      <c r="L372" s="248"/>
      <c r="M372" s="248"/>
      <c r="N372" s="244"/>
      <c r="O372" s="249"/>
      <c r="P372" s="249"/>
      <c r="Q372" s="208"/>
      <c r="R372" s="208"/>
      <c r="S372" s="208"/>
      <c r="T372" s="208"/>
      <c r="U372" s="208"/>
      <c r="V372" s="208"/>
      <c r="W372" s="208"/>
      <c r="X372" s="208"/>
      <c r="Y372" s="208"/>
      <c r="Z372" s="208"/>
      <c r="AA372" s="208"/>
      <c r="AB372" s="208"/>
    </row>
    <row r="373" ht="15.75" customHeight="1">
      <c r="A373" s="243"/>
      <c r="B373" s="244"/>
      <c r="C373" s="245"/>
      <c r="D373" s="246"/>
      <c r="E373" s="245"/>
      <c r="F373" s="247"/>
      <c r="G373" s="244"/>
      <c r="H373" s="243"/>
      <c r="I373" s="244"/>
      <c r="J373" s="244"/>
      <c r="K373" s="244"/>
      <c r="L373" s="248"/>
      <c r="M373" s="248"/>
      <c r="N373" s="244"/>
      <c r="O373" s="249"/>
      <c r="P373" s="249"/>
      <c r="Q373" s="208"/>
      <c r="R373" s="208"/>
      <c r="S373" s="208"/>
      <c r="T373" s="208"/>
      <c r="U373" s="208"/>
      <c r="V373" s="208"/>
      <c r="W373" s="208"/>
      <c r="X373" s="208"/>
      <c r="Y373" s="208"/>
      <c r="Z373" s="208"/>
      <c r="AA373" s="208"/>
      <c r="AB373" s="208"/>
    </row>
    <row r="374" ht="15.75" customHeight="1">
      <c r="A374" s="243"/>
      <c r="B374" s="244"/>
      <c r="C374" s="245"/>
      <c r="D374" s="246"/>
      <c r="E374" s="245"/>
      <c r="F374" s="247"/>
      <c r="G374" s="244"/>
      <c r="H374" s="243"/>
      <c r="I374" s="244"/>
      <c r="J374" s="244"/>
      <c r="K374" s="244"/>
      <c r="L374" s="248"/>
      <c r="M374" s="248"/>
      <c r="N374" s="244"/>
      <c r="O374" s="249"/>
      <c r="P374" s="249"/>
      <c r="Q374" s="208"/>
      <c r="R374" s="208"/>
      <c r="S374" s="208"/>
      <c r="T374" s="208"/>
      <c r="U374" s="208"/>
      <c r="V374" s="208"/>
      <c r="W374" s="208"/>
      <c r="X374" s="208"/>
      <c r="Y374" s="208"/>
      <c r="Z374" s="208"/>
      <c r="AA374" s="208"/>
      <c r="AB374" s="208"/>
    </row>
    <row r="375" ht="15.75" customHeight="1">
      <c r="A375" s="243"/>
      <c r="B375" s="244"/>
      <c r="C375" s="245"/>
      <c r="D375" s="246"/>
      <c r="E375" s="245"/>
      <c r="F375" s="247"/>
      <c r="G375" s="244"/>
      <c r="H375" s="243"/>
      <c r="I375" s="244"/>
      <c r="J375" s="244"/>
      <c r="K375" s="244"/>
      <c r="L375" s="248"/>
      <c r="M375" s="248"/>
      <c r="N375" s="244"/>
      <c r="O375" s="249"/>
      <c r="P375" s="249"/>
      <c r="Q375" s="208"/>
      <c r="R375" s="208"/>
      <c r="S375" s="208"/>
      <c r="T375" s="208"/>
      <c r="U375" s="208"/>
      <c r="V375" s="208"/>
      <c r="W375" s="208"/>
      <c r="X375" s="208"/>
      <c r="Y375" s="208"/>
      <c r="Z375" s="208"/>
      <c r="AA375" s="208"/>
      <c r="AB375" s="208"/>
    </row>
    <row r="376" ht="15.75" customHeight="1">
      <c r="A376" s="243"/>
      <c r="B376" s="244"/>
      <c r="C376" s="245"/>
      <c r="D376" s="246"/>
      <c r="E376" s="245"/>
      <c r="F376" s="247"/>
      <c r="G376" s="244"/>
      <c r="H376" s="243"/>
      <c r="I376" s="244"/>
      <c r="J376" s="244"/>
      <c r="K376" s="244"/>
      <c r="L376" s="248"/>
      <c r="M376" s="248"/>
      <c r="N376" s="244"/>
      <c r="O376" s="249"/>
      <c r="P376" s="249"/>
      <c r="Q376" s="208"/>
      <c r="R376" s="208"/>
      <c r="S376" s="208"/>
      <c r="T376" s="208"/>
      <c r="U376" s="208"/>
      <c r="V376" s="208"/>
      <c r="W376" s="208"/>
      <c r="X376" s="208"/>
      <c r="Y376" s="208"/>
      <c r="Z376" s="208"/>
      <c r="AA376" s="208"/>
      <c r="AB376" s="208"/>
    </row>
    <row r="377" ht="15.75" customHeight="1">
      <c r="A377" s="243"/>
      <c r="B377" s="244"/>
      <c r="C377" s="245"/>
      <c r="D377" s="246"/>
      <c r="E377" s="245"/>
      <c r="F377" s="247"/>
      <c r="G377" s="244"/>
      <c r="H377" s="243"/>
      <c r="I377" s="244"/>
      <c r="J377" s="244"/>
      <c r="K377" s="244"/>
      <c r="L377" s="248"/>
      <c r="M377" s="248"/>
      <c r="N377" s="244"/>
      <c r="O377" s="249"/>
      <c r="P377" s="249"/>
      <c r="Q377" s="208"/>
      <c r="R377" s="208"/>
      <c r="S377" s="208"/>
      <c r="T377" s="208"/>
      <c r="U377" s="208"/>
      <c r="V377" s="208"/>
      <c r="W377" s="208"/>
      <c r="X377" s="208"/>
      <c r="Y377" s="208"/>
      <c r="Z377" s="208"/>
      <c r="AA377" s="208"/>
      <c r="AB377" s="208"/>
    </row>
    <row r="378" ht="15.75" customHeight="1">
      <c r="A378" s="243"/>
      <c r="B378" s="244"/>
      <c r="C378" s="245"/>
      <c r="D378" s="246"/>
      <c r="E378" s="245"/>
      <c r="F378" s="247"/>
      <c r="G378" s="244"/>
      <c r="H378" s="243"/>
      <c r="I378" s="244"/>
      <c r="J378" s="244"/>
      <c r="K378" s="244"/>
      <c r="L378" s="248"/>
      <c r="M378" s="248"/>
      <c r="N378" s="244"/>
      <c r="O378" s="249"/>
      <c r="P378" s="249"/>
      <c r="Q378" s="208"/>
      <c r="R378" s="208"/>
      <c r="S378" s="208"/>
      <c r="T378" s="208"/>
      <c r="U378" s="208"/>
      <c r="V378" s="208"/>
      <c r="W378" s="208"/>
      <c r="X378" s="208"/>
      <c r="Y378" s="208"/>
      <c r="Z378" s="208"/>
      <c r="AA378" s="208"/>
      <c r="AB378" s="208"/>
    </row>
    <row r="379" ht="15.75" customHeight="1">
      <c r="A379" s="243"/>
      <c r="B379" s="244"/>
      <c r="C379" s="245"/>
      <c r="D379" s="246"/>
      <c r="E379" s="245"/>
      <c r="F379" s="247"/>
      <c r="G379" s="244"/>
      <c r="H379" s="243"/>
      <c r="I379" s="244"/>
      <c r="J379" s="244"/>
      <c r="K379" s="244"/>
      <c r="L379" s="248"/>
      <c r="M379" s="248"/>
      <c r="N379" s="244"/>
      <c r="O379" s="249"/>
      <c r="P379" s="249"/>
      <c r="Q379" s="208"/>
      <c r="R379" s="208"/>
      <c r="S379" s="208"/>
      <c r="T379" s="208"/>
      <c r="U379" s="208"/>
      <c r="V379" s="208"/>
      <c r="W379" s="208"/>
      <c r="X379" s="208"/>
      <c r="Y379" s="208"/>
      <c r="Z379" s="208"/>
      <c r="AA379" s="208"/>
      <c r="AB379" s="208"/>
    </row>
    <row r="380" ht="15.75" customHeight="1">
      <c r="A380" s="243"/>
      <c r="B380" s="244"/>
      <c r="C380" s="245"/>
      <c r="D380" s="246"/>
      <c r="E380" s="245"/>
      <c r="F380" s="247"/>
      <c r="G380" s="244"/>
      <c r="H380" s="243"/>
      <c r="I380" s="244"/>
      <c r="J380" s="244"/>
      <c r="K380" s="244"/>
      <c r="L380" s="248"/>
      <c r="M380" s="248"/>
      <c r="N380" s="244"/>
      <c r="O380" s="249"/>
      <c r="P380" s="249"/>
      <c r="Q380" s="208"/>
      <c r="R380" s="208"/>
      <c r="S380" s="208"/>
      <c r="T380" s="208"/>
      <c r="U380" s="208"/>
      <c r="V380" s="208"/>
      <c r="W380" s="208"/>
      <c r="X380" s="208"/>
      <c r="Y380" s="208"/>
      <c r="Z380" s="208"/>
      <c r="AA380" s="208"/>
      <c r="AB380" s="208"/>
    </row>
    <row r="381" ht="15.75" customHeight="1">
      <c r="A381" s="243"/>
      <c r="B381" s="244"/>
      <c r="C381" s="245"/>
      <c r="D381" s="246"/>
      <c r="E381" s="245"/>
      <c r="F381" s="247"/>
      <c r="G381" s="244"/>
      <c r="H381" s="243"/>
      <c r="I381" s="244"/>
      <c r="J381" s="244"/>
      <c r="K381" s="244"/>
      <c r="L381" s="248"/>
      <c r="M381" s="248"/>
      <c r="N381" s="244"/>
      <c r="O381" s="249"/>
      <c r="P381" s="249"/>
      <c r="Q381" s="208"/>
      <c r="R381" s="208"/>
      <c r="S381" s="208"/>
      <c r="T381" s="208"/>
      <c r="U381" s="208"/>
      <c r="V381" s="208"/>
      <c r="W381" s="208"/>
      <c r="X381" s="208"/>
      <c r="Y381" s="208"/>
      <c r="Z381" s="208"/>
      <c r="AA381" s="208"/>
      <c r="AB381" s="208"/>
    </row>
    <row r="382" ht="15.75" customHeight="1">
      <c r="A382" s="243"/>
      <c r="B382" s="244"/>
      <c r="C382" s="245"/>
      <c r="D382" s="246"/>
      <c r="E382" s="245"/>
      <c r="F382" s="247"/>
      <c r="G382" s="244"/>
      <c r="H382" s="243"/>
      <c r="I382" s="244"/>
      <c r="J382" s="244"/>
      <c r="K382" s="244"/>
      <c r="L382" s="248"/>
      <c r="M382" s="248"/>
      <c r="N382" s="244"/>
      <c r="O382" s="249"/>
      <c r="P382" s="249"/>
      <c r="Q382" s="208"/>
      <c r="R382" s="208"/>
      <c r="S382" s="208"/>
      <c r="T382" s="208"/>
      <c r="U382" s="208"/>
      <c r="V382" s="208"/>
      <c r="W382" s="208"/>
      <c r="X382" s="208"/>
      <c r="Y382" s="208"/>
      <c r="Z382" s="208"/>
      <c r="AA382" s="208"/>
      <c r="AB382" s="208"/>
    </row>
    <row r="383" ht="15.75" customHeight="1">
      <c r="A383" s="243"/>
      <c r="B383" s="244"/>
      <c r="C383" s="245"/>
      <c r="D383" s="246"/>
      <c r="E383" s="245"/>
      <c r="F383" s="247"/>
      <c r="G383" s="244"/>
      <c r="H383" s="243"/>
      <c r="I383" s="244"/>
      <c r="J383" s="244"/>
      <c r="K383" s="244"/>
      <c r="L383" s="248"/>
      <c r="M383" s="248"/>
      <c r="N383" s="244"/>
      <c r="O383" s="249"/>
      <c r="P383" s="249"/>
      <c r="Q383" s="208"/>
      <c r="R383" s="208"/>
      <c r="S383" s="208"/>
      <c r="T383" s="208"/>
      <c r="U383" s="208"/>
      <c r="V383" s="208"/>
      <c r="W383" s="208"/>
      <c r="X383" s="208"/>
      <c r="Y383" s="208"/>
      <c r="Z383" s="208"/>
      <c r="AA383" s="208"/>
      <c r="AB383" s="208"/>
    </row>
    <row r="384" ht="15.75" customHeight="1">
      <c r="A384" s="243"/>
      <c r="B384" s="244"/>
      <c r="C384" s="245"/>
      <c r="D384" s="246"/>
      <c r="E384" s="245"/>
      <c r="F384" s="247"/>
      <c r="G384" s="244"/>
      <c r="H384" s="243"/>
      <c r="I384" s="244"/>
      <c r="J384" s="244"/>
      <c r="K384" s="244"/>
      <c r="L384" s="248"/>
      <c r="M384" s="248"/>
      <c r="N384" s="244"/>
      <c r="O384" s="249"/>
      <c r="P384" s="249"/>
      <c r="Q384" s="208"/>
      <c r="R384" s="208"/>
      <c r="S384" s="208"/>
      <c r="T384" s="208"/>
      <c r="U384" s="208"/>
      <c r="V384" s="208"/>
      <c r="W384" s="208"/>
      <c r="X384" s="208"/>
      <c r="Y384" s="208"/>
      <c r="Z384" s="208"/>
      <c r="AA384" s="208"/>
      <c r="AB384" s="208"/>
    </row>
    <row r="385" ht="15.75" customHeight="1">
      <c r="A385" s="243"/>
      <c r="B385" s="244"/>
      <c r="C385" s="245"/>
      <c r="D385" s="246"/>
      <c r="E385" s="245"/>
      <c r="F385" s="247"/>
      <c r="G385" s="244"/>
      <c r="H385" s="243"/>
      <c r="I385" s="244"/>
      <c r="J385" s="244"/>
      <c r="K385" s="244"/>
      <c r="L385" s="248"/>
      <c r="M385" s="248"/>
      <c r="N385" s="244"/>
      <c r="O385" s="249"/>
      <c r="P385" s="249"/>
      <c r="Q385" s="208"/>
      <c r="R385" s="208"/>
      <c r="S385" s="208"/>
      <c r="T385" s="208"/>
      <c r="U385" s="208"/>
      <c r="V385" s="208"/>
      <c r="W385" s="208"/>
      <c r="X385" s="208"/>
      <c r="Y385" s="208"/>
      <c r="Z385" s="208"/>
      <c r="AA385" s="208"/>
      <c r="AB385" s="208"/>
    </row>
    <row r="386" ht="15.75" customHeight="1">
      <c r="A386" s="243"/>
      <c r="B386" s="244"/>
      <c r="C386" s="245"/>
      <c r="D386" s="246"/>
      <c r="E386" s="245"/>
      <c r="F386" s="247"/>
      <c r="G386" s="244"/>
      <c r="H386" s="243"/>
      <c r="I386" s="244"/>
      <c r="J386" s="244"/>
      <c r="K386" s="244"/>
      <c r="L386" s="248"/>
      <c r="M386" s="248"/>
      <c r="N386" s="244"/>
      <c r="O386" s="249"/>
      <c r="P386" s="249"/>
      <c r="Q386" s="208"/>
      <c r="R386" s="208"/>
      <c r="S386" s="208"/>
      <c r="T386" s="208"/>
      <c r="U386" s="208"/>
      <c r="V386" s="208"/>
      <c r="W386" s="208"/>
      <c r="X386" s="208"/>
      <c r="Y386" s="208"/>
      <c r="Z386" s="208"/>
      <c r="AA386" s="208"/>
      <c r="AB386" s="208"/>
    </row>
    <row r="387" ht="15.75" customHeight="1">
      <c r="A387" s="243"/>
      <c r="B387" s="244"/>
      <c r="C387" s="245"/>
      <c r="D387" s="246"/>
      <c r="E387" s="245"/>
      <c r="F387" s="247"/>
      <c r="G387" s="244"/>
      <c r="H387" s="243"/>
      <c r="I387" s="244"/>
      <c r="J387" s="244"/>
      <c r="K387" s="244"/>
      <c r="L387" s="248"/>
      <c r="M387" s="248"/>
      <c r="N387" s="244"/>
      <c r="O387" s="249"/>
      <c r="P387" s="249"/>
      <c r="Q387" s="208"/>
      <c r="R387" s="208"/>
      <c r="S387" s="208"/>
      <c r="T387" s="208"/>
      <c r="U387" s="208"/>
      <c r="V387" s="208"/>
      <c r="W387" s="208"/>
      <c r="X387" s="208"/>
      <c r="Y387" s="208"/>
      <c r="Z387" s="208"/>
      <c r="AA387" s="208"/>
      <c r="AB387" s="208"/>
    </row>
    <row r="388" ht="15.75" customHeight="1">
      <c r="A388" s="243"/>
      <c r="B388" s="244"/>
      <c r="C388" s="245"/>
      <c r="D388" s="246"/>
      <c r="E388" s="245"/>
      <c r="F388" s="247"/>
      <c r="G388" s="244"/>
      <c r="H388" s="243"/>
      <c r="I388" s="244"/>
      <c r="J388" s="244"/>
      <c r="K388" s="244"/>
      <c r="L388" s="248"/>
      <c r="M388" s="248"/>
      <c r="N388" s="244"/>
      <c r="O388" s="249"/>
      <c r="P388" s="249"/>
      <c r="Q388" s="208"/>
      <c r="R388" s="208"/>
      <c r="S388" s="208"/>
      <c r="T388" s="208"/>
      <c r="U388" s="208"/>
      <c r="V388" s="208"/>
      <c r="W388" s="208"/>
      <c r="X388" s="208"/>
      <c r="Y388" s="208"/>
      <c r="Z388" s="208"/>
      <c r="AA388" s="208"/>
      <c r="AB388" s="208"/>
    </row>
    <row r="389" ht="15.75" customHeight="1">
      <c r="A389" s="243"/>
      <c r="B389" s="244"/>
      <c r="C389" s="245"/>
      <c r="D389" s="246"/>
      <c r="E389" s="245"/>
      <c r="F389" s="247"/>
      <c r="G389" s="244"/>
      <c r="H389" s="243"/>
      <c r="I389" s="244"/>
      <c r="J389" s="244"/>
      <c r="K389" s="244"/>
      <c r="L389" s="248"/>
      <c r="M389" s="248"/>
      <c r="N389" s="244"/>
      <c r="O389" s="249"/>
      <c r="P389" s="249"/>
      <c r="Q389" s="208"/>
      <c r="R389" s="208"/>
      <c r="S389" s="208"/>
      <c r="T389" s="208"/>
      <c r="U389" s="208"/>
      <c r="V389" s="208"/>
      <c r="W389" s="208"/>
      <c r="X389" s="208"/>
      <c r="Y389" s="208"/>
      <c r="Z389" s="208"/>
      <c r="AA389" s="208"/>
      <c r="AB389" s="208"/>
    </row>
    <row r="390" ht="15.75" customHeight="1">
      <c r="A390" s="243"/>
      <c r="B390" s="244"/>
      <c r="C390" s="245"/>
      <c r="D390" s="246"/>
      <c r="E390" s="245"/>
      <c r="F390" s="247"/>
      <c r="G390" s="244"/>
      <c r="H390" s="243"/>
      <c r="I390" s="244"/>
      <c r="J390" s="244"/>
      <c r="K390" s="244"/>
      <c r="L390" s="248"/>
      <c r="M390" s="248"/>
      <c r="N390" s="244"/>
      <c r="O390" s="249"/>
      <c r="P390" s="249"/>
      <c r="Q390" s="208"/>
      <c r="R390" s="208"/>
      <c r="S390" s="208"/>
      <c r="T390" s="208"/>
      <c r="U390" s="208"/>
      <c r="V390" s="208"/>
      <c r="W390" s="208"/>
      <c r="X390" s="208"/>
      <c r="Y390" s="208"/>
      <c r="Z390" s="208"/>
      <c r="AA390" s="208"/>
      <c r="AB390" s="208"/>
    </row>
    <row r="391" ht="15.75" customHeight="1">
      <c r="A391" s="243"/>
      <c r="B391" s="244"/>
      <c r="C391" s="245"/>
      <c r="D391" s="246"/>
      <c r="E391" s="245"/>
      <c r="F391" s="247"/>
      <c r="G391" s="244"/>
      <c r="H391" s="243"/>
      <c r="I391" s="244"/>
      <c r="J391" s="244"/>
      <c r="K391" s="244"/>
      <c r="L391" s="248"/>
      <c r="M391" s="248"/>
      <c r="N391" s="244"/>
      <c r="O391" s="249"/>
      <c r="P391" s="249"/>
      <c r="Q391" s="208"/>
      <c r="R391" s="208"/>
      <c r="S391" s="208"/>
      <c r="T391" s="208"/>
      <c r="U391" s="208"/>
      <c r="V391" s="208"/>
      <c r="W391" s="208"/>
      <c r="X391" s="208"/>
      <c r="Y391" s="208"/>
      <c r="Z391" s="208"/>
      <c r="AA391" s="208"/>
      <c r="AB391" s="208"/>
    </row>
    <row r="392" ht="15.75" customHeight="1">
      <c r="A392" s="243"/>
      <c r="B392" s="244"/>
      <c r="C392" s="245"/>
      <c r="D392" s="246"/>
      <c r="E392" s="245"/>
      <c r="F392" s="247"/>
      <c r="G392" s="244"/>
      <c r="H392" s="243"/>
      <c r="I392" s="244"/>
      <c r="J392" s="244"/>
      <c r="K392" s="244"/>
      <c r="L392" s="248"/>
      <c r="M392" s="248"/>
      <c r="N392" s="244"/>
      <c r="O392" s="249"/>
      <c r="P392" s="249"/>
      <c r="Q392" s="208"/>
      <c r="R392" s="208"/>
      <c r="S392" s="208"/>
      <c r="T392" s="208"/>
      <c r="U392" s="208"/>
      <c r="V392" s="208"/>
      <c r="W392" s="208"/>
      <c r="X392" s="208"/>
      <c r="Y392" s="208"/>
      <c r="Z392" s="208"/>
      <c r="AA392" s="208"/>
      <c r="AB392" s="208"/>
    </row>
    <row r="393" ht="15.75" customHeight="1">
      <c r="A393" s="243"/>
      <c r="B393" s="244"/>
      <c r="C393" s="245"/>
      <c r="D393" s="246"/>
      <c r="E393" s="245"/>
      <c r="F393" s="247"/>
      <c r="G393" s="244"/>
      <c r="H393" s="243"/>
      <c r="I393" s="244"/>
      <c r="J393" s="244"/>
      <c r="K393" s="244"/>
      <c r="L393" s="248"/>
      <c r="M393" s="248"/>
      <c r="N393" s="244"/>
      <c r="O393" s="249"/>
      <c r="P393" s="249"/>
      <c r="Q393" s="208"/>
      <c r="R393" s="208"/>
      <c r="S393" s="208"/>
      <c r="T393" s="208"/>
      <c r="U393" s="208"/>
      <c r="V393" s="208"/>
      <c r="W393" s="208"/>
      <c r="X393" s="208"/>
      <c r="Y393" s="208"/>
      <c r="Z393" s="208"/>
      <c r="AA393" s="208"/>
      <c r="AB393" s="208"/>
    </row>
    <row r="394" ht="15.75" customHeight="1">
      <c r="A394" s="243"/>
      <c r="B394" s="244"/>
      <c r="C394" s="245"/>
      <c r="D394" s="246"/>
      <c r="E394" s="245"/>
      <c r="F394" s="247"/>
      <c r="G394" s="244"/>
      <c r="H394" s="243"/>
      <c r="I394" s="244"/>
      <c r="J394" s="244"/>
      <c r="K394" s="244"/>
      <c r="L394" s="248"/>
      <c r="M394" s="248"/>
      <c r="N394" s="244"/>
      <c r="O394" s="249"/>
      <c r="P394" s="249"/>
      <c r="Q394" s="208"/>
      <c r="R394" s="208"/>
      <c r="S394" s="208"/>
      <c r="T394" s="208"/>
      <c r="U394" s="208"/>
      <c r="V394" s="208"/>
      <c r="W394" s="208"/>
      <c r="X394" s="208"/>
      <c r="Y394" s="208"/>
      <c r="Z394" s="208"/>
      <c r="AA394" s="208"/>
      <c r="AB394" s="208"/>
    </row>
    <row r="395" ht="15.75" customHeight="1">
      <c r="A395" s="243"/>
      <c r="B395" s="244"/>
      <c r="C395" s="245"/>
      <c r="D395" s="246"/>
      <c r="E395" s="245"/>
      <c r="F395" s="247"/>
      <c r="G395" s="244"/>
      <c r="H395" s="243"/>
      <c r="I395" s="244"/>
      <c r="J395" s="244"/>
      <c r="K395" s="244"/>
      <c r="L395" s="248"/>
      <c r="M395" s="248"/>
      <c r="N395" s="244"/>
      <c r="O395" s="249"/>
      <c r="P395" s="249"/>
      <c r="Q395" s="208"/>
      <c r="R395" s="208"/>
      <c r="S395" s="208"/>
      <c r="T395" s="208"/>
      <c r="U395" s="208"/>
      <c r="V395" s="208"/>
      <c r="W395" s="208"/>
      <c r="X395" s="208"/>
      <c r="Y395" s="208"/>
      <c r="Z395" s="208"/>
      <c r="AA395" s="208"/>
      <c r="AB395" s="208"/>
    </row>
    <row r="396" ht="15.75" customHeight="1">
      <c r="A396" s="243"/>
      <c r="B396" s="244"/>
      <c r="C396" s="245"/>
      <c r="D396" s="246"/>
      <c r="E396" s="245"/>
      <c r="F396" s="247"/>
      <c r="G396" s="244"/>
      <c r="H396" s="243"/>
      <c r="I396" s="244"/>
      <c r="J396" s="244"/>
      <c r="K396" s="244"/>
      <c r="L396" s="248"/>
      <c r="M396" s="248"/>
      <c r="N396" s="244"/>
      <c r="O396" s="249"/>
      <c r="P396" s="249"/>
      <c r="Q396" s="208"/>
      <c r="R396" s="208"/>
      <c r="S396" s="208"/>
      <c r="T396" s="208"/>
      <c r="U396" s="208"/>
      <c r="V396" s="208"/>
      <c r="W396" s="208"/>
      <c r="X396" s="208"/>
      <c r="Y396" s="208"/>
      <c r="Z396" s="208"/>
      <c r="AA396" s="208"/>
      <c r="AB396" s="208"/>
    </row>
    <row r="397" ht="15.75" customHeight="1">
      <c r="A397" s="243"/>
      <c r="B397" s="244"/>
      <c r="C397" s="245"/>
      <c r="D397" s="246"/>
      <c r="E397" s="245"/>
      <c r="F397" s="247"/>
      <c r="G397" s="244"/>
      <c r="H397" s="243"/>
      <c r="I397" s="244"/>
      <c r="J397" s="244"/>
      <c r="K397" s="244"/>
      <c r="L397" s="248"/>
      <c r="M397" s="248"/>
      <c r="N397" s="244"/>
      <c r="O397" s="249"/>
      <c r="P397" s="249"/>
      <c r="Q397" s="208"/>
      <c r="R397" s="208"/>
      <c r="S397" s="208"/>
      <c r="T397" s="208"/>
      <c r="U397" s="208"/>
      <c r="V397" s="208"/>
      <c r="W397" s="208"/>
      <c r="X397" s="208"/>
      <c r="Y397" s="208"/>
      <c r="Z397" s="208"/>
      <c r="AA397" s="208"/>
      <c r="AB397" s="208"/>
    </row>
    <row r="398" ht="15.75" customHeight="1">
      <c r="A398" s="243"/>
      <c r="B398" s="244"/>
      <c r="C398" s="245"/>
      <c r="D398" s="246"/>
      <c r="E398" s="245"/>
      <c r="F398" s="247"/>
      <c r="G398" s="244"/>
      <c r="H398" s="243"/>
      <c r="I398" s="244"/>
      <c r="J398" s="244"/>
      <c r="K398" s="244"/>
      <c r="L398" s="248"/>
      <c r="M398" s="248"/>
      <c r="N398" s="244"/>
      <c r="O398" s="249"/>
      <c r="P398" s="249"/>
      <c r="Q398" s="208"/>
      <c r="R398" s="208"/>
      <c r="S398" s="208"/>
      <c r="T398" s="208"/>
      <c r="U398" s="208"/>
      <c r="V398" s="208"/>
      <c r="W398" s="208"/>
      <c r="X398" s="208"/>
      <c r="Y398" s="208"/>
      <c r="Z398" s="208"/>
      <c r="AA398" s="208"/>
      <c r="AB398" s="208"/>
    </row>
    <row r="399" ht="15.75" customHeight="1">
      <c r="A399" s="243"/>
      <c r="B399" s="244"/>
      <c r="C399" s="245"/>
      <c r="D399" s="246"/>
      <c r="E399" s="245"/>
      <c r="F399" s="247"/>
      <c r="G399" s="244"/>
      <c r="H399" s="243"/>
      <c r="I399" s="244"/>
      <c r="J399" s="244"/>
      <c r="K399" s="244"/>
      <c r="L399" s="248"/>
      <c r="M399" s="248"/>
      <c r="N399" s="244"/>
      <c r="O399" s="249"/>
      <c r="P399" s="249"/>
      <c r="Q399" s="208"/>
      <c r="R399" s="208"/>
      <c r="S399" s="208"/>
      <c r="T399" s="208"/>
      <c r="U399" s="208"/>
      <c r="V399" s="208"/>
      <c r="W399" s="208"/>
      <c r="X399" s="208"/>
      <c r="Y399" s="208"/>
      <c r="Z399" s="208"/>
      <c r="AA399" s="208"/>
      <c r="AB399" s="208"/>
    </row>
    <row r="400" ht="15.75" customHeight="1">
      <c r="A400" s="243"/>
      <c r="B400" s="244"/>
      <c r="C400" s="245"/>
      <c r="D400" s="246"/>
      <c r="E400" s="245"/>
      <c r="F400" s="247"/>
      <c r="G400" s="244"/>
      <c r="H400" s="243"/>
      <c r="I400" s="244"/>
      <c r="J400" s="244"/>
      <c r="K400" s="244"/>
      <c r="L400" s="248"/>
      <c r="M400" s="248"/>
      <c r="N400" s="244"/>
      <c r="O400" s="249"/>
      <c r="P400" s="249"/>
      <c r="Q400" s="208"/>
      <c r="R400" s="208"/>
      <c r="S400" s="208"/>
      <c r="T400" s="208"/>
      <c r="U400" s="208"/>
      <c r="V400" s="208"/>
      <c r="W400" s="208"/>
      <c r="X400" s="208"/>
      <c r="Y400" s="208"/>
      <c r="Z400" s="208"/>
      <c r="AA400" s="208"/>
      <c r="AB400" s="208"/>
    </row>
    <row r="401" ht="15.75" customHeight="1">
      <c r="A401" s="243"/>
      <c r="B401" s="244"/>
      <c r="C401" s="245"/>
      <c r="D401" s="246"/>
      <c r="E401" s="245"/>
      <c r="F401" s="247"/>
      <c r="G401" s="244"/>
      <c r="H401" s="243"/>
      <c r="I401" s="244"/>
      <c r="J401" s="244"/>
      <c r="K401" s="244"/>
      <c r="L401" s="248"/>
      <c r="M401" s="248"/>
      <c r="N401" s="244"/>
      <c r="O401" s="249"/>
      <c r="P401" s="249"/>
      <c r="Q401" s="208"/>
      <c r="R401" s="208"/>
      <c r="S401" s="208"/>
      <c r="T401" s="208"/>
      <c r="U401" s="208"/>
      <c r="V401" s="208"/>
      <c r="W401" s="208"/>
      <c r="X401" s="208"/>
      <c r="Y401" s="208"/>
      <c r="Z401" s="208"/>
      <c r="AA401" s="208"/>
      <c r="AB401" s="208"/>
    </row>
    <row r="402" ht="15.75" customHeight="1">
      <c r="A402" s="243"/>
      <c r="B402" s="244"/>
      <c r="C402" s="245"/>
      <c r="D402" s="246"/>
      <c r="E402" s="245"/>
      <c r="F402" s="247"/>
      <c r="G402" s="244"/>
      <c r="H402" s="243"/>
      <c r="I402" s="244"/>
      <c r="J402" s="244"/>
      <c r="K402" s="244"/>
      <c r="L402" s="248"/>
      <c r="M402" s="248"/>
      <c r="N402" s="244"/>
      <c r="O402" s="249"/>
      <c r="P402" s="249"/>
      <c r="Q402" s="208"/>
      <c r="R402" s="208"/>
      <c r="S402" s="208"/>
      <c r="T402" s="208"/>
      <c r="U402" s="208"/>
      <c r="V402" s="208"/>
      <c r="W402" s="208"/>
      <c r="X402" s="208"/>
      <c r="Y402" s="208"/>
      <c r="Z402" s="208"/>
      <c r="AA402" s="208"/>
      <c r="AB402" s="208"/>
    </row>
    <row r="403" ht="15.75" customHeight="1">
      <c r="A403" s="243"/>
      <c r="B403" s="244"/>
      <c r="C403" s="245"/>
      <c r="D403" s="246"/>
      <c r="E403" s="245"/>
      <c r="F403" s="247"/>
      <c r="G403" s="244"/>
      <c r="H403" s="243"/>
      <c r="I403" s="244"/>
      <c r="J403" s="244"/>
      <c r="K403" s="244"/>
      <c r="L403" s="248"/>
      <c r="M403" s="248"/>
      <c r="N403" s="244"/>
      <c r="O403" s="249"/>
      <c r="P403" s="249"/>
      <c r="Q403" s="208"/>
      <c r="R403" s="208"/>
      <c r="S403" s="208"/>
      <c r="T403" s="208"/>
      <c r="U403" s="208"/>
      <c r="V403" s="208"/>
      <c r="W403" s="208"/>
      <c r="X403" s="208"/>
      <c r="Y403" s="208"/>
      <c r="Z403" s="208"/>
      <c r="AA403" s="208"/>
      <c r="AB403" s="208"/>
    </row>
    <row r="404" ht="15.75" customHeight="1">
      <c r="A404" s="243"/>
      <c r="B404" s="244"/>
      <c r="C404" s="245"/>
      <c r="D404" s="246"/>
      <c r="E404" s="245"/>
      <c r="F404" s="247"/>
      <c r="G404" s="244"/>
      <c r="H404" s="243"/>
      <c r="I404" s="244"/>
      <c r="J404" s="244"/>
      <c r="K404" s="244"/>
      <c r="L404" s="248"/>
      <c r="M404" s="248"/>
      <c r="N404" s="244"/>
      <c r="O404" s="249"/>
      <c r="P404" s="249"/>
      <c r="Q404" s="208"/>
      <c r="R404" s="208"/>
      <c r="S404" s="208"/>
      <c r="T404" s="208"/>
      <c r="U404" s="208"/>
      <c r="V404" s="208"/>
      <c r="W404" s="208"/>
      <c r="X404" s="208"/>
      <c r="Y404" s="208"/>
      <c r="Z404" s="208"/>
      <c r="AA404" s="208"/>
      <c r="AB404" s="208"/>
    </row>
    <row r="405" ht="15.75" customHeight="1">
      <c r="A405" s="243"/>
      <c r="B405" s="244"/>
      <c r="C405" s="245"/>
      <c r="D405" s="246"/>
      <c r="E405" s="245"/>
      <c r="F405" s="247"/>
      <c r="G405" s="244"/>
      <c r="H405" s="243"/>
      <c r="I405" s="244"/>
      <c r="J405" s="244"/>
      <c r="K405" s="244"/>
      <c r="L405" s="248"/>
      <c r="M405" s="248"/>
      <c r="N405" s="244"/>
      <c r="O405" s="249"/>
      <c r="P405" s="249"/>
      <c r="Q405" s="208"/>
      <c r="R405" s="208"/>
      <c r="S405" s="208"/>
      <c r="T405" s="208"/>
      <c r="U405" s="208"/>
      <c r="V405" s="208"/>
      <c r="W405" s="208"/>
      <c r="X405" s="208"/>
      <c r="Y405" s="208"/>
      <c r="Z405" s="208"/>
      <c r="AA405" s="208"/>
      <c r="AB405" s="208"/>
    </row>
    <row r="406" ht="15.75" customHeight="1">
      <c r="A406" s="243"/>
      <c r="B406" s="244"/>
      <c r="C406" s="245"/>
      <c r="D406" s="246"/>
      <c r="E406" s="245"/>
      <c r="F406" s="247"/>
      <c r="G406" s="244"/>
      <c r="H406" s="243"/>
      <c r="I406" s="244"/>
      <c r="J406" s="244"/>
      <c r="K406" s="244"/>
      <c r="L406" s="248"/>
      <c r="M406" s="248"/>
      <c r="N406" s="244"/>
      <c r="O406" s="249"/>
      <c r="P406" s="249"/>
      <c r="Q406" s="208"/>
      <c r="R406" s="208"/>
      <c r="S406" s="208"/>
      <c r="T406" s="208"/>
      <c r="U406" s="208"/>
      <c r="V406" s="208"/>
      <c r="W406" s="208"/>
      <c r="X406" s="208"/>
      <c r="Y406" s="208"/>
      <c r="Z406" s="208"/>
      <c r="AA406" s="208"/>
      <c r="AB406" s="208"/>
    </row>
    <row r="407" ht="15.75" customHeight="1">
      <c r="A407" s="243"/>
      <c r="B407" s="244"/>
      <c r="C407" s="245"/>
      <c r="D407" s="246"/>
      <c r="E407" s="245"/>
      <c r="F407" s="247"/>
      <c r="G407" s="244"/>
      <c r="H407" s="243"/>
      <c r="I407" s="244"/>
      <c r="J407" s="244"/>
      <c r="K407" s="244"/>
      <c r="L407" s="248"/>
      <c r="M407" s="248"/>
      <c r="N407" s="244"/>
      <c r="O407" s="249"/>
      <c r="P407" s="249"/>
      <c r="Q407" s="208"/>
      <c r="R407" s="208"/>
      <c r="S407" s="208"/>
      <c r="T407" s="208"/>
      <c r="U407" s="208"/>
      <c r="V407" s="208"/>
      <c r="W407" s="208"/>
      <c r="X407" s="208"/>
      <c r="Y407" s="208"/>
      <c r="Z407" s="208"/>
      <c r="AA407" s="208"/>
      <c r="AB407" s="208"/>
    </row>
    <row r="408" ht="15.75" customHeight="1">
      <c r="A408" s="243"/>
      <c r="B408" s="244"/>
      <c r="C408" s="245"/>
      <c r="D408" s="246"/>
      <c r="E408" s="245"/>
      <c r="F408" s="247"/>
      <c r="G408" s="244"/>
      <c r="H408" s="243"/>
      <c r="I408" s="244"/>
      <c r="J408" s="244"/>
      <c r="K408" s="244"/>
      <c r="L408" s="248"/>
      <c r="M408" s="248"/>
      <c r="N408" s="244"/>
      <c r="O408" s="249"/>
      <c r="P408" s="249"/>
      <c r="Q408" s="208"/>
      <c r="R408" s="208"/>
      <c r="S408" s="208"/>
      <c r="T408" s="208"/>
      <c r="U408" s="208"/>
      <c r="V408" s="208"/>
      <c r="W408" s="208"/>
      <c r="X408" s="208"/>
      <c r="Y408" s="208"/>
      <c r="Z408" s="208"/>
      <c r="AA408" s="208"/>
      <c r="AB408" s="208"/>
    </row>
    <row r="409" ht="15.75" customHeight="1">
      <c r="A409" s="243"/>
      <c r="B409" s="244"/>
      <c r="C409" s="245"/>
      <c r="D409" s="246"/>
      <c r="E409" s="245"/>
      <c r="F409" s="247"/>
      <c r="G409" s="244"/>
      <c r="H409" s="243"/>
      <c r="I409" s="244"/>
      <c r="J409" s="244"/>
      <c r="K409" s="244"/>
      <c r="L409" s="248"/>
      <c r="M409" s="248"/>
      <c r="N409" s="244"/>
      <c r="O409" s="249"/>
      <c r="P409" s="249"/>
      <c r="Q409" s="208"/>
      <c r="R409" s="208"/>
      <c r="S409" s="208"/>
      <c r="T409" s="208"/>
      <c r="U409" s="208"/>
      <c r="V409" s="208"/>
      <c r="W409" s="208"/>
      <c r="X409" s="208"/>
      <c r="Y409" s="208"/>
      <c r="Z409" s="208"/>
      <c r="AA409" s="208"/>
      <c r="AB409" s="208"/>
    </row>
    <row r="410" ht="15.75" customHeight="1">
      <c r="A410" s="243"/>
      <c r="B410" s="244"/>
      <c r="C410" s="245"/>
      <c r="D410" s="246"/>
      <c r="E410" s="245"/>
      <c r="F410" s="247"/>
      <c r="G410" s="244"/>
      <c r="H410" s="243"/>
      <c r="I410" s="244"/>
      <c r="J410" s="244"/>
      <c r="K410" s="244"/>
      <c r="L410" s="248"/>
      <c r="M410" s="248"/>
      <c r="N410" s="244"/>
      <c r="O410" s="249"/>
      <c r="P410" s="249"/>
      <c r="Q410" s="208"/>
      <c r="R410" s="208"/>
      <c r="S410" s="208"/>
      <c r="T410" s="208"/>
      <c r="U410" s="208"/>
      <c r="V410" s="208"/>
      <c r="W410" s="208"/>
      <c r="X410" s="208"/>
      <c r="Y410" s="208"/>
      <c r="Z410" s="208"/>
      <c r="AA410" s="208"/>
      <c r="AB410" s="208"/>
    </row>
    <row r="411" ht="15.75" customHeight="1">
      <c r="A411" s="243"/>
      <c r="B411" s="244"/>
      <c r="C411" s="245"/>
      <c r="D411" s="246"/>
      <c r="E411" s="245"/>
      <c r="F411" s="247"/>
      <c r="G411" s="244"/>
      <c r="H411" s="243"/>
      <c r="I411" s="244"/>
      <c r="J411" s="244"/>
      <c r="K411" s="244"/>
      <c r="L411" s="248"/>
      <c r="M411" s="248"/>
      <c r="N411" s="244"/>
      <c r="O411" s="249"/>
      <c r="P411" s="249"/>
      <c r="Q411" s="208"/>
      <c r="R411" s="208"/>
      <c r="S411" s="208"/>
      <c r="T411" s="208"/>
      <c r="U411" s="208"/>
      <c r="V411" s="208"/>
      <c r="W411" s="208"/>
      <c r="X411" s="208"/>
      <c r="Y411" s="208"/>
      <c r="Z411" s="208"/>
      <c r="AA411" s="208"/>
      <c r="AB411" s="208"/>
    </row>
    <row r="412" ht="15.75" customHeight="1">
      <c r="A412" s="243"/>
      <c r="B412" s="244"/>
      <c r="C412" s="245"/>
      <c r="D412" s="246"/>
      <c r="E412" s="245"/>
      <c r="F412" s="247"/>
      <c r="G412" s="244"/>
      <c r="H412" s="243"/>
      <c r="I412" s="244"/>
      <c r="J412" s="244"/>
      <c r="K412" s="244"/>
      <c r="L412" s="248"/>
      <c r="M412" s="248"/>
      <c r="N412" s="244"/>
      <c r="O412" s="249"/>
      <c r="P412" s="249"/>
      <c r="Q412" s="208"/>
      <c r="R412" s="208"/>
      <c r="S412" s="208"/>
      <c r="T412" s="208"/>
      <c r="U412" s="208"/>
      <c r="V412" s="208"/>
      <c r="W412" s="208"/>
      <c r="X412" s="208"/>
      <c r="Y412" s="208"/>
      <c r="Z412" s="208"/>
      <c r="AA412" s="208"/>
      <c r="AB412" s="208"/>
    </row>
    <row r="413" ht="15.75" customHeight="1">
      <c r="A413" s="243"/>
      <c r="B413" s="244"/>
      <c r="C413" s="245"/>
      <c r="D413" s="246"/>
      <c r="E413" s="245"/>
      <c r="F413" s="247"/>
      <c r="G413" s="244"/>
      <c r="H413" s="243"/>
      <c r="I413" s="244"/>
      <c r="J413" s="244"/>
      <c r="K413" s="244"/>
      <c r="L413" s="248"/>
      <c r="M413" s="248"/>
      <c r="N413" s="244"/>
      <c r="O413" s="249"/>
      <c r="P413" s="249"/>
      <c r="Q413" s="208"/>
      <c r="R413" s="208"/>
      <c r="S413" s="208"/>
      <c r="T413" s="208"/>
      <c r="U413" s="208"/>
      <c r="V413" s="208"/>
      <c r="W413" s="208"/>
      <c r="X413" s="208"/>
      <c r="Y413" s="208"/>
      <c r="Z413" s="208"/>
      <c r="AA413" s="208"/>
      <c r="AB413" s="208"/>
    </row>
    <row r="414" ht="15.75" customHeight="1">
      <c r="A414" s="243"/>
      <c r="B414" s="244"/>
      <c r="C414" s="245"/>
      <c r="D414" s="246"/>
      <c r="E414" s="245"/>
      <c r="F414" s="247"/>
      <c r="G414" s="244"/>
      <c r="H414" s="243"/>
      <c r="I414" s="244"/>
      <c r="J414" s="244"/>
      <c r="K414" s="244"/>
      <c r="L414" s="248"/>
      <c r="M414" s="248"/>
      <c r="N414" s="244"/>
      <c r="O414" s="249"/>
      <c r="P414" s="249"/>
      <c r="Q414" s="208"/>
      <c r="R414" s="208"/>
      <c r="S414" s="208"/>
      <c r="T414" s="208"/>
      <c r="U414" s="208"/>
      <c r="V414" s="208"/>
      <c r="W414" s="208"/>
      <c r="X414" s="208"/>
      <c r="Y414" s="208"/>
      <c r="Z414" s="208"/>
      <c r="AA414" s="208"/>
      <c r="AB414" s="208"/>
    </row>
    <row r="415" ht="15.75" customHeight="1">
      <c r="A415" s="243"/>
      <c r="B415" s="244"/>
      <c r="C415" s="245"/>
      <c r="D415" s="246"/>
      <c r="E415" s="245"/>
      <c r="F415" s="247"/>
      <c r="G415" s="244"/>
      <c r="H415" s="243"/>
      <c r="I415" s="244"/>
      <c r="J415" s="244"/>
      <c r="K415" s="244"/>
      <c r="L415" s="248"/>
      <c r="M415" s="248"/>
      <c r="N415" s="244"/>
      <c r="O415" s="249"/>
      <c r="P415" s="249"/>
      <c r="Q415" s="208"/>
      <c r="R415" s="208"/>
      <c r="S415" s="208"/>
      <c r="T415" s="208"/>
      <c r="U415" s="208"/>
      <c r="V415" s="208"/>
      <c r="W415" s="208"/>
      <c r="X415" s="208"/>
      <c r="Y415" s="208"/>
      <c r="Z415" s="208"/>
      <c r="AA415" s="208"/>
      <c r="AB415" s="208"/>
    </row>
    <row r="416" ht="15.75" customHeight="1">
      <c r="A416" s="243"/>
      <c r="B416" s="244"/>
      <c r="C416" s="245"/>
      <c r="D416" s="246"/>
      <c r="E416" s="245"/>
      <c r="F416" s="247"/>
      <c r="G416" s="244"/>
      <c r="H416" s="243"/>
      <c r="I416" s="244"/>
      <c r="J416" s="244"/>
      <c r="K416" s="244"/>
      <c r="L416" s="248"/>
      <c r="M416" s="248"/>
      <c r="N416" s="244"/>
      <c r="O416" s="249"/>
      <c r="P416" s="249"/>
      <c r="Q416" s="208"/>
      <c r="R416" s="208"/>
      <c r="S416" s="208"/>
      <c r="T416" s="208"/>
      <c r="U416" s="208"/>
      <c r="V416" s="208"/>
      <c r="W416" s="208"/>
      <c r="X416" s="208"/>
      <c r="Y416" s="208"/>
      <c r="Z416" s="208"/>
      <c r="AA416" s="208"/>
      <c r="AB416" s="208"/>
    </row>
    <row r="417" ht="15.75" customHeight="1">
      <c r="A417" s="243"/>
      <c r="B417" s="244"/>
      <c r="C417" s="245"/>
      <c r="D417" s="246"/>
      <c r="E417" s="245"/>
      <c r="F417" s="247"/>
      <c r="G417" s="244"/>
      <c r="H417" s="243"/>
      <c r="I417" s="244"/>
      <c r="J417" s="244"/>
      <c r="K417" s="244"/>
      <c r="L417" s="248"/>
      <c r="M417" s="248"/>
      <c r="N417" s="244"/>
      <c r="O417" s="249"/>
      <c r="P417" s="249"/>
      <c r="Q417" s="208"/>
      <c r="R417" s="208"/>
      <c r="S417" s="208"/>
      <c r="T417" s="208"/>
      <c r="U417" s="208"/>
      <c r="V417" s="208"/>
      <c r="W417" s="208"/>
      <c r="X417" s="208"/>
      <c r="Y417" s="208"/>
      <c r="Z417" s="208"/>
      <c r="AA417" s="208"/>
      <c r="AB417" s="208"/>
    </row>
    <row r="418" ht="15.75" customHeight="1">
      <c r="A418" s="243"/>
      <c r="B418" s="244"/>
      <c r="C418" s="245"/>
      <c r="D418" s="246"/>
      <c r="E418" s="245"/>
      <c r="F418" s="247"/>
      <c r="G418" s="244"/>
      <c r="H418" s="243"/>
      <c r="I418" s="244"/>
      <c r="J418" s="244"/>
      <c r="K418" s="244"/>
      <c r="L418" s="248"/>
      <c r="M418" s="248"/>
      <c r="N418" s="244"/>
      <c r="O418" s="249"/>
      <c r="P418" s="249"/>
      <c r="Q418" s="208"/>
      <c r="R418" s="208"/>
      <c r="S418" s="208"/>
      <c r="T418" s="208"/>
      <c r="U418" s="208"/>
      <c r="V418" s="208"/>
      <c r="W418" s="208"/>
      <c r="X418" s="208"/>
      <c r="Y418" s="208"/>
      <c r="Z418" s="208"/>
      <c r="AA418" s="208"/>
      <c r="AB418" s="208"/>
    </row>
    <row r="419" ht="15.75" customHeight="1">
      <c r="A419" s="243"/>
      <c r="B419" s="244"/>
      <c r="C419" s="245"/>
      <c r="D419" s="246"/>
      <c r="E419" s="245"/>
      <c r="F419" s="247"/>
      <c r="G419" s="244"/>
      <c r="H419" s="243"/>
      <c r="I419" s="244"/>
      <c r="J419" s="244"/>
      <c r="K419" s="244"/>
      <c r="L419" s="248"/>
      <c r="M419" s="248"/>
      <c r="N419" s="244"/>
      <c r="O419" s="249"/>
      <c r="P419" s="249"/>
      <c r="Q419" s="208"/>
      <c r="R419" s="208"/>
      <c r="S419" s="208"/>
      <c r="T419" s="208"/>
      <c r="U419" s="208"/>
      <c r="V419" s="208"/>
      <c r="W419" s="208"/>
      <c r="X419" s="208"/>
      <c r="Y419" s="208"/>
      <c r="Z419" s="208"/>
      <c r="AA419" s="208"/>
      <c r="AB419" s="208"/>
    </row>
    <row r="420" ht="15.75" customHeight="1">
      <c r="A420" s="243"/>
      <c r="B420" s="244"/>
      <c r="C420" s="245"/>
      <c r="D420" s="246"/>
      <c r="E420" s="245"/>
      <c r="F420" s="247"/>
      <c r="G420" s="244"/>
      <c r="H420" s="243"/>
      <c r="I420" s="244"/>
      <c r="J420" s="244"/>
      <c r="K420" s="244"/>
      <c r="L420" s="248"/>
      <c r="M420" s="248"/>
      <c r="N420" s="244"/>
      <c r="O420" s="249"/>
      <c r="P420" s="249"/>
      <c r="Q420" s="208"/>
      <c r="R420" s="208"/>
      <c r="S420" s="208"/>
      <c r="T420" s="208"/>
      <c r="U420" s="208"/>
      <c r="V420" s="208"/>
      <c r="W420" s="208"/>
      <c r="X420" s="208"/>
      <c r="Y420" s="208"/>
      <c r="Z420" s="208"/>
      <c r="AA420" s="208"/>
      <c r="AB420" s="208"/>
    </row>
    <row r="421" ht="15.75" customHeight="1">
      <c r="A421" s="243"/>
      <c r="B421" s="244"/>
      <c r="C421" s="245"/>
      <c r="D421" s="246"/>
      <c r="E421" s="245"/>
      <c r="F421" s="247"/>
      <c r="G421" s="244"/>
      <c r="H421" s="243"/>
      <c r="I421" s="244"/>
      <c r="J421" s="244"/>
      <c r="K421" s="244"/>
      <c r="L421" s="248"/>
      <c r="M421" s="248"/>
      <c r="N421" s="244"/>
      <c r="O421" s="249"/>
      <c r="P421" s="249"/>
      <c r="Q421" s="208"/>
      <c r="R421" s="208"/>
      <c r="S421" s="208"/>
      <c r="T421" s="208"/>
      <c r="U421" s="208"/>
      <c r="V421" s="208"/>
      <c r="W421" s="208"/>
      <c r="X421" s="208"/>
      <c r="Y421" s="208"/>
      <c r="Z421" s="208"/>
      <c r="AA421" s="208"/>
      <c r="AB421" s="208"/>
    </row>
    <row r="422" ht="15.75" customHeight="1">
      <c r="A422" s="243"/>
      <c r="B422" s="244"/>
      <c r="C422" s="245"/>
      <c r="D422" s="246"/>
      <c r="E422" s="245"/>
      <c r="F422" s="247"/>
      <c r="G422" s="244"/>
      <c r="H422" s="243"/>
      <c r="I422" s="244"/>
      <c r="J422" s="244"/>
      <c r="K422" s="244"/>
      <c r="L422" s="248"/>
      <c r="M422" s="248"/>
      <c r="N422" s="244"/>
      <c r="O422" s="249"/>
      <c r="P422" s="249"/>
      <c r="Q422" s="208"/>
      <c r="R422" s="208"/>
      <c r="S422" s="208"/>
      <c r="T422" s="208"/>
      <c r="U422" s="208"/>
      <c r="V422" s="208"/>
      <c r="W422" s="208"/>
      <c r="X422" s="208"/>
      <c r="Y422" s="208"/>
      <c r="Z422" s="208"/>
      <c r="AA422" s="208"/>
      <c r="AB422" s="208"/>
    </row>
    <row r="423" ht="15.75" customHeight="1">
      <c r="A423" s="243"/>
      <c r="B423" s="244"/>
      <c r="C423" s="245"/>
      <c r="D423" s="246"/>
      <c r="E423" s="245"/>
      <c r="F423" s="247"/>
      <c r="G423" s="244"/>
      <c r="H423" s="243"/>
      <c r="I423" s="244"/>
      <c r="J423" s="244"/>
      <c r="K423" s="244"/>
      <c r="L423" s="248"/>
      <c r="M423" s="248"/>
      <c r="N423" s="244"/>
      <c r="O423" s="249"/>
      <c r="P423" s="249"/>
      <c r="Q423" s="208"/>
      <c r="R423" s="208"/>
      <c r="S423" s="208"/>
      <c r="T423" s="208"/>
      <c r="U423" s="208"/>
      <c r="V423" s="208"/>
      <c r="W423" s="208"/>
      <c r="X423" s="208"/>
      <c r="Y423" s="208"/>
      <c r="Z423" s="208"/>
      <c r="AA423" s="208"/>
      <c r="AB423" s="208"/>
    </row>
    <row r="424" ht="15.75" customHeight="1">
      <c r="A424" s="243"/>
      <c r="B424" s="244"/>
      <c r="C424" s="245"/>
      <c r="D424" s="246"/>
      <c r="E424" s="245"/>
      <c r="F424" s="247"/>
      <c r="G424" s="244"/>
      <c r="H424" s="243"/>
      <c r="I424" s="244"/>
      <c r="J424" s="244"/>
      <c r="K424" s="244"/>
      <c r="L424" s="248"/>
      <c r="M424" s="248"/>
      <c r="N424" s="244"/>
      <c r="O424" s="249"/>
      <c r="P424" s="249"/>
      <c r="Q424" s="208"/>
      <c r="R424" s="208"/>
      <c r="S424" s="208"/>
      <c r="T424" s="208"/>
      <c r="U424" s="208"/>
      <c r="V424" s="208"/>
      <c r="W424" s="208"/>
      <c r="X424" s="208"/>
      <c r="Y424" s="208"/>
      <c r="Z424" s="208"/>
      <c r="AA424" s="208"/>
      <c r="AB424" s="208"/>
    </row>
    <row r="425" ht="15.75" customHeight="1">
      <c r="A425" s="243"/>
      <c r="B425" s="244"/>
      <c r="C425" s="245"/>
      <c r="D425" s="246"/>
      <c r="E425" s="245"/>
      <c r="F425" s="247"/>
      <c r="G425" s="244"/>
      <c r="H425" s="243"/>
      <c r="I425" s="244"/>
      <c r="J425" s="244"/>
      <c r="K425" s="244"/>
      <c r="L425" s="248"/>
      <c r="M425" s="248"/>
      <c r="N425" s="244"/>
      <c r="O425" s="249"/>
      <c r="P425" s="249"/>
      <c r="Q425" s="208"/>
      <c r="R425" s="208"/>
      <c r="S425" s="208"/>
      <c r="T425" s="208"/>
      <c r="U425" s="208"/>
      <c r="V425" s="208"/>
      <c r="W425" s="208"/>
      <c r="X425" s="208"/>
      <c r="Y425" s="208"/>
      <c r="Z425" s="208"/>
      <c r="AA425" s="208"/>
      <c r="AB425" s="208"/>
    </row>
    <row r="426" ht="15.75" customHeight="1">
      <c r="A426" s="243"/>
      <c r="B426" s="244"/>
      <c r="C426" s="245"/>
      <c r="D426" s="246"/>
      <c r="E426" s="245"/>
      <c r="F426" s="247"/>
      <c r="G426" s="244"/>
      <c r="H426" s="243"/>
      <c r="I426" s="244"/>
      <c r="J426" s="244"/>
      <c r="K426" s="244"/>
      <c r="L426" s="248"/>
      <c r="M426" s="248"/>
      <c r="N426" s="244"/>
      <c r="O426" s="249"/>
      <c r="P426" s="249"/>
      <c r="Q426" s="208"/>
      <c r="R426" s="208"/>
      <c r="S426" s="208"/>
      <c r="T426" s="208"/>
      <c r="U426" s="208"/>
      <c r="V426" s="208"/>
      <c r="W426" s="208"/>
      <c r="X426" s="208"/>
      <c r="Y426" s="208"/>
      <c r="Z426" s="208"/>
      <c r="AA426" s="208"/>
      <c r="AB426" s="208"/>
    </row>
    <row r="427" ht="15.75" customHeight="1">
      <c r="A427" s="243"/>
      <c r="B427" s="244"/>
      <c r="C427" s="245"/>
      <c r="D427" s="246"/>
      <c r="E427" s="245"/>
      <c r="F427" s="247"/>
      <c r="G427" s="244"/>
      <c r="H427" s="243"/>
      <c r="I427" s="244"/>
      <c r="J427" s="244"/>
      <c r="K427" s="244"/>
      <c r="L427" s="248"/>
      <c r="M427" s="248"/>
      <c r="N427" s="244"/>
      <c r="O427" s="249"/>
      <c r="P427" s="249"/>
      <c r="Q427" s="208"/>
      <c r="R427" s="208"/>
      <c r="S427" s="208"/>
      <c r="T427" s="208"/>
      <c r="U427" s="208"/>
      <c r="V427" s="208"/>
      <c r="W427" s="208"/>
      <c r="X427" s="208"/>
      <c r="Y427" s="208"/>
      <c r="Z427" s="208"/>
      <c r="AA427" s="208"/>
      <c r="AB427" s="208"/>
    </row>
    <row r="428" ht="15.75" customHeight="1">
      <c r="A428" s="243"/>
      <c r="B428" s="244"/>
      <c r="C428" s="245"/>
      <c r="D428" s="246"/>
      <c r="E428" s="245"/>
      <c r="F428" s="247"/>
      <c r="G428" s="244"/>
      <c r="H428" s="243"/>
      <c r="I428" s="244"/>
      <c r="J428" s="244"/>
      <c r="K428" s="244"/>
      <c r="L428" s="248"/>
      <c r="M428" s="248"/>
      <c r="N428" s="244"/>
      <c r="O428" s="249"/>
      <c r="P428" s="249"/>
      <c r="Q428" s="208"/>
      <c r="R428" s="208"/>
      <c r="S428" s="208"/>
      <c r="T428" s="208"/>
      <c r="U428" s="208"/>
      <c r="V428" s="208"/>
      <c r="W428" s="208"/>
      <c r="X428" s="208"/>
      <c r="Y428" s="208"/>
      <c r="Z428" s="208"/>
      <c r="AA428" s="208"/>
      <c r="AB428" s="208"/>
    </row>
    <row r="429" ht="15.75" customHeight="1">
      <c r="A429" s="243"/>
      <c r="B429" s="244"/>
      <c r="C429" s="245"/>
      <c r="D429" s="246"/>
      <c r="E429" s="245"/>
      <c r="F429" s="247"/>
      <c r="G429" s="244"/>
      <c r="H429" s="243"/>
      <c r="I429" s="244"/>
      <c r="J429" s="244"/>
      <c r="K429" s="244"/>
      <c r="L429" s="248"/>
      <c r="M429" s="248"/>
      <c r="N429" s="244"/>
      <c r="O429" s="249"/>
      <c r="P429" s="249"/>
      <c r="Q429" s="208"/>
      <c r="R429" s="208"/>
      <c r="S429" s="208"/>
      <c r="T429" s="208"/>
      <c r="U429" s="208"/>
      <c r="V429" s="208"/>
      <c r="W429" s="208"/>
      <c r="X429" s="208"/>
      <c r="Y429" s="208"/>
      <c r="Z429" s="208"/>
      <c r="AA429" s="208"/>
      <c r="AB429" s="208"/>
    </row>
    <row r="430" ht="15.75" customHeight="1">
      <c r="A430" s="243"/>
      <c r="B430" s="244"/>
      <c r="C430" s="245"/>
      <c r="D430" s="246"/>
      <c r="E430" s="245"/>
      <c r="F430" s="247"/>
      <c r="G430" s="244"/>
      <c r="H430" s="243"/>
      <c r="I430" s="244"/>
      <c r="J430" s="244"/>
      <c r="K430" s="244"/>
      <c r="L430" s="248"/>
      <c r="M430" s="248"/>
      <c r="N430" s="244"/>
      <c r="O430" s="249"/>
      <c r="P430" s="249"/>
      <c r="Q430" s="208"/>
      <c r="R430" s="208"/>
      <c r="S430" s="208"/>
      <c r="T430" s="208"/>
      <c r="U430" s="208"/>
      <c r="V430" s="208"/>
      <c r="W430" s="208"/>
      <c r="X430" s="208"/>
      <c r="Y430" s="208"/>
      <c r="Z430" s="208"/>
      <c r="AA430" s="208"/>
      <c r="AB430" s="208"/>
    </row>
    <row r="431" ht="15.75" customHeight="1">
      <c r="A431" s="243"/>
      <c r="B431" s="244"/>
      <c r="C431" s="245"/>
      <c r="D431" s="246"/>
      <c r="E431" s="245"/>
      <c r="F431" s="247"/>
      <c r="G431" s="244"/>
      <c r="H431" s="243"/>
      <c r="I431" s="244"/>
      <c r="J431" s="244"/>
      <c r="K431" s="244"/>
      <c r="L431" s="248"/>
      <c r="M431" s="248"/>
      <c r="N431" s="244"/>
      <c r="O431" s="249"/>
      <c r="P431" s="249"/>
      <c r="Q431" s="208"/>
      <c r="R431" s="208"/>
      <c r="S431" s="208"/>
      <c r="T431" s="208"/>
      <c r="U431" s="208"/>
      <c r="V431" s="208"/>
      <c r="W431" s="208"/>
      <c r="X431" s="208"/>
      <c r="Y431" s="208"/>
      <c r="Z431" s="208"/>
      <c r="AA431" s="208"/>
      <c r="AB431" s="208"/>
    </row>
    <row r="432" ht="15.75" customHeight="1">
      <c r="A432" s="243"/>
      <c r="B432" s="244"/>
      <c r="C432" s="245"/>
      <c r="D432" s="246"/>
      <c r="E432" s="245"/>
      <c r="F432" s="247"/>
      <c r="G432" s="244"/>
      <c r="H432" s="243"/>
      <c r="I432" s="244"/>
      <c r="J432" s="244"/>
      <c r="K432" s="244"/>
      <c r="L432" s="248"/>
      <c r="M432" s="248"/>
      <c r="N432" s="244"/>
      <c r="O432" s="249"/>
      <c r="P432" s="249"/>
      <c r="Q432" s="208"/>
      <c r="R432" s="208"/>
      <c r="S432" s="208"/>
      <c r="T432" s="208"/>
      <c r="U432" s="208"/>
      <c r="V432" s="208"/>
      <c r="W432" s="208"/>
      <c r="X432" s="208"/>
      <c r="Y432" s="208"/>
      <c r="Z432" s="208"/>
      <c r="AA432" s="208"/>
      <c r="AB432" s="208"/>
    </row>
    <row r="433" ht="15.75" customHeight="1">
      <c r="A433" s="243"/>
      <c r="B433" s="244"/>
      <c r="C433" s="245"/>
      <c r="D433" s="246"/>
      <c r="E433" s="245"/>
      <c r="F433" s="247"/>
      <c r="G433" s="244"/>
      <c r="H433" s="243"/>
      <c r="I433" s="244"/>
      <c r="J433" s="244"/>
      <c r="K433" s="244"/>
      <c r="L433" s="248"/>
      <c r="M433" s="248"/>
      <c r="N433" s="244"/>
      <c r="O433" s="249"/>
      <c r="P433" s="249"/>
      <c r="Q433" s="208"/>
      <c r="R433" s="208"/>
      <c r="S433" s="208"/>
      <c r="T433" s="208"/>
      <c r="U433" s="208"/>
      <c r="V433" s="208"/>
      <c r="W433" s="208"/>
      <c r="X433" s="208"/>
      <c r="Y433" s="208"/>
      <c r="Z433" s="208"/>
      <c r="AA433" s="208"/>
      <c r="AB433" s="208"/>
    </row>
    <row r="434" ht="15.75" customHeight="1">
      <c r="A434" s="243"/>
      <c r="B434" s="244"/>
      <c r="C434" s="245"/>
      <c r="D434" s="246"/>
      <c r="E434" s="245"/>
      <c r="F434" s="247"/>
      <c r="G434" s="244"/>
      <c r="H434" s="243"/>
      <c r="I434" s="244"/>
      <c r="J434" s="244"/>
      <c r="K434" s="244"/>
      <c r="L434" s="248"/>
      <c r="M434" s="248"/>
      <c r="N434" s="244"/>
      <c r="O434" s="249"/>
      <c r="P434" s="249"/>
      <c r="Q434" s="208"/>
      <c r="R434" s="208"/>
      <c r="S434" s="208"/>
      <c r="T434" s="208"/>
      <c r="U434" s="208"/>
      <c r="V434" s="208"/>
      <c r="W434" s="208"/>
      <c r="X434" s="208"/>
      <c r="Y434" s="208"/>
      <c r="Z434" s="208"/>
      <c r="AA434" s="208"/>
      <c r="AB434" s="208"/>
    </row>
    <row r="435" ht="15.75" customHeight="1">
      <c r="A435" s="243"/>
      <c r="B435" s="244"/>
      <c r="C435" s="245"/>
      <c r="D435" s="246"/>
      <c r="E435" s="245"/>
      <c r="F435" s="247"/>
      <c r="G435" s="244"/>
      <c r="H435" s="243"/>
      <c r="I435" s="244"/>
      <c r="J435" s="244"/>
      <c r="K435" s="244"/>
      <c r="L435" s="248"/>
      <c r="M435" s="248"/>
      <c r="N435" s="244"/>
      <c r="O435" s="249"/>
      <c r="P435" s="249"/>
      <c r="Q435" s="208"/>
      <c r="R435" s="208"/>
      <c r="S435" s="208"/>
      <c r="T435" s="208"/>
      <c r="U435" s="208"/>
      <c r="V435" s="208"/>
      <c r="W435" s="208"/>
      <c r="X435" s="208"/>
      <c r="Y435" s="208"/>
      <c r="Z435" s="208"/>
      <c r="AA435" s="208"/>
      <c r="AB435" s="208"/>
    </row>
    <row r="436" ht="15.75" customHeight="1">
      <c r="A436" s="243"/>
      <c r="B436" s="244"/>
      <c r="C436" s="245"/>
      <c r="D436" s="246"/>
      <c r="E436" s="245"/>
      <c r="F436" s="247"/>
      <c r="G436" s="244"/>
      <c r="H436" s="243"/>
      <c r="I436" s="244"/>
      <c r="J436" s="244"/>
      <c r="K436" s="244"/>
      <c r="L436" s="248"/>
      <c r="M436" s="248"/>
      <c r="N436" s="244"/>
      <c r="O436" s="249"/>
      <c r="P436" s="249"/>
      <c r="Q436" s="208"/>
      <c r="R436" s="208"/>
      <c r="S436" s="208"/>
      <c r="T436" s="208"/>
      <c r="U436" s="208"/>
      <c r="V436" s="208"/>
      <c r="W436" s="208"/>
      <c r="X436" s="208"/>
      <c r="Y436" s="208"/>
      <c r="Z436" s="208"/>
      <c r="AA436" s="208"/>
      <c r="AB436" s="208"/>
    </row>
    <row r="437" ht="15.75" customHeight="1">
      <c r="A437" s="243"/>
      <c r="B437" s="244"/>
      <c r="C437" s="245"/>
      <c r="D437" s="246"/>
      <c r="E437" s="245"/>
      <c r="F437" s="247"/>
      <c r="G437" s="244"/>
      <c r="H437" s="243"/>
      <c r="I437" s="244"/>
      <c r="J437" s="244"/>
      <c r="K437" s="244"/>
      <c r="L437" s="248"/>
      <c r="M437" s="248"/>
      <c r="N437" s="244"/>
      <c r="O437" s="249"/>
      <c r="P437" s="249"/>
      <c r="Q437" s="208"/>
      <c r="R437" s="208"/>
      <c r="S437" s="208"/>
      <c r="T437" s="208"/>
      <c r="U437" s="208"/>
      <c r="V437" s="208"/>
      <c r="W437" s="208"/>
      <c r="X437" s="208"/>
      <c r="Y437" s="208"/>
      <c r="Z437" s="208"/>
      <c r="AA437" s="208"/>
      <c r="AB437" s="208"/>
    </row>
    <row r="438" ht="15.75" customHeight="1">
      <c r="A438" s="243"/>
      <c r="B438" s="244"/>
      <c r="C438" s="245"/>
      <c r="D438" s="246"/>
      <c r="E438" s="245"/>
      <c r="F438" s="247"/>
      <c r="G438" s="244"/>
      <c r="H438" s="243"/>
      <c r="I438" s="244"/>
      <c r="J438" s="244"/>
      <c r="K438" s="244"/>
      <c r="L438" s="248"/>
      <c r="M438" s="248"/>
      <c r="N438" s="244"/>
      <c r="O438" s="249"/>
      <c r="P438" s="249"/>
      <c r="Q438" s="208"/>
      <c r="R438" s="208"/>
      <c r="S438" s="208"/>
      <c r="T438" s="208"/>
      <c r="U438" s="208"/>
      <c r="V438" s="208"/>
      <c r="W438" s="208"/>
      <c r="X438" s="208"/>
      <c r="Y438" s="208"/>
      <c r="Z438" s="208"/>
      <c r="AA438" s="208"/>
      <c r="AB438" s="208"/>
    </row>
    <row r="439" ht="15.75" customHeight="1">
      <c r="A439" s="243"/>
      <c r="B439" s="244"/>
      <c r="C439" s="245"/>
      <c r="D439" s="246"/>
      <c r="E439" s="245"/>
      <c r="F439" s="247"/>
      <c r="G439" s="244"/>
      <c r="H439" s="243"/>
      <c r="I439" s="244"/>
      <c r="J439" s="244"/>
      <c r="K439" s="244"/>
      <c r="L439" s="248"/>
      <c r="M439" s="248"/>
      <c r="N439" s="244"/>
      <c r="O439" s="249"/>
      <c r="P439" s="249"/>
      <c r="Q439" s="208"/>
      <c r="R439" s="208"/>
      <c r="S439" s="208"/>
      <c r="T439" s="208"/>
      <c r="U439" s="208"/>
      <c r="V439" s="208"/>
      <c r="W439" s="208"/>
      <c r="X439" s="208"/>
      <c r="Y439" s="208"/>
      <c r="Z439" s="208"/>
      <c r="AA439" s="208"/>
      <c r="AB439" s="208"/>
    </row>
    <row r="440" ht="15.75" customHeight="1">
      <c r="A440" s="243"/>
      <c r="B440" s="244"/>
      <c r="C440" s="245"/>
      <c r="D440" s="246"/>
      <c r="E440" s="245"/>
      <c r="F440" s="247"/>
      <c r="G440" s="244"/>
      <c r="H440" s="243"/>
      <c r="I440" s="244"/>
      <c r="J440" s="244"/>
      <c r="K440" s="244"/>
      <c r="L440" s="248"/>
      <c r="M440" s="248"/>
      <c r="N440" s="244"/>
      <c r="O440" s="249"/>
      <c r="P440" s="249"/>
      <c r="Q440" s="208"/>
      <c r="R440" s="208"/>
      <c r="S440" s="208"/>
      <c r="T440" s="208"/>
      <c r="U440" s="208"/>
      <c r="V440" s="208"/>
      <c r="W440" s="208"/>
      <c r="X440" s="208"/>
      <c r="Y440" s="208"/>
      <c r="Z440" s="208"/>
      <c r="AA440" s="208"/>
      <c r="AB440" s="208"/>
    </row>
    <row r="441" ht="15.75" customHeight="1">
      <c r="A441" s="243"/>
      <c r="B441" s="244"/>
      <c r="C441" s="245"/>
      <c r="D441" s="246"/>
      <c r="E441" s="245"/>
      <c r="F441" s="247"/>
      <c r="G441" s="244"/>
      <c r="H441" s="243"/>
      <c r="I441" s="244"/>
      <c r="J441" s="244"/>
      <c r="K441" s="244"/>
      <c r="L441" s="248"/>
      <c r="M441" s="248"/>
      <c r="N441" s="244"/>
      <c r="O441" s="249"/>
      <c r="P441" s="249"/>
      <c r="Q441" s="208"/>
      <c r="R441" s="208"/>
      <c r="S441" s="208"/>
      <c r="T441" s="208"/>
      <c r="U441" s="208"/>
      <c r="V441" s="208"/>
      <c r="W441" s="208"/>
      <c r="X441" s="208"/>
      <c r="Y441" s="208"/>
      <c r="Z441" s="208"/>
      <c r="AA441" s="208"/>
      <c r="AB441" s="208"/>
    </row>
    <row r="442" ht="15.75" customHeight="1">
      <c r="A442" s="243"/>
      <c r="B442" s="244"/>
      <c r="C442" s="245"/>
      <c r="D442" s="246"/>
      <c r="E442" s="245"/>
      <c r="F442" s="247"/>
      <c r="G442" s="244"/>
      <c r="H442" s="243"/>
      <c r="I442" s="244"/>
      <c r="J442" s="244"/>
      <c r="K442" s="244"/>
      <c r="L442" s="248"/>
      <c r="M442" s="248"/>
      <c r="N442" s="244"/>
      <c r="O442" s="249"/>
      <c r="P442" s="249"/>
      <c r="Q442" s="208"/>
      <c r="R442" s="208"/>
      <c r="S442" s="208"/>
      <c r="T442" s="208"/>
      <c r="U442" s="208"/>
      <c r="V442" s="208"/>
      <c r="W442" s="208"/>
      <c r="X442" s="208"/>
      <c r="Y442" s="208"/>
      <c r="Z442" s="208"/>
      <c r="AA442" s="208"/>
      <c r="AB442" s="208"/>
    </row>
    <row r="443" ht="15.75" customHeight="1">
      <c r="A443" s="243"/>
      <c r="B443" s="244"/>
      <c r="C443" s="245"/>
      <c r="D443" s="246"/>
      <c r="E443" s="245"/>
      <c r="F443" s="247"/>
      <c r="G443" s="244"/>
      <c r="H443" s="243"/>
      <c r="I443" s="244"/>
      <c r="J443" s="244"/>
      <c r="K443" s="244"/>
      <c r="L443" s="248"/>
      <c r="M443" s="248"/>
      <c r="N443" s="244"/>
      <c r="O443" s="249"/>
      <c r="P443" s="249"/>
      <c r="Q443" s="208"/>
      <c r="R443" s="208"/>
      <c r="S443" s="208"/>
      <c r="T443" s="208"/>
      <c r="U443" s="208"/>
      <c r="V443" s="208"/>
      <c r="W443" s="208"/>
      <c r="X443" s="208"/>
      <c r="Y443" s="208"/>
      <c r="Z443" s="208"/>
      <c r="AA443" s="208"/>
      <c r="AB443" s="208"/>
    </row>
    <row r="444" ht="15.75" customHeight="1">
      <c r="A444" s="243"/>
      <c r="B444" s="244"/>
      <c r="C444" s="245"/>
      <c r="D444" s="246"/>
      <c r="E444" s="245"/>
      <c r="F444" s="247"/>
      <c r="G444" s="244"/>
      <c r="H444" s="243"/>
      <c r="I444" s="244"/>
      <c r="J444" s="244"/>
      <c r="K444" s="244"/>
      <c r="L444" s="248"/>
      <c r="M444" s="248"/>
      <c r="N444" s="244"/>
      <c r="O444" s="249"/>
      <c r="P444" s="249"/>
      <c r="Q444" s="208"/>
      <c r="R444" s="208"/>
      <c r="S444" s="208"/>
      <c r="T444" s="208"/>
      <c r="U444" s="208"/>
      <c r="V444" s="208"/>
      <c r="W444" s="208"/>
      <c r="X444" s="208"/>
      <c r="Y444" s="208"/>
      <c r="Z444" s="208"/>
      <c r="AA444" s="208"/>
      <c r="AB444" s="208"/>
    </row>
    <row r="445" ht="15.75" customHeight="1">
      <c r="A445" s="243"/>
      <c r="B445" s="244"/>
      <c r="C445" s="245"/>
      <c r="D445" s="246"/>
      <c r="E445" s="245"/>
      <c r="F445" s="247"/>
      <c r="G445" s="244"/>
      <c r="H445" s="243"/>
      <c r="I445" s="244"/>
      <c r="J445" s="244"/>
      <c r="K445" s="244"/>
      <c r="L445" s="248"/>
      <c r="M445" s="248"/>
      <c r="N445" s="244"/>
      <c r="O445" s="249"/>
      <c r="P445" s="249"/>
      <c r="Q445" s="208"/>
      <c r="R445" s="208"/>
      <c r="S445" s="208"/>
      <c r="T445" s="208"/>
      <c r="U445" s="208"/>
      <c r="V445" s="208"/>
      <c r="W445" s="208"/>
      <c r="X445" s="208"/>
      <c r="Y445" s="208"/>
      <c r="Z445" s="208"/>
      <c r="AA445" s="208"/>
      <c r="AB445" s="208"/>
    </row>
    <row r="446" ht="15.75" customHeight="1">
      <c r="A446" s="243"/>
      <c r="B446" s="244"/>
      <c r="C446" s="245"/>
      <c r="D446" s="246"/>
      <c r="E446" s="245"/>
      <c r="F446" s="247"/>
      <c r="G446" s="244"/>
      <c r="H446" s="243"/>
      <c r="I446" s="244"/>
      <c r="J446" s="244"/>
      <c r="K446" s="244"/>
      <c r="L446" s="248"/>
      <c r="M446" s="248"/>
      <c r="N446" s="244"/>
      <c r="O446" s="249"/>
      <c r="P446" s="249"/>
      <c r="Q446" s="208"/>
      <c r="R446" s="208"/>
      <c r="S446" s="208"/>
      <c r="T446" s="208"/>
      <c r="U446" s="208"/>
      <c r="V446" s="208"/>
      <c r="W446" s="208"/>
      <c r="X446" s="208"/>
      <c r="Y446" s="208"/>
      <c r="Z446" s="208"/>
      <c r="AA446" s="208"/>
      <c r="AB446" s="208"/>
    </row>
    <row r="447" ht="15.75" customHeight="1">
      <c r="A447" s="243"/>
      <c r="B447" s="244"/>
      <c r="C447" s="245"/>
      <c r="D447" s="246"/>
      <c r="E447" s="245"/>
      <c r="F447" s="247"/>
      <c r="G447" s="244"/>
      <c r="H447" s="243"/>
      <c r="I447" s="244"/>
      <c r="J447" s="244"/>
      <c r="K447" s="244"/>
      <c r="L447" s="248"/>
      <c r="M447" s="248"/>
      <c r="N447" s="244"/>
      <c r="O447" s="249"/>
      <c r="P447" s="249"/>
      <c r="Q447" s="208"/>
      <c r="R447" s="208"/>
      <c r="S447" s="208"/>
      <c r="T447" s="208"/>
      <c r="U447" s="208"/>
      <c r="V447" s="208"/>
      <c r="W447" s="208"/>
      <c r="X447" s="208"/>
      <c r="Y447" s="208"/>
      <c r="Z447" s="208"/>
      <c r="AA447" s="208"/>
      <c r="AB447" s="208"/>
    </row>
    <row r="448" ht="15.75" customHeight="1">
      <c r="A448" s="243"/>
      <c r="B448" s="244"/>
      <c r="C448" s="245"/>
      <c r="D448" s="246"/>
      <c r="E448" s="245"/>
      <c r="F448" s="247"/>
      <c r="G448" s="244"/>
      <c r="H448" s="243"/>
      <c r="I448" s="244"/>
      <c r="J448" s="244"/>
      <c r="K448" s="244"/>
      <c r="L448" s="248"/>
      <c r="M448" s="248"/>
      <c r="N448" s="244"/>
      <c r="O448" s="249"/>
      <c r="P448" s="249"/>
      <c r="Q448" s="208"/>
      <c r="R448" s="208"/>
      <c r="S448" s="208"/>
      <c r="T448" s="208"/>
      <c r="U448" s="208"/>
      <c r="V448" s="208"/>
      <c r="W448" s="208"/>
      <c r="X448" s="208"/>
      <c r="Y448" s="208"/>
      <c r="Z448" s="208"/>
      <c r="AA448" s="208"/>
      <c r="AB448" s="208"/>
    </row>
    <row r="449" ht="15.75" customHeight="1">
      <c r="A449" s="243"/>
      <c r="B449" s="244"/>
      <c r="C449" s="245"/>
      <c r="D449" s="246"/>
      <c r="E449" s="245"/>
      <c r="F449" s="247"/>
      <c r="G449" s="244"/>
      <c r="H449" s="243"/>
      <c r="I449" s="244"/>
      <c r="J449" s="244"/>
      <c r="K449" s="244"/>
      <c r="L449" s="248"/>
      <c r="M449" s="248"/>
      <c r="N449" s="244"/>
      <c r="O449" s="249"/>
      <c r="P449" s="249"/>
      <c r="Q449" s="208"/>
      <c r="R449" s="208"/>
      <c r="S449" s="208"/>
      <c r="T449" s="208"/>
      <c r="U449" s="208"/>
      <c r="V449" s="208"/>
      <c r="W449" s="208"/>
      <c r="X449" s="208"/>
      <c r="Y449" s="208"/>
      <c r="Z449" s="208"/>
      <c r="AA449" s="208"/>
      <c r="AB449" s="208"/>
    </row>
    <row r="450" ht="15.75" customHeight="1">
      <c r="A450" s="243"/>
      <c r="B450" s="244"/>
      <c r="C450" s="245"/>
      <c r="D450" s="246"/>
      <c r="E450" s="245"/>
      <c r="F450" s="247"/>
      <c r="G450" s="244"/>
      <c r="H450" s="243"/>
      <c r="I450" s="244"/>
      <c r="J450" s="244"/>
      <c r="K450" s="244"/>
      <c r="L450" s="248"/>
      <c r="M450" s="248"/>
      <c r="N450" s="244"/>
      <c r="O450" s="249"/>
      <c r="P450" s="249"/>
      <c r="Q450" s="208"/>
      <c r="R450" s="208"/>
      <c r="S450" s="208"/>
      <c r="T450" s="208"/>
      <c r="U450" s="208"/>
      <c r="V450" s="208"/>
      <c r="W450" s="208"/>
      <c r="X450" s="208"/>
      <c r="Y450" s="208"/>
      <c r="Z450" s="208"/>
      <c r="AA450" s="208"/>
      <c r="AB450" s="208"/>
    </row>
    <row r="451" ht="15.75" customHeight="1">
      <c r="A451" s="243"/>
      <c r="B451" s="244"/>
      <c r="C451" s="245"/>
      <c r="D451" s="246"/>
      <c r="E451" s="245"/>
      <c r="F451" s="247"/>
      <c r="G451" s="244"/>
      <c r="H451" s="243"/>
      <c r="I451" s="244"/>
      <c r="J451" s="244"/>
      <c r="K451" s="244"/>
      <c r="L451" s="248"/>
      <c r="M451" s="248"/>
      <c r="N451" s="244"/>
      <c r="O451" s="249"/>
      <c r="P451" s="249"/>
      <c r="Q451" s="208"/>
      <c r="R451" s="208"/>
      <c r="S451" s="208"/>
      <c r="T451" s="208"/>
      <c r="U451" s="208"/>
      <c r="V451" s="208"/>
      <c r="W451" s="208"/>
      <c r="X451" s="208"/>
      <c r="Y451" s="208"/>
      <c r="Z451" s="208"/>
      <c r="AA451" s="208"/>
      <c r="AB451" s="208"/>
    </row>
    <row r="452" ht="15.75" customHeight="1">
      <c r="A452" s="243"/>
      <c r="B452" s="244"/>
      <c r="C452" s="245"/>
      <c r="D452" s="246"/>
      <c r="E452" s="245"/>
      <c r="F452" s="247"/>
      <c r="G452" s="244"/>
      <c r="H452" s="243"/>
      <c r="I452" s="244"/>
      <c r="J452" s="244"/>
      <c r="K452" s="244"/>
      <c r="L452" s="248"/>
      <c r="M452" s="248"/>
      <c r="N452" s="244"/>
      <c r="O452" s="249"/>
      <c r="P452" s="249"/>
      <c r="Q452" s="208"/>
      <c r="R452" s="208"/>
      <c r="S452" s="208"/>
      <c r="T452" s="208"/>
      <c r="U452" s="208"/>
      <c r="V452" s="208"/>
      <c r="W452" s="208"/>
      <c r="X452" s="208"/>
      <c r="Y452" s="208"/>
      <c r="Z452" s="208"/>
      <c r="AA452" s="208"/>
      <c r="AB452" s="208"/>
    </row>
    <row r="453" ht="15.75" customHeight="1">
      <c r="A453" s="243"/>
      <c r="B453" s="244"/>
      <c r="C453" s="245"/>
      <c r="D453" s="246"/>
      <c r="E453" s="245"/>
      <c r="F453" s="247"/>
      <c r="G453" s="244"/>
      <c r="H453" s="243"/>
      <c r="I453" s="244"/>
      <c r="J453" s="244"/>
      <c r="K453" s="244"/>
      <c r="L453" s="248"/>
      <c r="M453" s="248"/>
      <c r="N453" s="244"/>
      <c r="O453" s="249"/>
      <c r="P453" s="249"/>
      <c r="Q453" s="208"/>
      <c r="R453" s="208"/>
      <c r="S453" s="208"/>
      <c r="T453" s="208"/>
      <c r="U453" s="208"/>
      <c r="V453" s="208"/>
      <c r="W453" s="208"/>
      <c r="X453" s="208"/>
      <c r="Y453" s="208"/>
      <c r="Z453" s="208"/>
      <c r="AA453" s="208"/>
      <c r="AB453" s="208"/>
    </row>
    <row r="454" ht="15.75" customHeight="1">
      <c r="A454" s="243"/>
      <c r="B454" s="244"/>
      <c r="C454" s="245"/>
      <c r="D454" s="246"/>
      <c r="E454" s="245"/>
      <c r="F454" s="247"/>
      <c r="G454" s="244"/>
      <c r="H454" s="243"/>
      <c r="I454" s="244"/>
      <c r="J454" s="244"/>
      <c r="K454" s="244"/>
      <c r="L454" s="248"/>
      <c r="M454" s="248"/>
      <c r="N454" s="244"/>
      <c r="O454" s="249"/>
      <c r="P454" s="249"/>
      <c r="Q454" s="208"/>
      <c r="R454" s="208"/>
      <c r="S454" s="208"/>
      <c r="T454" s="208"/>
      <c r="U454" s="208"/>
      <c r="V454" s="208"/>
      <c r="W454" s="208"/>
      <c r="X454" s="208"/>
      <c r="Y454" s="208"/>
      <c r="Z454" s="208"/>
      <c r="AA454" s="208"/>
      <c r="AB454" s="208"/>
    </row>
    <row r="455" ht="15.75" customHeight="1">
      <c r="A455" s="243"/>
      <c r="B455" s="244"/>
      <c r="C455" s="245"/>
      <c r="D455" s="246"/>
      <c r="E455" s="245"/>
      <c r="F455" s="247"/>
      <c r="G455" s="244"/>
      <c r="H455" s="243"/>
      <c r="I455" s="244"/>
      <c r="J455" s="244"/>
      <c r="K455" s="244"/>
      <c r="L455" s="248"/>
      <c r="M455" s="248"/>
      <c r="N455" s="244"/>
      <c r="O455" s="249"/>
      <c r="P455" s="249"/>
      <c r="Q455" s="208"/>
      <c r="R455" s="208"/>
      <c r="S455" s="208"/>
      <c r="T455" s="208"/>
      <c r="U455" s="208"/>
      <c r="V455" s="208"/>
      <c r="W455" s="208"/>
      <c r="X455" s="208"/>
      <c r="Y455" s="208"/>
      <c r="Z455" s="208"/>
      <c r="AA455" s="208"/>
      <c r="AB455" s="208"/>
    </row>
    <row r="456" ht="15.75" customHeight="1">
      <c r="A456" s="243"/>
      <c r="B456" s="244"/>
      <c r="C456" s="245"/>
      <c r="D456" s="246"/>
      <c r="E456" s="245"/>
      <c r="F456" s="247"/>
      <c r="G456" s="244"/>
      <c r="H456" s="243"/>
      <c r="I456" s="244"/>
      <c r="J456" s="244"/>
      <c r="K456" s="244"/>
      <c r="L456" s="248"/>
      <c r="M456" s="248"/>
      <c r="N456" s="244"/>
      <c r="O456" s="249"/>
      <c r="P456" s="249"/>
      <c r="Q456" s="208"/>
      <c r="R456" s="208"/>
      <c r="S456" s="208"/>
      <c r="T456" s="208"/>
      <c r="U456" s="208"/>
      <c r="V456" s="208"/>
      <c r="W456" s="208"/>
      <c r="X456" s="208"/>
      <c r="Y456" s="208"/>
      <c r="Z456" s="208"/>
      <c r="AA456" s="208"/>
      <c r="AB456" s="208"/>
    </row>
    <row r="457" ht="15.75" customHeight="1">
      <c r="A457" s="243"/>
      <c r="B457" s="244"/>
      <c r="C457" s="245"/>
      <c r="D457" s="246"/>
      <c r="E457" s="245"/>
      <c r="F457" s="247"/>
      <c r="G457" s="244"/>
      <c r="H457" s="243"/>
      <c r="I457" s="244"/>
      <c r="J457" s="244"/>
      <c r="K457" s="244"/>
      <c r="L457" s="248"/>
      <c r="M457" s="248"/>
      <c r="N457" s="244"/>
      <c r="O457" s="249"/>
      <c r="P457" s="249"/>
      <c r="Q457" s="208"/>
      <c r="R457" s="208"/>
      <c r="S457" s="208"/>
      <c r="T457" s="208"/>
      <c r="U457" s="208"/>
      <c r="V457" s="208"/>
      <c r="W457" s="208"/>
      <c r="X457" s="208"/>
      <c r="Y457" s="208"/>
      <c r="Z457" s="208"/>
      <c r="AA457" s="208"/>
      <c r="AB457" s="208"/>
    </row>
    <row r="458" ht="15.75" customHeight="1">
      <c r="A458" s="243"/>
      <c r="B458" s="244"/>
      <c r="C458" s="245"/>
      <c r="D458" s="246"/>
      <c r="E458" s="245"/>
      <c r="F458" s="247"/>
      <c r="G458" s="244"/>
      <c r="H458" s="243"/>
      <c r="I458" s="244"/>
      <c r="J458" s="244"/>
      <c r="K458" s="244"/>
      <c r="L458" s="248"/>
      <c r="M458" s="248"/>
      <c r="N458" s="244"/>
      <c r="O458" s="249"/>
      <c r="P458" s="249"/>
      <c r="Q458" s="208"/>
      <c r="R458" s="208"/>
      <c r="S458" s="208"/>
      <c r="T458" s="208"/>
      <c r="U458" s="208"/>
      <c r="V458" s="208"/>
      <c r="W458" s="208"/>
      <c r="X458" s="208"/>
      <c r="Y458" s="208"/>
      <c r="Z458" s="208"/>
      <c r="AA458" s="208"/>
      <c r="AB458" s="208"/>
    </row>
    <row r="459" ht="15.75" customHeight="1">
      <c r="A459" s="243"/>
      <c r="B459" s="244"/>
      <c r="C459" s="245"/>
      <c r="D459" s="246"/>
      <c r="E459" s="245"/>
      <c r="F459" s="247"/>
      <c r="G459" s="244"/>
      <c r="H459" s="243"/>
      <c r="I459" s="244"/>
      <c r="J459" s="244"/>
      <c r="K459" s="244"/>
      <c r="L459" s="248"/>
      <c r="M459" s="248"/>
      <c r="N459" s="244"/>
      <c r="O459" s="249"/>
      <c r="P459" s="249"/>
      <c r="Q459" s="208"/>
      <c r="R459" s="208"/>
      <c r="S459" s="208"/>
      <c r="T459" s="208"/>
      <c r="U459" s="208"/>
      <c r="V459" s="208"/>
      <c r="W459" s="208"/>
      <c r="X459" s="208"/>
      <c r="Y459" s="208"/>
      <c r="Z459" s="208"/>
      <c r="AA459" s="208"/>
      <c r="AB459" s="208"/>
    </row>
    <row r="460" ht="15.75" customHeight="1">
      <c r="A460" s="243"/>
      <c r="B460" s="244"/>
      <c r="C460" s="245"/>
      <c r="D460" s="246"/>
      <c r="E460" s="245"/>
      <c r="F460" s="247"/>
      <c r="G460" s="244"/>
      <c r="H460" s="243"/>
      <c r="I460" s="244"/>
      <c r="J460" s="244"/>
      <c r="K460" s="244"/>
      <c r="L460" s="248"/>
      <c r="M460" s="248"/>
      <c r="N460" s="244"/>
      <c r="O460" s="249"/>
      <c r="P460" s="249"/>
      <c r="Q460" s="208"/>
      <c r="R460" s="208"/>
      <c r="S460" s="208"/>
      <c r="T460" s="208"/>
      <c r="U460" s="208"/>
      <c r="V460" s="208"/>
      <c r="W460" s="208"/>
      <c r="X460" s="208"/>
      <c r="Y460" s="208"/>
      <c r="Z460" s="208"/>
      <c r="AA460" s="208"/>
      <c r="AB460" s="208"/>
    </row>
    <row r="461" ht="15.75" customHeight="1">
      <c r="A461" s="243"/>
      <c r="B461" s="244"/>
      <c r="C461" s="245"/>
      <c r="D461" s="246"/>
      <c r="E461" s="245"/>
      <c r="F461" s="247"/>
      <c r="G461" s="244"/>
      <c r="H461" s="243"/>
      <c r="I461" s="244"/>
      <c r="J461" s="244"/>
      <c r="K461" s="244"/>
      <c r="L461" s="248"/>
      <c r="M461" s="248"/>
      <c r="N461" s="244"/>
      <c r="O461" s="249"/>
      <c r="P461" s="249"/>
      <c r="Q461" s="208"/>
      <c r="R461" s="208"/>
      <c r="S461" s="208"/>
      <c r="T461" s="208"/>
      <c r="U461" s="208"/>
      <c r="V461" s="208"/>
      <c r="W461" s="208"/>
      <c r="X461" s="208"/>
      <c r="Y461" s="208"/>
      <c r="Z461" s="208"/>
      <c r="AA461" s="208"/>
      <c r="AB461" s="208"/>
    </row>
    <row r="462" ht="15.75" customHeight="1">
      <c r="A462" s="243"/>
      <c r="B462" s="244"/>
      <c r="C462" s="245"/>
      <c r="D462" s="246"/>
      <c r="E462" s="245"/>
      <c r="F462" s="247"/>
      <c r="G462" s="244"/>
      <c r="H462" s="243"/>
      <c r="I462" s="244"/>
      <c r="J462" s="244"/>
      <c r="K462" s="244"/>
      <c r="L462" s="248"/>
      <c r="M462" s="248"/>
      <c r="N462" s="244"/>
      <c r="O462" s="249"/>
      <c r="P462" s="249"/>
      <c r="Q462" s="208"/>
      <c r="R462" s="208"/>
      <c r="S462" s="208"/>
      <c r="T462" s="208"/>
      <c r="U462" s="208"/>
      <c r="V462" s="208"/>
      <c r="W462" s="208"/>
      <c r="X462" s="208"/>
      <c r="Y462" s="208"/>
      <c r="Z462" s="208"/>
      <c r="AA462" s="208"/>
      <c r="AB462" s="208"/>
    </row>
    <row r="463" ht="15.75" customHeight="1">
      <c r="A463" s="243"/>
      <c r="B463" s="244"/>
      <c r="C463" s="245"/>
      <c r="D463" s="246"/>
      <c r="E463" s="245"/>
      <c r="F463" s="247"/>
      <c r="G463" s="244"/>
      <c r="H463" s="243"/>
      <c r="I463" s="244"/>
      <c r="J463" s="244"/>
      <c r="K463" s="244"/>
      <c r="L463" s="248"/>
      <c r="M463" s="248"/>
      <c r="N463" s="244"/>
      <c r="O463" s="249"/>
      <c r="P463" s="249"/>
      <c r="Q463" s="208"/>
      <c r="R463" s="208"/>
      <c r="S463" s="208"/>
      <c r="T463" s="208"/>
      <c r="U463" s="208"/>
      <c r="V463" s="208"/>
      <c r="W463" s="208"/>
      <c r="X463" s="208"/>
      <c r="Y463" s="208"/>
      <c r="Z463" s="208"/>
      <c r="AA463" s="208"/>
      <c r="AB463" s="208"/>
    </row>
    <row r="464" ht="15.75" customHeight="1">
      <c r="A464" s="243"/>
      <c r="B464" s="244"/>
      <c r="C464" s="245"/>
      <c r="D464" s="246"/>
      <c r="E464" s="245"/>
      <c r="F464" s="247"/>
      <c r="G464" s="244"/>
      <c r="H464" s="243"/>
      <c r="I464" s="244"/>
      <c r="J464" s="244"/>
      <c r="K464" s="244"/>
      <c r="L464" s="248"/>
      <c r="M464" s="248"/>
      <c r="N464" s="244"/>
      <c r="O464" s="249"/>
      <c r="P464" s="249"/>
      <c r="Q464" s="208"/>
      <c r="R464" s="208"/>
      <c r="S464" s="208"/>
      <c r="T464" s="208"/>
      <c r="U464" s="208"/>
      <c r="V464" s="208"/>
      <c r="W464" s="208"/>
      <c r="X464" s="208"/>
      <c r="Y464" s="208"/>
      <c r="Z464" s="208"/>
      <c r="AA464" s="208"/>
      <c r="AB464" s="208"/>
    </row>
    <row r="465" ht="15.75" customHeight="1">
      <c r="A465" s="243"/>
      <c r="B465" s="244"/>
      <c r="C465" s="245"/>
      <c r="D465" s="246"/>
      <c r="E465" s="245"/>
      <c r="F465" s="247"/>
      <c r="G465" s="244"/>
      <c r="H465" s="243"/>
      <c r="I465" s="244"/>
      <c r="J465" s="244"/>
      <c r="K465" s="244"/>
      <c r="L465" s="248"/>
      <c r="M465" s="248"/>
      <c r="N465" s="244"/>
      <c r="O465" s="249"/>
      <c r="P465" s="249"/>
      <c r="Q465" s="208"/>
      <c r="R465" s="208"/>
      <c r="S465" s="208"/>
      <c r="T465" s="208"/>
      <c r="U465" s="208"/>
      <c r="V465" s="208"/>
      <c r="W465" s="208"/>
      <c r="X465" s="208"/>
      <c r="Y465" s="208"/>
      <c r="Z465" s="208"/>
      <c r="AA465" s="208"/>
      <c r="AB465" s="208"/>
    </row>
    <row r="466" ht="15.75" customHeight="1">
      <c r="A466" s="243"/>
      <c r="B466" s="244"/>
      <c r="C466" s="245"/>
      <c r="D466" s="246"/>
      <c r="E466" s="245"/>
      <c r="F466" s="247"/>
      <c r="G466" s="244"/>
      <c r="H466" s="243"/>
      <c r="I466" s="244"/>
      <c r="J466" s="244"/>
      <c r="K466" s="244"/>
      <c r="L466" s="248"/>
      <c r="M466" s="248"/>
      <c r="N466" s="244"/>
      <c r="O466" s="249"/>
      <c r="P466" s="249"/>
      <c r="Q466" s="208"/>
      <c r="R466" s="208"/>
      <c r="S466" s="208"/>
      <c r="T466" s="208"/>
      <c r="U466" s="208"/>
      <c r="V466" s="208"/>
      <c r="W466" s="208"/>
      <c r="X466" s="208"/>
      <c r="Y466" s="208"/>
      <c r="Z466" s="208"/>
      <c r="AA466" s="208"/>
      <c r="AB466" s="208"/>
    </row>
    <row r="467" ht="15.75" customHeight="1">
      <c r="A467" s="243"/>
      <c r="B467" s="244"/>
      <c r="C467" s="245"/>
      <c r="D467" s="246"/>
      <c r="E467" s="245"/>
      <c r="F467" s="247"/>
      <c r="G467" s="244"/>
      <c r="H467" s="243"/>
      <c r="I467" s="244"/>
      <c r="J467" s="244"/>
      <c r="K467" s="244"/>
      <c r="L467" s="248"/>
      <c r="M467" s="248"/>
      <c r="N467" s="244"/>
      <c r="O467" s="249"/>
      <c r="P467" s="249"/>
      <c r="Q467" s="208"/>
      <c r="R467" s="208"/>
      <c r="S467" s="208"/>
      <c r="T467" s="208"/>
      <c r="U467" s="208"/>
      <c r="V467" s="208"/>
      <c r="W467" s="208"/>
      <c r="X467" s="208"/>
      <c r="Y467" s="208"/>
      <c r="Z467" s="208"/>
      <c r="AA467" s="208"/>
      <c r="AB467" s="208"/>
    </row>
    <row r="468" ht="15.75" customHeight="1">
      <c r="A468" s="243"/>
      <c r="B468" s="244"/>
      <c r="C468" s="245"/>
      <c r="D468" s="246"/>
      <c r="E468" s="245"/>
      <c r="F468" s="247"/>
      <c r="G468" s="244"/>
      <c r="H468" s="243"/>
      <c r="I468" s="244"/>
      <c r="J468" s="244"/>
      <c r="K468" s="244"/>
      <c r="L468" s="248"/>
      <c r="M468" s="248"/>
      <c r="N468" s="244"/>
      <c r="O468" s="249"/>
      <c r="P468" s="249"/>
      <c r="Q468" s="208"/>
      <c r="R468" s="208"/>
      <c r="S468" s="208"/>
      <c r="T468" s="208"/>
      <c r="U468" s="208"/>
      <c r="V468" s="208"/>
      <c r="W468" s="208"/>
      <c r="X468" s="208"/>
      <c r="Y468" s="208"/>
      <c r="Z468" s="208"/>
      <c r="AA468" s="208"/>
      <c r="AB468" s="208"/>
    </row>
    <row r="469" ht="15.75" customHeight="1">
      <c r="A469" s="243"/>
      <c r="B469" s="244"/>
      <c r="C469" s="245"/>
      <c r="D469" s="246"/>
      <c r="E469" s="245"/>
      <c r="F469" s="247"/>
      <c r="G469" s="244"/>
      <c r="H469" s="243"/>
      <c r="I469" s="244"/>
      <c r="J469" s="244"/>
      <c r="K469" s="244"/>
      <c r="L469" s="248"/>
      <c r="M469" s="248"/>
      <c r="N469" s="244"/>
      <c r="O469" s="249"/>
      <c r="P469" s="249"/>
      <c r="Q469" s="208"/>
      <c r="R469" s="208"/>
      <c r="S469" s="208"/>
      <c r="T469" s="208"/>
      <c r="U469" s="208"/>
      <c r="V469" s="208"/>
      <c r="W469" s="208"/>
      <c r="X469" s="208"/>
      <c r="Y469" s="208"/>
      <c r="Z469" s="208"/>
      <c r="AA469" s="208"/>
      <c r="AB469" s="208"/>
    </row>
    <row r="470" ht="15.75" customHeight="1">
      <c r="A470" s="243"/>
      <c r="B470" s="244"/>
      <c r="C470" s="245"/>
      <c r="D470" s="246"/>
      <c r="E470" s="245"/>
      <c r="F470" s="247"/>
      <c r="G470" s="244"/>
      <c r="H470" s="243"/>
      <c r="I470" s="244"/>
      <c r="J470" s="244"/>
      <c r="K470" s="244"/>
      <c r="L470" s="248"/>
      <c r="M470" s="248"/>
      <c r="N470" s="244"/>
      <c r="O470" s="249"/>
      <c r="P470" s="249"/>
      <c r="Q470" s="208"/>
      <c r="R470" s="208"/>
      <c r="S470" s="208"/>
      <c r="T470" s="208"/>
      <c r="U470" s="208"/>
      <c r="V470" s="208"/>
      <c r="W470" s="208"/>
      <c r="X470" s="208"/>
      <c r="Y470" s="208"/>
      <c r="Z470" s="208"/>
      <c r="AA470" s="208"/>
      <c r="AB470" s="208"/>
    </row>
    <row r="471" ht="15.75" customHeight="1">
      <c r="A471" s="243"/>
      <c r="B471" s="244"/>
      <c r="C471" s="245"/>
      <c r="D471" s="246"/>
      <c r="E471" s="245"/>
      <c r="F471" s="247"/>
      <c r="G471" s="244"/>
      <c r="H471" s="243"/>
      <c r="I471" s="244"/>
      <c r="J471" s="244"/>
      <c r="K471" s="244"/>
      <c r="L471" s="248"/>
      <c r="M471" s="248"/>
      <c r="N471" s="244"/>
      <c r="O471" s="249"/>
      <c r="P471" s="249"/>
      <c r="Q471" s="208"/>
      <c r="R471" s="208"/>
      <c r="S471" s="208"/>
      <c r="T471" s="208"/>
      <c r="U471" s="208"/>
      <c r="V471" s="208"/>
      <c r="W471" s="208"/>
      <c r="X471" s="208"/>
      <c r="Y471" s="208"/>
      <c r="Z471" s="208"/>
      <c r="AA471" s="208"/>
      <c r="AB471" s="208"/>
    </row>
    <row r="472" ht="15.75" customHeight="1">
      <c r="A472" s="243"/>
      <c r="B472" s="244"/>
      <c r="C472" s="245"/>
      <c r="D472" s="246"/>
      <c r="E472" s="245"/>
      <c r="F472" s="247"/>
      <c r="G472" s="244"/>
      <c r="H472" s="243"/>
      <c r="I472" s="244"/>
      <c r="J472" s="244"/>
      <c r="K472" s="244"/>
      <c r="L472" s="248"/>
      <c r="M472" s="248"/>
      <c r="N472" s="244"/>
      <c r="O472" s="249"/>
      <c r="P472" s="249"/>
      <c r="Q472" s="208"/>
      <c r="R472" s="208"/>
      <c r="S472" s="208"/>
      <c r="T472" s="208"/>
      <c r="U472" s="208"/>
      <c r="V472" s="208"/>
      <c r="W472" s="208"/>
      <c r="X472" s="208"/>
      <c r="Y472" s="208"/>
      <c r="Z472" s="208"/>
      <c r="AA472" s="208"/>
      <c r="AB472" s="208"/>
    </row>
    <row r="473" ht="15.75" customHeight="1">
      <c r="A473" s="243"/>
      <c r="B473" s="244"/>
      <c r="C473" s="245"/>
      <c r="D473" s="246"/>
      <c r="E473" s="245"/>
      <c r="F473" s="247"/>
      <c r="G473" s="244"/>
      <c r="H473" s="243"/>
      <c r="I473" s="244"/>
      <c r="J473" s="244"/>
      <c r="K473" s="244"/>
      <c r="L473" s="248"/>
      <c r="M473" s="248"/>
      <c r="N473" s="244"/>
      <c r="O473" s="249"/>
      <c r="P473" s="249"/>
      <c r="Q473" s="208"/>
      <c r="R473" s="208"/>
      <c r="S473" s="208"/>
      <c r="T473" s="208"/>
      <c r="U473" s="208"/>
      <c r="V473" s="208"/>
      <c r="W473" s="208"/>
      <c r="X473" s="208"/>
      <c r="Y473" s="208"/>
      <c r="Z473" s="208"/>
      <c r="AA473" s="208"/>
      <c r="AB473" s="208"/>
    </row>
    <row r="474" ht="15.75" customHeight="1">
      <c r="A474" s="243"/>
      <c r="B474" s="244"/>
      <c r="C474" s="245"/>
      <c r="D474" s="246"/>
      <c r="E474" s="245"/>
      <c r="F474" s="247"/>
      <c r="G474" s="244"/>
      <c r="H474" s="243"/>
      <c r="I474" s="244"/>
      <c r="J474" s="244"/>
      <c r="K474" s="244"/>
      <c r="L474" s="248"/>
      <c r="M474" s="248"/>
      <c r="N474" s="244"/>
      <c r="O474" s="249"/>
      <c r="P474" s="249"/>
      <c r="Q474" s="208"/>
      <c r="R474" s="208"/>
      <c r="S474" s="208"/>
      <c r="T474" s="208"/>
      <c r="U474" s="208"/>
      <c r="V474" s="208"/>
      <c r="W474" s="208"/>
      <c r="X474" s="208"/>
      <c r="Y474" s="208"/>
      <c r="Z474" s="208"/>
      <c r="AA474" s="208"/>
      <c r="AB474" s="208"/>
    </row>
    <row r="475" ht="15.75" customHeight="1">
      <c r="A475" s="243"/>
      <c r="B475" s="244"/>
      <c r="C475" s="245"/>
      <c r="D475" s="246"/>
      <c r="E475" s="245"/>
      <c r="F475" s="247"/>
      <c r="G475" s="244"/>
      <c r="H475" s="243"/>
      <c r="I475" s="244"/>
      <c r="J475" s="244"/>
      <c r="K475" s="244"/>
      <c r="L475" s="248"/>
      <c r="M475" s="248"/>
      <c r="N475" s="244"/>
      <c r="O475" s="249"/>
      <c r="P475" s="249"/>
      <c r="Q475" s="208"/>
      <c r="R475" s="208"/>
      <c r="S475" s="208"/>
      <c r="T475" s="208"/>
      <c r="U475" s="208"/>
      <c r="V475" s="208"/>
      <c r="W475" s="208"/>
      <c r="X475" s="208"/>
      <c r="Y475" s="208"/>
      <c r="Z475" s="208"/>
      <c r="AA475" s="208"/>
      <c r="AB475" s="208"/>
    </row>
    <row r="476" ht="15.75" customHeight="1">
      <c r="A476" s="243"/>
      <c r="B476" s="244"/>
      <c r="C476" s="245"/>
      <c r="D476" s="246"/>
      <c r="E476" s="245"/>
      <c r="F476" s="247"/>
      <c r="G476" s="244"/>
      <c r="H476" s="243"/>
      <c r="I476" s="244"/>
      <c r="J476" s="244"/>
      <c r="K476" s="244"/>
      <c r="L476" s="248"/>
      <c r="M476" s="248"/>
      <c r="N476" s="244"/>
      <c r="O476" s="249"/>
      <c r="P476" s="249"/>
      <c r="Q476" s="208"/>
      <c r="R476" s="208"/>
      <c r="S476" s="208"/>
      <c r="T476" s="208"/>
      <c r="U476" s="208"/>
      <c r="V476" s="208"/>
      <c r="W476" s="208"/>
      <c r="X476" s="208"/>
      <c r="Y476" s="208"/>
      <c r="Z476" s="208"/>
      <c r="AA476" s="208"/>
      <c r="AB476" s="208"/>
    </row>
    <row r="477" ht="15.75" customHeight="1">
      <c r="A477" s="243"/>
      <c r="B477" s="244"/>
      <c r="C477" s="245"/>
      <c r="D477" s="246"/>
      <c r="E477" s="245"/>
      <c r="F477" s="247"/>
      <c r="G477" s="244"/>
      <c r="H477" s="243"/>
      <c r="I477" s="244"/>
      <c r="J477" s="244"/>
      <c r="K477" s="244"/>
      <c r="L477" s="248"/>
      <c r="M477" s="248"/>
      <c r="N477" s="244"/>
      <c r="O477" s="249"/>
      <c r="P477" s="249"/>
      <c r="Q477" s="208"/>
      <c r="R477" s="208"/>
      <c r="S477" s="208"/>
      <c r="T477" s="208"/>
      <c r="U477" s="208"/>
      <c r="V477" s="208"/>
      <c r="W477" s="208"/>
      <c r="X477" s="208"/>
      <c r="Y477" s="208"/>
      <c r="Z477" s="208"/>
      <c r="AA477" s="208"/>
      <c r="AB477" s="208"/>
    </row>
    <row r="478" ht="15.75" customHeight="1">
      <c r="A478" s="243"/>
      <c r="B478" s="244"/>
      <c r="C478" s="245"/>
      <c r="D478" s="246"/>
      <c r="E478" s="245"/>
      <c r="F478" s="247"/>
      <c r="G478" s="244"/>
      <c r="H478" s="243"/>
      <c r="I478" s="244"/>
      <c r="J478" s="244"/>
      <c r="K478" s="244"/>
      <c r="L478" s="248"/>
      <c r="M478" s="248"/>
      <c r="N478" s="244"/>
      <c r="O478" s="249"/>
      <c r="P478" s="249"/>
      <c r="Q478" s="208"/>
      <c r="R478" s="208"/>
      <c r="S478" s="208"/>
      <c r="T478" s="208"/>
      <c r="U478" s="208"/>
      <c r="V478" s="208"/>
      <c r="W478" s="208"/>
      <c r="X478" s="208"/>
      <c r="Y478" s="208"/>
      <c r="Z478" s="208"/>
      <c r="AA478" s="208"/>
      <c r="AB478" s="208"/>
    </row>
    <row r="479" ht="15.75" customHeight="1">
      <c r="A479" s="243"/>
      <c r="B479" s="244"/>
      <c r="C479" s="245"/>
      <c r="D479" s="246"/>
      <c r="E479" s="245"/>
      <c r="F479" s="247"/>
      <c r="G479" s="244"/>
      <c r="H479" s="243"/>
      <c r="I479" s="244"/>
      <c r="J479" s="244"/>
      <c r="K479" s="244"/>
      <c r="L479" s="248"/>
      <c r="M479" s="248"/>
      <c r="N479" s="244"/>
      <c r="O479" s="249"/>
      <c r="P479" s="249"/>
      <c r="Q479" s="208"/>
      <c r="R479" s="208"/>
      <c r="S479" s="208"/>
      <c r="T479" s="208"/>
      <c r="U479" s="208"/>
      <c r="V479" s="208"/>
      <c r="W479" s="208"/>
      <c r="X479" s="208"/>
      <c r="Y479" s="208"/>
      <c r="Z479" s="208"/>
      <c r="AA479" s="208"/>
      <c r="AB479" s="208"/>
    </row>
    <row r="480" ht="15.75" customHeight="1">
      <c r="A480" s="243"/>
      <c r="B480" s="244"/>
      <c r="C480" s="245"/>
      <c r="D480" s="246"/>
      <c r="E480" s="245"/>
      <c r="F480" s="247"/>
      <c r="G480" s="244"/>
      <c r="H480" s="243"/>
      <c r="I480" s="244"/>
      <c r="J480" s="244"/>
      <c r="K480" s="244"/>
      <c r="L480" s="248"/>
      <c r="M480" s="248"/>
      <c r="N480" s="244"/>
      <c r="O480" s="249"/>
      <c r="P480" s="249"/>
      <c r="Q480" s="208"/>
      <c r="R480" s="208"/>
      <c r="S480" s="208"/>
      <c r="T480" s="208"/>
      <c r="U480" s="208"/>
      <c r="V480" s="208"/>
      <c r="W480" s="208"/>
      <c r="X480" s="208"/>
      <c r="Y480" s="208"/>
      <c r="Z480" s="208"/>
      <c r="AA480" s="208"/>
      <c r="AB480" s="208"/>
    </row>
    <row r="481" ht="15.75" customHeight="1">
      <c r="A481" s="243"/>
      <c r="B481" s="244"/>
      <c r="C481" s="245"/>
      <c r="D481" s="246"/>
      <c r="E481" s="245"/>
      <c r="F481" s="247"/>
      <c r="G481" s="244"/>
      <c r="H481" s="243"/>
      <c r="I481" s="244"/>
      <c r="J481" s="244"/>
      <c r="K481" s="244"/>
      <c r="L481" s="248"/>
      <c r="M481" s="248"/>
      <c r="N481" s="244"/>
      <c r="O481" s="249"/>
      <c r="P481" s="249"/>
      <c r="Q481" s="208"/>
      <c r="R481" s="208"/>
      <c r="S481" s="208"/>
      <c r="T481" s="208"/>
      <c r="U481" s="208"/>
      <c r="V481" s="208"/>
      <c r="W481" s="208"/>
      <c r="X481" s="208"/>
      <c r="Y481" s="208"/>
      <c r="Z481" s="208"/>
      <c r="AA481" s="208"/>
      <c r="AB481" s="208"/>
    </row>
    <row r="482" ht="15.75" customHeight="1">
      <c r="A482" s="243"/>
      <c r="B482" s="244"/>
      <c r="C482" s="245"/>
      <c r="D482" s="246"/>
      <c r="E482" s="245"/>
      <c r="F482" s="247"/>
      <c r="G482" s="244"/>
      <c r="H482" s="243"/>
      <c r="I482" s="244"/>
      <c r="J482" s="244"/>
      <c r="K482" s="244"/>
      <c r="L482" s="248"/>
      <c r="M482" s="248"/>
      <c r="N482" s="244"/>
      <c r="O482" s="249"/>
      <c r="P482" s="249"/>
      <c r="Q482" s="208"/>
      <c r="R482" s="208"/>
      <c r="S482" s="208"/>
      <c r="T482" s="208"/>
      <c r="U482" s="208"/>
      <c r="V482" s="208"/>
      <c r="W482" s="208"/>
      <c r="X482" s="208"/>
      <c r="Y482" s="208"/>
      <c r="Z482" s="208"/>
      <c r="AA482" s="208"/>
      <c r="AB482" s="208"/>
    </row>
    <row r="483" ht="15.75" customHeight="1">
      <c r="A483" s="243"/>
      <c r="B483" s="244"/>
      <c r="C483" s="245"/>
      <c r="D483" s="246"/>
      <c r="E483" s="245"/>
      <c r="F483" s="247"/>
      <c r="G483" s="244"/>
      <c r="H483" s="243"/>
      <c r="I483" s="244"/>
      <c r="J483" s="244"/>
      <c r="K483" s="244"/>
      <c r="L483" s="248"/>
      <c r="M483" s="248"/>
      <c r="N483" s="244"/>
      <c r="O483" s="249"/>
      <c r="P483" s="249"/>
      <c r="Q483" s="208"/>
      <c r="R483" s="208"/>
      <c r="S483" s="208"/>
      <c r="T483" s="208"/>
      <c r="U483" s="208"/>
      <c r="V483" s="208"/>
      <c r="W483" s="208"/>
      <c r="X483" s="208"/>
      <c r="Y483" s="208"/>
      <c r="Z483" s="208"/>
      <c r="AA483" s="208"/>
      <c r="AB483" s="208"/>
    </row>
    <row r="484" ht="15.75" customHeight="1">
      <c r="A484" s="243"/>
      <c r="B484" s="244"/>
      <c r="C484" s="245"/>
      <c r="D484" s="246"/>
      <c r="E484" s="245"/>
      <c r="F484" s="247"/>
      <c r="G484" s="244"/>
      <c r="H484" s="243"/>
      <c r="I484" s="244"/>
      <c r="J484" s="244"/>
      <c r="K484" s="244"/>
      <c r="L484" s="248"/>
      <c r="M484" s="248"/>
      <c r="N484" s="244"/>
      <c r="O484" s="249"/>
      <c r="P484" s="249"/>
      <c r="Q484" s="208"/>
      <c r="R484" s="208"/>
      <c r="S484" s="208"/>
      <c r="T484" s="208"/>
      <c r="U484" s="208"/>
      <c r="V484" s="208"/>
      <c r="W484" s="208"/>
      <c r="X484" s="208"/>
      <c r="Y484" s="208"/>
      <c r="Z484" s="208"/>
      <c r="AA484" s="208"/>
      <c r="AB484" s="208"/>
    </row>
    <row r="485" ht="15.75" customHeight="1">
      <c r="A485" s="243"/>
      <c r="B485" s="244"/>
      <c r="C485" s="245"/>
      <c r="D485" s="246"/>
      <c r="E485" s="245"/>
      <c r="F485" s="247"/>
      <c r="G485" s="244"/>
      <c r="H485" s="243"/>
      <c r="I485" s="244"/>
      <c r="J485" s="244"/>
      <c r="K485" s="244"/>
      <c r="L485" s="248"/>
      <c r="M485" s="248"/>
      <c r="N485" s="244"/>
      <c r="O485" s="249"/>
      <c r="P485" s="249"/>
      <c r="Q485" s="208"/>
      <c r="R485" s="208"/>
      <c r="S485" s="208"/>
      <c r="T485" s="208"/>
      <c r="U485" s="208"/>
      <c r="V485" s="208"/>
      <c r="W485" s="208"/>
      <c r="X485" s="208"/>
      <c r="Y485" s="208"/>
      <c r="Z485" s="208"/>
      <c r="AA485" s="208"/>
      <c r="AB485" s="208"/>
    </row>
    <row r="486" ht="15.75" customHeight="1">
      <c r="A486" s="243"/>
      <c r="B486" s="244"/>
      <c r="C486" s="245"/>
      <c r="D486" s="246"/>
      <c r="E486" s="245"/>
      <c r="F486" s="247"/>
      <c r="G486" s="244"/>
      <c r="H486" s="243"/>
      <c r="I486" s="244"/>
      <c r="J486" s="244"/>
      <c r="K486" s="244"/>
      <c r="L486" s="248"/>
      <c r="M486" s="248"/>
      <c r="N486" s="244"/>
      <c r="O486" s="249"/>
      <c r="P486" s="249"/>
      <c r="Q486" s="208"/>
      <c r="R486" s="208"/>
      <c r="S486" s="208"/>
      <c r="T486" s="208"/>
      <c r="U486" s="208"/>
      <c r="V486" s="208"/>
      <c r="W486" s="208"/>
      <c r="X486" s="208"/>
      <c r="Y486" s="208"/>
      <c r="Z486" s="208"/>
      <c r="AA486" s="208"/>
      <c r="AB486" s="208"/>
    </row>
    <row r="487" ht="15.75" customHeight="1">
      <c r="A487" s="243"/>
      <c r="B487" s="244"/>
      <c r="C487" s="245"/>
      <c r="D487" s="246"/>
      <c r="E487" s="245"/>
      <c r="F487" s="247"/>
      <c r="G487" s="244"/>
      <c r="H487" s="243"/>
      <c r="I487" s="244"/>
      <c r="J487" s="244"/>
      <c r="K487" s="244"/>
      <c r="L487" s="248"/>
      <c r="M487" s="248"/>
      <c r="N487" s="244"/>
      <c r="O487" s="249"/>
      <c r="P487" s="249"/>
      <c r="Q487" s="208"/>
      <c r="R487" s="208"/>
      <c r="S487" s="208"/>
      <c r="T487" s="208"/>
      <c r="U487" s="208"/>
      <c r="V487" s="208"/>
      <c r="W487" s="208"/>
      <c r="X487" s="208"/>
      <c r="Y487" s="208"/>
      <c r="Z487" s="208"/>
      <c r="AA487" s="208"/>
      <c r="AB487" s="208"/>
    </row>
    <row r="488" ht="15.75" customHeight="1">
      <c r="A488" s="243"/>
      <c r="B488" s="244"/>
      <c r="C488" s="245"/>
      <c r="D488" s="246"/>
      <c r="E488" s="245"/>
      <c r="F488" s="247"/>
      <c r="G488" s="244"/>
      <c r="H488" s="243"/>
      <c r="I488" s="244"/>
      <c r="J488" s="244"/>
      <c r="K488" s="244"/>
      <c r="L488" s="248"/>
      <c r="M488" s="248"/>
      <c r="N488" s="244"/>
      <c r="O488" s="249"/>
      <c r="P488" s="249"/>
      <c r="Q488" s="208"/>
      <c r="R488" s="208"/>
      <c r="S488" s="208"/>
      <c r="T488" s="208"/>
      <c r="U488" s="208"/>
      <c r="V488" s="208"/>
      <c r="W488" s="208"/>
      <c r="X488" s="208"/>
      <c r="Y488" s="208"/>
      <c r="Z488" s="208"/>
      <c r="AA488" s="208"/>
      <c r="AB488" s="208"/>
    </row>
    <row r="489" ht="15.75" customHeight="1">
      <c r="A489" s="243"/>
      <c r="B489" s="244"/>
      <c r="C489" s="245"/>
      <c r="D489" s="246"/>
      <c r="E489" s="245"/>
      <c r="F489" s="247"/>
      <c r="G489" s="244"/>
      <c r="H489" s="243"/>
      <c r="I489" s="244"/>
      <c r="J489" s="244"/>
      <c r="K489" s="244"/>
      <c r="L489" s="248"/>
      <c r="M489" s="248"/>
      <c r="N489" s="244"/>
      <c r="O489" s="249"/>
      <c r="P489" s="249"/>
      <c r="Q489" s="208"/>
      <c r="R489" s="208"/>
      <c r="S489" s="208"/>
      <c r="T489" s="208"/>
      <c r="U489" s="208"/>
      <c r="V489" s="208"/>
      <c r="W489" s="208"/>
      <c r="X489" s="208"/>
      <c r="Y489" s="208"/>
      <c r="Z489" s="208"/>
      <c r="AA489" s="208"/>
      <c r="AB489" s="208"/>
    </row>
    <row r="490" ht="15.75" customHeight="1">
      <c r="A490" s="243"/>
      <c r="B490" s="244"/>
      <c r="C490" s="245"/>
      <c r="D490" s="246"/>
      <c r="E490" s="245"/>
      <c r="F490" s="247"/>
      <c r="G490" s="244"/>
      <c r="H490" s="243"/>
      <c r="I490" s="244"/>
      <c r="J490" s="244"/>
      <c r="K490" s="244"/>
      <c r="L490" s="248"/>
      <c r="M490" s="248"/>
      <c r="N490" s="244"/>
      <c r="O490" s="249"/>
      <c r="P490" s="249"/>
      <c r="Q490" s="208"/>
      <c r="R490" s="208"/>
      <c r="S490" s="208"/>
      <c r="T490" s="208"/>
      <c r="U490" s="208"/>
      <c r="V490" s="208"/>
      <c r="W490" s="208"/>
      <c r="X490" s="208"/>
      <c r="Y490" s="208"/>
      <c r="Z490" s="208"/>
      <c r="AA490" s="208"/>
      <c r="AB490" s="208"/>
    </row>
    <row r="491" ht="15.75" customHeight="1">
      <c r="A491" s="243"/>
      <c r="B491" s="244"/>
      <c r="C491" s="245"/>
      <c r="D491" s="246"/>
      <c r="E491" s="245"/>
      <c r="F491" s="247"/>
      <c r="G491" s="244"/>
      <c r="H491" s="243"/>
      <c r="I491" s="244"/>
      <c r="J491" s="244"/>
      <c r="K491" s="244"/>
      <c r="L491" s="248"/>
      <c r="M491" s="248"/>
      <c r="N491" s="244"/>
      <c r="O491" s="249"/>
      <c r="P491" s="249"/>
      <c r="Q491" s="208"/>
      <c r="R491" s="208"/>
      <c r="S491" s="208"/>
      <c r="T491" s="208"/>
      <c r="U491" s="208"/>
      <c r="V491" s="208"/>
      <c r="W491" s="208"/>
      <c r="X491" s="208"/>
      <c r="Y491" s="208"/>
      <c r="Z491" s="208"/>
      <c r="AA491" s="208"/>
      <c r="AB491" s="208"/>
    </row>
    <row r="492" ht="15.75" customHeight="1">
      <c r="A492" s="243"/>
      <c r="B492" s="244"/>
      <c r="C492" s="245"/>
      <c r="D492" s="246"/>
      <c r="E492" s="245"/>
      <c r="F492" s="247"/>
      <c r="G492" s="244"/>
      <c r="H492" s="243"/>
      <c r="I492" s="244"/>
      <c r="J492" s="244"/>
      <c r="K492" s="244"/>
      <c r="L492" s="248"/>
      <c r="M492" s="248"/>
      <c r="N492" s="244"/>
      <c r="O492" s="249"/>
      <c r="P492" s="249"/>
      <c r="Q492" s="208"/>
      <c r="R492" s="208"/>
      <c r="S492" s="208"/>
      <c r="T492" s="208"/>
      <c r="U492" s="208"/>
      <c r="V492" s="208"/>
      <c r="W492" s="208"/>
      <c r="X492" s="208"/>
      <c r="Y492" s="208"/>
      <c r="Z492" s="208"/>
      <c r="AA492" s="208"/>
      <c r="AB492" s="208"/>
    </row>
    <row r="493" ht="15.75" customHeight="1">
      <c r="A493" s="243"/>
      <c r="B493" s="244"/>
      <c r="C493" s="245"/>
      <c r="D493" s="246"/>
      <c r="E493" s="245"/>
      <c r="F493" s="247"/>
      <c r="G493" s="244"/>
      <c r="H493" s="243"/>
      <c r="I493" s="244"/>
      <c r="J493" s="244"/>
      <c r="K493" s="244"/>
      <c r="L493" s="248"/>
      <c r="M493" s="248"/>
      <c r="N493" s="244"/>
      <c r="O493" s="249"/>
      <c r="P493" s="249"/>
      <c r="Q493" s="208"/>
      <c r="R493" s="208"/>
      <c r="S493" s="208"/>
      <c r="T493" s="208"/>
      <c r="U493" s="208"/>
      <c r="V493" s="208"/>
      <c r="W493" s="208"/>
      <c r="X493" s="208"/>
      <c r="Y493" s="208"/>
      <c r="Z493" s="208"/>
      <c r="AA493" s="208"/>
      <c r="AB493" s="208"/>
    </row>
    <row r="494" ht="15.75" customHeight="1">
      <c r="A494" s="243"/>
      <c r="B494" s="244"/>
      <c r="C494" s="245"/>
      <c r="D494" s="246"/>
      <c r="E494" s="245"/>
      <c r="F494" s="247"/>
      <c r="G494" s="244"/>
      <c r="H494" s="243"/>
      <c r="I494" s="244"/>
      <c r="J494" s="244"/>
      <c r="K494" s="244"/>
      <c r="L494" s="248"/>
      <c r="M494" s="248"/>
      <c r="N494" s="244"/>
      <c r="O494" s="249"/>
      <c r="P494" s="249"/>
      <c r="Q494" s="208"/>
      <c r="R494" s="208"/>
      <c r="S494" s="208"/>
      <c r="T494" s="208"/>
      <c r="U494" s="208"/>
      <c r="V494" s="208"/>
      <c r="W494" s="208"/>
      <c r="X494" s="208"/>
      <c r="Y494" s="208"/>
      <c r="Z494" s="208"/>
      <c r="AA494" s="208"/>
      <c r="AB494" s="208"/>
    </row>
    <row r="495" ht="15.75" customHeight="1">
      <c r="A495" s="243"/>
      <c r="B495" s="244"/>
      <c r="C495" s="245"/>
      <c r="D495" s="246"/>
      <c r="E495" s="245"/>
      <c r="F495" s="247"/>
      <c r="G495" s="244"/>
      <c r="H495" s="243"/>
      <c r="I495" s="244"/>
      <c r="J495" s="244"/>
      <c r="K495" s="244"/>
      <c r="L495" s="248"/>
      <c r="M495" s="248"/>
      <c r="N495" s="244"/>
      <c r="O495" s="249"/>
      <c r="P495" s="249"/>
      <c r="Q495" s="208"/>
      <c r="R495" s="208"/>
      <c r="S495" s="208"/>
      <c r="T495" s="208"/>
      <c r="U495" s="208"/>
      <c r="V495" s="208"/>
      <c r="W495" s="208"/>
      <c r="X495" s="208"/>
      <c r="Y495" s="208"/>
      <c r="Z495" s="208"/>
      <c r="AA495" s="208"/>
      <c r="AB495" s="208"/>
    </row>
    <row r="496" ht="15.75" customHeight="1">
      <c r="A496" s="243"/>
      <c r="B496" s="244"/>
      <c r="C496" s="245"/>
      <c r="D496" s="246"/>
      <c r="E496" s="245"/>
      <c r="F496" s="247"/>
      <c r="G496" s="244"/>
      <c r="H496" s="243"/>
      <c r="I496" s="244"/>
      <c r="J496" s="244"/>
      <c r="K496" s="244"/>
      <c r="L496" s="248"/>
      <c r="M496" s="248"/>
      <c r="N496" s="244"/>
      <c r="O496" s="249"/>
      <c r="P496" s="249"/>
      <c r="Q496" s="208"/>
      <c r="R496" s="208"/>
      <c r="S496" s="208"/>
      <c r="T496" s="208"/>
      <c r="U496" s="208"/>
      <c r="V496" s="208"/>
      <c r="W496" s="208"/>
      <c r="X496" s="208"/>
      <c r="Y496" s="208"/>
      <c r="Z496" s="208"/>
      <c r="AA496" s="208"/>
      <c r="AB496" s="208"/>
    </row>
    <row r="497" ht="15.75" customHeight="1">
      <c r="A497" s="243"/>
      <c r="B497" s="244"/>
      <c r="C497" s="245"/>
      <c r="D497" s="246"/>
      <c r="E497" s="245"/>
      <c r="F497" s="247"/>
      <c r="G497" s="244"/>
      <c r="H497" s="243"/>
      <c r="I497" s="244"/>
      <c r="J497" s="244"/>
      <c r="K497" s="244"/>
      <c r="L497" s="248"/>
      <c r="M497" s="248"/>
      <c r="N497" s="244"/>
      <c r="O497" s="249"/>
      <c r="P497" s="249"/>
      <c r="Q497" s="208"/>
      <c r="R497" s="208"/>
      <c r="S497" s="208"/>
      <c r="T497" s="208"/>
      <c r="U497" s="208"/>
      <c r="V497" s="208"/>
      <c r="W497" s="208"/>
      <c r="X497" s="208"/>
      <c r="Y497" s="208"/>
      <c r="Z497" s="208"/>
      <c r="AA497" s="208"/>
      <c r="AB497" s="208"/>
    </row>
    <row r="498" ht="15.75" customHeight="1">
      <c r="A498" s="243"/>
      <c r="B498" s="244"/>
      <c r="C498" s="245"/>
      <c r="D498" s="246"/>
      <c r="E498" s="245"/>
      <c r="F498" s="247"/>
      <c r="G498" s="244"/>
      <c r="H498" s="243"/>
      <c r="I498" s="244"/>
      <c r="J498" s="244"/>
      <c r="K498" s="244"/>
      <c r="L498" s="248"/>
      <c r="M498" s="248"/>
      <c r="N498" s="244"/>
      <c r="O498" s="249"/>
      <c r="P498" s="249"/>
      <c r="Q498" s="208"/>
      <c r="R498" s="208"/>
      <c r="S498" s="208"/>
      <c r="T498" s="208"/>
      <c r="U498" s="208"/>
      <c r="V498" s="208"/>
      <c r="W498" s="208"/>
      <c r="X498" s="208"/>
      <c r="Y498" s="208"/>
      <c r="Z498" s="208"/>
      <c r="AA498" s="208"/>
      <c r="AB498" s="208"/>
    </row>
    <row r="499" ht="15.75" customHeight="1">
      <c r="A499" s="243"/>
      <c r="B499" s="244"/>
      <c r="C499" s="245"/>
      <c r="D499" s="246"/>
      <c r="E499" s="245"/>
      <c r="F499" s="247"/>
      <c r="G499" s="244"/>
      <c r="H499" s="243"/>
      <c r="I499" s="244"/>
      <c r="J499" s="244"/>
      <c r="K499" s="244"/>
      <c r="L499" s="248"/>
      <c r="M499" s="248"/>
      <c r="N499" s="244"/>
      <c r="O499" s="249"/>
      <c r="P499" s="249"/>
      <c r="Q499" s="208"/>
      <c r="R499" s="208"/>
      <c r="S499" s="208"/>
      <c r="T499" s="208"/>
      <c r="U499" s="208"/>
      <c r="V499" s="208"/>
      <c r="W499" s="208"/>
      <c r="X499" s="208"/>
      <c r="Y499" s="208"/>
      <c r="Z499" s="208"/>
      <c r="AA499" s="208"/>
      <c r="AB499" s="208"/>
    </row>
    <row r="500" ht="15.75" customHeight="1">
      <c r="A500" s="243"/>
      <c r="B500" s="244"/>
      <c r="C500" s="245"/>
      <c r="D500" s="246"/>
      <c r="E500" s="245"/>
      <c r="F500" s="247"/>
      <c r="G500" s="244"/>
      <c r="H500" s="243"/>
      <c r="I500" s="244"/>
      <c r="J500" s="244"/>
      <c r="K500" s="244"/>
      <c r="L500" s="248"/>
      <c r="M500" s="248"/>
      <c r="N500" s="244"/>
      <c r="O500" s="249"/>
      <c r="P500" s="249"/>
      <c r="Q500" s="208"/>
      <c r="R500" s="208"/>
      <c r="S500" s="208"/>
      <c r="T500" s="208"/>
      <c r="U500" s="208"/>
      <c r="V500" s="208"/>
      <c r="W500" s="208"/>
      <c r="X500" s="208"/>
      <c r="Y500" s="208"/>
      <c r="Z500" s="208"/>
      <c r="AA500" s="208"/>
      <c r="AB500" s="208"/>
    </row>
    <row r="501" ht="15.75" customHeight="1">
      <c r="A501" s="243"/>
      <c r="B501" s="244"/>
      <c r="C501" s="245"/>
      <c r="D501" s="246"/>
      <c r="E501" s="245"/>
      <c r="F501" s="247"/>
      <c r="G501" s="244"/>
      <c r="H501" s="243"/>
      <c r="I501" s="244"/>
      <c r="J501" s="244"/>
      <c r="K501" s="244"/>
      <c r="L501" s="248"/>
      <c r="M501" s="248"/>
      <c r="N501" s="244"/>
      <c r="O501" s="249"/>
      <c r="P501" s="249"/>
      <c r="Q501" s="208"/>
      <c r="R501" s="208"/>
      <c r="S501" s="208"/>
      <c r="T501" s="208"/>
      <c r="U501" s="208"/>
      <c r="V501" s="208"/>
      <c r="W501" s="208"/>
      <c r="X501" s="208"/>
      <c r="Y501" s="208"/>
      <c r="Z501" s="208"/>
      <c r="AA501" s="208"/>
      <c r="AB501" s="208"/>
    </row>
    <row r="502" ht="15.75" customHeight="1">
      <c r="A502" s="243"/>
      <c r="B502" s="244"/>
      <c r="C502" s="245"/>
      <c r="D502" s="246"/>
      <c r="E502" s="245"/>
      <c r="F502" s="247"/>
      <c r="G502" s="244"/>
      <c r="H502" s="243"/>
      <c r="I502" s="244"/>
      <c r="J502" s="244"/>
      <c r="K502" s="244"/>
      <c r="L502" s="248"/>
      <c r="M502" s="248"/>
      <c r="N502" s="244"/>
      <c r="O502" s="249"/>
      <c r="P502" s="249"/>
      <c r="Q502" s="208"/>
      <c r="R502" s="208"/>
      <c r="S502" s="208"/>
      <c r="T502" s="208"/>
      <c r="U502" s="208"/>
      <c r="V502" s="208"/>
      <c r="W502" s="208"/>
      <c r="X502" s="208"/>
      <c r="Y502" s="208"/>
      <c r="Z502" s="208"/>
      <c r="AA502" s="208"/>
      <c r="AB502" s="208"/>
    </row>
    <row r="503" ht="15.75" customHeight="1">
      <c r="A503" s="243"/>
      <c r="B503" s="244"/>
      <c r="C503" s="245"/>
      <c r="D503" s="246"/>
      <c r="E503" s="245"/>
      <c r="F503" s="247"/>
      <c r="G503" s="244"/>
      <c r="H503" s="243"/>
      <c r="I503" s="244"/>
      <c r="J503" s="244"/>
      <c r="K503" s="244"/>
      <c r="L503" s="248"/>
      <c r="M503" s="248"/>
      <c r="N503" s="244"/>
      <c r="O503" s="249"/>
      <c r="P503" s="249"/>
      <c r="Q503" s="208"/>
      <c r="R503" s="208"/>
      <c r="S503" s="208"/>
      <c r="T503" s="208"/>
      <c r="U503" s="208"/>
      <c r="V503" s="208"/>
      <c r="W503" s="208"/>
      <c r="X503" s="208"/>
      <c r="Y503" s="208"/>
      <c r="Z503" s="208"/>
      <c r="AA503" s="208"/>
      <c r="AB503" s="208"/>
    </row>
    <row r="504" ht="15.75" customHeight="1">
      <c r="A504" s="243"/>
      <c r="B504" s="244"/>
      <c r="C504" s="245"/>
      <c r="D504" s="246"/>
      <c r="E504" s="245"/>
      <c r="F504" s="247"/>
      <c r="G504" s="244"/>
      <c r="H504" s="243"/>
      <c r="I504" s="244"/>
      <c r="J504" s="244"/>
      <c r="K504" s="244"/>
      <c r="L504" s="248"/>
      <c r="M504" s="248"/>
      <c r="N504" s="244"/>
      <c r="O504" s="249"/>
      <c r="P504" s="249"/>
      <c r="Q504" s="208"/>
      <c r="R504" s="208"/>
      <c r="S504" s="208"/>
      <c r="T504" s="208"/>
      <c r="U504" s="208"/>
      <c r="V504" s="208"/>
      <c r="W504" s="208"/>
      <c r="X504" s="208"/>
      <c r="Y504" s="208"/>
      <c r="Z504" s="208"/>
      <c r="AA504" s="208"/>
      <c r="AB504" s="208"/>
    </row>
    <row r="505" ht="15.75" customHeight="1">
      <c r="A505" s="243"/>
      <c r="B505" s="244"/>
      <c r="C505" s="245"/>
      <c r="D505" s="246"/>
      <c r="E505" s="245"/>
      <c r="F505" s="247"/>
      <c r="G505" s="244"/>
      <c r="H505" s="243"/>
      <c r="I505" s="244"/>
      <c r="J505" s="244"/>
      <c r="K505" s="244"/>
      <c r="L505" s="248"/>
      <c r="M505" s="248"/>
      <c r="N505" s="244"/>
      <c r="O505" s="249"/>
      <c r="P505" s="249"/>
      <c r="Q505" s="208"/>
      <c r="R505" s="208"/>
      <c r="S505" s="208"/>
      <c r="T505" s="208"/>
      <c r="U505" s="208"/>
      <c r="V505" s="208"/>
      <c r="W505" s="208"/>
      <c r="X505" s="208"/>
      <c r="Y505" s="208"/>
      <c r="Z505" s="208"/>
      <c r="AA505" s="208"/>
      <c r="AB505" s="208"/>
    </row>
    <row r="506" ht="15.75" customHeight="1">
      <c r="A506" s="243"/>
      <c r="B506" s="244"/>
      <c r="C506" s="245"/>
      <c r="D506" s="246"/>
      <c r="E506" s="245"/>
      <c r="F506" s="247"/>
      <c r="G506" s="244"/>
      <c r="H506" s="243"/>
      <c r="I506" s="244"/>
      <c r="J506" s="244"/>
      <c r="K506" s="244"/>
      <c r="L506" s="248"/>
      <c r="M506" s="248"/>
      <c r="N506" s="244"/>
      <c r="O506" s="249"/>
      <c r="P506" s="249"/>
      <c r="Q506" s="208"/>
      <c r="R506" s="208"/>
      <c r="S506" s="208"/>
      <c r="T506" s="208"/>
      <c r="U506" s="208"/>
      <c r="V506" s="208"/>
      <c r="W506" s="208"/>
      <c r="X506" s="208"/>
      <c r="Y506" s="208"/>
      <c r="Z506" s="208"/>
      <c r="AA506" s="208"/>
      <c r="AB506" s="208"/>
    </row>
    <row r="507" ht="15.75" customHeight="1">
      <c r="A507" s="243"/>
      <c r="B507" s="244"/>
      <c r="C507" s="245"/>
      <c r="D507" s="246"/>
      <c r="E507" s="245"/>
      <c r="F507" s="247"/>
      <c r="G507" s="244"/>
      <c r="H507" s="243"/>
      <c r="I507" s="244"/>
      <c r="J507" s="244"/>
      <c r="K507" s="244"/>
      <c r="L507" s="248"/>
      <c r="M507" s="248"/>
      <c r="N507" s="244"/>
      <c r="O507" s="249"/>
      <c r="P507" s="249"/>
      <c r="Q507" s="208"/>
      <c r="R507" s="208"/>
      <c r="S507" s="208"/>
      <c r="T507" s="208"/>
      <c r="U507" s="208"/>
      <c r="V507" s="208"/>
      <c r="W507" s="208"/>
      <c r="X507" s="208"/>
      <c r="Y507" s="208"/>
      <c r="Z507" s="208"/>
      <c r="AA507" s="208"/>
      <c r="AB507" s="208"/>
    </row>
    <row r="508" ht="15.75" customHeight="1">
      <c r="A508" s="243"/>
      <c r="B508" s="244"/>
      <c r="C508" s="245"/>
      <c r="D508" s="246"/>
      <c r="E508" s="245"/>
      <c r="F508" s="247"/>
      <c r="G508" s="244"/>
      <c r="H508" s="243"/>
      <c r="I508" s="244"/>
      <c r="J508" s="244"/>
      <c r="K508" s="244"/>
      <c r="L508" s="248"/>
      <c r="M508" s="248"/>
      <c r="N508" s="244"/>
      <c r="O508" s="249"/>
      <c r="P508" s="249"/>
      <c r="Q508" s="208"/>
      <c r="R508" s="208"/>
      <c r="S508" s="208"/>
      <c r="T508" s="208"/>
      <c r="U508" s="208"/>
      <c r="V508" s="208"/>
      <c r="W508" s="208"/>
      <c r="X508" s="208"/>
      <c r="Y508" s="208"/>
      <c r="Z508" s="208"/>
      <c r="AA508" s="208"/>
      <c r="AB508" s="208"/>
    </row>
    <row r="509" ht="15.75" customHeight="1">
      <c r="A509" s="243"/>
      <c r="B509" s="244"/>
      <c r="C509" s="245"/>
      <c r="D509" s="246"/>
      <c r="E509" s="245"/>
      <c r="F509" s="247"/>
      <c r="G509" s="244"/>
      <c r="H509" s="243"/>
      <c r="I509" s="244"/>
      <c r="J509" s="244"/>
      <c r="K509" s="244"/>
      <c r="L509" s="248"/>
      <c r="M509" s="248"/>
      <c r="N509" s="244"/>
      <c r="O509" s="249"/>
      <c r="P509" s="249"/>
      <c r="Q509" s="208"/>
      <c r="R509" s="208"/>
      <c r="S509" s="208"/>
      <c r="T509" s="208"/>
      <c r="U509" s="208"/>
      <c r="V509" s="208"/>
      <c r="W509" s="208"/>
      <c r="X509" s="208"/>
      <c r="Y509" s="208"/>
      <c r="Z509" s="208"/>
      <c r="AA509" s="208"/>
      <c r="AB509" s="208"/>
    </row>
    <row r="510" ht="15.75" customHeight="1">
      <c r="A510" s="243"/>
      <c r="B510" s="244"/>
      <c r="C510" s="245"/>
      <c r="D510" s="246"/>
      <c r="E510" s="245"/>
      <c r="F510" s="247"/>
      <c r="G510" s="244"/>
      <c r="H510" s="243"/>
      <c r="I510" s="244"/>
      <c r="J510" s="244"/>
      <c r="K510" s="244"/>
      <c r="L510" s="248"/>
      <c r="M510" s="248"/>
      <c r="N510" s="244"/>
      <c r="O510" s="249"/>
      <c r="P510" s="249"/>
      <c r="Q510" s="208"/>
      <c r="R510" s="208"/>
      <c r="S510" s="208"/>
      <c r="T510" s="208"/>
      <c r="U510" s="208"/>
      <c r="V510" s="208"/>
      <c r="W510" s="208"/>
      <c r="X510" s="208"/>
      <c r="Y510" s="208"/>
      <c r="Z510" s="208"/>
      <c r="AA510" s="208"/>
      <c r="AB510" s="208"/>
    </row>
    <row r="511" ht="15.75" customHeight="1">
      <c r="A511" s="243"/>
      <c r="B511" s="244"/>
      <c r="C511" s="245"/>
      <c r="D511" s="246"/>
      <c r="E511" s="245"/>
      <c r="F511" s="247"/>
      <c r="G511" s="244"/>
      <c r="H511" s="243"/>
      <c r="I511" s="244"/>
      <c r="J511" s="244"/>
      <c r="K511" s="244"/>
      <c r="L511" s="248"/>
      <c r="M511" s="248"/>
      <c r="N511" s="244"/>
      <c r="O511" s="249"/>
      <c r="P511" s="249"/>
      <c r="Q511" s="208"/>
      <c r="R511" s="208"/>
      <c r="S511" s="208"/>
      <c r="T511" s="208"/>
      <c r="U511" s="208"/>
      <c r="V511" s="208"/>
      <c r="W511" s="208"/>
      <c r="X511" s="208"/>
      <c r="Y511" s="208"/>
      <c r="Z511" s="208"/>
      <c r="AA511" s="208"/>
      <c r="AB511" s="208"/>
    </row>
    <row r="512" ht="15.75" customHeight="1">
      <c r="A512" s="243"/>
      <c r="B512" s="244"/>
      <c r="C512" s="245"/>
      <c r="D512" s="246"/>
      <c r="E512" s="245"/>
      <c r="F512" s="247"/>
      <c r="G512" s="244"/>
      <c r="H512" s="243"/>
      <c r="I512" s="244"/>
      <c r="J512" s="244"/>
      <c r="K512" s="244"/>
      <c r="L512" s="248"/>
      <c r="M512" s="248"/>
      <c r="N512" s="244"/>
      <c r="O512" s="249"/>
      <c r="P512" s="249"/>
      <c r="Q512" s="208"/>
      <c r="R512" s="208"/>
      <c r="S512" s="208"/>
      <c r="T512" s="208"/>
      <c r="U512" s="208"/>
      <c r="V512" s="208"/>
      <c r="W512" s="208"/>
      <c r="X512" s="208"/>
      <c r="Y512" s="208"/>
      <c r="Z512" s="208"/>
      <c r="AA512" s="208"/>
      <c r="AB512" s="208"/>
    </row>
    <row r="513" ht="15.75" customHeight="1">
      <c r="A513" s="243"/>
      <c r="B513" s="244"/>
      <c r="C513" s="245"/>
      <c r="D513" s="246"/>
      <c r="E513" s="245"/>
      <c r="F513" s="247"/>
      <c r="G513" s="244"/>
      <c r="H513" s="243"/>
      <c r="I513" s="244"/>
      <c r="J513" s="244"/>
      <c r="K513" s="244"/>
      <c r="L513" s="248"/>
      <c r="M513" s="248"/>
      <c r="N513" s="244"/>
      <c r="O513" s="249"/>
      <c r="P513" s="249"/>
      <c r="Q513" s="208"/>
      <c r="R513" s="208"/>
      <c r="S513" s="208"/>
      <c r="T513" s="208"/>
      <c r="U513" s="208"/>
      <c r="V513" s="208"/>
      <c r="W513" s="208"/>
      <c r="X513" s="208"/>
      <c r="Y513" s="208"/>
      <c r="Z513" s="208"/>
      <c r="AA513" s="208"/>
      <c r="AB513" s="208"/>
    </row>
    <row r="514" ht="15.75" customHeight="1">
      <c r="A514" s="243"/>
      <c r="B514" s="244"/>
      <c r="C514" s="245"/>
      <c r="D514" s="246"/>
      <c r="E514" s="245"/>
      <c r="F514" s="247"/>
      <c r="G514" s="244"/>
      <c r="H514" s="243"/>
      <c r="I514" s="244"/>
      <c r="J514" s="244"/>
      <c r="K514" s="244"/>
      <c r="L514" s="248"/>
      <c r="M514" s="248"/>
      <c r="N514" s="244"/>
      <c r="O514" s="249"/>
      <c r="P514" s="249"/>
      <c r="Q514" s="208"/>
      <c r="R514" s="208"/>
      <c r="S514" s="208"/>
      <c r="T514" s="208"/>
      <c r="U514" s="208"/>
      <c r="V514" s="208"/>
      <c r="W514" s="208"/>
      <c r="X514" s="208"/>
      <c r="Y514" s="208"/>
      <c r="Z514" s="208"/>
      <c r="AA514" s="208"/>
      <c r="AB514" s="208"/>
    </row>
    <row r="515" ht="15.75" customHeight="1">
      <c r="A515" s="243"/>
      <c r="B515" s="244"/>
      <c r="C515" s="245"/>
      <c r="D515" s="246"/>
      <c r="E515" s="245"/>
      <c r="F515" s="247"/>
      <c r="G515" s="244"/>
      <c r="H515" s="243"/>
      <c r="I515" s="244"/>
      <c r="J515" s="244"/>
      <c r="K515" s="244"/>
      <c r="L515" s="248"/>
      <c r="M515" s="248"/>
      <c r="N515" s="244"/>
      <c r="O515" s="249"/>
      <c r="P515" s="249"/>
      <c r="Q515" s="208"/>
      <c r="R515" s="208"/>
      <c r="S515" s="208"/>
      <c r="T515" s="208"/>
      <c r="U515" s="208"/>
      <c r="V515" s="208"/>
      <c r="W515" s="208"/>
      <c r="X515" s="208"/>
      <c r="Y515" s="208"/>
      <c r="Z515" s="208"/>
      <c r="AA515" s="208"/>
      <c r="AB515" s="208"/>
    </row>
    <row r="516" ht="15.75" customHeight="1">
      <c r="A516" s="243"/>
      <c r="B516" s="244"/>
      <c r="C516" s="245"/>
      <c r="D516" s="246"/>
      <c r="E516" s="245"/>
      <c r="F516" s="247"/>
      <c r="G516" s="244"/>
      <c r="H516" s="243"/>
      <c r="I516" s="244"/>
      <c r="J516" s="244"/>
      <c r="K516" s="244"/>
      <c r="L516" s="248"/>
      <c r="M516" s="248"/>
      <c r="N516" s="244"/>
      <c r="O516" s="249"/>
      <c r="P516" s="249"/>
      <c r="Q516" s="208"/>
      <c r="R516" s="208"/>
      <c r="S516" s="208"/>
      <c r="T516" s="208"/>
      <c r="U516" s="208"/>
      <c r="V516" s="208"/>
      <c r="W516" s="208"/>
      <c r="X516" s="208"/>
      <c r="Y516" s="208"/>
      <c r="Z516" s="208"/>
      <c r="AA516" s="208"/>
      <c r="AB516" s="208"/>
    </row>
    <row r="517" ht="15.75" customHeight="1">
      <c r="A517" s="243"/>
      <c r="B517" s="244"/>
      <c r="C517" s="245"/>
      <c r="D517" s="246"/>
      <c r="E517" s="245"/>
      <c r="F517" s="247"/>
      <c r="G517" s="244"/>
      <c r="H517" s="243"/>
      <c r="I517" s="244"/>
      <c r="J517" s="244"/>
      <c r="K517" s="244"/>
      <c r="L517" s="248"/>
      <c r="M517" s="248"/>
      <c r="N517" s="244"/>
      <c r="O517" s="249"/>
      <c r="P517" s="249"/>
      <c r="Q517" s="208"/>
      <c r="R517" s="208"/>
      <c r="S517" s="208"/>
      <c r="T517" s="208"/>
      <c r="U517" s="208"/>
      <c r="V517" s="208"/>
      <c r="W517" s="208"/>
      <c r="X517" s="208"/>
      <c r="Y517" s="208"/>
      <c r="Z517" s="208"/>
      <c r="AA517" s="208"/>
      <c r="AB517" s="208"/>
    </row>
    <row r="518" ht="15.75" customHeight="1">
      <c r="A518" s="243"/>
      <c r="B518" s="244"/>
      <c r="C518" s="245"/>
      <c r="D518" s="246"/>
      <c r="E518" s="245"/>
      <c r="F518" s="247"/>
      <c r="G518" s="244"/>
      <c r="H518" s="243"/>
      <c r="I518" s="244"/>
      <c r="J518" s="244"/>
      <c r="K518" s="244"/>
      <c r="L518" s="248"/>
      <c r="M518" s="248"/>
      <c r="N518" s="244"/>
      <c r="O518" s="249"/>
      <c r="P518" s="249"/>
      <c r="Q518" s="208"/>
      <c r="R518" s="208"/>
      <c r="S518" s="208"/>
      <c r="T518" s="208"/>
      <c r="U518" s="208"/>
      <c r="V518" s="208"/>
      <c r="W518" s="208"/>
      <c r="X518" s="208"/>
      <c r="Y518" s="208"/>
      <c r="Z518" s="208"/>
      <c r="AA518" s="208"/>
      <c r="AB518" s="208"/>
    </row>
    <row r="519" ht="15.75" customHeight="1">
      <c r="A519" s="243"/>
      <c r="B519" s="244"/>
      <c r="C519" s="245"/>
      <c r="D519" s="246"/>
      <c r="E519" s="245"/>
      <c r="F519" s="247"/>
      <c r="G519" s="244"/>
      <c r="H519" s="243"/>
      <c r="I519" s="244"/>
      <c r="J519" s="244"/>
      <c r="K519" s="244"/>
      <c r="L519" s="248"/>
      <c r="M519" s="248"/>
      <c r="N519" s="244"/>
      <c r="O519" s="249"/>
      <c r="P519" s="249"/>
      <c r="Q519" s="208"/>
      <c r="R519" s="208"/>
      <c r="S519" s="208"/>
      <c r="T519" s="208"/>
      <c r="U519" s="208"/>
      <c r="V519" s="208"/>
      <c r="W519" s="208"/>
      <c r="X519" s="208"/>
      <c r="Y519" s="208"/>
      <c r="Z519" s="208"/>
      <c r="AA519" s="208"/>
      <c r="AB519" s="208"/>
    </row>
    <row r="520" ht="15.75" customHeight="1">
      <c r="A520" s="243"/>
      <c r="B520" s="244"/>
      <c r="C520" s="245"/>
      <c r="D520" s="246"/>
      <c r="E520" s="245"/>
      <c r="F520" s="247"/>
      <c r="G520" s="244"/>
      <c r="H520" s="243"/>
      <c r="I520" s="244"/>
      <c r="J520" s="244"/>
      <c r="K520" s="244"/>
      <c r="L520" s="248"/>
      <c r="M520" s="248"/>
      <c r="N520" s="244"/>
      <c r="O520" s="249"/>
      <c r="P520" s="249"/>
      <c r="Q520" s="208"/>
      <c r="R520" s="208"/>
      <c r="S520" s="208"/>
      <c r="T520" s="208"/>
      <c r="U520" s="208"/>
      <c r="V520" s="208"/>
      <c r="W520" s="208"/>
      <c r="X520" s="208"/>
      <c r="Y520" s="208"/>
      <c r="Z520" s="208"/>
      <c r="AA520" s="208"/>
      <c r="AB520" s="208"/>
    </row>
    <row r="521" ht="15.75" customHeight="1">
      <c r="A521" s="243"/>
      <c r="B521" s="244"/>
      <c r="C521" s="245"/>
      <c r="D521" s="246"/>
      <c r="E521" s="245"/>
      <c r="F521" s="247"/>
      <c r="G521" s="244"/>
      <c r="H521" s="243"/>
      <c r="I521" s="244"/>
      <c r="J521" s="244"/>
      <c r="K521" s="244"/>
      <c r="L521" s="248"/>
      <c r="M521" s="248"/>
      <c r="N521" s="244"/>
      <c r="O521" s="249"/>
      <c r="P521" s="249"/>
      <c r="Q521" s="208"/>
      <c r="R521" s="208"/>
      <c r="S521" s="208"/>
      <c r="T521" s="208"/>
      <c r="U521" s="208"/>
      <c r="V521" s="208"/>
      <c r="W521" s="208"/>
      <c r="X521" s="208"/>
      <c r="Y521" s="208"/>
      <c r="Z521" s="208"/>
      <c r="AA521" s="208"/>
      <c r="AB521" s="208"/>
    </row>
    <row r="522" ht="15.75" customHeight="1">
      <c r="A522" s="243"/>
      <c r="B522" s="244"/>
      <c r="C522" s="245"/>
      <c r="D522" s="246"/>
      <c r="E522" s="245"/>
      <c r="F522" s="247"/>
      <c r="G522" s="244"/>
      <c r="H522" s="243"/>
      <c r="I522" s="244"/>
      <c r="J522" s="244"/>
      <c r="K522" s="244"/>
      <c r="L522" s="248"/>
      <c r="M522" s="248"/>
      <c r="N522" s="244"/>
      <c r="O522" s="249"/>
      <c r="P522" s="249"/>
      <c r="Q522" s="208"/>
      <c r="R522" s="208"/>
      <c r="S522" s="208"/>
      <c r="T522" s="208"/>
      <c r="U522" s="208"/>
      <c r="V522" s="208"/>
      <c r="W522" s="208"/>
      <c r="X522" s="208"/>
      <c r="Y522" s="208"/>
      <c r="Z522" s="208"/>
      <c r="AA522" s="208"/>
      <c r="AB522" s="208"/>
    </row>
    <row r="523" ht="15.75" customHeight="1">
      <c r="A523" s="243"/>
      <c r="B523" s="244"/>
      <c r="C523" s="245"/>
      <c r="D523" s="246"/>
      <c r="E523" s="245"/>
      <c r="F523" s="247"/>
      <c r="G523" s="244"/>
      <c r="H523" s="243"/>
      <c r="I523" s="244"/>
      <c r="J523" s="244"/>
      <c r="K523" s="244"/>
      <c r="L523" s="248"/>
      <c r="M523" s="248"/>
      <c r="N523" s="244"/>
      <c r="O523" s="249"/>
      <c r="P523" s="249"/>
      <c r="Q523" s="208"/>
      <c r="R523" s="208"/>
      <c r="S523" s="208"/>
      <c r="T523" s="208"/>
      <c r="U523" s="208"/>
      <c r="V523" s="208"/>
      <c r="W523" s="208"/>
      <c r="X523" s="208"/>
      <c r="Y523" s="208"/>
      <c r="Z523" s="208"/>
      <c r="AA523" s="208"/>
      <c r="AB523" s="208"/>
    </row>
    <row r="524" ht="15.75" customHeight="1">
      <c r="A524" s="243"/>
      <c r="B524" s="244"/>
      <c r="C524" s="245"/>
      <c r="D524" s="246"/>
      <c r="E524" s="245"/>
      <c r="F524" s="247"/>
      <c r="G524" s="244"/>
      <c r="H524" s="243"/>
      <c r="I524" s="244"/>
      <c r="J524" s="244"/>
      <c r="K524" s="244"/>
      <c r="L524" s="248"/>
      <c r="M524" s="248"/>
      <c r="N524" s="244"/>
      <c r="O524" s="249"/>
      <c r="P524" s="249"/>
      <c r="Q524" s="208"/>
      <c r="R524" s="208"/>
      <c r="S524" s="208"/>
      <c r="T524" s="208"/>
      <c r="U524" s="208"/>
      <c r="V524" s="208"/>
      <c r="W524" s="208"/>
      <c r="X524" s="208"/>
      <c r="Y524" s="208"/>
      <c r="Z524" s="208"/>
      <c r="AA524" s="208"/>
      <c r="AB524" s="208"/>
    </row>
    <row r="525" ht="15.75" customHeight="1">
      <c r="A525" s="243"/>
      <c r="B525" s="244"/>
      <c r="C525" s="245"/>
      <c r="D525" s="246"/>
      <c r="E525" s="245"/>
      <c r="F525" s="247"/>
      <c r="G525" s="244"/>
      <c r="H525" s="243"/>
      <c r="I525" s="244"/>
      <c r="J525" s="244"/>
      <c r="K525" s="244"/>
      <c r="L525" s="248"/>
      <c r="M525" s="248"/>
      <c r="N525" s="244"/>
      <c r="O525" s="249"/>
      <c r="P525" s="249"/>
      <c r="Q525" s="208"/>
      <c r="R525" s="208"/>
      <c r="S525" s="208"/>
      <c r="T525" s="208"/>
      <c r="U525" s="208"/>
      <c r="V525" s="208"/>
      <c r="W525" s="208"/>
      <c r="X525" s="208"/>
      <c r="Y525" s="208"/>
      <c r="Z525" s="208"/>
      <c r="AA525" s="208"/>
      <c r="AB525" s="208"/>
    </row>
    <row r="526" ht="15.75" customHeight="1">
      <c r="A526" s="243"/>
      <c r="B526" s="244"/>
      <c r="C526" s="245"/>
      <c r="D526" s="246"/>
      <c r="E526" s="245"/>
      <c r="F526" s="247"/>
      <c r="G526" s="244"/>
      <c r="H526" s="243"/>
      <c r="I526" s="244"/>
      <c r="J526" s="244"/>
      <c r="K526" s="244"/>
      <c r="L526" s="248"/>
      <c r="M526" s="248"/>
      <c r="N526" s="244"/>
      <c r="O526" s="249"/>
      <c r="P526" s="249"/>
      <c r="Q526" s="208"/>
      <c r="R526" s="208"/>
      <c r="S526" s="208"/>
      <c r="T526" s="208"/>
      <c r="U526" s="208"/>
      <c r="V526" s="208"/>
      <c r="W526" s="208"/>
      <c r="X526" s="208"/>
      <c r="Y526" s="208"/>
      <c r="Z526" s="208"/>
      <c r="AA526" s="208"/>
      <c r="AB526" s="208"/>
    </row>
    <row r="527" ht="15.75" customHeight="1">
      <c r="A527" s="243"/>
      <c r="B527" s="244"/>
      <c r="C527" s="245"/>
      <c r="D527" s="246"/>
      <c r="E527" s="245"/>
      <c r="F527" s="247"/>
      <c r="G527" s="244"/>
      <c r="H527" s="243"/>
      <c r="I527" s="244"/>
      <c r="J527" s="244"/>
      <c r="K527" s="244"/>
      <c r="L527" s="248"/>
      <c r="M527" s="248"/>
      <c r="N527" s="244"/>
      <c r="O527" s="249"/>
      <c r="P527" s="249"/>
      <c r="Q527" s="208"/>
      <c r="R527" s="208"/>
      <c r="S527" s="208"/>
      <c r="T527" s="208"/>
      <c r="U527" s="208"/>
      <c r="V527" s="208"/>
      <c r="W527" s="208"/>
      <c r="X527" s="208"/>
      <c r="Y527" s="208"/>
      <c r="Z527" s="208"/>
      <c r="AA527" s="208"/>
      <c r="AB527" s="208"/>
    </row>
    <row r="528" ht="15.75" customHeight="1">
      <c r="A528" s="243"/>
      <c r="B528" s="244"/>
      <c r="C528" s="245"/>
      <c r="D528" s="246"/>
      <c r="E528" s="245"/>
      <c r="F528" s="247"/>
      <c r="G528" s="244"/>
      <c r="H528" s="243"/>
      <c r="I528" s="244"/>
      <c r="J528" s="244"/>
      <c r="K528" s="244"/>
      <c r="L528" s="248"/>
      <c r="M528" s="248"/>
      <c r="N528" s="244"/>
      <c r="O528" s="249"/>
      <c r="P528" s="249"/>
      <c r="Q528" s="208"/>
      <c r="R528" s="208"/>
      <c r="S528" s="208"/>
      <c r="T528" s="208"/>
      <c r="U528" s="208"/>
      <c r="V528" s="208"/>
      <c r="W528" s="208"/>
      <c r="X528" s="208"/>
      <c r="Y528" s="208"/>
      <c r="Z528" s="208"/>
      <c r="AA528" s="208"/>
      <c r="AB528" s="208"/>
    </row>
    <row r="529" ht="15.75" customHeight="1">
      <c r="A529" s="243"/>
      <c r="B529" s="244"/>
      <c r="C529" s="245"/>
      <c r="D529" s="246"/>
      <c r="E529" s="245"/>
      <c r="F529" s="247"/>
      <c r="G529" s="244"/>
      <c r="H529" s="243"/>
      <c r="I529" s="244"/>
      <c r="J529" s="244"/>
      <c r="K529" s="244"/>
      <c r="L529" s="248"/>
      <c r="M529" s="248"/>
      <c r="N529" s="244"/>
      <c r="O529" s="249"/>
      <c r="P529" s="249"/>
      <c r="Q529" s="208"/>
      <c r="R529" s="208"/>
      <c r="S529" s="208"/>
      <c r="T529" s="208"/>
      <c r="U529" s="208"/>
      <c r="V529" s="208"/>
      <c r="W529" s="208"/>
      <c r="X529" s="208"/>
      <c r="Y529" s="208"/>
      <c r="Z529" s="208"/>
      <c r="AA529" s="208"/>
      <c r="AB529" s="208"/>
    </row>
    <row r="530" ht="15.75" customHeight="1">
      <c r="A530" s="243"/>
      <c r="B530" s="244"/>
      <c r="C530" s="245"/>
      <c r="D530" s="246"/>
      <c r="E530" s="245"/>
      <c r="F530" s="247"/>
      <c r="G530" s="244"/>
      <c r="H530" s="243"/>
      <c r="I530" s="244"/>
      <c r="J530" s="244"/>
      <c r="K530" s="244"/>
      <c r="L530" s="248"/>
      <c r="M530" s="248"/>
      <c r="N530" s="244"/>
      <c r="O530" s="249"/>
      <c r="P530" s="249"/>
      <c r="Q530" s="208"/>
      <c r="R530" s="208"/>
      <c r="S530" s="208"/>
      <c r="T530" s="208"/>
      <c r="U530" s="208"/>
      <c r="V530" s="208"/>
      <c r="W530" s="208"/>
      <c r="X530" s="208"/>
      <c r="Y530" s="208"/>
      <c r="Z530" s="208"/>
      <c r="AA530" s="208"/>
      <c r="AB530" s="208"/>
    </row>
    <row r="531" ht="15.75" customHeight="1">
      <c r="A531" s="243"/>
      <c r="B531" s="244"/>
      <c r="C531" s="245"/>
      <c r="D531" s="246"/>
      <c r="E531" s="245"/>
      <c r="F531" s="247"/>
      <c r="G531" s="244"/>
      <c r="H531" s="243"/>
      <c r="I531" s="244"/>
      <c r="J531" s="244"/>
      <c r="K531" s="244"/>
      <c r="L531" s="248"/>
      <c r="M531" s="248"/>
      <c r="N531" s="244"/>
      <c r="O531" s="249"/>
      <c r="P531" s="249"/>
      <c r="Q531" s="208"/>
      <c r="R531" s="208"/>
      <c r="S531" s="208"/>
      <c r="T531" s="208"/>
      <c r="U531" s="208"/>
      <c r="V531" s="208"/>
      <c r="W531" s="208"/>
      <c r="X531" s="208"/>
      <c r="Y531" s="208"/>
      <c r="Z531" s="208"/>
      <c r="AA531" s="208"/>
      <c r="AB531" s="208"/>
    </row>
    <row r="532" ht="15.75" customHeight="1">
      <c r="A532" s="243"/>
      <c r="B532" s="244"/>
      <c r="C532" s="245"/>
      <c r="D532" s="246"/>
      <c r="E532" s="245"/>
      <c r="F532" s="247"/>
      <c r="G532" s="244"/>
      <c r="H532" s="243"/>
      <c r="I532" s="244"/>
      <c r="J532" s="244"/>
      <c r="K532" s="244"/>
      <c r="L532" s="248"/>
      <c r="M532" s="248"/>
      <c r="N532" s="244"/>
      <c r="O532" s="249"/>
      <c r="P532" s="249"/>
      <c r="Q532" s="208"/>
      <c r="R532" s="208"/>
      <c r="S532" s="208"/>
      <c r="T532" s="208"/>
      <c r="U532" s="208"/>
      <c r="V532" s="208"/>
      <c r="W532" s="208"/>
      <c r="X532" s="208"/>
      <c r="Y532" s="208"/>
      <c r="Z532" s="208"/>
      <c r="AA532" s="208"/>
      <c r="AB532" s="208"/>
    </row>
    <row r="533" ht="15.75" customHeight="1">
      <c r="A533" s="243"/>
      <c r="B533" s="244"/>
      <c r="C533" s="245"/>
      <c r="D533" s="246"/>
      <c r="E533" s="245"/>
      <c r="F533" s="247"/>
      <c r="G533" s="244"/>
      <c r="H533" s="243"/>
      <c r="I533" s="244"/>
      <c r="J533" s="244"/>
      <c r="K533" s="244"/>
      <c r="L533" s="248"/>
      <c r="M533" s="248"/>
      <c r="N533" s="244"/>
      <c r="O533" s="249"/>
      <c r="P533" s="249"/>
      <c r="Q533" s="208"/>
      <c r="R533" s="208"/>
      <c r="S533" s="208"/>
      <c r="T533" s="208"/>
      <c r="U533" s="208"/>
      <c r="V533" s="208"/>
      <c r="W533" s="208"/>
      <c r="X533" s="208"/>
      <c r="Y533" s="208"/>
      <c r="Z533" s="208"/>
      <c r="AA533" s="208"/>
      <c r="AB533" s="208"/>
    </row>
    <row r="534" ht="15.75" customHeight="1">
      <c r="A534" s="243"/>
      <c r="B534" s="244"/>
      <c r="C534" s="245"/>
      <c r="D534" s="246"/>
      <c r="E534" s="245"/>
      <c r="F534" s="247"/>
      <c r="G534" s="244"/>
      <c r="H534" s="243"/>
      <c r="I534" s="244"/>
      <c r="J534" s="244"/>
      <c r="K534" s="244"/>
      <c r="L534" s="248"/>
      <c r="M534" s="248"/>
      <c r="N534" s="244"/>
      <c r="O534" s="249"/>
      <c r="P534" s="249"/>
      <c r="Q534" s="208"/>
      <c r="R534" s="208"/>
      <c r="S534" s="208"/>
      <c r="T534" s="208"/>
      <c r="U534" s="208"/>
      <c r="V534" s="208"/>
      <c r="W534" s="208"/>
      <c r="X534" s="208"/>
      <c r="Y534" s="208"/>
      <c r="Z534" s="208"/>
      <c r="AA534" s="208"/>
      <c r="AB534" s="208"/>
    </row>
    <row r="535" ht="15.75" customHeight="1">
      <c r="A535" s="243"/>
      <c r="B535" s="244"/>
      <c r="C535" s="245"/>
      <c r="D535" s="246"/>
      <c r="E535" s="245"/>
      <c r="F535" s="247"/>
      <c r="G535" s="244"/>
      <c r="H535" s="243"/>
      <c r="I535" s="244"/>
      <c r="J535" s="244"/>
      <c r="K535" s="244"/>
      <c r="L535" s="248"/>
      <c r="M535" s="248"/>
      <c r="N535" s="244"/>
      <c r="O535" s="249"/>
      <c r="P535" s="249"/>
      <c r="Q535" s="208"/>
      <c r="R535" s="208"/>
      <c r="S535" s="208"/>
      <c r="T535" s="208"/>
      <c r="U535" s="208"/>
      <c r="V535" s="208"/>
      <c r="W535" s="208"/>
      <c r="X535" s="208"/>
      <c r="Y535" s="208"/>
      <c r="Z535" s="208"/>
      <c r="AA535" s="208"/>
      <c r="AB535" s="208"/>
    </row>
    <row r="536" ht="15.75" customHeight="1">
      <c r="A536" s="243"/>
      <c r="B536" s="244"/>
      <c r="C536" s="245"/>
      <c r="D536" s="246"/>
      <c r="E536" s="245"/>
      <c r="F536" s="247"/>
      <c r="G536" s="244"/>
      <c r="H536" s="243"/>
      <c r="I536" s="244"/>
      <c r="J536" s="244"/>
      <c r="K536" s="244"/>
      <c r="L536" s="248"/>
      <c r="M536" s="248"/>
      <c r="N536" s="244"/>
      <c r="O536" s="249"/>
      <c r="P536" s="249"/>
      <c r="Q536" s="208"/>
      <c r="R536" s="208"/>
      <c r="S536" s="208"/>
      <c r="T536" s="208"/>
      <c r="U536" s="208"/>
      <c r="V536" s="208"/>
      <c r="W536" s="208"/>
      <c r="X536" s="208"/>
      <c r="Y536" s="208"/>
      <c r="Z536" s="208"/>
      <c r="AA536" s="208"/>
      <c r="AB536" s="208"/>
    </row>
    <row r="537" ht="15.75" customHeight="1">
      <c r="A537" s="243"/>
      <c r="B537" s="244"/>
      <c r="C537" s="245"/>
      <c r="D537" s="246"/>
      <c r="E537" s="245"/>
      <c r="F537" s="247"/>
      <c r="G537" s="244"/>
      <c r="H537" s="243"/>
      <c r="I537" s="244"/>
      <c r="J537" s="244"/>
      <c r="K537" s="244"/>
      <c r="L537" s="248"/>
      <c r="M537" s="248"/>
      <c r="N537" s="244"/>
      <c r="O537" s="249"/>
      <c r="P537" s="249"/>
      <c r="Q537" s="208"/>
      <c r="R537" s="208"/>
      <c r="S537" s="208"/>
      <c r="T537" s="208"/>
      <c r="U537" s="208"/>
      <c r="V537" s="208"/>
      <c r="W537" s="208"/>
      <c r="X537" s="208"/>
      <c r="Y537" s="208"/>
      <c r="Z537" s="208"/>
      <c r="AA537" s="208"/>
      <c r="AB537" s="208"/>
    </row>
    <row r="538" ht="15.75" customHeight="1">
      <c r="A538" s="243"/>
      <c r="B538" s="244"/>
      <c r="C538" s="245"/>
      <c r="D538" s="246"/>
      <c r="E538" s="245"/>
      <c r="F538" s="247"/>
      <c r="G538" s="244"/>
      <c r="H538" s="243"/>
      <c r="I538" s="244"/>
      <c r="J538" s="244"/>
      <c r="K538" s="244"/>
      <c r="L538" s="248"/>
      <c r="M538" s="248"/>
      <c r="N538" s="244"/>
      <c r="O538" s="249"/>
      <c r="P538" s="249"/>
      <c r="Q538" s="208"/>
      <c r="R538" s="208"/>
      <c r="S538" s="208"/>
      <c r="T538" s="208"/>
      <c r="U538" s="208"/>
      <c r="V538" s="208"/>
      <c r="W538" s="208"/>
      <c r="X538" s="208"/>
      <c r="Y538" s="208"/>
      <c r="Z538" s="208"/>
      <c r="AA538" s="208"/>
      <c r="AB538" s="208"/>
    </row>
    <row r="539" ht="15.75" customHeight="1">
      <c r="A539" s="243"/>
      <c r="B539" s="244"/>
      <c r="C539" s="245"/>
      <c r="D539" s="246"/>
      <c r="E539" s="245"/>
      <c r="F539" s="247"/>
      <c r="G539" s="244"/>
      <c r="H539" s="243"/>
      <c r="I539" s="244"/>
      <c r="J539" s="244"/>
      <c r="K539" s="244"/>
      <c r="L539" s="248"/>
      <c r="M539" s="248"/>
      <c r="N539" s="244"/>
      <c r="O539" s="249"/>
      <c r="P539" s="249"/>
      <c r="Q539" s="208"/>
      <c r="R539" s="208"/>
      <c r="S539" s="208"/>
      <c r="T539" s="208"/>
      <c r="U539" s="208"/>
      <c r="V539" s="208"/>
      <c r="W539" s="208"/>
      <c r="X539" s="208"/>
      <c r="Y539" s="208"/>
      <c r="Z539" s="208"/>
      <c r="AA539" s="208"/>
      <c r="AB539" s="208"/>
    </row>
    <row r="540" ht="15.75" customHeight="1">
      <c r="A540" s="243"/>
      <c r="B540" s="244"/>
      <c r="C540" s="245"/>
      <c r="D540" s="246"/>
      <c r="E540" s="245"/>
      <c r="F540" s="247"/>
      <c r="G540" s="244"/>
      <c r="H540" s="243"/>
      <c r="I540" s="244"/>
      <c r="J540" s="244"/>
      <c r="K540" s="244"/>
      <c r="L540" s="248"/>
      <c r="M540" s="248"/>
      <c r="N540" s="244"/>
      <c r="O540" s="249"/>
      <c r="P540" s="249"/>
      <c r="Q540" s="208"/>
      <c r="R540" s="208"/>
      <c r="S540" s="208"/>
      <c r="T540" s="208"/>
      <c r="U540" s="208"/>
      <c r="V540" s="208"/>
      <c r="W540" s="208"/>
      <c r="X540" s="208"/>
      <c r="Y540" s="208"/>
      <c r="Z540" s="208"/>
      <c r="AA540" s="208"/>
      <c r="AB540" s="208"/>
    </row>
    <row r="541" ht="15.75" customHeight="1">
      <c r="A541" s="243"/>
      <c r="B541" s="244"/>
      <c r="C541" s="245"/>
      <c r="D541" s="246"/>
      <c r="E541" s="245"/>
      <c r="F541" s="247"/>
      <c r="G541" s="244"/>
      <c r="H541" s="243"/>
      <c r="I541" s="244"/>
      <c r="J541" s="244"/>
      <c r="K541" s="244"/>
      <c r="L541" s="248"/>
      <c r="M541" s="248"/>
      <c r="N541" s="244"/>
      <c r="O541" s="249"/>
      <c r="P541" s="249"/>
      <c r="Q541" s="208"/>
      <c r="R541" s="208"/>
      <c r="S541" s="208"/>
      <c r="T541" s="208"/>
      <c r="U541" s="208"/>
      <c r="V541" s="208"/>
      <c r="W541" s="208"/>
      <c r="X541" s="208"/>
      <c r="Y541" s="208"/>
      <c r="Z541" s="208"/>
      <c r="AA541" s="208"/>
      <c r="AB541" s="208"/>
    </row>
    <row r="542" ht="15.75" customHeight="1">
      <c r="A542" s="243"/>
      <c r="B542" s="244"/>
      <c r="C542" s="245"/>
      <c r="D542" s="246"/>
      <c r="E542" s="245"/>
      <c r="F542" s="247"/>
      <c r="G542" s="244"/>
      <c r="H542" s="243"/>
      <c r="I542" s="244"/>
      <c r="J542" s="244"/>
      <c r="K542" s="244"/>
      <c r="L542" s="248"/>
      <c r="M542" s="248"/>
      <c r="N542" s="244"/>
      <c r="O542" s="249"/>
      <c r="P542" s="249"/>
      <c r="Q542" s="208"/>
      <c r="R542" s="208"/>
      <c r="S542" s="208"/>
      <c r="T542" s="208"/>
      <c r="U542" s="208"/>
      <c r="V542" s="208"/>
      <c r="W542" s="208"/>
      <c r="X542" s="208"/>
      <c r="Y542" s="208"/>
      <c r="Z542" s="208"/>
      <c r="AA542" s="208"/>
      <c r="AB542" s="208"/>
    </row>
    <row r="543" ht="15.75" customHeight="1">
      <c r="A543" s="243"/>
      <c r="B543" s="244"/>
      <c r="C543" s="245"/>
      <c r="D543" s="246"/>
      <c r="E543" s="245"/>
      <c r="F543" s="247"/>
      <c r="G543" s="244"/>
      <c r="H543" s="243"/>
      <c r="I543" s="244"/>
      <c r="J543" s="244"/>
      <c r="K543" s="244"/>
      <c r="L543" s="248"/>
      <c r="M543" s="248"/>
      <c r="N543" s="244"/>
      <c r="O543" s="249"/>
      <c r="P543" s="249"/>
      <c r="Q543" s="208"/>
      <c r="R543" s="208"/>
      <c r="S543" s="208"/>
      <c r="T543" s="208"/>
      <c r="U543" s="208"/>
      <c r="V543" s="208"/>
      <c r="W543" s="208"/>
      <c r="X543" s="208"/>
      <c r="Y543" s="208"/>
      <c r="Z543" s="208"/>
      <c r="AA543" s="208"/>
      <c r="AB543" s="208"/>
    </row>
    <row r="544" ht="15.75" customHeight="1">
      <c r="A544" s="243"/>
      <c r="B544" s="244"/>
      <c r="C544" s="245"/>
      <c r="D544" s="246"/>
      <c r="E544" s="245"/>
      <c r="F544" s="247"/>
      <c r="G544" s="244"/>
      <c r="H544" s="243"/>
      <c r="I544" s="244"/>
      <c r="J544" s="244"/>
      <c r="K544" s="244"/>
      <c r="L544" s="248"/>
      <c r="M544" s="248"/>
      <c r="N544" s="244"/>
      <c r="O544" s="249"/>
      <c r="P544" s="249"/>
      <c r="Q544" s="208"/>
      <c r="R544" s="208"/>
      <c r="S544" s="208"/>
      <c r="T544" s="208"/>
      <c r="U544" s="208"/>
      <c r="V544" s="208"/>
      <c r="W544" s="208"/>
      <c r="X544" s="208"/>
      <c r="Y544" s="208"/>
      <c r="Z544" s="208"/>
      <c r="AA544" s="208"/>
      <c r="AB544" s="208"/>
    </row>
    <row r="545" ht="15.75" customHeight="1">
      <c r="A545" s="243"/>
      <c r="B545" s="244"/>
      <c r="C545" s="245"/>
      <c r="D545" s="246"/>
      <c r="E545" s="245"/>
      <c r="F545" s="247"/>
      <c r="G545" s="244"/>
      <c r="H545" s="243"/>
      <c r="I545" s="244"/>
      <c r="J545" s="244"/>
      <c r="K545" s="244"/>
      <c r="L545" s="248"/>
      <c r="M545" s="248"/>
      <c r="N545" s="244"/>
      <c r="O545" s="249"/>
      <c r="P545" s="249"/>
      <c r="Q545" s="208"/>
      <c r="R545" s="208"/>
      <c r="S545" s="208"/>
      <c r="T545" s="208"/>
      <c r="U545" s="208"/>
      <c r="V545" s="208"/>
      <c r="W545" s="208"/>
      <c r="X545" s="208"/>
      <c r="Y545" s="208"/>
      <c r="Z545" s="208"/>
      <c r="AA545" s="208"/>
      <c r="AB545" s="208"/>
    </row>
    <row r="546" ht="15.75" customHeight="1">
      <c r="A546" s="243"/>
      <c r="B546" s="244"/>
      <c r="C546" s="245"/>
      <c r="D546" s="246"/>
      <c r="E546" s="245"/>
      <c r="F546" s="247"/>
      <c r="G546" s="244"/>
      <c r="H546" s="243"/>
      <c r="I546" s="244"/>
      <c r="J546" s="244"/>
      <c r="K546" s="244"/>
      <c r="L546" s="248"/>
      <c r="M546" s="248"/>
      <c r="N546" s="244"/>
      <c r="O546" s="249"/>
      <c r="P546" s="249"/>
      <c r="Q546" s="208"/>
      <c r="R546" s="208"/>
      <c r="S546" s="208"/>
      <c r="T546" s="208"/>
      <c r="U546" s="208"/>
      <c r="V546" s="208"/>
      <c r="W546" s="208"/>
      <c r="X546" s="208"/>
      <c r="Y546" s="208"/>
      <c r="Z546" s="208"/>
      <c r="AA546" s="208"/>
      <c r="AB546" s="208"/>
    </row>
    <row r="547" ht="15.75" customHeight="1">
      <c r="A547" s="243"/>
      <c r="B547" s="244"/>
      <c r="C547" s="245"/>
      <c r="D547" s="246"/>
      <c r="E547" s="245"/>
      <c r="F547" s="247"/>
      <c r="G547" s="244"/>
      <c r="H547" s="243"/>
      <c r="I547" s="244"/>
      <c r="J547" s="244"/>
      <c r="K547" s="244"/>
      <c r="L547" s="248"/>
      <c r="M547" s="248"/>
      <c r="N547" s="244"/>
      <c r="O547" s="249"/>
      <c r="P547" s="249"/>
      <c r="Q547" s="208"/>
      <c r="R547" s="208"/>
      <c r="S547" s="208"/>
      <c r="T547" s="208"/>
      <c r="U547" s="208"/>
      <c r="V547" s="208"/>
      <c r="W547" s="208"/>
      <c r="X547" s="208"/>
      <c r="Y547" s="208"/>
      <c r="Z547" s="208"/>
      <c r="AA547" s="208"/>
      <c r="AB547" s="208"/>
    </row>
    <row r="548" ht="15.75" customHeight="1">
      <c r="A548" s="243"/>
      <c r="B548" s="244"/>
      <c r="C548" s="245"/>
      <c r="D548" s="246"/>
      <c r="E548" s="245"/>
      <c r="F548" s="247"/>
      <c r="G548" s="244"/>
      <c r="H548" s="243"/>
      <c r="I548" s="244"/>
      <c r="J548" s="244"/>
      <c r="K548" s="244"/>
      <c r="L548" s="248"/>
      <c r="M548" s="248"/>
      <c r="N548" s="244"/>
      <c r="O548" s="249"/>
      <c r="P548" s="249"/>
      <c r="Q548" s="208"/>
      <c r="R548" s="208"/>
      <c r="S548" s="208"/>
      <c r="T548" s="208"/>
      <c r="U548" s="208"/>
      <c r="V548" s="208"/>
      <c r="W548" s="208"/>
      <c r="X548" s="208"/>
      <c r="Y548" s="208"/>
      <c r="Z548" s="208"/>
      <c r="AA548" s="208"/>
      <c r="AB548" s="208"/>
    </row>
    <row r="549" ht="15.75" customHeight="1">
      <c r="A549" s="243"/>
      <c r="B549" s="244"/>
      <c r="C549" s="245"/>
      <c r="D549" s="246"/>
      <c r="E549" s="245"/>
      <c r="F549" s="247"/>
      <c r="G549" s="244"/>
      <c r="H549" s="243"/>
      <c r="I549" s="244"/>
      <c r="J549" s="244"/>
      <c r="K549" s="244"/>
      <c r="L549" s="248"/>
      <c r="M549" s="248"/>
      <c r="N549" s="244"/>
      <c r="O549" s="249"/>
      <c r="P549" s="249"/>
      <c r="Q549" s="208"/>
      <c r="R549" s="208"/>
      <c r="S549" s="208"/>
      <c r="T549" s="208"/>
      <c r="U549" s="208"/>
      <c r="V549" s="208"/>
      <c r="W549" s="208"/>
      <c r="X549" s="208"/>
      <c r="Y549" s="208"/>
      <c r="Z549" s="208"/>
      <c r="AA549" s="208"/>
      <c r="AB549" s="208"/>
    </row>
    <row r="550" ht="15.75" customHeight="1">
      <c r="A550" s="243"/>
      <c r="B550" s="244"/>
      <c r="C550" s="245"/>
      <c r="D550" s="246"/>
      <c r="E550" s="245"/>
      <c r="F550" s="247"/>
      <c r="G550" s="244"/>
      <c r="H550" s="243"/>
      <c r="I550" s="244"/>
      <c r="J550" s="244"/>
      <c r="K550" s="244"/>
      <c r="L550" s="248"/>
      <c r="M550" s="248"/>
      <c r="N550" s="244"/>
      <c r="O550" s="249"/>
      <c r="P550" s="249"/>
      <c r="Q550" s="208"/>
      <c r="R550" s="208"/>
      <c r="S550" s="208"/>
      <c r="T550" s="208"/>
      <c r="U550" s="208"/>
      <c r="V550" s="208"/>
      <c r="W550" s="208"/>
      <c r="X550" s="208"/>
      <c r="Y550" s="208"/>
      <c r="Z550" s="208"/>
      <c r="AA550" s="208"/>
      <c r="AB550" s="208"/>
    </row>
    <row r="551" ht="15.75" customHeight="1">
      <c r="A551" s="243"/>
      <c r="B551" s="244"/>
      <c r="C551" s="245"/>
      <c r="D551" s="246"/>
      <c r="E551" s="245"/>
      <c r="F551" s="247"/>
      <c r="G551" s="244"/>
      <c r="H551" s="243"/>
      <c r="I551" s="244"/>
      <c r="J551" s="244"/>
      <c r="K551" s="244"/>
      <c r="L551" s="248"/>
      <c r="M551" s="248"/>
      <c r="N551" s="244"/>
      <c r="O551" s="249"/>
      <c r="P551" s="249"/>
      <c r="Q551" s="208"/>
      <c r="R551" s="208"/>
      <c r="S551" s="208"/>
      <c r="T551" s="208"/>
      <c r="U551" s="208"/>
      <c r="V551" s="208"/>
      <c r="W551" s="208"/>
      <c r="X551" s="208"/>
      <c r="Y551" s="208"/>
      <c r="Z551" s="208"/>
      <c r="AA551" s="208"/>
      <c r="AB551" s="208"/>
    </row>
    <row r="552" ht="15.75" customHeight="1">
      <c r="A552" s="243"/>
      <c r="B552" s="244"/>
      <c r="C552" s="245"/>
      <c r="D552" s="246"/>
      <c r="E552" s="245"/>
      <c r="F552" s="247"/>
      <c r="G552" s="244"/>
      <c r="H552" s="243"/>
      <c r="I552" s="244"/>
      <c r="J552" s="244"/>
      <c r="K552" s="244"/>
      <c r="L552" s="248"/>
      <c r="M552" s="248"/>
      <c r="N552" s="244"/>
      <c r="O552" s="249"/>
      <c r="P552" s="249"/>
      <c r="Q552" s="208"/>
      <c r="R552" s="208"/>
      <c r="S552" s="208"/>
      <c r="T552" s="208"/>
      <c r="U552" s="208"/>
      <c r="V552" s="208"/>
      <c r="W552" s="208"/>
      <c r="X552" s="208"/>
      <c r="Y552" s="208"/>
      <c r="Z552" s="208"/>
      <c r="AA552" s="208"/>
      <c r="AB552" s="208"/>
    </row>
    <row r="553" ht="15.75" customHeight="1">
      <c r="A553" s="243"/>
      <c r="B553" s="244"/>
      <c r="C553" s="245"/>
      <c r="D553" s="246"/>
      <c r="E553" s="245"/>
      <c r="F553" s="247"/>
      <c r="G553" s="244"/>
      <c r="H553" s="243"/>
      <c r="I553" s="244"/>
      <c r="J553" s="244"/>
      <c r="K553" s="244"/>
      <c r="L553" s="248"/>
      <c r="M553" s="248"/>
      <c r="N553" s="244"/>
      <c r="O553" s="249"/>
      <c r="P553" s="249"/>
      <c r="Q553" s="208"/>
      <c r="R553" s="208"/>
      <c r="S553" s="208"/>
      <c r="T553" s="208"/>
      <c r="U553" s="208"/>
      <c r="V553" s="208"/>
      <c r="W553" s="208"/>
      <c r="X553" s="208"/>
      <c r="Y553" s="208"/>
      <c r="Z553" s="208"/>
      <c r="AA553" s="208"/>
      <c r="AB553" s="208"/>
    </row>
    <row r="554" ht="15.75" customHeight="1">
      <c r="A554" s="243"/>
      <c r="B554" s="244"/>
      <c r="C554" s="245"/>
      <c r="D554" s="246"/>
      <c r="E554" s="245"/>
      <c r="F554" s="247"/>
      <c r="G554" s="244"/>
      <c r="H554" s="243"/>
      <c r="I554" s="244"/>
      <c r="J554" s="244"/>
      <c r="K554" s="244"/>
      <c r="L554" s="248"/>
      <c r="M554" s="248"/>
      <c r="N554" s="244"/>
      <c r="O554" s="249"/>
      <c r="P554" s="249"/>
      <c r="Q554" s="208"/>
      <c r="R554" s="208"/>
      <c r="S554" s="208"/>
      <c r="T554" s="208"/>
      <c r="U554" s="208"/>
      <c r="V554" s="208"/>
      <c r="W554" s="208"/>
      <c r="X554" s="208"/>
      <c r="Y554" s="208"/>
      <c r="Z554" s="208"/>
      <c r="AA554" s="208"/>
      <c r="AB554" s="208"/>
    </row>
    <row r="555" ht="15.75" customHeight="1">
      <c r="A555" s="243"/>
      <c r="B555" s="244"/>
      <c r="C555" s="245"/>
      <c r="D555" s="246"/>
      <c r="E555" s="245"/>
      <c r="F555" s="247"/>
      <c r="G555" s="244"/>
      <c r="H555" s="243"/>
      <c r="I555" s="244"/>
      <c r="J555" s="244"/>
      <c r="K555" s="244"/>
      <c r="L555" s="248"/>
      <c r="M555" s="248"/>
      <c r="N555" s="244"/>
      <c r="O555" s="249"/>
      <c r="P555" s="249"/>
      <c r="Q555" s="208"/>
      <c r="R555" s="208"/>
      <c r="S555" s="208"/>
      <c r="T555" s="208"/>
      <c r="U555" s="208"/>
      <c r="V555" s="208"/>
      <c r="W555" s="208"/>
      <c r="X555" s="208"/>
      <c r="Y555" s="208"/>
      <c r="Z555" s="208"/>
      <c r="AA555" s="208"/>
      <c r="AB555" s="208"/>
    </row>
    <row r="556" ht="15.75" customHeight="1">
      <c r="A556" s="243"/>
      <c r="B556" s="244"/>
      <c r="C556" s="245"/>
      <c r="D556" s="246"/>
      <c r="E556" s="245"/>
      <c r="F556" s="247"/>
      <c r="G556" s="244"/>
      <c r="H556" s="243"/>
      <c r="I556" s="244"/>
      <c r="J556" s="244"/>
      <c r="K556" s="244"/>
      <c r="L556" s="248"/>
      <c r="M556" s="248"/>
      <c r="N556" s="244"/>
      <c r="O556" s="249"/>
      <c r="P556" s="249"/>
      <c r="Q556" s="208"/>
      <c r="R556" s="208"/>
      <c r="S556" s="208"/>
      <c r="T556" s="208"/>
      <c r="U556" s="208"/>
      <c r="V556" s="208"/>
      <c r="W556" s="208"/>
      <c r="X556" s="208"/>
      <c r="Y556" s="208"/>
      <c r="Z556" s="208"/>
      <c r="AA556" s="208"/>
      <c r="AB556" s="208"/>
    </row>
    <row r="557" ht="15.75" customHeight="1">
      <c r="A557" s="243"/>
      <c r="B557" s="244"/>
      <c r="C557" s="245"/>
      <c r="D557" s="246"/>
      <c r="E557" s="245"/>
      <c r="F557" s="247"/>
      <c r="G557" s="244"/>
      <c r="H557" s="243"/>
      <c r="I557" s="244"/>
      <c r="J557" s="244"/>
      <c r="K557" s="244"/>
      <c r="L557" s="248"/>
      <c r="M557" s="248"/>
      <c r="N557" s="244"/>
      <c r="O557" s="249"/>
      <c r="P557" s="249"/>
      <c r="Q557" s="208"/>
      <c r="R557" s="208"/>
      <c r="S557" s="208"/>
      <c r="T557" s="208"/>
      <c r="U557" s="208"/>
      <c r="V557" s="208"/>
      <c r="W557" s="208"/>
      <c r="X557" s="208"/>
      <c r="Y557" s="208"/>
      <c r="Z557" s="208"/>
      <c r="AA557" s="208"/>
      <c r="AB557" s="208"/>
    </row>
    <row r="558" ht="15.75" customHeight="1">
      <c r="A558" s="243"/>
      <c r="B558" s="244"/>
      <c r="C558" s="245"/>
      <c r="D558" s="246"/>
      <c r="E558" s="245"/>
      <c r="F558" s="247"/>
      <c r="G558" s="244"/>
      <c r="H558" s="243"/>
      <c r="I558" s="244"/>
      <c r="J558" s="244"/>
      <c r="K558" s="244"/>
      <c r="L558" s="248"/>
      <c r="M558" s="248"/>
      <c r="N558" s="244"/>
      <c r="O558" s="249"/>
      <c r="P558" s="249"/>
      <c r="Q558" s="208"/>
      <c r="R558" s="208"/>
      <c r="S558" s="208"/>
      <c r="T558" s="208"/>
      <c r="U558" s="208"/>
      <c r="V558" s="208"/>
      <c r="W558" s="208"/>
      <c r="X558" s="208"/>
      <c r="Y558" s="208"/>
      <c r="Z558" s="208"/>
      <c r="AA558" s="208"/>
      <c r="AB558" s="208"/>
    </row>
    <row r="559" ht="15.75" customHeight="1">
      <c r="A559" s="243"/>
      <c r="B559" s="244"/>
      <c r="C559" s="245"/>
      <c r="D559" s="246"/>
      <c r="E559" s="245"/>
      <c r="F559" s="247"/>
      <c r="G559" s="244"/>
      <c r="H559" s="243"/>
      <c r="I559" s="244"/>
      <c r="J559" s="244"/>
      <c r="K559" s="244"/>
      <c r="L559" s="248"/>
      <c r="M559" s="248"/>
      <c r="N559" s="244"/>
      <c r="O559" s="249"/>
      <c r="P559" s="249"/>
      <c r="Q559" s="208"/>
      <c r="R559" s="208"/>
      <c r="S559" s="208"/>
      <c r="T559" s="208"/>
      <c r="U559" s="208"/>
      <c r="V559" s="208"/>
      <c r="W559" s="208"/>
      <c r="X559" s="208"/>
      <c r="Y559" s="208"/>
      <c r="Z559" s="208"/>
      <c r="AA559" s="208"/>
      <c r="AB559" s="208"/>
    </row>
    <row r="560" ht="15.75" customHeight="1">
      <c r="A560" s="250"/>
      <c r="B560" s="244"/>
      <c r="C560" s="245"/>
      <c r="D560" s="246"/>
      <c r="E560" s="245"/>
      <c r="F560" s="247"/>
      <c r="G560" s="244"/>
      <c r="H560" s="243"/>
      <c r="I560" s="244"/>
      <c r="J560" s="244"/>
      <c r="K560" s="244"/>
      <c r="L560" s="248"/>
      <c r="M560" s="248"/>
      <c r="N560" s="244"/>
      <c r="O560" s="249"/>
      <c r="P560" s="249"/>
      <c r="Q560" s="208"/>
      <c r="R560" s="208"/>
      <c r="S560" s="208"/>
      <c r="T560" s="208"/>
      <c r="U560" s="208"/>
      <c r="V560" s="208"/>
      <c r="W560" s="208"/>
      <c r="X560" s="208"/>
      <c r="Y560" s="208"/>
      <c r="Z560" s="208"/>
      <c r="AA560" s="208"/>
      <c r="AB560" s="208"/>
    </row>
    <row r="561" ht="15.75" customHeight="1">
      <c r="A561" s="250"/>
      <c r="B561" s="244"/>
      <c r="C561" s="245"/>
      <c r="D561" s="246"/>
      <c r="E561" s="245"/>
      <c r="F561" s="247"/>
      <c r="G561" s="244"/>
      <c r="H561" s="243"/>
      <c r="I561" s="244"/>
      <c r="J561" s="244"/>
      <c r="K561" s="244"/>
      <c r="L561" s="248"/>
      <c r="M561" s="248"/>
      <c r="N561" s="244"/>
      <c r="O561" s="249"/>
      <c r="P561" s="249"/>
      <c r="Q561" s="208"/>
      <c r="R561" s="208"/>
      <c r="S561" s="208"/>
      <c r="T561" s="208"/>
      <c r="U561" s="208"/>
      <c r="V561" s="208"/>
      <c r="W561" s="208"/>
      <c r="X561" s="208"/>
      <c r="Y561" s="208"/>
      <c r="Z561" s="208"/>
      <c r="AA561" s="208"/>
      <c r="AB561" s="208"/>
    </row>
    <row r="562" ht="15.75" customHeight="1">
      <c r="A562" s="250"/>
      <c r="B562" s="244"/>
      <c r="C562" s="245"/>
      <c r="D562" s="246"/>
      <c r="E562" s="245"/>
      <c r="F562" s="247"/>
      <c r="G562" s="244"/>
      <c r="H562" s="243"/>
      <c r="I562" s="244"/>
      <c r="J562" s="244"/>
      <c r="K562" s="244"/>
      <c r="L562" s="248"/>
      <c r="M562" s="248"/>
      <c r="N562" s="244"/>
      <c r="O562" s="249"/>
      <c r="P562" s="249"/>
      <c r="Q562" s="208"/>
      <c r="R562" s="208"/>
      <c r="S562" s="208"/>
      <c r="T562" s="208"/>
      <c r="U562" s="208"/>
      <c r="V562" s="208"/>
      <c r="W562" s="208"/>
      <c r="X562" s="208"/>
      <c r="Y562" s="208"/>
      <c r="Z562" s="208"/>
      <c r="AA562" s="208"/>
      <c r="AB562" s="208"/>
    </row>
    <row r="563" ht="15.75" customHeight="1">
      <c r="A563" s="250"/>
      <c r="B563" s="244"/>
      <c r="C563" s="245"/>
      <c r="D563" s="246"/>
      <c r="E563" s="245"/>
      <c r="F563" s="247"/>
      <c r="G563" s="244"/>
      <c r="H563" s="243"/>
      <c r="I563" s="244"/>
      <c r="J563" s="244"/>
      <c r="K563" s="244"/>
      <c r="L563" s="248"/>
      <c r="M563" s="248"/>
      <c r="N563" s="244"/>
      <c r="O563" s="249"/>
      <c r="P563" s="249"/>
      <c r="Q563" s="208"/>
      <c r="R563" s="208"/>
      <c r="S563" s="208"/>
      <c r="T563" s="208"/>
      <c r="U563" s="208"/>
      <c r="V563" s="208"/>
      <c r="W563" s="208"/>
      <c r="X563" s="208"/>
      <c r="Y563" s="208"/>
      <c r="Z563" s="208"/>
      <c r="AA563" s="208"/>
      <c r="AB563" s="208"/>
    </row>
    <row r="564" ht="15.75" customHeight="1">
      <c r="A564" s="250"/>
      <c r="B564" s="244"/>
      <c r="C564" s="245"/>
      <c r="D564" s="246"/>
      <c r="E564" s="245"/>
      <c r="F564" s="247"/>
      <c r="G564" s="244"/>
      <c r="H564" s="243"/>
      <c r="I564" s="244"/>
      <c r="J564" s="244"/>
      <c r="K564" s="244"/>
      <c r="L564" s="248"/>
      <c r="M564" s="248"/>
      <c r="N564" s="244"/>
      <c r="O564" s="249"/>
      <c r="P564" s="249"/>
      <c r="Q564" s="208"/>
      <c r="R564" s="208"/>
      <c r="S564" s="208"/>
      <c r="T564" s="208"/>
      <c r="U564" s="208"/>
      <c r="V564" s="208"/>
      <c r="W564" s="208"/>
      <c r="X564" s="208"/>
      <c r="Y564" s="208"/>
      <c r="Z564" s="208"/>
      <c r="AA564" s="208"/>
      <c r="AB564" s="208"/>
    </row>
    <row r="565" ht="15.75" customHeight="1">
      <c r="A565" s="250"/>
      <c r="B565" s="244"/>
      <c r="C565" s="245"/>
      <c r="D565" s="246"/>
      <c r="E565" s="245"/>
      <c r="F565" s="247"/>
      <c r="G565" s="244"/>
      <c r="H565" s="243"/>
      <c r="I565" s="244"/>
      <c r="J565" s="244"/>
      <c r="K565" s="244"/>
      <c r="L565" s="248"/>
      <c r="M565" s="248"/>
      <c r="N565" s="244"/>
      <c r="O565" s="249"/>
      <c r="P565" s="249"/>
      <c r="Q565" s="208"/>
      <c r="R565" s="208"/>
      <c r="S565" s="208"/>
      <c r="T565" s="208"/>
      <c r="U565" s="208"/>
      <c r="V565" s="208"/>
      <c r="W565" s="208"/>
      <c r="X565" s="208"/>
      <c r="Y565" s="208"/>
      <c r="Z565" s="208"/>
      <c r="AA565" s="208"/>
      <c r="AB565" s="208"/>
    </row>
    <row r="566" ht="15.75" customHeight="1">
      <c r="A566" s="250"/>
      <c r="B566" s="244"/>
      <c r="C566" s="245"/>
      <c r="D566" s="246"/>
      <c r="E566" s="245"/>
      <c r="F566" s="247"/>
      <c r="G566" s="244"/>
      <c r="H566" s="243"/>
      <c r="I566" s="244"/>
      <c r="J566" s="244"/>
      <c r="K566" s="244"/>
      <c r="L566" s="248"/>
      <c r="M566" s="248"/>
      <c r="N566" s="244"/>
      <c r="O566" s="249"/>
      <c r="P566" s="249"/>
      <c r="Q566" s="208"/>
      <c r="R566" s="208"/>
      <c r="S566" s="208"/>
      <c r="T566" s="208"/>
      <c r="U566" s="208"/>
      <c r="V566" s="208"/>
      <c r="W566" s="208"/>
      <c r="X566" s="208"/>
      <c r="Y566" s="208"/>
      <c r="Z566" s="208"/>
      <c r="AA566" s="208"/>
      <c r="AB566" s="208"/>
    </row>
    <row r="567" ht="15.75" customHeight="1">
      <c r="A567" s="250"/>
      <c r="B567" s="244"/>
      <c r="C567" s="245"/>
      <c r="D567" s="246"/>
      <c r="E567" s="245"/>
      <c r="F567" s="247"/>
      <c r="G567" s="244"/>
      <c r="H567" s="243"/>
      <c r="I567" s="244"/>
      <c r="J567" s="244"/>
      <c r="K567" s="244"/>
      <c r="L567" s="248"/>
      <c r="M567" s="248"/>
      <c r="N567" s="244"/>
      <c r="O567" s="249"/>
      <c r="P567" s="249"/>
      <c r="Q567" s="208"/>
      <c r="R567" s="208"/>
      <c r="S567" s="208"/>
      <c r="T567" s="208"/>
      <c r="U567" s="208"/>
      <c r="V567" s="208"/>
      <c r="W567" s="208"/>
      <c r="X567" s="208"/>
      <c r="Y567" s="208"/>
      <c r="Z567" s="208"/>
      <c r="AA567" s="208"/>
      <c r="AB567" s="208"/>
    </row>
    <row r="568" ht="15.75" customHeight="1">
      <c r="A568" s="250"/>
      <c r="B568" s="244"/>
      <c r="C568" s="245"/>
      <c r="D568" s="246"/>
      <c r="E568" s="245"/>
      <c r="F568" s="247"/>
      <c r="G568" s="244"/>
      <c r="H568" s="243"/>
      <c r="I568" s="244"/>
      <c r="J568" s="244"/>
      <c r="K568" s="244"/>
      <c r="L568" s="248"/>
      <c r="M568" s="248"/>
      <c r="N568" s="244"/>
      <c r="O568" s="249"/>
      <c r="P568" s="249"/>
      <c r="Q568" s="208"/>
      <c r="R568" s="208"/>
      <c r="S568" s="208"/>
      <c r="T568" s="208"/>
      <c r="U568" s="208"/>
      <c r="V568" s="208"/>
      <c r="W568" s="208"/>
      <c r="X568" s="208"/>
      <c r="Y568" s="208"/>
      <c r="Z568" s="208"/>
      <c r="AA568" s="208"/>
      <c r="AB568" s="208"/>
    </row>
    <row r="569" ht="15.75" customHeight="1">
      <c r="A569" s="250"/>
      <c r="B569" s="244"/>
      <c r="C569" s="245"/>
      <c r="D569" s="246"/>
      <c r="E569" s="245"/>
      <c r="F569" s="247"/>
      <c r="G569" s="244"/>
      <c r="H569" s="243"/>
      <c r="I569" s="244"/>
      <c r="J569" s="244"/>
      <c r="K569" s="244"/>
      <c r="L569" s="248"/>
      <c r="M569" s="248"/>
      <c r="N569" s="244"/>
      <c r="O569" s="249"/>
      <c r="P569" s="249"/>
      <c r="Q569" s="208"/>
      <c r="R569" s="208"/>
      <c r="S569" s="208"/>
      <c r="T569" s="208"/>
      <c r="U569" s="208"/>
      <c r="V569" s="208"/>
      <c r="W569" s="208"/>
      <c r="X569" s="208"/>
      <c r="Y569" s="208"/>
      <c r="Z569" s="208"/>
      <c r="AA569" s="208"/>
      <c r="AB569" s="208"/>
    </row>
    <row r="570" ht="15.75" customHeight="1">
      <c r="A570" s="250"/>
      <c r="B570" s="244"/>
      <c r="C570" s="245"/>
      <c r="D570" s="246"/>
      <c r="E570" s="245"/>
      <c r="F570" s="247"/>
      <c r="G570" s="244"/>
      <c r="H570" s="243"/>
      <c r="I570" s="244"/>
      <c r="J570" s="244"/>
      <c r="K570" s="244"/>
      <c r="L570" s="248"/>
      <c r="M570" s="248"/>
      <c r="N570" s="244"/>
      <c r="O570" s="249"/>
      <c r="P570" s="249"/>
      <c r="Q570" s="208"/>
      <c r="R570" s="208"/>
      <c r="S570" s="208"/>
      <c r="T570" s="208"/>
      <c r="U570" s="208"/>
      <c r="V570" s="208"/>
      <c r="W570" s="208"/>
      <c r="X570" s="208"/>
      <c r="Y570" s="208"/>
      <c r="Z570" s="208"/>
      <c r="AA570" s="208"/>
      <c r="AB570" s="208"/>
    </row>
    <row r="571" ht="15.75" customHeight="1">
      <c r="A571" s="250"/>
      <c r="B571" s="244"/>
      <c r="C571" s="245"/>
      <c r="D571" s="246"/>
      <c r="E571" s="245"/>
      <c r="F571" s="247"/>
      <c r="G571" s="244"/>
      <c r="H571" s="243"/>
      <c r="I571" s="244"/>
      <c r="J571" s="244"/>
      <c r="K571" s="244"/>
      <c r="L571" s="248"/>
      <c r="M571" s="248"/>
      <c r="N571" s="244"/>
      <c r="O571" s="249"/>
      <c r="P571" s="249"/>
      <c r="Q571" s="208"/>
      <c r="R571" s="208"/>
      <c r="S571" s="208"/>
      <c r="T571" s="208"/>
      <c r="U571" s="208"/>
      <c r="V571" s="208"/>
      <c r="W571" s="208"/>
      <c r="X571" s="208"/>
      <c r="Y571" s="208"/>
      <c r="Z571" s="208"/>
      <c r="AA571" s="208"/>
      <c r="AB571" s="208"/>
    </row>
    <row r="572" ht="15.75" customHeight="1">
      <c r="A572" s="250"/>
      <c r="B572" s="244"/>
      <c r="C572" s="245"/>
      <c r="D572" s="246"/>
      <c r="E572" s="245"/>
      <c r="F572" s="247"/>
      <c r="G572" s="244"/>
      <c r="H572" s="243"/>
      <c r="I572" s="244"/>
      <c r="J572" s="244"/>
      <c r="K572" s="244"/>
      <c r="L572" s="248"/>
      <c r="M572" s="248"/>
      <c r="N572" s="244"/>
      <c r="O572" s="249"/>
      <c r="P572" s="249"/>
      <c r="Q572" s="208"/>
      <c r="R572" s="208"/>
      <c r="S572" s="208"/>
      <c r="T572" s="208"/>
      <c r="U572" s="208"/>
      <c r="V572" s="208"/>
      <c r="W572" s="208"/>
      <c r="X572" s="208"/>
      <c r="Y572" s="208"/>
      <c r="Z572" s="208"/>
      <c r="AA572" s="208"/>
      <c r="AB572" s="208"/>
    </row>
    <row r="573" ht="15.75" customHeight="1">
      <c r="A573" s="250"/>
      <c r="B573" s="244"/>
      <c r="C573" s="245"/>
      <c r="D573" s="246"/>
      <c r="E573" s="245"/>
      <c r="F573" s="247"/>
      <c r="G573" s="244"/>
      <c r="H573" s="243"/>
      <c r="I573" s="244"/>
      <c r="J573" s="244"/>
      <c r="K573" s="244"/>
      <c r="L573" s="248"/>
      <c r="M573" s="248"/>
      <c r="N573" s="244"/>
      <c r="O573" s="249"/>
      <c r="P573" s="249"/>
      <c r="Q573" s="208"/>
      <c r="R573" s="208"/>
      <c r="S573" s="208"/>
      <c r="T573" s="208"/>
      <c r="U573" s="208"/>
      <c r="V573" s="208"/>
      <c r="W573" s="208"/>
      <c r="X573" s="208"/>
      <c r="Y573" s="208"/>
      <c r="Z573" s="208"/>
      <c r="AA573" s="208"/>
      <c r="AB573" s="208"/>
    </row>
    <row r="574" ht="15.75" customHeight="1">
      <c r="A574" s="250"/>
      <c r="B574" s="244"/>
      <c r="C574" s="245"/>
      <c r="D574" s="246"/>
      <c r="E574" s="245"/>
      <c r="F574" s="247"/>
      <c r="G574" s="244"/>
      <c r="H574" s="243"/>
      <c r="I574" s="244"/>
      <c r="J574" s="244"/>
      <c r="K574" s="244"/>
      <c r="L574" s="248"/>
      <c r="M574" s="248"/>
      <c r="N574" s="244"/>
      <c r="O574" s="249"/>
      <c r="P574" s="249"/>
      <c r="Q574" s="208"/>
      <c r="R574" s="208"/>
      <c r="S574" s="208"/>
      <c r="T574" s="208"/>
      <c r="U574" s="208"/>
      <c r="V574" s="208"/>
      <c r="W574" s="208"/>
      <c r="X574" s="208"/>
      <c r="Y574" s="208"/>
      <c r="Z574" s="208"/>
      <c r="AA574" s="208"/>
      <c r="AB574" s="208"/>
    </row>
    <row r="575" ht="15.75" customHeight="1">
      <c r="A575" s="250"/>
      <c r="B575" s="244"/>
      <c r="C575" s="245"/>
      <c r="D575" s="246"/>
      <c r="E575" s="245"/>
      <c r="F575" s="247"/>
      <c r="G575" s="244"/>
      <c r="H575" s="243"/>
      <c r="I575" s="244"/>
      <c r="J575" s="244"/>
      <c r="K575" s="244"/>
      <c r="L575" s="248"/>
      <c r="M575" s="248"/>
      <c r="N575" s="244"/>
      <c r="O575" s="249"/>
      <c r="P575" s="249"/>
      <c r="Q575" s="208"/>
      <c r="R575" s="208"/>
      <c r="S575" s="208"/>
      <c r="T575" s="208"/>
      <c r="U575" s="208"/>
      <c r="V575" s="208"/>
      <c r="W575" s="208"/>
      <c r="X575" s="208"/>
      <c r="Y575" s="208"/>
      <c r="Z575" s="208"/>
      <c r="AA575" s="208"/>
      <c r="AB575" s="208"/>
    </row>
    <row r="576" ht="15.75" customHeight="1">
      <c r="A576" s="250"/>
      <c r="B576" s="244"/>
      <c r="C576" s="245"/>
      <c r="D576" s="246"/>
      <c r="E576" s="245"/>
      <c r="F576" s="247"/>
      <c r="G576" s="244"/>
      <c r="H576" s="243"/>
      <c r="I576" s="244"/>
      <c r="J576" s="244"/>
      <c r="K576" s="244"/>
      <c r="L576" s="248"/>
      <c r="M576" s="248"/>
      <c r="N576" s="244"/>
      <c r="O576" s="249"/>
      <c r="P576" s="249"/>
      <c r="Q576" s="208"/>
      <c r="R576" s="208"/>
      <c r="S576" s="208"/>
      <c r="T576" s="208"/>
      <c r="U576" s="208"/>
      <c r="V576" s="208"/>
      <c r="W576" s="208"/>
      <c r="X576" s="208"/>
      <c r="Y576" s="208"/>
      <c r="Z576" s="208"/>
      <c r="AA576" s="208"/>
      <c r="AB576" s="208"/>
    </row>
    <row r="577" ht="15.75" customHeight="1">
      <c r="A577" s="250"/>
      <c r="B577" s="244"/>
      <c r="C577" s="245"/>
      <c r="D577" s="246"/>
      <c r="E577" s="245"/>
      <c r="F577" s="247"/>
      <c r="G577" s="244"/>
      <c r="H577" s="243"/>
      <c r="I577" s="244"/>
      <c r="J577" s="244"/>
      <c r="K577" s="244"/>
      <c r="L577" s="248"/>
      <c r="M577" s="248"/>
      <c r="N577" s="244"/>
      <c r="O577" s="249"/>
      <c r="P577" s="249"/>
      <c r="Q577" s="208"/>
      <c r="R577" s="208"/>
      <c r="S577" s="208"/>
      <c r="T577" s="208"/>
      <c r="U577" s="208"/>
      <c r="V577" s="208"/>
      <c r="W577" s="208"/>
      <c r="X577" s="208"/>
      <c r="Y577" s="208"/>
      <c r="Z577" s="208"/>
      <c r="AA577" s="208"/>
      <c r="AB577" s="208"/>
    </row>
    <row r="578" ht="15.75" customHeight="1">
      <c r="A578" s="250"/>
      <c r="B578" s="244"/>
      <c r="C578" s="245"/>
      <c r="D578" s="246"/>
      <c r="E578" s="245"/>
      <c r="F578" s="247"/>
      <c r="G578" s="244"/>
      <c r="H578" s="243"/>
      <c r="I578" s="244"/>
      <c r="J578" s="244"/>
      <c r="K578" s="244"/>
      <c r="L578" s="248"/>
      <c r="M578" s="248"/>
      <c r="N578" s="244"/>
      <c r="O578" s="249"/>
      <c r="P578" s="249"/>
      <c r="Q578" s="208"/>
      <c r="R578" s="208"/>
      <c r="S578" s="208"/>
      <c r="T578" s="208"/>
      <c r="U578" s="208"/>
      <c r="V578" s="208"/>
      <c r="W578" s="208"/>
      <c r="X578" s="208"/>
      <c r="Y578" s="208"/>
      <c r="Z578" s="208"/>
      <c r="AA578" s="208"/>
      <c r="AB578" s="208"/>
    </row>
    <row r="579" ht="15.75" customHeight="1">
      <c r="A579" s="250"/>
      <c r="B579" s="244"/>
      <c r="C579" s="245"/>
      <c r="D579" s="246"/>
      <c r="E579" s="245"/>
      <c r="F579" s="247"/>
      <c r="G579" s="244"/>
      <c r="H579" s="243"/>
      <c r="I579" s="244"/>
      <c r="J579" s="244"/>
      <c r="K579" s="244"/>
      <c r="L579" s="248"/>
      <c r="M579" s="248"/>
      <c r="N579" s="244"/>
      <c r="O579" s="249"/>
      <c r="P579" s="249"/>
      <c r="Q579" s="208"/>
      <c r="R579" s="208"/>
      <c r="S579" s="208"/>
      <c r="T579" s="208"/>
      <c r="U579" s="208"/>
      <c r="V579" s="208"/>
      <c r="W579" s="208"/>
      <c r="X579" s="208"/>
      <c r="Y579" s="208"/>
      <c r="Z579" s="208"/>
      <c r="AA579" s="208"/>
      <c r="AB579" s="208"/>
    </row>
    <row r="580" ht="15.75" customHeight="1">
      <c r="A580" s="250"/>
      <c r="B580" s="244"/>
      <c r="C580" s="245"/>
      <c r="D580" s="246"/>
      <c r="E580" s="245"/>
      <c r="F580" s="247"/>
      <c r="G580" s="244"/>
      <c r="H580" s="243"/>
      <c r="I580" s="244"/>
      <c r="J580" s="244"/>
      <c r="K580" s="244"/>
      <c r="L580" s="248"/>
      <c r="M580" s="248"/>
      <c r="N580" s="244"/>
      <c r="O580" s="249"/>
      <c r="P580" s="249"/>
      <c r="Q580" s="208"/>
      <c r="R580" s="208"/>
      <c r="S580" s="208"/>
      <c r="T580" s="208"/>
      <c r="U580" s="208"/>
      <c r="V580" s="208"/>
      <c r="W580" s="208"/>
      <c r="X580" s="208"/>
      <c r="Y580" s="208"/>
      <c r="Z580" s="208"/>
      <c r="AA580" s="208"/>
      <c r="AB580" s="208"/>
    </row>
    <row r="581" ht="15.75" customHeight="1">
      <c r="A581" s="250"/>
      <c r="B581" s="244"/>
      <c r="C581" s="245"/>
      <c r="D581" s="246"/>
      <c r="E581" s="245"/>
      <c r="F581" s="247"/>
      <c r="G581" s="244"/>
      <c r="H581" s="243"/>
      <c r="I581" s="244"/>
      <c r="J581" s="244"/>
      <c r="K581" s="244"/>
      <c r="L581" s="248"/>
      <c r="M581" s="248"/>
      <c r="N581" s="244"/>
      <c r="O581" s="249"/>
      <c r="P581" s="249"/>
      <c r="Q581" s="208"/>
      <c r="R581" s="208"/>
      <c r="S581" s="208"/>
      <c r="T581" s="208"/>
      <c r="U581" s="208"/>
      <c r="V581" s="208"/>
      <c r="W581" s="208"/>
      <c r="X581" s="208"/>
      <c r="Y581" s="208"/>
      <c r="Z581" s="208"/>
      <c r="AA581" s="208"/>
      <c r="AB581" s="208"/>
    </row>
    <row r="582" ht="15.75" customHeight="1">
      <c r="A582" s="250"/>
      <c r="B582" s="244"/>
      <c r="C582" s="245"/>
      <c r="D582" s="246"/>
      <c r="E582" s="245"/>
      <c r="F582" s="247"/>
      <c r="G582" s="244"/>
      <c r="H582" s="243"/>
      <c r="I582" s="244"/>
      <c r="J582" s="244"/>
      <c r="K582" s="244"/>
      <c r="L582" s="248"/>
      <c r="M582" s="248"/>
      <c r="N582" s="244"/>
      <c r="O582" s="249"/>
      <c r="P582" s="249"/>
      <c r="Q582" s="208"/>
      <c r="R582" s="208"/>
      <c r="S582" s="208"/>
      <c r="T582" s="208"/>
      <c r="U582" s="208"/>
      <c r="V582" s="208"/>
      <c r="W582" s="208"/>
      <c r="X582" s="208"/>
      <c r="Y582" s="208"/>
      <c r="Z582" s="208"/>
      <c r="AA582" s="208"/>
      <c r="AB582" s="208"/>
    </row>
    <row r="583" ht="15.75" customHeight="1">
      <c r="A583" s="250"/>
      <c r="B583" s="244"/>
      <c r="C583" s="245"/>
      <c r="D583" s="246"/>
      <c r="E583" s="245"/>
      <c r="F583" s="247"/>
      <c r="G583" s="244"/>
      <c r="H583" s="243"/>
      <c r="I583" s="244"/>
      <c r="J583" s="244"/>
      <c r="K583" s="244"/>
      <c r="L583" s="248"/>
      <c r="M583" s="248"/>
      <c r="N583" s="244"/>
      <c r="O583" s="249"/>
      <c r="P583" s="249"/>
      <c r="Q583" s="208"/>
      <c r="R583" s="208"/>
      <c r="S583" s="208"/>
      <c r="T583" s="208"/>
      <c r="U583" s="208"/>
      <c r="V583" s="208"/>
      <c r="W583" s="208"/>
      <c r="X583" s="208"/>
      <c r="Y583" s="208"/>
      <c r="Z583" s="208"/>
      <c r="AA583" s="208"/>
      <c r="AB583" s="208"/>
    </row>
    <row r="584" ht="15.75" customHeight="1">
      <c r="A584" s="250"/>
      <c r="B584" s="244"/>
      <c r="C584" s="245"/>
      <c r="D584" s="246"/>
      <c r="E584" s="245"/>
      <c r="F584" s="247"/>
      <c r="G584" s="244"/>
      <c r="H584" s="243"/>
      <c r="I584" s="244"/>
      <c r="J584" s="244"/>
      <c r="K584" s="244"/>
      <c r="L584" s="248"/>
      <c r="M584" s="248"/>
      <c r="N584" s="244"/>
      <c r="O584" s="249"/>
      <c r="P584" s="249"/>
      <c r="Q584" s="208"/>
      <c r="R584" s="208"/>
      <c r="S584" s="208"/>
      <c r="T584" s="208"/>
      <c r="U584" s="208"/>
      <c r="V584" s="208"/>
      <c r="W584" s="208"/>
      <c r="X584" s="208"/>
      <c r="Y584" s="208"/>
      <c r="Z584" s="208"/>
      <c r="AA584" s="208"/>
      <c r="AB584" s="208"/>
    </row>
    <row r="585" ht="15.75" customHeight="1">
      <c r="A585" s="250"/>
      <c r="B585" s="244"/>
      <c r="C585" s="245"/>
      <c r="D585" s="246"/>
      <c r="E585" s="245"/>
      <c r="F585" s="247"/>
      <c r="G585" s="244"/>
      <c r="H585" s="243"/>
      <c r="I585" s="244"/>
      <c r="J585" s="244"/>
      <c r="K585" s="244"/>
      <c r="L585" s="248"/>
      <c r="M585" s="248"/>
      <c r="N585" s="244"/>
      <c r="O585" s="249"/>
      <c r="P585" s="249"/>
      <c r="Q585" s="208"/>
      <c r="R585" s="208"/>
      <c r="S585" s="208"/>
      <c r="T585" s="208"/>
      <c r="U585" s="208"/>
      <c r="V585" s="208"/>
      <c r="W585" s="208"/>
      <c r="X585" s="208"/>
      <c r="Y585" s="208"/>
      <c r="Z585" s="208"/>
      <c r="AA585" s="208"/>
      <c r="AB585" s="208"/>
    </row>
    <row r="586" ht="15.75" customHeight="1">
      <c r="A586" s="250"/>
      <c r="B586" s="244"/>
      <c r="C586" s="245"/>
      <c r="D586" s="246"/>
      <c r="E586" s="245"/>
      <c r="F586" s="247"/>
      <c r="G586" s="244"/>
      <c r="H586" s="243"/>
      <c r="I586" s="244"/>
      <c r="J586" s="244"/>
      <c r="K586" s="244"/>
      <c r="L586" s="248"/>
      <c r="M586" s="248"/>
      <c r="N586" s="244"/>
      <c r="O586" s="249"/>
      <c r="P586" s="249"/>
      <c r="Q586" s="208"/>
      <c r="R586" s="208"/>
      <c r="S586" s="208"/>
      <c r="T586" s="208"/>
      <c r="U586" s="208"/>
      <c r="V586" s="208"/>
      <c r="W586" s="208"/>
      <c r="X586" s="208"/>
      <c r="Y586" s="208"/>
      <c r="Z586" s="208"/>
      <c r="AA586" s="208"/>
      <c r="AB586" s="208"/>
    </row>
    <row r="587" ht="15.75" customHeight="1">
      <c r="A587" s="250"/>
      <c r="B587" s="244"/>
      <c r="C587" s="245"/>
      <c r="D587" s="246"/>
      <c r="E587" s="245"/>
      <c r="F587" s="247"/>
      <c r="G587" s="244"/>
      <c r="H587" s="243"/>
      <c r="I587" s="244"/>
      <c r="J587" s="244"/>
      <c r="K587" s="244"/>
      <c r="L587" s="248"/>
      <c r="M587" s="248"/>
      <c r="N587" s="244"/>
      <c r="O587" s="249"/>
      <c r="P587" s="249"/>
      <c r="Q587" s="208"/>
      <c r="R587" s="208"/>
      <c r="S587" s="208"/>
      <c r="T587" s="208"/>
      <c r="U587" s="208"/>
      <c r="V587" s="208"/>
      <c r="W587" s="208"/>
      <c r="X587" s="208"/>
      <c r="Y587" s="208"/>
      <c r="Z587" s="208"/>
      <c r="AA587" s="208"/>
      <c r="AB587" s="208"/>
    </row>
    <row r="588" ht="15.75" customHeight="1">
      <c r="A588" s="250"/>
      <c r="B588" s="244"/>
      <c r="C588" s="245"/>
      <c r="D588" s="246"/>
      <c r="E588" s="245"/>
      <c r="F588" s="247"/>
      <c r="G588" s="244"/>
      <c r="H588" s="243"/>
      <c r="I588" s="244"/>
      <c r="J588" s="244"/>
      <c r="K588" s="244"/>
      <c r="L588" s="248"/>
      <c r="M588" s="248"/>
      <c r="N588" s="244"/>
      <c r="O588" s="249"/>
      <c r="P588" s="249"/>
      <c r="Q588" s="208"/>
      <c r="R588" s="208"/>
      <c r="S588" s="208"/>
      <c r="T588" s="208"/>
      <c r="U588" s="208"/>
      <c r="V588" s="208"/>
      <c r="W588" s="208"/>
      <c r="X588" s="208"/>
      <c r="Y588" s="208"/>
      <c r="Z588" s="208"/>
      <c r="AA588" s="208"/>
      <c r="AB588" s="208"/>
    </row>
    <row r="589" ht="15.75" customHeight="1">
      <c r="A589" s="250"/>
      <c r="B589" s="244"/>
      <c r="C589" s="245"/>
      <c r="D589" s="246"/>
      <c r="E589" s="245"/>
      <c r="F589" s="247"/>
      <c r="G589" s="244"/>
      <c r="H589" s="243"/>
      <c r="I589" s="244"/>
      <c r="J589" s="244"/>
      <c r="K589" s="244"/>
      <c r="L589" s="248"/>
      <c r="M589" s="248"/>
      <c r="N589" s="244"/>
      <c r="O589" s="249"/>
      <c r="P589" s="249"/>
      <c r="Q589" s="208"/>
      <c r="R589" s="208"/>
      <c r="S589" s="208"/>
      <c r="T589" s="208"/>
      <c r="U589" s="208"/>
      <c r="V589" s="208"/>
      <c r="W589" s="208"/>
      <c r="X589" s="208"/>
      <c r="Y589" s="208"/>
      <c r="Z589" s="208"/>
      <c r="AA589" s="208"/>
      <c r="AB589" s="208"/>
    </row>
    <row r="590" ht="15.75" customHeight="1">
      <c r="A590" s="250"/>
      <c r="B590" s="244"/>
      <c r="C590" s="245"/>
      <c r="D590" s="246"/>
      <c r="E590" s="245"/>
      <c r="F590" s="247"/>
      <c r="G590" s="244"/>
      <c r="H590" s="243"/>
      <c r="I590" s="244"/>
      <c r="J590" s="244"/>
      <c r="K590" s="244"/>
      <c r="L590" s="248"/>
      <c r="M590" s="248"/>
      <c r="N590" s="244"/>
      <c r="O590" s="249"/>
      <c r="P590" s="249"/>
      <c r="Q590" s="208"/>
      <c r="R590" s="208"/>
      <c r="S590" s="208"/>
      <c r="T590" s="208"/>
      <c r="U590" s="208"/>
      <c r="V590" s="208"/>
      <c r="W590" s="208"/>
      <c r="X590" s="208"/>
      <c r="Y590" s="208"/>
      <c r="Z590" s="208"/>
      <c r="AA590" s="208"/>
      <c r="AB590" s="208"/>
    </row>
    <row r="591" ht="15.75" customHeight="1">
      <c r="A591" s="250"/>
      <c r="B591" s="244"/>
      <c r="C591" s="245"/>
      <c r="D591" s="246"/>
      <c r="E591" s="245"/>
      <c r="F591" s="247"/>
      <c r="G591" s="244"/>
      <c r="H591" s="243"/>
      <c r="I591" s="244"/>
      <c r="J591" s="244"/>
      <c r="K591" s="244"/>
      <c r="L591" s="248"/>
      <c r="M591" s="248"/>
      <c r="N591" s="244"/>
      <c r="O591" s="249"/>
      <c r="P591" s="249"/>
      <c r="Q591" s="208"/>
      <c r="R591" s="208"/>
      <c r="S591" s="208"/>
      <c r="T591" s="208"/>
      <c r="U591" s="208"/>
      <c r="V591" s="208"/>
      <c r="W591" s="208"/>
      <c r="X591" s="208"/>
      <c r="Y591" s="208"/>
      <c r="Z591" s="208"/>
      <c r="AA591" s="208"/>
      <c r="AB591" s="208"/>
    </row>
    <row r="592" ht="15.75" customHeight="1">
      <c r="A592" s="250"/>
      <c r="B592" s="244"/>
      <c r="C592" s="245"/>
      <c r="D592" s="246"/>
      <c r="E592" s="245"/>
      <c r="F592" s="247"/>
      <c r="G592" s="244"/>
      <c r="H592" s="243"/>
      <c r="I592" s="244"/>
      <c r="J592" s="244"/>
      <c r="K592" s="244"/>
      <c r="L592" s="248"/>
      <c r="M592" s="248"/>
      <c r="N592" s="244"/>
      <c r="O592" s="249"/>
      <c r="P592" s="249"/>
      <c r="Q592" s="208"/>
      <c r="R592" s="208"/>
      <c r="S592" s="208"/>
      <c r="T592" s="208"/>
      <c r="U592" s="208"/>
      <c r="V592" s="208"/>
      <c r="W592" s="208"/>
      <c r="X592" s="208"/>
      <c r="Y592" s="208"/>
      <c r="Z592" s="208"/>
      <c r="AA592" s="208"/>
      <c r="AB592" s="208"/>
    </row>
    <row r="593" ht="15.75" customHeight="1">
      <c r="A593" s="250"/>
      <c r="B593" s="244"/>
      <c r="C593" s="245"/>
      <c r="D593" s="246"/>
      <c r="E593" s="245"/>
      <c r="F593" s="247"/>
      <c r="G593" s="244"/>
      <c r="H593" s="243"/>
      <c r="I593" s="244"/>
      <c r="J593" s="244"/>
      <c r="K593" s="244"/>
      <c r="L593" s="248"/>
      <c r="M593" s="248"/>
      <c r="N593" s="244"/>
      <c r="O593" s="249"/>
      <c r="P593" s="249"/>
      <c r="Q593" s="208"/>
      <c r="R593" s="208"/>
      <c r="S593" s="208"/>
      <c r="T593" s="208"/>
      <c r="U593" s="208"/>
      <c r="V593" s="208"/>
      <c r="W593" s="208"/>
      <c r="X593" s="208"/>
      <c r="Y593" s="208"/>
      <c r="Z593" s="208"/>
      <c r="AA593" s="208"/>
      <c r="AB593" s="208"/>
    </row>
    <row r="594" ht="15.75" customHeight="1">
      <c r="A594" s="250"/>
      <c r="B594" s="244"/>
      <c r="C594" s="245"/>
      <c r="D594" s="246"/>
      <c r="E594" s="245"/>
      <c r="F594" s="247"/>
      <c r="G594" s="244"/>
      <c r="H594" s="243"/>
      <c r="I594" s="244"/>
      <c r="J594" s="244"/>
      <c r="K594" s="244"/>
      <c r="L594" s="248"/>
      <c r="M594" s="248"/>
      <c r="N594" s="244"/>
      <c r="O594" s="249"/>
      <c r="P594" s="249"/>
      <c r="Q594" s="208"/>
      <c r="R594" s="208"/>
      <c r="S594" s="208"/>
      <c r="T594" s="208"/>
      <c r="U594" s="208"/>
      <c r="V594" s="208"/>
      <c r="W594" s="208"/>
      <c r="X594" s="208"/>
      <c r="Y594" s="208"/>
      <c r="Z594" s="208"/>
      <c r="AA594" s="208"/>
      <c r="AB594" s="208"/>
    </row>
    <row r="595" ht="15.75" customHeight="1">
      <c r="A595" s="250"/>
      <c r="B595" s="244"/>
      <c r="C595" s="245"/>
      <c r="D595" s="246"/>
      <c r="E595" s="245"/>
      <c r="F595" s="247"/>
      <c r="G595" s="244"/>
      <c r="H595" s="243"/>
      <c r="I595" s="244"/>
      <c r="J595" s="244"/>
      <c r="K595" s="244"/>
      <c r="L595" s="248"/>
      <c r="M595" s="248"/>
      <c r="N595" s="244"/>
      <c r="O595" s="249"/>
      <c r="P595" s="249"/>
      <c r="Q595" s="208"/>
      <c r="R595" s="208"/>
      <c r="S595" s="208"/>
      <c r="T595" s="208"/>
      <c r="U595" s="208"/>
      <c r="V595" s="208"/>
      <c r="W595" s="208"/>
      <c r="X595" s="208"/>
      <c r="Y595" s="208"/>
      <c r="Z595" s="208"/>
      <c r="AA595" s="208"/>
      <c r="AB595" s="208"/>
    </row>
    <row r="596" ht="15.75" customHeight="1">
      <c r="A596" s="250"/>
      <c r="B596" s="244"/>
      <c r="C596" s="245"/>
      <c r="D596" s="246"/>
      <c r="E596" s="245"/>
      <c r="F596" s="247"/>
      <c r="G596" s="244"/>
      <c r="H596" s="243"/>
      <c r="I596" s="244"/>
      <c r="J596" s="244"/>
      <c r="K596" s="244"/>
      <c r="L596" s="248"/>
      <c r="M596" s="248"/>
      <c r="N596" s="244"/>
      <c r="O596" s="249"/>
      <c r="P596" s="249"/>
      <c r="Q596" s="208"/>
      <c r="R596" s="208"/>
      <c r="S596" s="208"/>
      <c r="T596" s="208"/>
      <c r="U596" s="208"/>
      <c r="V596" s="208"/>
      <c r="W596" s="208"/>
      <c r="X596" s="208"/>
      <c r="Y596" s="208"/>
      <c r="Z596" s="208"/>
      <c r="AA596" s="208"/>
      <c r="AB596" s="208"/>
    </row>
    <row r="597" ht="15.75" customHeight="1">
      <c r="A597" s="250"/>
      <c r="B597" s="244"/>
      <c r="C597" s="245"/>
      <c r="D597" s="246"/>
      <c r="E597" s="245"/>
      <c r="F597" s="247"/>
      <c r="G597" s="244"/>
      <c r="H597" s="243"/>
      <c r="I597" s="244"/>
      <c r="J597" s="244"/>
      <c r="K597" s="244"/>
      <c r="L597" s="248"/>
      <c r="M597" s="248"/>
      <c r="N597" s="244"/>
      <c r="O597" s="249"/>
      <c r="P597" s="249"/>
      <c r="Q597" s="208"/>
      <c r="R597" s="208"/>
      <c r="S597" s="208"/>
      <c r="T597" s="208"/>
      <c r="U597" s="208"/>
      <c r="V597" s="208"/>
      <c r="W597" s="208"/>
      <c r="X597" s="208"/>
      <c r="Y597" s="208"/>
      <c r="Z597" s="208"/>
      <c r="AA597" s="208"/>
      <c r="AB597" s="208"/>
    </row>
    <row r="598" ht="15.75" customHeight="1">
      <c r="A598" s="250"/>
      <c r="B598" s="244"/>
      <c r="C598" s="245"/>
      <c r="D598" s="246"/>
      <c r="E598" s="245"/>
      <c r="F598" s="247"/>
      <c r="G598" s="244"/>
      <c r="H598" s="243"/>
      <c r="I598" s="244"/>
      <c r="J598" s="244"/>
      <c r="K598" s="244"/>
      <c r="L598" s="248"/>
      <c r="M598" s="248"/>
      <c r="N598" s="244"/>
      <c r="O598" s="249"/>
      <c r="P598" s="249"/>
      <c r="Q598" s="208"/>
      <c r="R598" s="208"/>
      <c r="S598" s="208"/>
      <c r="T598" s="208"/>
      <c r="U598" s="208"/>
      <c r="V598" s="208"/>
      <c r="W598" s="208"/>
      <c r="X598" s="208"/>
      <c r="Y598" s="208"/>
      <c r="Z598" s="208"/>
      <c r="AA598" s="208"/>
      <c r="AB598" s="208"/>
    </row>
    <row r="599" ht="15.75" customHeight="1">
      <c r="A599" s="250"/>
      <c r="B599" s="244"/>
      <c r="C599" s="245"/>
      <c r="D599" s="246"/>
      <c r="E599" s="245"/>
      <c r="F599" s="247"/>
      <c r="G599" s="244"/>
      <c r="H599" s="243"/>
      <c r="I599" s="244"/>
      <c r="J599" s="244"/>
      <c r="K599" s="244"/>
      <c r="L599" s="248"/>
      <c r="M599" s="248"/>
      <c r="N599" s="244"/>
      <c r="O599" s="249"/>
      <c r="P599" s="249"/>
      <c r="Q599" s="208"/>
      <c r="R599" s="208"/>
      <c r="S599" s="208"/>
      <c r="T599" s="208"/>
      <c r="U599" s="208"/>
      <c r="V599" s="208"/>
      <c r="W599" s="208"/>
      <c r="X599" s="208"/>
      <c r="Y599" s="208"/>
      <c r="Z599" s="208"/>
      <c r="AA599" s="208"/>
      <c r="AB599" s="208"/>
    </row>
    <row r="600" ht="15.75" customHeight="1">
      <c r="A600" s="250"/>
      <c r="B600" s="244"/>
      <c r="C600" s="245"/>
      <c r="D600" s="246"/>
      <c r="E600" s="245"/>
      <c r="F600" s="247"/>
      <c r="G600" s="244"/>
      <c r="H600" s="243"/>
      <c r="I600" s="244"/>
      <c r="J600" s="244"/>
      <c r="K600" s="244"/>
      <c r="L600" s="248"/>
      <c r="M600" s="248"/>
      <c r="N600" s="244"/>
      <c r="O600" s="249"/>
      <c r="P600" s="249"/>
      <c r="Q600" s="208"/>
      <c r="R600" s="208"/>
      <c r="S600" s="208"/>
      <c r="T600" s="208"/>
      <c r="U600" s="208"/>
      <c r="V600" s="208"/>
      <c r="W600" s="208"/>
      <c r="X600" s="208"/>
      <c r="Y600" s="208"/>
      <c r="Z600" s="208"/>
      <c r="AA600" s="208"/>
      <c r="AB600" s="208"/>
    </row>
    <row r="601" ht="15.75" customHeight="1">
      <c r="A601" s="250"/>
      <c r="B601" s="244"/>
      <c r="C601" s="245"/>
      <c r="D601" s="246"/>
      <c r="E601" s="245"/>
      <c r="F601" s="247"/>
      <c r="G601" s="244"/>
      <c r="H601" s="243"/>
      <c r="I601" s="244"/>
      <c r="J601" s="244"/>
      <c r="K601" s="244"/>
      <c r="L601" s="248"/>
      <c r="M601" s="248"/>
      <c r="N601" s="244"/>
      <c r="O601" s="249"/>
      <c r="P601" s="249"/>
      <c r="Q601" s="208"/>
      <c r="R601" s="208"/>
      <c r="S601" s="208"/>
      <c r="T601" s="208"/>
      <c r="U601" s="208"/>
      <c r="V601" s="208"/>
      <c r="W601" s="208"/>
      <c r="X601" s="208"/>
      <c r="Y601" s="208"/>
      <c r="Z601" s="208"/>
      <c r="AA601" s="208"/>
      <c r="AB601" s="208"/>
    </row>
    <row r="602" ht="15.75" customHeight="1">
      <c r="A602" s="250"/>
      <c r="B602" s="244"/>
      <c r="C602" s="245"/>
      <c r="D602" s="246"/>
      <c r="E602" s="245"/>
      <c r="F602" s="247"/>
      <c r="G602" s="244"/>
      <c r="H602" s="243"/>
      <c r="I602" s="244"/>
      <c r="J602" s="244"/>
      <c r="K602" s="244"/>
      <c r="L602" s="248"/>
      <c r="M602" s="248"/>
      <c r="N602" s="244"/>
      <c r="O602" s="249"/>
      <c r="P602" s="249"/>
      <c r="Q602" s="208"/>
      <c r="R602" s="208"/>
      <c r="S602" s="208"/>
      <c r="T602" s="208"/>
      <c r="U602" s="208"/>
      <c r="V602" s="208"/>
      <c r="W602" s="208"/>
      <c r="X602" s="208"/>
      <c r="Y602" s="208"/>
      <c r="Z602" s="208"/>
      <c r="AA602" s="208"/>
      <c r="AB602" s="208"/>
    </row>
    <row r="603" ht="15.75" customHeight="1">
      <c r="A603" s="250"/>
      <c r="B603" s="244"/>
      <c r="C603" s="245"/>
      <c r="D603" s="246"/>
      <c r="E603" s="245"/>
      <c r="F603" s="247"/>
      <c r="G603" s="244"/>
      <c r="H603" s="243"/>
      <c r="I603" s="244"/>
      <c r="J603" s="244"/>
      <c r="K603" s="244"/>
      <c r="L603" s="248"/>
      <c r="M603" s="248"/>
      <c r="N603" s="244"/>
      <c r="O603" s="249"/>
      <c r="P603" s="249"/>
      <c r="Q603" s="208"/>
      <c r="R603" s="208"/>
      <c r="S603" s="208"/>
      <c r="T603" s="208"/>
      <c r="U603" s="208"/>
      <c r="V603" s="208"/>
      <c r="W603" s="208"/>
      <c r="X603" s="208"/>
      <c r="Y603" s="208"/>
      <c r="Z603" s="208"/>
      <c r="AA603" s="208"/>
      <c r="AB603" s="208"/>
    </row>
    <row r="604" ht="15.75" customHeight="1">
      <c r="A604" s="250"/>
      <c r="B604" s="244"/>
      <c r="C604" s="245"/>
      <c r="D604" s="246"/>
      <c r="E604" s="245"/>
      <c r="F604" s="247"/>
      <c r="G604" s="244"/>
      <c r="H604" s="243"/>
      <c r="I604" s="244"/>
      <c r="J604" s="244"/>
      <c r="K604" s="244"/>
      <c r="L604" s="248"/>
      <c r="M604" s="248"/>
      <c r="N604" s="244"/>
      <c r="O604" s="249"/>
      <c r="P604" s="249"/>
      <c r="Q604" s="208"/>
      <c r="R604" s="208"/>
      <c r="S604" s="208"/>
      <c r="T604" s="208"/>
      <c r="U604" s="208"/>
      <c r="V604" s="208"/>
      <c r="W604" s="208"/>
      <c r="X604" s="208"/>
      <c r="Y604" s="208"/>
      <c r="Z604" s="208"/>
      <c r="AA604" s="208"/>
      <c r="AB604" s="208"/>
    </row>
    <row r="605" ht="15.75" customHeight="1">
      <c r="A605" s="250"/>
      <c r="B605" s="244"/>
      <c r="C605" s="245"/>
      <c r="D605" s="246"/>
      <c r="E605" s="245"/>
      <c r="F605" s="247"/>
      <c r="G605" s="244"/>
      <c r="H605" s="243"/>
      <c r="I605" s="244"/>
      <c r="J605" s="244"/>
      <c r="K605" s="244"/>
      <c r="L605" s="248"/>
      <c r="M605" s="248"/>
      <c r="N605" s="244"/>
      <c r="O605" s="249"/>
      <c r="P605" s="249"/>
      <c r="Q605" s="208"/>
      <c r="R605" s="208"/>
      <c r="S605" s="208"/>
      <c r="T605" s="208"/>
      <c r="U605" s="208"/>
      <c r="V605" s="208"/>
      <c r="W605" s="208"/>
      <c r="X605" s="208"/>
      <c r="Y605" s="208"/>
      <c r="Z605" s="208"/>
      <c r="AA605" s="208"/>
      <c r="AB605" s="208"/>
    </row>
    <row r="606" ht="15.75" customHeight="1">
      <c r="A606" s="250"/>
      <c r="B606" s="244"/>
      <c r="C606" s="245"/>
      <c r="D606" s="246"/>
      <c r="E606" s="245"/>
      <c r="F606" s="247"/>
      <c r="G606" s="244"/>
      <c r="H606" s="243"/>
      <c r="I606" s="244"/>
      <c r="J606" s="244"/>
      <c r="K606" s="244"/>
      <c r="L606" s="248"/>
      <c r="M606" s="248"/>
      <c r="N606" s="244"/>
      <c r="O606" s="249"/>
      <c r="P606" s="249"/>
      <c r="Q606" s="208"/>
      <c r="R606" s="208"/>
      <c r="S606" s="208"/>
      <c r="T606" s="208"/>
      <c r="U606" s="208"/>
      <c r="V606" s="208"/>
      <c r="W606" s="208"/>
      <c r="X606" s="208"/>
      <c r="Y606" s="208"/>
      <c r="Z606" s="208"/>
      <c r="AA606" s="208"/>
      <c r="AB606" s="208"/>
    </row>
    <row r="607" ht="15.75" customHeight="1">
      <c r="A607" s="250"/>
      <c r="B607" s="244"/>
      <c r="C607" s="245"/>
      <c r="D607" s="246"/>
      <c r="E607" s="245"/>
      <c r="F607" s="247"/>
      <c r="G607" s="244"/>
      <c r="H607" s="243"/>
      <c r="I607" s="244"/>
      <c r="J607" s="244"/>
      <c r="K607" s="244"/>
      <c r="L607" s="248"/>
      <c r="M607" s="248"/>
      <c r="N607" s="244"/>
      <c r="O607" s="249"/>
      <c r="P607" s="249"/>
      <c r="Q607" s="208"/>
      <c r="R607" s="208"/>
      <c r="S607" s="208"/>
      <c r="T607" s="208"/>
      <c r="U607" s="208"/>
      <c r="V607" s="208"/>
      <c r="W607" s="208"/>
      <c r="X607" s="208"/>
      <c r="Y607" s="208"/>
      <c r="Z607" s="208"/>
      <c r="AA607" s="208"/>
      <c r="AB607" s="208"/>
    </row>
    <row r="608" ht="15.75" customHeight="1">
      <c r="A608" s="250"/>
      <c r="B608" s="244"/>
      <c r="C608" s="245"/>
      <c r="D608" s="246"/>
      <c r="E608" s="245"/>
      <c r="F608" s="247"/>
      <c r="G608" s="244"/>
      <c r="H608" s="243"/>
      <c r="I608" s="244"/>
      <c r="J608" s="244"/>
      <c r="K608" s="244"/>
      <c r="L608" s="248"/>
      <c r="M608" s="248"/>
      <c r="N608" s="244"/>
      <c r="O608" s="249"/>
      <c r="P608" s="249"/>
      <c r="Q608" s="208"/>
      <c r="R608" s="208"/>
      <c r="S608" s="208"/>
      <c r="T608" s="208"/>
      <c r="U608" s="208"/>
      <c r="V608" s="208"/>
      <c r="W608" s="208"/>
      <c r="X608" s="208"/>
      <c r="Y608" s="208"/>
      <c r="Z608" s="208"/>
      <c r="AA608" s="208"/>
      <c r="AB608" s="208"/>
    </row>
    <row r="609" ht="15.75" customHeight="1">
      <c r="A609" s="250"/>
      <c r="B609" s="244"/>
      <c r="C609" s="245"/>
      <c r="D609" s="246"/>
      <c r="E609" s="245"/>
      <c r="F609" s="247"/>
      <c r="G609" s="244"/>
      <c r="H609" s="243"/>
      <c r="I609" s="244"/>
      <c r="J609" s="244"/>
      <c r="K609" s="244"/>
      <c r="L609" s="248"/>
      <c r="M609" s="248"/>
      <c r="N609" s="244"/>
      <c r="O609" s="249"/>
      <c r="P609" s="249"/>
      <c r="Q609" s="208"/>
      <c r="R609" s="208"/>
      <c r="S609" s="208"/>
      <c r="T609" s="208"/>
      <c r="U609" s="208"/>
      <c r="V609" s="208"/>
      <c r="W609" s="208"/>
      <c r="X609" s="208"/>
      <c r="Y609" s="208"/>
      <c r="Z609" s="208"/>
      <c r="AA609" s="208"/>
      <c r="AB609" s="208"/>
    </row>
    <row r="610" ht="15.75" customHeight="1">
      <c r="A610" s="250"/>
      <c r="B610" s="244"/>
      <c r="C610" s="245"/>
      <c r="D610" s="246"/>
      <c r="E610" s="245"/>
      <c r="F610" s="247"/>
      <c r="G610" s="244"/>
      <c r="H610" s="243"/>
      <c r="I610" s="244"/>
      <c r="J610" s="244"/>
      <c r="K610" s="244"/>
      <c r="L610" s="248"/>
      <c r="M610" s="248"/>
      <c r="N610" s="244"/>
      <c r="O610" s="249"/>
      <c r="P610" s="249"/>
      <c r="Q610" s="208"/>
      <c r="R610" s="208"/>
      <c r="S610" s="208"/>
      <c r="T610" s="208"/>
      <c r="U610" s="208"/>
      <c r="V610" s="208"/>
      <c r="W610" s="208"/>
      <c r="X610" s="208"/>
      <c r="Y610" s="208"/>
      <c r="Z610" s="208"/>
      <c r="AA610" s="208"/>
      <c r="AB610" s="208"/>
    </row>
    <row r="611" ht="15.75" customHeight="1">
      <c r="A611" s="250"/>
      <c r="B611" s="244"/>
      <c r="C611" s="245"/>
      <c r="D611" s="246"/>
      <c r="E611" s="245"/>
      <c r="F611" s="247"/>
      <c r="G611" s="244"/>
      <c r="H611" s="243"/>
      <c r="I611" s="244"/>
      <c r="J611" s="244"/>
      <c r="K611" s="244"/>
      <c r="L611" s="248"/>
      <c r="M611" s="248"/>
      <c r="N611" s="244"/>
      <c r="O611" s="249"/>
      <c r="P611" s="249"/>
      <c r="Q611" s="208"/>
      <c r="R611" s="208"/>
      <c r="S611" s="208"/>
      <c r="T611" s="208"/>
      <c r="U611" s="208"/>
      <c r="V611" s="208"/>
      <c r="W611" s="208"/>
      <c r="X611" s="208"/>
      <c r="Y611" s="208"/>
      <c r="Z611" s="208"/>
      <c r="AA611" s="208"/>
      <c r="AB611" s="208"/>
    </row>
    <row r="612" ht="15.75" customHeight="1">
      <c r="A612" s="250"/>
      <c r="B612" s="244"/>
      <c r="C612" s="245"/>
      <c r="D612" s="246"/>
      <c r="E612" s="245"/>
      <c r="F612" s="247"/>
      <c r="G612" s="244"/>
      <c r="H612" s="243"/>
      <c r="I612" s="244"/>
      <c r="J612" s="244"/>
      <c r="K612" s="244"/>
      <c r="L612" s="248"/>
      <c r="M612" s="248"/>
      <c r="N612" s="244"/>
      <c r="O612" s="249"/>
      <c r="P612" s="249"/>
      <c r="Q612" s="208"/>
      <c r="R612" s="208"/>
      <c r="S612" s="208"/>
      <c r="T612" s="208"/>
      <c r="U612" s="208"/>
      <c r="V612" s="208"/>
      <c r="W612" s="208"/>
      <c r="X612" s="208"/>
      <c r="Y612" s="208"/>
      <c r="Z612" s="208"/>
      <c r="AA612" s="208"/>
      <c r="AB612" s="208"/>
    </row>
    <row r="613" ht="15.75" customHeight="1">
      <c r="A613" s="250"/>
      <c r="B613" s="244"/>
      <c r="C613" s="245"/>
      <c r="D613" s="246"/>
      <c r="E613" s="245"/>
      <c r="F613" s="247"/>
      <c r="G613" s="244"/>
      <c r="H613" s="243"/>
      <c r="I613" s="244"/>
      <c r="J613" s="244"/>
      <c r="K613" s="244"/>
      <c r="L613" s="248"/>
      <c r="M613" s="248"/>
      <c r="N613" s="244"/>
      <c r="O613" s="249"/>
      <c r="P613" s="249"/>
      <c r="Q613" s="208"/>
      <c r="R613" s="208"/>
      <c r="S613" s="208"/>
      <c r="T613" s="208"/>
      <c r="U613" s="208"/>
      <c r="V613" s="208"/>
      <c r="W613" s="208"/>
      <c r="X613" s="208"/>
      <c r="Y613" s="208"/>
      <c r="Z613" s="208"/>
      <c r="AA613" s="208"/>
      <c r="AB613" s="208"/>
    </row>
    <row r="614" ht="15.75" customHeight="1">
      <c r="A614" s="250"/>
      <c r="B614" s="244"/>
      <c r="C614" s="245"/>
      <c r="D614" s="246"/>
      <c r="E614" s="245"/>
      <c r="F614" s="247"/>
      <c r="G614" s="244"/>
      <c r="H614" s="243"/>
      <c r="I614" s="244"/>
      <c r="J614" s="244"/>
      <c r="K614" s="244"/>
      <c r="L614" s="248"/>
      <c r="M614" s="248"/>
      <c r="N614" s="244"/>
      <c r="O614" s="249"/>
      <c r="P614" s="249"/>
      <c r="Q614" s="208"/>
      <c r="R614" s="208"/>
      <c r="S614" s="208"/>
      <c r="T614" s="208"/>
      <c r="U614" s="208"/>
      <c r="V614" s="208"/>
      <c r="W614" s="208"/>
      <c r="X614" s="208"/>
      <c r="Y614" s="208"/>
      <c r="Z614" s="208"/>
      <c r="AA614" s="208"/>
      <c r="AB614" s="208"/>
    </row>
    <row r="615" ht="15.75" customHeight="1">
      <c r="A615" s="250"/>
      <c r="B615" s="244"/>
      <c r="C615" s="245"/>
      <c r="D615" s="246"/>
      <c r="E615" s="245"/>
      <c r="F615" s="247"/>
      <c r="G615" s="244"/>
      <c r="H615" s="243"/>
      <c r="I615" s="244"/>
      <c r="J615" s="244"/>
      <c r="K615" s="244"/>
      <c r="L615" s="248"/>
      <c r="M615" s="248"/>
      <c r="N615" s="244"/>
      <c r="O615" s="249"/>
      <c r="P615" s="249"/>
      <c r="Q615" s="208"/>
      <c r="R615" s="208"/>
      <c r="S615" s="208"/>
      <c r="T615" s="208"/>
      <c r="U615" s="208"/>
      <c r="V615" s="208"/>
      <c r="W615" s="208"/>
      <c r="X615" s="208"/>
      <c r="Y615" s="208"/>
      <c r="Z615" s="208"/>
      <c r="AA615" s="208"/>
      <c r="AB615" s="208"/>
    </row>
    <row r="616" ht="15.75" customHeight="1">
      <c r="A616" s="250"/>
      <c r="B616" s="244"/>
      <c r="C616" s="245"/>
      <c r="D616" s="246"/>
      <c r="E616" s="245"/>
      <c r="F616" s="247"/>
      <c r="G616" s="244"/>
      <c r="H616" s="243"/>
      <c r="I616" s="244"/>
      <c r="J616" s="244"/>
      <c r="K616" s="244"/>
      <c r="L616" s="248"/>
      <c r="M616" s="248"/>
      <c r="N616" s="244"/>
      <c r="O616" s="249"/>
      <c r="P616" s="249"/>
      <c r="Q616" s="208"/>
      <c r="R616" s="208"/>
      <c r="S616" s="208"/>
      <c r="T616" s="208"/>
      <c r="U616" s="208"/>
      <c r="V616" s="208"/>
      <c r="W616" s="208"/>
      <c r="X616" s="208"/>
      <c r="Y616" s="208"/>
      <c r="Z616" s="208"/>
      <c r="AA616" s="208"/>
      <c r="AB616" s="208"/>
    </row>
    <row r="617" ht="15.75" customHeight="1">
      <c r="A617" s="250"/>
      <c r="B617" s="244"/>
      <c r="C617" s="245"/>
      <c r="D617" s="246"/>
      <c r="E617" s="245"/>
      <c r="F617" s="247"/>
      <c r="G617" s="244"/>
      <c r="H617" s="243"/>
      <c r="I617" s="244"/>
      <c r="J617" s="244"/>
      <c r="K617" s="244"/>
      <c r="L617" s="248"/>
      <c r="M617" s="248"/>
      <c r="N617" s="244"/>
      <c r="O617" s="249"/>
      <c r="P617" s="249"/>
      <c r="Q617" s="208"/>
      <c r="R617" s="208"/>
      <c r="S617" s="208"/>
      <c r="T617" s="208"/>
      <c r="U617" s="208"/>
      <c r="V617" s="208"/>
      <c r="W617" s="208"/>
      <c r="X617" s="208"/>
      <c r="Y617" s="208"/>
      <c r="Z617" s="208"/>
      <c r="AA617" s="208"/>
      <c r="AB617" s="208"/>
    </row>
    <row r="618" ht="15.75" customHeight="1">
      <c r="A618" s="250"/>
      <c r="B618" s="244"/>
      <c r="C618" s="245"/>
      <c r="D618" s="246"/>
      <c r="E618" s="245"/>
      <c r="F618" s="247"/>
      <c r="G618" s="244"/>
      <c r="H618" s="243"/>
      <c r="I618" s="244"/>
      <c r="J618" s="244"/>
      <c r="K618" s="244"/>
      <c r="L618" s="248"/>
      <c r="M618" s="248"/>
      <c r="N618" s="244"/>
      <c r="O618" s="249"/>
      <c r="P618" s="249"/>
      <c r="Q618" s="208"/>
      <c r="R618" s="208"/>
      <c r="S618" s="208"/>
      <c r="T618" s="208"/>
      <c r="U618" s="208"/>
      <c r="V618" s="208"/>
      <c r="W618" s="208"/>
      <c r="X618" s="208"/>
      <c r="Y618" s="208"/>
      <c r="Z618" s="208"/>
      <c r="AA618" s="208"/>
      <c r="AB618" s="208"/>
    </row>
    <row r="619" ht="15.75" customHeight="1">
      <c r="A619" s="250"/>
      <c r="B619" s="244"/>
      <c r="C619" s="245"/>
      <c r="D619" s="246"/>
      <c r="E619" s="245"/>
      <c r="F619" s="247"/>
      <c r="G619" s="244"/>
      <c r="H619" s="243"/>
      <c r="I619" s="244"/>
      <c r="J619" s="244"/>
      <c r="K619" s="244"/>
      <c r="L619" s="248"/>
      <c r="M619" s="248"/>
      <c r="N619" s="244"/>
      <c r="O619" s="249"/>
      <c r="P619" s="249"/>
      <c r="Q619" s="208"/>
      <c r="R619" s="208"/>
      <c r="S619" s="208"/>
      <c r="T619" s="208"/>
      <c r="U619" s="208"/>
      <c r="V619" s="208"/>
      <c r="W619" s="208"/>
      <c r="X619" s="208"/>
      <c r="Y619" s="208"/>
      <c r="Z619" s="208"/>
      <c r="AA619" s="208"/>
      <c r="AB619" s="208"/>
    </row>
    <row r="620" ht="15.75" customHeight="1">
      <c r="A620" s="250"/>
      <c r="B620" s="244"/>
      <c r="C620" s="245"/>
      <c r="D620" s="246"/>
      <c r="E620" s="245"/>
      <c r="F620" s="247"/>
      <c r="G620" s="244"/>
      <c r="H620" s="243"/>
      <c r="I620" s="244"/>
      <c r="J620" s="244"/>
      <c r="K620" s="244"/>
      <c r="L620" s="248"/>
      <c r="M620" s="248"/>
      <c r="N620" s="244"/>
      <c r="O620" s="249"/>
      <c r="P620" s="249"/>
      <c r="Q620" s="208"/>
      <c r="R620" s="208"/>
      <c r="S620" s="208"/>
      <c r="T620" s="208"/>
      <c r="U620" s="208"/>
      <c r="V620" s="208"/>
      <c r="W620" s="208"/>
      <c r="X620" s="208"/>
      <c r="Y620" s="208"/>
      <c r="Z620" s="208"/>
      <c r="AA620" s="208"/>
      <c r="AB620" s="208"/>
    </row>
    <row r="621" ht="15.75" customHeight="1">
      <c r="A621" s="250"/>
      <c r="B621" s="244"/>
      <c r="C621" s="245"/>
      <c r="D621" s="246"/>
      <c r="E621" s="245"/>
      <c r="F621" s="247"/>
      <c r="G621" s="244"/>
      <c r="H621" s="243"/>
      <c r="I621" s="244"/>
      <c r="J621" s="244"/>
      <c r="K621" s="244"/>
      <c r="L621" s="248"/>
      <c r="M621" s="248"/>
      <c r="N621" s="244"/>
      <c r="O621" s="249"/>
      <c r="P621" s="249"/>
      <c r="Q621" s="208"/>
      <c r="R621" s="208"/>
      <c r="S621" s="208"/>
      <c r="T621" s="208"/>
      <c r="U621" s="208"/>
      <c r="V621" s="208"/>
      <c r="W621" s="208"/>
      <c r="X621" s="208"/>
      <c r="Y621" s="208"/>
      <c r="Z621" s="208"/>
      <c r="AA621" s="208"/>
      <c r="AB621" s="208"/>
    </row>
    <row r="622" ht="15.75" customHeight="1">
      <c r="A622" s="250"/>
      <c r="B622" s="244"/>
      <c r="C622" s="245"/>
      <c r="D622" s="246"/>
      <c r="E622" s="245"/>
      <c r="F622" s="247"/>
      <c r="G622" s="244"/>
      <c r="H622" s="243"/>
      <c r="I622" s="244"/>
      <c r="J622" s="244"/>
      <c r="K622" s="244"/>
      <c r="L622" s="248"/>
      <c r="M622" s="248"/>
      <c r="N622" s="244"/>
      <c r="O622" s="249"/>
      <c r="P622" s="249"/>
      <c r="Q622" s="208"/>
      <c r="R622" s="208"/>
      <c r="S622" s="208"/>
      <c r="T622" s="208"/>
      <c r="U622" s="208"/>
      <c r="V622" s="208"/>
      <c r="W622" s="208"/>
      <c r="X622" s="208"/>
      <c r="Y622" s="208"/>
      <c r="Z622" s="208"/>
      <c r="AA622" s="208"/>
      <c r="AB622" s="208"/>
    </row>
    <row r="623" ht="15.75" customHeight="1">
      <c r="A623" s="250"/>
      <c r="B623" s="244"/>
      <c r="C623" s="245"/>
      <c r="D623" s="246"/>
      <c r="E623" s="245"/>
      <c r="F623" s="247"/>
      <c r="G623" s="244"/>
      <c r="H623" s="243"/>
      <c r="I623" s="244"/>
      <c r="J623" s="244"/>
      <c r="K623" s="244"/>
      <c r="L623" s="248"/>
      <c r="M623" s="248"/>
      <c r="N623" s="244"/>
      <c r="O623" s="249"/>
      <c r="P623" s="249"/>
      <c r="Q623" s="208"/>
      <c r="R623" s="208"/>
      <c r="S623" s="208"/>
      <c r="T623" s="208"/>
      <c r="U623" s="208"/>
      <c r="V623" s="208"/>
      <c r="W623" s="208"/>
      <c r="X623" s="208"/>
      <c r="Y623" s="208"/>
      <c r="Z623" s="208"/>
      <c r="AA623" s="208"/>
      <c r="AB623" s="208"/>
    </row>
    <row r="624" ht="15.75" customHeight="1">
      <c r="A624" s="250"/>
      <c r="B624" s="244"/>
      <c r="C624" s="245"/>
      <c r="D624" s="246"/>
      <c r="E624" s="245"/>
      <c r="F624" s="247"/>
      <c r="G624" s="244"/>
      <c r="H624" s="243"/>
      <c r="I624" s="244"/>
      <c r="J624" s="244"/>
      <c r="K624" s="244"/>
      <c r="L624" s="248"/>
      <c r="M624" s="248"/>
      <c r="N624" s="244"/>
      <c r="O624" s="249"/>
      <c r="P624" s="249"/>
      <c r="Q624" s="208"/>
      <c r="R624" s="208"/>
      <c r="S624" s="208"/>
      <c r="T624" s="208"/>
      <c r="U624" s="208"/>
      <c r="V624" s="208"/>
      <c r="W624" s="208"/>
      <c r="X624" s="208"/>
      <c r="Y624" s="208"/>
      <c r="Z624" s="208"/>
      <c r="AA624" s="208"/>
      <c r="AB624" s="208"/>
    </row>
    <row r="625" ht="15.75" customHeight="1">
      <c r="A625" s="250"/>
      <c r="B625" s="244"/>
      <c r="C625" s="245"/>
      <c r="D625" s="246"/>
      <c r="E625" s="245"/>
      <c r="F625" s="247"/>
      <c r="G625" s="244"/>
      <c r="H625" s="243"/>
      <c r="I625" s="244"/>
      <c r="J625" s="244"/>
      <c r="K625" s="244"/>
      <c r="L625" s="248"/>
      <c r="M625" s="248"/>
      <c r="N625" s="244"/>
      <c r="O625" s="249"/>
      <c r="P625" s="249"/>
      <c r="Q625" s="208"/>
      <c r="R625" s="208"/>
      <c r="S625" s="208"/>
      <c r="T625" s="208"/>
      <c r="U625" s="208"/>
      <c r="V625" s="208"/>
      <c r="W625" s="208"/>
      <c r="X625" s="208"/>
      <c r="Y625" s="208"/>
      <c r="Z625" s="208"/>
      <c r="AA625" s="208"/>
      <c r="AB625" s="208"/>
    </row>
    <row r="626" ht="15.75" customHeight="1">
      <c r="A626" s="250"/>
      <c r="B626" s="244"/>
      <c r="C626" s="245"/>
      <c r="D626" s="246"/>
      <c r="E626" s="245"/>
      <c r="F626" s="247"/>
      <c r="G626" s="244"/>
      <c r="H626" s="243"/>
      <c r="I626" s="244"/>
      <c r="J626" s="244"/>
      <c r="K626" s="244"/>
      <c r="L626" s="248"/>
      <c r="M626" s="248"/>
      <c r="N626" s="244"/>
      <c r="O626" s="249"/>
      <c r="P626" s="249"/>
      <c r="Q626" s="208"/>
      <c r="R626" s="208"/>
      <c r="S626" s="208"/>
      <c r="T626" s="208"/>
      <c r="U626" s="208"/>
      <c r="V626" s="208"/>
      <c r="W626" s="208"/>
      <c r="X626" s="208"/>
      <c r="Y626" s="208"/>
      <c r="Z626" s="208"/>
      <c r="AA626" s="208"/>
      <c r="AB626" s="208"/>
    </row>
    <row r="627" ht="15.75" customHeight="1">
      <c r="A627" s="250"/>
      <c r="B627" s="244"/>
      <c r="C627" s="245"/>
      <c r="D627" s="246"/>
      <c r="E627" s="245"/>
      <c r="F627" s="247"/>
      <c r="G627" s="244"/>
      <c r="H627" s="243"/>
      <c r="I627" s="244"/>
      <c r="J627" s="244"/>
      <c r="K627" s="244"/>
      <c r="L627" s="248"/>
      <c r="M627" s="248"/>
      <c r="N627" s="244"/>
      <c r="O627" s="249"/>
      <c r="P627" s="249"/>
      <c r="Q627" s="208"/>
      <c r="R627" s="208"/>
      <c r="S627" s="208"/>
      <c r="T627" s="208"/>
      <c r="U627" s="208"/>
      <c r="V627" s="208"/>
      <c r="W627" s="208"/>
      <c r="X627" s="208"/>
      <c r="Y627" s="208"/>
      <c r="Z627" s="208"/>
      <c r="AA627" s="208"/>
      <c r="AB627" s="208"/>
    </row>
    <row r="628" ht="15.75" customHeight="1">
      <c r="A628" s="250"/>
      <c r="B628" s="244"/>
      <c r="C628" s="245"/>
      <c r="D628" s="246"/>
      <c r="E628" s="245"/>
      <c r="F628" s="247"/>
      <c r="G628" s="244"/>
      <c r="H628" s="243"/>
      <c r="I628" s="244"/>
      <c r="J628" s="244"/>
      <c r="K628" s="244"/>
      <c r="L628" s="248"/>
      <c r="M628" s="248"/>
      <c r="N628" s="244"/>
      <c r="O628" s="249"/>
      <c r="P628" s="249"/>
      <c r="Q628" s="208"/>
      <c r="R628" s="208"/>
      <c r="S628" s="208"/>
      <c r="T628" s="208"/>
      <c r="U628" s="208"/>
      <c r="V628" s="208"/>
      <c r="W628" s="208"/>
      <c r="X628" s="208"/>
      <c r="Y628" s="208"/>
      <c r="Z628" s="208"/>
      <c r="AA628" s="208"/>
      <c r="AB628" s="208"/>
    </row>
    <row r="629" ht="15.75" customHeight="1">
      <c r="A629" s="250"/>
      <c r="B629" s="244"/>
      <c r="C629" s="245"/>
      <c r="D629" s="246"/>
      <c r="E629" s="245"/>
      <c r="F629" s="247"/>
      <c r="G629" s="244"/>
      <c r="H629" s="243"/>
      <c r="I629" s="244"/>
      <c r="J629" s="244"/>
      <c r="K629" s="244"/>
      <c r="L629" s="248"/>
      <c r="M629" s="248"/>
      <c r="N629" s="244"/>
      <c r="O629" s="249"/>
      <c r="P629" s="249"/>
      <c r="Q629" s="208"/>
      <c r="R629" s="208"/>
      <c r="S629" s="208"/>
      <c r="T629" s="208"/>
      <c r="U629" s="208"/>
      <c r="V629" s="208"/>
      <c r="W629" s="208"/>
      <c r="X629" s="208"/>
      <c r="Y629" s="208"/>
      <c r="Z629" s="208"/>
      <c r="AA629" s="208"/>
      <c r="AB629" s="208"/>
    </row>
    <row r="630" ht="15.75" customHeight="1">
      <c r="A630" s="250"/>
      <c r="B630" s="244"/>
      <c r="C630" s="245"/>
      <c r="D630" s="246"/>
      <c r="E630" s="245"/>
      <c r="F630" s="247"/>
      <c r="G630" s="244"/>
      <c r="H630" s="243"/>
      <c r="I630" s="244"/>
      <c r="J630" s="244"/>
      <c r="K630" s="244"/>
      <c r="L630" s="248"/>
      <c r="M630" s="248"/>
      <c r="N630" s="244"/>
      <c r="O630" s="249"/>
      <c r="P630" s="249"/>
      <c r="Q630" s="208"/>
      <c r="R630" s="208"/>
      <c r="S630" s="208"/>
      <c r="T630" s="208"/>
      <c r="U630" s="208"/>
      <c r="V630" s="208"/>
      <c r="W630" s="208"/>
      <c r="X630" s="208"/>
      <c r="Y630" s="208"/>
      <c r="Z630" s="208"/>
      <c r="AA630" s="208"/>
      <c r="AB630" s="208"/>
    </row>
    <row r="631" ht="15.75" customHeight="1">
      <c r="A631" s="250"/>
      <c r="B631" s="244"/>
      <c r="C631" s="245"/>
      <c r="D631" s="246"/>
      <c r="E631" s="245"/>
      <c r="F631" s="247"/>
      <c r="G631" s="244"/>
      <c r="H631" s="243"/>
      <c r="I631" s="244"/>
      <c r="J631" s="244"/>
      <c r="K631" s="244"/>
      <c r="L631" s="248"/>
      <c r="M631" s="248"/>
      <c r="N631" s="244"/>
      <c r="O631" s="249"/>
      <c r="P631" s="249"/>
      <c r="Q631" s="208"/>
      <c r="R631" s="208"/>
      <c r="S631" s="208"/>
      <c r="T631" s="208"/>
      <c r="U631" s="208"/>
      <c r="V631" s="208"/>
      <c r="W631" s="208"/>
      <c r="X631" s="208"/>
      <c r="Y631" s="208"/>
      <c r="Z631" s="208"/>
      <c r="AA631" s="208"/>
      <c r="AB631" s="208"/>
    </row>
    <row r="632" ht="15.75" customHeight="1">
      <c r="A632" s="250"/>
      <c r="B632" s="244"/>
      <c r="C632" s="245"/>
      <c r="D632" s="246"/>
      <c r="E632" s="245"/>
      <c r="F632" s="247"/>
      <c r="G632" s="244"/>
      <c r="H632" s="243"/>
      <c r="I632" s="244"/>
      <c r="J632" s="244"/>
      <c r="K632" s="244"/>
      <c r="L632" s="248"/>
      <c r="M632" s="248"/>
      <c r="N632" s="244"/>
      <c r="O632" s="249"/>
      <c r="P632" s="249"/>
      <c r="Q632" s="208"/>
      <c r="R632" s="208"/>
      <c r="S632" s="208"/>
      <c r="T632" s="208"/>
      <c r="U632" s="208"/>
      <c r="V632" s="208"/>
      <c r="W632" s="208"/>
      <c r="X632" s="208"/>
      <c r="Y632" s="208"/>
      <c r="Z632" s="208"/>
      <c r="AA632" s="208"/>
      <c r="AB632" s="208"/>
    </row>
    <row r="633" ht="15.75" customHeight="1">
      <c r="A633" s="250"/>
      <c r="B633" s="244"/>
      <c r="C633" s="245"/>
      <c r="D633" s="246"/>
      <c r="E633" s="245"/>
      <c r="F633" s="247"/>
      <c r="G633" s="244"/>
      <c r="H633" s="243"/>
      <c r="I633" s="244"/>
      <c r="J633" s="244"/>
      <c r="K633" s="244"/>
      <c r="L633" s="248"/>
      <c r="M633" s="248"/>
      <c r="N633" s="244"/>
      <c r="O633" s="249"/>
      <c r="P633" s="249"/>
      <c r="Q633" s="208"/>
      <c r="R633" s="208"/>
      <c r="S633" s="208"/>
      <c r="T633" s="208"/>
      <c r="U633" s="208"/>
      <c r="V633" s="208"/>
      <c r="W633" s="208"/>
      <c r="X633" s="208"/>
      <c r="Y633" s="208"/>
      <c r="Z633" s="208"/>
      <c r="AA633" s="208"/>
      <c r="AB633" s="208"/>
    </row>
    <row r="634" ht="15.75" customHeight="1">
      <c r="A634" s="250"/>
      <c r="B634" s="244"/>
      <c r="C634" s="245"/>
      <c r="D634" s="246"/>
      <c r="E634" s="245"/>
      <c r="F634" s="247"/>
      <c r="G634" s="244"/>
      <c r="H634" s="243"/>
      <c r="I634" s="244"/>
      <c r="J634" s="244"/>
      <c r="K634" s="244"/>
      <c r="L634" s="248"/>
      <c r="M634" s="248"/>
      <c r="N634" s="244"/>
      <c r="O634" s="249"/>
      <c r="P634" s="249"/>
      <c r="Q634" s="208"/>
      <c r="R634" s="208"/>
      <c r="S634" s="208"/>
      <c r="T634" s="208"/>
      <c r="U634" s="208"/>
      <c r="V634" s="208"/>
      <c r="W634" s="208"/>
      <c r="X634" s="208"/>
      <c r="Y634" s="208"/>
      <c r="Z634" s="208"/>
      <c r="AA634" s="208"/>
      <c r="AB634" s="208"/>
    </row>
    <row r="635" ht="15.75" customHeight="1">
      <c r="A635" s="250"/>
      <c r="B635" s="244"/>
      <c r="C635" s="245"/>
      <c r="D635" s="246"/>
      <c r="E635" s="245"/>
      <c r="F635" s="247"/>
      <c r="G635" s="244"/>
      <c r="H635" s="243"/>
      <c r="I635" s="244"/>
      <c r="J635" s="244"/>
      <c r="K635" s="244"/>
      <c r="L635" s="248"/>
      <c r="M635" s="248"/>
      <c r="N635" s="244"/>
      <c r="O635" s="249"/>
      <c r="P635" s="249"/>
      <c r="Q635" s="208"/>
      <c r="R635" s="208"/>
      <c r="S635" s="208"/>
      <c r="T635" s="208"/>
      <c r="U635" s="208"/>
      <c r="V635" s="208"/>
      <c r="W635" s="208"/>
      <c r="X635" s="208"/>
      <c r="Y635" s="208"/>
      <c r="Z635" s="208"/>
      <c r="AA635" s="208"/>
      <c r="AB635" s="208"/>
    </row>
    <row r="636" ht="15.75" customHeight="1">
      <c r="A636" s="250"/>
      <c r="B636" s="244"/>
      <c r="C636" s="245"/>
      <c r="D636" s="246"/>
      <c r="E636" s="245"/>
      <c r="F636" s="247"/>
      <c r="G636" s="244"/>
      <c r="H636" s="243"/>
      <c r="I636" s="244"/>
      <c r="J636" s="244"/>
      <c r="K636" s="244"/>
      <c r="L636" s="248"/>
      <c r="M636" s="248"/>
      <c r="N636" s="244"/>
      <c r="O636" s="249"/>
      <c r="P636" s="249"/>
      <c r="Q636" s="208"/>
      <c r="R636" s="208"/>
      <c r="S636" s="208"/>
      <c r="T636" s="208"/>
      <c r="U636" s="208"/>
      <c r="V636" s="208"/>
      <c r="W636" s="208"/>
      <c r="X636" s="208"/>
      <c r="Y636" s="208"/>
      <c r="Z636" s="208"/>
      <c r="AA636" s="208"/>
      <c r="AB636" s="208"/>
    </row>
    <row r="637" ht="15.75" customHeight="1">
      <c r="A637" s="250"/>
      <c r="B637" s="244"/>
      <c r="C637" s="245"/>
      <c r="D637" s="246"/>
      <c r="E637" s="245"/>
      <c r="F637" s="247"/>
      <c r="G637" s="244"/>
      <c r="H637" s="243"/>
      <c r="I637" s="244"/>
      <c r="J637" s="244"/>
      <c r="K637" s="244"/>
      <c r="L637" s="248"/>
      <c r="M637" s="248"/>
      <c r="N637" s="244"/>
      <c r="O637" s="249"/>
      <c r="P637" s="249"/>
      <c r="Q637" s="208"/>
      <c r="R637" s="208"/>
      <c r="S637" s="208"/>
      <c r="T637" s="208"/>
      <c r="U637" s="208"/>
      <c r="V637" s="208"/>
      <c r="W637" s="208"/>
      <c r="X637" s="208"/>
      <c r="Y637" s="208"/>
      <c r="Z637" s="208"/>
      <c r="AA637" s="208"/>
      <c r="AB637" s="208"/>
    </row>
    <row r="638" ht="15.75" customHeight="1">
      <c r="A638" s="250"/>
      <c r="B638" s="244"/>
      <c r="C638" s="245"/>
      <c r="D638" s="246"/>
      <c r="E638" s="245"/>
      <c r="F638" s="247"/>
      <c r="G638" s="244"/>
      <c r="H638" s="243"/>
      <c r="I638" s="244"/>
      <c r="J638" s="244"/>
      <c r="K638" s="244"/>
      <c r="L638" s="248"/>
      <c r="M638" s="248"/>
      <c r="N638" s="244"/>
      <c r="O638" s="249"/>
      <c r="P638" s="249"/>
      <c r="Q638" s="208"/>
      <c r="R638" s="208"/>
      <c r="S638" s="208"/>
      <c r="T638" s="208"/>
      <c r="U638" s="208"/>
      <c r="V638" s="208"/>
      <c r="W638" s="208"/>
      <c r="X638" s="208"/>
      <c r="Y638" s="208"/>
      <c r="Z638" s="208"/>
      <c r="AA638" s="208"/>
      <c r="AB638" s="208"/>
    </row>
    <row r="639" ht="15.75" customHeight="1">
      <c r="A639" s="250"/>
      <c r="B639" s="244"/>
      <c r="C639" s="245"/>
      <c r="D639" s="246"/>
      <c r="E639" s="245"/>
      <c r="F639" s="247"/>
      <c r="G639" s="244"/>
      <c r="H639" s="243"/>
      <c r="I639" s="244"/>
      <c r="J639" s="244"/>
      <c r="K639" s="244"/>
      <c r="L639" s="248"/>
      <c r="M639" s="248"/>
      <c r="N639" s="244"/>
      <c r="O639" s="249"/>
      <c r="P639" s="249"/>
      <c r="Q639" s="208"/>
      <c r="R639" s="208"/>
      <c r="S639" s="208"/>
      <c r="T639" s="208"/>
      <c r="U639" s="208"/>
      <c r="V639" s="208"/>
      <c r="W639" s="208"/>
      <c r="X639" s="208"/>
      <c r="Y639" s="208"/>
      <c r="Z639" s="208"/>
      <c r="AA639" s="208"/>
      <c r="AB639" s="208"/>
    </row>
    <row r="640" ht="15.75" customHeight="1">
      <c r="A640" s="250"/>
      <c r="B640" s="244"/>
      <c r="C640" s="245"/>
      <c r="D640" s="246"/>
      <c r="E640" s="245"/>
      <c r="F640" s="247"/>
      <c r="G640" s="244"/>
      <c r="H640" s="243"/>
      <c r="I640" s="244"/>
      <c r="J640" s="244"/>
      <c r="K640" s="244"/>
      <c r="L640" s="248"/>
      <c r="M640" s="248"/>
      <c r="N640" s="244"/>
      <c r="O640" s="249"/>
      <c r="P640" s="249"/>
      <c r="Q640" s="208"/>
      <c r="R640" s="208"/>
      <c r="S640" s="208"/>
      <c r="T640" s="208"/>
      <c r="U640" s="208"/>
      <c r="V640" s="208"/>
      <c r="W640" s="208"/>
      <c r="X640" s="208"/>
      <c r="Y640" s="208"/>
      <c r="Z640" s="208"/>
      <c r="AA640" s="208"/>
      <c r="AB640" s="208"/>
    </row>
    <row r="641" ht="15.75" customHeight="1">
      <c r="A641" s="250"/>
      <c r="B641" s="244"/>
      <c r="C641" s="245"/>
      <c r="D641" s="246"/>
      <c r="E641" s="245"/>
      <c r="F641" s="247"/>
      <c r="G641" s="244"/>
      <c r="H641" s="243"/>
      <c r="I641" s="244"/>
      <c r="J641" s="244"/>
      <c r="K641" s="244"/>
      <c r="L641" s="248"/>
      <c r="M641" s="248"/>
      <c r="N641" s="244"/>
      <c r="O641" s="249"/>
      <c r="P641" s="249"/>
      <c r="Q641" s="208"/>
      <c r="R641" s="208"/>
      <c r="S641" s="208"/>
      <c r="T641" s="208"/>
      <c r="U641" s="208"/>
      <c r="V641" s="208"/>
      <c r="W641" s="208"/>
      <c r="X641" s="208"/>
      <c r="Y641" s="208"/>
      <c r="Z641" s="208"/>
      <c r="AA641" s="208"/>
      <c r="AB641" s="208"/>
    </row>
    <row r="642" ht="15.75" customHeight="1">
      <c r="A642" s="250"/>
      <c r="B642" s="244"/>
      <c r="C642" s="245"/>
      <c r="D642" s="246"/>
      <c r="E642" s="245"/>
      <c r="F642" s="247"/>
      <c r="G642" s="244"/>
      <c r="H642" s="243"/>
      <c r="I642" s="244"/>
      <c r="J642" s="244"/>
      <c r="K642" s="244"/>
      <c r="L642" s="248"/>
      <c r="M642" s="248"/>
      <c r="N642" s="244"/>
      <c r="O642" s="249"/>
      <c r="P642" s="249"/>
      <c r="Q642" s="208"/>
      <c r="R642" s="208"/>
      <c r="S642" s="208"/>
      <c r="T642" s="208"/>
      <c r="U642" s="208"/>
      <c r="V642" s="208"/>
      <c r="W642" s="208"/>
      <c r="X642" s="208"/>
      <c r="Y642" s="208"/>
      <c r="Z642" s="208"/>
      <c r="AA642" s="208"/>
      <c r="AB642" s="208"/>
    </row>
    <row r="643" ht="15.75" customHeight="1">
      <c r="A643" s="250"/>
      <c r="B643" s="244"/>
      <c r="C643" s="245"/>
      <c r="D643" s="246"/>
      <c r="E643" s="245"/>
      <c r="F643" s="247"/>
      <c r="G643" s="244"/>
      <c r="H643" s="243"/>
      <c r="I643" s="244"/>
      <c r="J643" s="244"/>
      <c r="K643" s="244"/>
      <c r="L643" s="248"/>
      <c r="M643" s="248"/>
      <c r="N643" s="244"/>
      <c r="O643" s="249"/>
      <c r="P643" s="249"/>
      <c r="Q643" s="208"/>
      <c r="R643" s="208"/>
      <c r="S643" s="208"/>
      <c r="T643" s="208"/>
      <c r="U643" s="208"/>
      <c r="V643" s="208"/>
      <c r="W643" s="208"/>
      <c r="X643" s="208"/>
      <c r="Y643" s="208"/>
      <c r="Z643" s="208"/>
      <c r="AA643" s="208"/>
      <c r="AB643" s="208"/>
    </row>
    <row r="644" ht="15.75" customHeight="1">
      <c r="A644" s="250"/>
      <c r="B644" s="244"/>
      <c r="C644" s="245"/>
      <c r="D644" s="246"/>
      <c r="E644" s="245"/>
      <c r="F644" s="247"/>
      <c r="G644" s="244"/>
      <c r="H644" s="243"/>
      <c r="I644" s="244"/>
      <c r="J644" s="244"/>
      <c r="K644" s="244"/>
      <c r="L644" s="248"/>
      <c r="M644" s="248"/>
      <c r="N644" s="244"/>
      <c r="O644" s="249"/>
      <c r="P644" s="249"/>
      <c r="Q644" s="208"/>
      <c r="R644" s="208"/>
      <c r="S644" s="208"/>
      <c r="T644" s="208"/>
      <c r="U644" s="208"/>
      <c r="V644" s="208"/>
      <c r="W644" s="208"/>
      <c r="X644" s="208"/>
      <c r="Y644" s="208"/>
      <c r="Z644" s="208"/>
      <c r="AA644" s="208"/>
      <c r="AB644" s="208"/>
    </row>
    <row r="645" ht="15.75" customHeight="1">
      <c r="A645" s="250"/>
      <c r="B645" s="244"/>
      <c r="C645" s="245"/>
      <c r="D645" s="246"/>
      <c r="E645" s="245"/>
      <c r="F645" s="247"/>
      <c r="G645" s="244"/>
      <c r="H645" s="243"/>
      <c r="I645" s="244"/>
      <c r="J645" s="244"/>
      <c r="K645" s="244"/>
      <c r="L645" s="248"/>
      <c r="M645" s="248"/>
      <c r="N645" s="244"/>
      <c r="O645" s="249"/>
      <c r="P645" s="249"/>
      <c r="Q645" s="208"/>
      <c r="R645" s="208"/>
      <c r="S645" s="208"/>
      <c r="T645" s="208"/>
      <c r="U645" s="208"/>
      <c r="V645" s="208"/>
      <c r="W645" s="208"/>
      <c r="X645" s="208"/>
      <c r="Y645" s="208"/>
      <c r="Z645" s="208"/>
      <c r="AA645" s="208"/>
      <c r="AB645" s="208"/>
    </row>
    <row r="646" ht="15.75" customHeight="1">
      <c r="A646" s="250"/>
      <c r="B646" s="244"/>
      <c r="C646" s="245"/>
      <c r="D646" s="246"/>
      <c r="E646" s="245"/>
      <c r="F646" s="247"/>
      <c r="G646" s="244"/>
      <c r="H646" s="243"/>
      <c r="I646" s="244"/>
      <c r="J646" s="244"/>
      <c r="K646" s="244"/>
      <c r="L646" s="248"/>
      <c r="M646" s="248"/>
      <c r="N646" s="244"/>
      <c r="O646" s="249"/>
      <c r="P646" s="249"/>
      <c r="Q646" s="208"/>
      <c r="R646" s="208"/>
      <c r="S646" s="208"/>
      <c r="T646" s="208"/>
      <c r="U646" s="208"/>
      <c r="V646" s="208"/>
      <c r="W646" s="208"/>
      <c r="X646" s="208"/>
      <c r="Y646" s="208"/>
      <c r="Z646" s="208"/>
      <c r="AA646" s="208"/>
      <c r="AB646" s="208"/>
    </row>
    <row r="647" ht="15.75" customHeight="1">
      <c r="A647" s="250"/>
      <c r="B647" s="244"/>
      <c r="C647" s="245"/>
      <c r="D647" s="246"/>
      <c r="E647" s="245"/>
      <c r="F647" s="247"/>
      <c r="G647" s="244"/>
      <c r="H647" s="243"/>
      <c r="I647" s="244"/>
      <c r="J647" s="244"/>
      <c r="K647" s="244"/>
      <c r="L647" s="248"/>
      <c r="M647" s="248"/>
      <c r="N647" s="244"/>
      <c r="O647" s="249"/>
      <c r="P647" s="249"/>
      <c r="Q647" s="208"/>
      <c r="R647" s="208"/>
      <c r="S647" s="208"/>
      <c r="T647" s="208"/>
      <c r="U647" s="208"/>
      <c r="V647" s="208"/>
      <c r="W647" s="208"/>
      <c r="X647" s="208"/>
      <c r="Y647" s="208"/>
      <c r="Z647" s="208"/>
      <c r="AA647" s="208"/>
      <c r="AB647" s="208"/>
    </row>
    <row r="648" ht="15.75" customHeight="1">
      <c r="A648" s="250"/>
      <c r="B648" s="244"/>
      <c r="C648" s="245"/>
      <c r="D648" s="246"/>
      <c r="E648" s="245"/>
      <c r="F648" s="247"/>
      <c r="G648" s="244"/>
      <c r="H648" s="243"/>
      <c r="I648" s="244"/>
      <c r="J648" s="244"/>
      <c r="K648" s="244"/>
      <c r="L648" s="248"/>
      <c r="M648" s="248"/>
      <c r="N648" s="244"/>
      <c r="O648" s="249"/>
      <c r="P648" s="249"/>
      <c r="Q648" s="208"/>
      <c r="R648" s="208"/>
      <c r="S648" s="208"/>
      <c r="T648" s="208"/>
      <c r="U648" s="208"/>
      <c r="V648" s="208"/>
      <c r="W648" s="208"/>
      <c r="X648" s="208"/>
      <c r="Y648" s="208"/>
      <c r="Z648" s="208"/>
      <c r="AA648" s="208"/>
      <c r="AB648" s="208"/>
    </row>
    <row r="649" ht="15.75" customHeight="1">
      <c r="A649" s="250"/>
      <c r="B649" s="244"/>
      <c r="C649" s="245"/>
      <c r="D649" s="246"/>
      <c r="E649" s="245"/>
      <c r="F649" s="247"/>
      <c r="G649" s="244"/>
      <c r="H649" s="243"/>
      <c r="I649" s="244"/>
      <c r="J649" s="244"/>
      <c r="K649" s="244"/>
      <c r="L649" s="248"/>
      <c r="M649" s="248"/>
      <c r="N649" s="244"/>
      <c r="O649" s="249"/>
      <c r="P649" s="249"/>
      <c r="Q649" s="208"/>
      <c r="R649" s="208"/>
      <c r="S649" s="208"/>
      <c r="T649" s="208"/>
      <c r="U649" s="208"/>
      <c r="V649" s="208"/>
      <c r="W649" s="208"/>
      <c r="X649" s="208"/>
      <c r="Y649" s="208"/>
      <c r="Z649" s="208"/>
      <c r="AA649" s="208"/>
      <c r="AB649" s="208"/>
    </row>
    <row r="650" ht="15.75" customHeight="1">
      <c r="A650" s="250"/>
      <c r="B650" s="244"/>
      <c r="C650" s="245"/>
      <c r="D650" s="246"/>
      <c r="E650" s="245"/>
      <c r="F650" s="247"/>
      <c r="G650" s="244"/>
      <c r="H650" s="243"/>
      <c r="I650" s="244"/>
      <c r="J650" s="244"/>
      <c r="K650" s="244"/>
      <c r="L650" s="248"/>
      <c r="M650" s="248"/>
      <c r="N650" s="244"/>
      <c r="O650" s="249"/>
      <c r="P650" s="249"/>
      <c r="Q650" s="208"/>
      <c r="R650" s="208"/>
      <c r="S650" s="208"/>
      <c r="T650" s="208"/>
      <c r="U650" s="208"/>
      <c r="V650" s="208"/>
      <c r="W650" s="208"/>
      <c r="X650" s="208"/>
      <c r="Y650" s="208"/>
      <c r="Z650" s="208"/>
      <c r="AA650" s="208"/>
      <c r="AB650" s="208"/>
    </row>
    <row r="651" ht="15.75" customHeight="1">
      <c r="A651" s="250"/>
      <c r="B651" s="244"/>
      <c r="C651" s="245"/>
      <c r="D651" s="246"/>
      <c r="E651" s="245"/>
      <c r="F651" s="247"/>
      <c r="G651" s="244"/>
      <c r="H651" s="243"/>
      <c r="I651" s="244"/>
      <c r="J651" s="244"/>
      <c r="K651" s="244"/>
      <c r="L651" s="248"/>
      <c r="M651" s="248"/>
      <c r="N651" s="244"/>
      <c r="O651" s="249"/>
      <c r="P651" s="249"/>
      <c r="Q651" s="208"/>
      <c r="R651" s="208"/>
      <c r="S651" s="208"/>
      <c r="T651" s="208"/>
      <c r="U651" s="208"/>
      <c r="V651" s="208"/>
      <c r="W651" s="208"/>
      <c r="X651" s="208"/>
      <c r="Y651" s="208"/>
      <c r="Z651" s="208"/>
      <c r="AA651" s="208"/>
      <c r="AB651" s="208"/>
    </row>
    <row r="652" ht="15.75" customHeight="1">
      <c r="A652" s="250"/>
      <c r="B652" s="244"/>
      <c r="C652" s="245"/>
      <c r="D652" s="246"/>
      <c r="E652" s="245"/>
      <c r="F652" s="247"/>
      <c r="G652" s="244"/>
      <c r="H652" s="243"/>
      <c r="I652" s="244"/>
      <c r="J652" s="244"/>
      <c r="K652" s="244"/>
      <c r="L652" s="248"/>
      <c r="M652" s="248"/>
      <c r="N652" s="244"/>
      <c r="O652" s="249"/>
      <c r="P652" s="249"/>
      <c r="Q652" s="208"/>
      <c r="R652" s="208"/>
      <c r="S652" s="208"/>
      <c r="T652" s="208"/>
      <c r="U652" s="208"/>
      <c r="V652" s="208"/>
      <c r="W652" s="208"/>
      <c r="X652" s="208"/>
      <c r="Y652" s="208"/>
      <c r="Z652" s="208"/>
      <c r="AA652" s="208"/>
      <c r="AB652" s="208"/>
    </row>
    <row r="653" ht="15.75" customHeight="1">
      <c r="A653" s="250"/>
      <c r="B653" s="244"/>
      <c r="C653" s="245"/>
      <c r="D653" s="246"/>
      <c r="E653" s="245"/>
      <c r="F653" s="247"/>
      <c r="G653" s="244"/>
      <c r="H653" s="243"/>
      <c r="I653" s="244"/>
      <c r="J653" s="244"/>
      <c r="K653" s="244"/>
      <c r="L653" s="248"/>
      <c r="M653" s="248"/>
      <c r="N653" s="244"/>
      <c r="O653" s="249"/>
      <c r="P653" s="249"/>
      <c r="Q653" s="208"/>
      <c r="R653" s="208"/>
      <c r="S653" s="208"/>
      <c r="T653" s="208"/>
      <c r="U653" s="208"/>
      <c r="V653" s="208"/>
      <c r="W653" s="208"/>
      <c r="X653" s="208"/>
      <c r="Y653" s="208"/>
      <c r="Z653" s="208"/>
      <c r="AA653" s="208"/>
      <c r="AB653" s="208"/>
    </row>
    <row r="654" ht="15.75" customHeight="1">
      <c r="A654" s="250"/>
      <c r="B654" s="244"/>
      <c r="C654" s="245"/>
      <c r="D654" s="246"/>
      <c r="E654" s="245"/>
      <c r="F654" s="247"/>
      <c r="G654" s="244"/>
      <c r="H654" s="243"/>
      <c r="I654" s="244"/>
      <c r="J654" s="244"/>
      <c r="K654" s="244"/>
      <c r="L654" s="248"/>
      <c r="M654" s="248"/>
      <c r="N654" s="244"/>
      <c r="O654" s="249"/>
      <c r="P654" s="249"/>
      <c r="Q654" s="208"/>
      <c r="R654" s="208"/>
      <c r="S654" s="208"/>
      <c r="T654" s="208"/>
      <c r="U654" s="208"/>
      <c r="V654" s="208"/>
      <c r="W654" s="208"/>
      <c r="X654" s="208"/>
      <c r="Y654" s="208"/>
      <c r="Z654" s="208"/>
      <c r="AA654" s="208"/>
      <c r="AB654" s="208"/>
    </row>
    <row r="655" ht="15.75" customHeight="1">
      <c r="A655" s="250"/>
      <c r="B655" s="244"/>
      <c r="C655" s="245"/>
      <c r="D655" s="246"/>
      <c r="E655" s="245"/>
      <c r="F655" s="247"/>
      <c r="G655" s="244"/>
      <c r="H655" s="243"/>
      <c r="I655" s="244"/>
      <c r="J655" s="244"/>
      <c r="K655" s="244"/>
      <c r="L655" s="248"/>
      <c r="M655" s="248"/>
      <c r="N655" s="244"/>
      <c r="O655" s="249"/>
      <c r="P655" s="249"/>
      <c r="Q655" s="208"/>
      <c r="R655" s="208"/>
      <c r="S655" s="208"/>
      <c r="T655" s="208"/>
      <c r="U655" s="208"/>
      <c r="V655" s="208"/>
      <c r="W655" s="208"/>
      <c r="X655" s="208"/>
      <c r="Y655" s="208"/>
      <c r="Z655" s="208"/>
      <c r="AA655" s="208"/>
      <c r="AB655" s="208"/>
    </row>
    <row r="656" ht="15.75" customHeight="1">
      <c r="A656" s="250"/>
      <c r="B656" s="244"/>
      <c r="C656" s="245"/>
      <c r="D656" s="246"/>
      <c r="E656" s="245"/>
      <c r="F656" s="247"/>
      <c r="G656" s="244"/>
      <c r="H656" s="243"/>
      <c r="I656" s="244"/>
      <c r="J656" s="244"/>
      <c r="K656" s="244"/>
      <c r="L656" s="248"/>
      <c r="M656" s="248"/>
      <c r="N656" s="244"/>
      <c r="O656" s="249"/>
      <c r="P656" s="249"/>
      <c r="Q656" s="208"/>
      <c r="R656" s="208"/>
      <c r="S656" s="208"/>
      <c r="T656" s="208"/>
      <c r="U656" s="208"/>
      <c r="V656" s="208"/>
      <c r="W656" s="208"/>
      <c r="X656" s="208"/>
      <c r="Y656" s="208"/>
      <c r="Z656" s="208"/>
      <c r="AA656" s="208"/>
      <c r="AB656" s="208"/>
    </row>
    <row r="657" ht="15.75" customHeight="1">
      <c r="A657" s="250"/>
      <c r="B657" s="244"/>
      <c r="C657" s="245"/>
      <c r="D657" s="246"/>
      <c r="E657" s="245"/>
      <c r="F657" s="247"/>
      <c r="G657" s="244"/>
      <c r="H657" s="243"/>
      <c r="I657" s="244"/>
      <c r="J657" s="244"/>
      <c r="K657" s="244"/>
      <c r="L657" s="248"/>
      <c r="M657" s="248"/>
      <c r="N657" s="244"/>
      <c r="O657" s="249"/>
      <c r="P657" s="249"/>
      <c r="Q657" s="208"/>
      <c r="R657" s="208"/>
      <c r="S657" s="208"/>
      <c r="T657" s="208"/>
      <c r="U657" s="208"/>
      <c r="V657" s="208"/>
      <c r="W657" s="208"/>
      <c r="X657" s="208"/>
      <c r="Y657" s="208"/>
      <c r="Z657" s="208"/>
      <c r="AA657" s="208"/>
      <c r="AB657" s="208"/>
    </row>
    <row r="658" ht="15.75" customHeight="1">
      <c r="A658" s="250"/>
      <c r="B658" s="244"/>
      <c r="C658" s="245"/>
      <c r="D658" s="246"/>
      <c r="E658" s="245"/>
      <c r="F658" s="247"/>
      <c r="G658" s="244"/>
      <c r="H658" s="243"/>
      <c r="I658" s="244"/>
      <c r="J658" s="244"/>
      <c r="K658" s="244"/>
      <c r="L658" s="248"/>
      <c r="M658" s="248"/>
      <c r="N658" s="244"/>
      <c r="O658" s="249"/>
      <c r="P658" s="249"/>
      <c r="Q658" s="208"/>
      <c r="R658" s="208"/>
      <c r="S658" s="208"/>
      <c r="T658" s="208"/>
      <c r="U658" s="208"/>
      <c r="V658" s="208"/>
      <c r="W658" s="208"/>
      <c r="X658" s="208"/>
      <c r="Y658" s="208"/>
      <c r="Z658" s="208"/>
      <c r="AA658" s="208"/>
      <c r="AB658" s="208"/>
    </row>
    <row r="659" ht="15.75" customHeight="1">
      <c r="A659" s="250"/>
      <c r="B659" s="244"/>
      <c r="C659" s="245"/>
      <c r="D659" s="246"/>
      <c r="E659" s="245"/>
      <c r="F659" s="247"/>
      <c r="G659" s="244"/>
      <c r="H659" s="243"/>
      <c r="I659" s="244"/>
      <c r="J659" s="244"/>
      <c r="K659" s="244"/>
      <c r="L659" s="248"/>
      <c r="M659" s="248"/>
      <c r="N659" s="244"/>
      <c r="O659" s="249"/>
      <c r="P659" s="249"/>
      <c r="Q659" s="208"/>
      <c r="R659" s="208"/>
      <c r="S659" s="208"/>
      <c r="T659" s="208"/>
      <c r="U659" s="208"/>
      <c r="V659" s="208"/>
      <c r="W659" s="208"/>
      <c r="X659" s="208"/>
      <c r="Y659" s="208"/>
      <c r="Z659" s="208"/>
      <c r="AA659" s="208"/>
      <c r="AB659" s="208"/>
    </row>
    <row r="660" ht="15.75" customHeight="1">
      <c r="A660" s="250"/>
      <c r="B660" s="244"/>
      <c r="C660" s="245"/>
      <c r="D660" s="246"/>
      <c r="E660" s="245"/>
      <c r="F660" s="247"/>
      <c r="G660" s="244"/>
      <c r="H660" s="243"/>
      <c r="I660" s="244"/>
      <c r="J660" s="244"/>
      <c r="K660" s="244"/>
      <c r="L660" s="248"/>
      <c r="M660" s="248"/>
      <c r="N660" s="244"/>
      <c r="O660" s="249"/>
      <c r="P660" s="249"/>
      <c r="Q660" s="208"/>
      <c r="R660" s="208"/>
      <c r="S660" s="208"/>
      <c r="T660" s="208"/>
      <c r="U660" s="208"/>
      <c r="V660" s="208"/>
      <c r="W660" s="208"/>
      <c r="X660" s="208"/>
      <c r="Y660" s="208"/>
      <c r="Z660" s="208"/>
      <c r="AA660" s="208"/>
      <c r="AB660" s="208"/>
    </row>
    <row r="661" ht="15.75" customHeight="1">
      <c r="A661" s="250"/>
      <c r="B661" s="244"/>
      <c r="C661" s="245"/>
      <c r="D661" s="246"/>
      <c r="E661" s="245"/>
      <c r="F661" s="247"/>
      <c r="G661" s="244"/>
      <c r="H661" s="243"/>
      <c r="I661" s="244"/>
      <c r="J661" s="244"/>
      <c r="K661" s="244"/>
      <c r="L661" s="248"/>
      <c r="M661" s="248"/>
      <c r="N661" s="244"/>
      <c r="O661" s="249"/>
      <c r="P661" s="249"/>
      <c r="Q661" s="208"/>
      <c r="R661" s="208"/>
      <c r="S661" s="208"/>
      <c r="T661" s="208"/>
      <c r="U661" s="208"/>
      <c r="V661" s="208"/>
      <c r="W661" s="208"/>
      <c r="X661" s="208"/>
      <c r="Y661" s="208"/>
      <c r="Z661" s="208"/>
      <c r="AA661" s="208"/>
      <c r="AB661" s="208"/>
    </row>
    <row r="662" ht="15.75" customHeight="1">
      <c r="A662" s="250"/>
      <c r="B662" s="244"/>
      <c r="C662" s="245"/>
      <c r="D662" s="246"/>
      <c r="E662" s="245"/>
      <c r="F662" s="247"/>
      <c r="G662" s="244"/>
      <c r="H662" s="243"/>
      <c r="I662" s="244"/>
      <c r="J662" s="244"/>
      <c r="K662" s="244"/>
      <c r="L662" s="248"/>
      <c r="M662" s="248"/>
      <c r="N662" s="244"/>
      <c r="O662" s="249"/>
      <c r="P662" s="249"/>
      <c r="Q662" s="208"/>
      <c r="R662" s="208"/>
      <c r="S662" s="208"/>
      <c r="T662" s="208"/>
      <c r="U662" s="208"/>
      <c r="V662" s="208"/>
      <c r="W662" s="208"/>
      <c r="X662" s="208"/>
      <c r="Y662" s="208"/>
      <c r="Z662" s="208"/>
      <c r="AA662" s="208"/>
      <c r="AB662" s="208"/>
    </row>
    <row r="663" ht="15.75" customHeight="1">
      <c r="A663" s="250"/>
      <c r="B663" s="244"/>
      <c r="C663" s="245"/>
      <c r="D663" s="246"/>
      <c r="E663" s="245"/>
      <c r="F663" s="247"/>
      <c r="G663" s="244"/>
      <c r="H663" s="243"/>
      <c r="I663" s="244"/>
      <c r="J663" s="244"/>
      <c r="K663" s="244"/>
      <c r="L663" s="248"/>
      <c r="M663" s="248"/>
      <c r="N663" s="244"/>
      <c r="O663" s="249"/>
      <c r="P663" s="249"/>
      <c r="Q663" s="208"/>
      <c r="R663" s="208"/>
      <c r="S663" s="208"/>
      <c r="T663" s="208"/>
      <c r="U663" s="208"/>
      <c r="V663" s="208"/>
      <c r="W663" s="208"/>
      <c r="X663" s="208"/>
      <c r="Y663" s="208"/>
      <c r="Z663" s="208"/>
      <c r="AA663" s="208"/>
      <c r="AB663" s="208"/>
    </row>
    <row r="664" ht="15.75" customHeight="1">
      <c r="A664" s="250"/>
      <c r="B664" s="244"/>
      <c r="C664" s="245"/>
      <c r="D664" s="246"/>
      <c r="E664" s="245"/>
      <c r="F664" s="247"/>
      <c r="G664" s="244"/>
      <c r="H664" s="243"/>
      <c r="I664" s="244"/>
      <c r="J664" s="244"/>
      <c r="K664" s="244"/>
      <c r="L664" s="248"/>
      <c r="M664" s="248"/>
      <c r="N664" s="244"/>
      <c r="O664" s="249"/>
      <c r="P664" s="249"/>
      <c r="Q664" s="208"/>
      <c r="R664" s="208"/>
      <c r="S664" s="208"/>
      <c r="T664" s="208"/>
      <c r="U664" s="208"/>
      <c r="V664" s="208"/>
      <c r="W664" s="208"/>
      <c r="X664" s="208"/>
      <c r="Y664" s="208"/>
      <c r="Z664" s="208"/>
      <c r="AA664" s="208"/>
      <c r="AB664" s="208"/>
    </row>
    <row r="665" ht="15.75" customHeight="1">
      <c r="A665" s="250"/>
      <c r="B665" s="244"/>
      <c r="C665" s="245"/>
      <c r="D665" s="246"/>
      <c r="E665" s="245"/>
      <c r="F665" s="247"/>
      <c r="G665" s="244"/>
      <c r="H665" s="243"/>
      <c r="I665" s="244"/>
      <c r="J665" s="244"/>
      <c r="K665" s="244"/>
      <c r="L665" s="248"/>
      <c r="M665" s="248"/>
      <c r="N665" s="244"/>
      <c r="O665" s="249"/>
      <c r="P665" s="249"/>
      <c r="Q665" s="208"/>
      <c r="R665" s="208"/>
      <c r="S665" s="208"/>
      <c r="T665" s="208"/>
      <c r="U665" s="208"/>
      <c r="V665" s="208"/>
      <c r="W665" s="208"/>
      <c r="X665" s="208"/>
      <c r="Y665" s="208"/>
      <c r="Z665" s="208"/>
      <c r="AA665" s="208"/>
      <c r="AB665" s="208"/>
    </row>
    <row r="666" ht="15.75" customHeight="1">
      <c r="A666" s="250"/>
      <c r="B666" s="244"/>
      <c r="C666" s="245"/>
      <c r="D666" s="246"/>
      <c r="E666" s="245"/>
      <c r="F666" s="247"/>
      <c r="G666" s="244"/>
      <c r="H666" s="243"/>
      <c r="I666" s="244"/>
      <c r="J666" s="244"/>
      <c r="K666" s="244"/>
      <c r="L666" s="248"/>
      <c r="M666" s="248"/>
      <c r="N666" s="244"/>
      <c r="O666" s="249"/>
      <c r="P666" s="249"/>
      <c r="Q666" s="208"/>
      <c r="R666" s="208"/>
      <c r="S666" s="208"/>
      <c r="T666" s="208"/>
      <c r="U666" s="208"/>
      <c r="V666" s="208"/>
      <c r="W666" s="208"/>
      <c r="X666" s="208"/>
      <c r="Y666" s="208"/>
      <c r="Z666" s="208"/>
      <c r="AA666" s="208"/>
      <c r="AB666" s="208"/>
    </row>
    <row r="667" ht="15.75" customHeight="1">
      <c r="A667" s="250"/>
      <c r="B667" s="244"/>
      <c r="C667" s="245"/>
      <c r="D667" s="246"/>
      <c r="E667" s="245"/>
      <c r="F667" s="247"/>
      <c r="G667" s="244"/>
      <c r="H667" s="243"/>
      <c r="I667" s="244"/>
      <c r="J667" s="244"/>
      <c r="K667" s="244"/>
      <c r="L667" s="248"/>
      <c r="M667" s="248"/>
      <c r="N667" s="244"/>
      <c r="O667" s="249"/>
      <c r="P667" s="249"/>
      <c r="Q667" s="208"/>
      <c r="R667" s="208"/>
      <c r="S667" s="208"/>
      <c r="T667" s="208"/>
      <c r="U667" s="208"/>
      <c r="V667" s="208"/>
      <c r="W667" s="208"/>
      <c r="X667" s="208"/>
      <c r="Y667" s="208"/>
      <c r="Z667" s="208"/>
      <c r="AA667" s="208"/>
      <c r="AB667" s="208"/>
    </row>
    <row r="668" ht="15.75" customHeight="1">
      <c r="A668" s="250"/>
      <c r="B668" s="244"/>
      <c r="C668" s="245"/>
      <c r="D668" s="246"/>
      <c r="E668" s="245"/>
      <c r="F668" s="247"/>
      <c r="G668" s="244"/>
      <c r="H668" s="243"/>
      <c r="I668" s="244"/>
      <c r="J668" s="244"/>
      <c r="K668" s="244"/>
      <c r="L668" s="248"/>
      <c r="M668" s="248"/>
      <c r="N668" s="244"/>
      <c r="O668" s="249"/>
      <c r="P668" s="249"/>
      <c r="Q668" s="208"/>
      <c r="R668" s="208"/>
      <c r="S668" s="208"/>
      <c r="T668" s="208"/>
      <c r="U668" s="208"/>
      <c r="V668" s="208"/>
      <c r="W668" s="208"/>
      <c r="X668" s="208"/>
      <c r="Y668" s="208"/>
      <c r="Z668" s="208"/>
      <c r="AA668" s="208"/>
      <c r="AB668" s="208"/>
    </row>
    <row r="669" ht="15.75" customHeight="1">
      <c r="A669" s="250"/>
      <c r="B669" s="244"/>
      <c r="C669" s="245"/>
      <c r="D669" s="246"/>
      <c r="E669" s="245"/>
      <c r="F669" s="247"/>
      <c r="G669" s="244"/>
      <c r="H669" s="243"/>
      <c r="I669" s="244"/>
      <c r="J669" s="244"/>
      <c r="K669" s="244"/>
      <c r="L669" s="248"/>
      <c r="M669" s="248"/>
      <c r="N669" s="244"/>
      <c r="O669" s="249"/>
      <c r="P669" s="249"/>
      <c r="Q669" s="208"/>
      <c r="R669" s="208"/>
      <c r="S669" s="208"/>
      <c r="T669" s="208"/>
      <c r="U669" s="208"/>
      <c r="V669" s="208"/>
      <c r="W669" s="208"/>
      <c r="X669" s="208"/>
      <c r="Y669" s="208"/>
      <c r="Z669" s="208"/>
      <c r="AA669" s="208"/>
      <c r="AB669" s="208"/>
    </row>
    <row r="670" ht="15.75" customHeight="1">
      <c r="A670" s="250"/>
      <c r="B670" s="244"/>
      <c r="C670" s="245"/>
      <c r="D670" s="246"/>
      <c r="E670" s="245"/>
      <c r="F670" s="247"/>
      <c r="G670" s="244"/>
      <c r="H670" s="243"/>
      <c r="I670" s="244"/>
      <c r="J670" s="244"/>
      <c r="K670" s="244"/>
      <c r="L670" s="248"/>
      <c r="M670" s="248"/>
      <c r="N670" s="244"/>
      <c r="O670" s="249"/>
      <c r="P670" s="249"/>
      <c r="Q670" s="208"/>
      <c r="R670" s="208"/>
      <c r="S670" s="208"/>
      <c r="T670" s="208"/>
      <c r="U670" s="208"/>
      <c r="V670" s="208"/>
      <c r="W670" s="208"/>
      <c r="X670" s="208"/>
      <c r="Y670" s="208"/>
      <c r="Z670" s="208"/>
      <c r="AA670" s="208"/>
      <c r="AB670" s="208"/>
    </row>
    <row r="671" ht="15.75" customHeight="1">
      <c r="A671" s="250"/>
      <c r="B671" s="244"/>
      <c r="C671" s="245"/>
      <c r="D671" s="246"/>
      <c r="E671" s="245"/>
      <c r="F671" s="247"/>
      <c r="G671" s="244"/>
      <c r="H671" s="243"/>
      <c r="I671" s="244"/>
      <c r="J671" s="244"/>
      <c r="K671" s="244"/>
      <c r="L671" s="248"/>
      <c r="M671" s="248"/>
      <c r="N671" s="244"/>
      <c r="O671" s="249"/>
      <c r="P671" s="249"/>
      <c r="Q671" s="208"/>
      <c r="R671" s="208"/>
      <c r="S671" s="208"/>
      <c r="T671" s="208"/>
      <c r="U671" s="208"/>
      <c r="V671" s="208"/>
      <c r="W671" s="208"/>
      <c r="X671" s="208"/>
      <c r="Y671" s="208"/>
      <c r="Z671" s="208"/>
      <c r="AA671" s="208"/>
      <c r="AB671" s="208"/>
    </row>
    <row r="672" ht="15.75" customHeight="1">
      <c r="A672" s="250"/>
      <c r="B672" s="244"/>
      <c r="C672" s="245"/>
      <c r="D672" s="246"/>
      <c r="E672" s="245"/>
      <c r="F672" s="247"/>
      <c r="G672" s="244"/>
      <c r="H672" s="243"/>
      <c r="I672" s="244"/>
      <c r="J672" s="244"/>
      <c r="K672" s="244"/>
      <c r="L672" s="248"/>
      <c r="M672" s="248"/>
      <c r="N672" s="244"/>
      <c r="O672" s="249"/>
      <c r="P672" s="249"/>
      <c r="Q672" s="208"/>
      <c r="R672" s="208"/>
      <c r="S672" s="208"/>
      <c r="T672" s="208"/>
      <c r="U672" s="208"/>
      <c r="V672" s="208"/>
      <c r="W672" s="208"/>
      <c r="X672" s="208"/>
      <c r="Y672" s="208"/>
      <c r="Z672" s="208"/>
      <c r="AA672" s="208"/>
      <c r="AB672" s="208"/>
    </row>
    <row r="673" ht="15.75" customHeight="1">
      <c r="A673" s="250"/>
      <c r="B673" s="244"/>
      <c r="C673" s="245"/>
      <c r="D673" s="246"/>
      <c r="E673" s="245"/>
      <c r="F673" s="247"/>
      <c r="G673" s="244"/>
      <c r="H673" s="243"/>
      <c r="I673" s="244"/>
      <c r="J673" s="244"/>
      <c r="K673" s="244"/>
      <c r="L673" s="248"/>
      <c r="M673" s="248"/>
      <c r="N673" s="244"/>
      <c r="O673" s="249"/>
      <c r="P673" s="249"/>
      <c r="Q673" s="208"/>
      <c r="R673" s="208"/>
      <c r="S673" s="208"/>
      <c r="T673" s="208"/>
      <c r="U673" s="208"/>
      <c r="V673" s="208"/>
      <c r="W673" s="208"/>
      <c r="X673" s="208"/>
      <c r="Y673" s="208"/>
      <c r="Z673" s="208"/>
      <c r="AA673" s="208"/>
      <c r="AB673" s="208"/>
    </row>
    <row r="674" ht="15.75" customHeight="1">
      <c r="A674" s="250"/>
      <c r="B674" s="244"/>
      <c r="C674" s="245"/>
      <c r="D674" s="246"/>
      <c r="E674" s="245"/>
      <c r="F674" s="247"/>
      <c r="G674" s="244"/>
      <c r="H674" s="243"/>
      <c r="I674" s="244"/>
      <c r="J674" s="244"/>
      <c r="K674" s="244"/>
      <c r="L674" s="248"/>
      <c r="M674" s="248"/>
      <c r="N674" s="244"/>
      <c r="O674" s="249"/>
      <c r="P674" s="249"/>
      <c r="Q674" s="208"/>
      <c r="R674" s="208"/>
      <c r="S674" s="208"/>
      <c r="T674" s="208"/>
      <c r="U674" s="208"/>
      <c r="V674" s="208"/>
      <c r="W674" s="208"/>
      <c r="X674" s="208"/>
      <c r="Y674" s="208"/>
      <c r="Z674" s="208"/>
      <c r="AA674" s="208"/>
      <c r="AB674" s="208"/>
    </row>
    <row r="675" ht="15.75" customHeight="1">
      <c r="A675" s="250"/>
      <c r="B675" s="244"/>
      <c r="C675" s="245"/>
      <c r="D675" s="246"/>
      <c r="E675" s="245"/>
      <c r="F675" s="247"/>
      <c r="G675" s="244"/>
      <c r="H675" s="243"/>
      <c r="I675" s="244"/>
      <c r="J675" s="244"/>
      <c r="K675" s="244"/>
      <c r="L675" s="248"/>
      <c r="M675" s="248"/>
      <c r="N675" s="244"/>
      <c r="O675" s="249"/>
      <c r="P675" s="249"/>
      <c r="Q675" s="208"/>
      <c r="R675" s="208"/>
      <c r="S675" s="208"/>
      <c r="T675" s="208"/>
      <c r="U675" s="208"/>
      <c r="V675" s="208"/>
      <c r="W675" s="208"/>
      <c r="X675" s="208"/>
      <c r="Y675" s="208"/>
      <c r="Z675" s="208"/>
      <c r="AA675" s="208"/>
      <c r="AB675" s="208"/>
    </row>
    <row r="676" ht="15.75" customHeight="1">
      <c r="A676" s="250"/>
      <c r="B676" s="244"/>
      <c r="C676" s="245"/>
      <c r="D676" s="246"/>
      <c r="E676" s="245"/>
      <c r="F676" s="247"/>
      <c r="G676" s="244"/>
      <c r="H676" s="243"/>
      <c r="I676" s="244"/>
      <c r="J676" s="244"/>
      <c r="K676" s="244"/>
      <c r="L676" s="248"/>
      <c r="M676" s="248"/>
      <c r="N676" s="244"/>
      <c r="O676" s="249"/>
      <c r="P676" s="249"/>
      <c r="Q676" s="208"/>
      <c r="R676" s="208"/>
      <c r="S676" s="208"/>
      <c r="T676" s="208"/>
      <c r="U676" s="208"/>
      <c r="V676" s="208"/>
      <c r="W676" s="208"/>
      <c r="X676" s="208"/>
      <c r="Y676" s="208"/>
      <c r="Z676" s="208"/>
      <c r="AA676" s="208"/>
      <c r="AB676" s="208"/>
    </row>
    <row r="677" ht="15.75" customHeight="1">
      <c r="A677" s="250"/>
      <c r="B677" s="244"/>
      <c r="C677" s="245"/>
      <c r="D677" s="246"/>
      <c r="E677" s="245"/>
      <c r="F677" s="247"/>
      <c r="G677" s="244"/>
      <c r="H677" s="243"/>
      <c r="I677" s="244"/>
      <c r="J677" s="244"/>
      <c r="K677" s="244"/>
      <c r="L677" s="248"/>
      <c r="M677" s="248"/>
      <c r="N677" s="244"/>
      <c r="O677" s="249"/>
      <c r="P677" s="249"/>
      <c r="Q677" s="208"/>
      <c r="R677" s="208"/>
      <c r="S677" s="208"/>
      <c r="T677" s="208"/>
      <c r="U677" s="208"/>
      <c r="V677" s="208"/>
      <c r="W677" s="208"/>
      <c r="X677" s="208"/>
      <c r="Y677" s="208"/>
      <c r="Z677" s="208"/>
      <c r="AA677" s="208"/>
      <c r="AB677" s="208"/>
    </row>
    <row r="678" ht="15.75" customHeight="1">
      <c r="A678" s="250"/>
      <c r="B678" s="244"/>
      <c r="C678" s="245"/>
      <c r="D678" s="246"/>
      <c r="E678" s="245"/>
      <c r="F678" s="247"/>
      <c r="G678" s="244"/>
      <c r="H678" s="243"/>
      <c r="I678" s="244"/>
      <c r="J678" s="244"/>
      <c r="K678" s="244"/>
      <c r="L678" s="248"/>
      <c r="M678" s="248"/>
      <c r="N678" s="244"/>
      <c r="O678" s="249"/>
      <c r="P678" s="249"/>
      <c r="Q678" s="208"/>
      <c r="R678" s="208"/>
      <c r="S678" s="208"/>
      <c r="T678" s="208"/>
      <c r="U678" s="208"/>
      <c r="V678" s="208"/>
      <c r="W678" s="208"/>
      <c r="X678" s="208"/>
      <c r="Y678" s="208"/>
      <c r="Z678" s="208"/>
      <c r="AA678" s="208"/>
      <c r="AB678" s="208"/>
    </row>
    <row r="679" ht="15.75" customHeight="1">
      <c r="A679" s="250"/>
      <c r="B679" s="244"/>
      <c r="C679" s="245"/>
      <c r="D679" s="246"/>
      <c r="E679" s="245"/>
      <c r="F679" s="247"/>
      <c r="G679" s="244"/>
      <c r="H679" s="243"/>
      <c r="I679" s="244"/>
      <c r="J679" s="244"/>
      <c r="K679" s="244"/>
      <c r="L679" s="248"/>
      <c r="M679" s="248"/>
      <c r="N679" s="244"/>
      <c r="O679" s="249"/>
      <c r="P679" s="249"/>
      <c r="Q679" s="208"/>
      <c r="R679" s="208"/>
      <c r="S679" s="208"/>
      <c r="T679" s="208"/>
      <c r="U679" s="208"/>
      <c r="V679" s="208"/>
      <c r="W679" s="208"/>
      <c r="X679" s="208"/>
      <c r="Y679" s="208"/>
      <c r="Z679" s="208"/>
      <c r="AA679" s="208"/>
      <c r="AB679" s="208"/>
    </row>
    <row r="680" ht="15.75" customHeight="1">
      <c r="A680" s="250"/>
      <c r="B680" s="244"/>
      <c r="C680" s="245"/>
      <c r="D680" s="246"/>
      <c r="E680" s="245"/>
      <c r="F680" s="247"/>
      <c r="G680" s="244"/>
      <c r="H680" s="243"/>
      <c r="I680" s="244"/>
      <c r="J680" s="244"/>
      <c r="K680" s="244"/>
      <c r="L680" s="248"/>
      <c r="M680" s="248"/>
      <c r="N680" s="244"/>
      <c r="O680" s="249"/>
      <c r="P680" s="249"/>
      <c r="Q680" s="208"/>
      <c r="R680" s="208"/>
      <c r="S680" s="208"/>
      <c r="T680" s="208"/>
      <c r="U680" s="208"/>
      <c r="V680" s="208"/>
      <c r="W680" s="208"/>
      <c r="X680" s="208"/>
      <c r="Y680" s="208"/>
      <c r="Z680" s="208"/>
      <c r="AA680" s="208"/>
      <c r="AB680" s="208"/>
    </row>
    <row r="681" ht="15.75" customHeight="1">
      <c r="A681" s="250"/>
      <c r="B681" s="244"/>
      <c r="C681" s="245"/>
      <c r="D681" s="246"/>
      <c r="E681" s="245"/>
      <c r="F681" s="247"/>
      <c r="G681" s="244"/>
      <c r="H681" s="243"/>
      <c r="I681" s="244"/>
      <c r="J681" s="244"/>
      <c r="K681" s="244"/>
      <c r="L681" s="248"/>
      <c r="M681" s="248"/>
      <c r="N681" s="244"/>
      <c r="O681" s="249"/>
      <c r="P681" s="249"/>
      <c r="Q681" s="208"/>
      <c r="R681" s="208"/>
      <c r="S681" s="208"/>
      <c r="T681" s="208"/>
      <c r="U681" s="208"/>
      <c r="V681" s="208"/>
      <c r="W681" s="208"/>
      <c r="X681" s="208"/>
      <c r="Y681" s="208"/>
      <c r="Z681" s="208"/>
      <c r="AA681" s="208"/>
      <c r="AB681" s="208"/>
    </row>
    <row r="682" ht="15.75" customHeight="1">
      <c r="A682" s="250"/>
      <c r="B682" s="244"/>
      <c r="C682" s="245"/>
      <c r="D682" s="246"/>
      <c r="E682" s="245"/>
      <c r="F682" s="247"/>
      <c r="G682" s="244"/>
      <c r="H682" s="243"/>
      <c r="I682" s="244"/>
      <c r="J682" s="244"/>
      <c r="K682" s="244"/>
      <c r="L682" s="248"/>
      <c r="M682" s="248"/>
      <c r="N682" s="244"/>
      <c r="O682" s="249"/>
      <c r="P682" s="249"/>
      <c r="Q682" s="208"/>
      <c r="R682" s="208"/>
      <c r="S682" s="208"/>
      <c r="T682" s="208"/>
      <c r="U682" s="208"/>
      <c r="V682" s="208"/>
      <c r="W682" s="208"/>
      <c r="X682" s="208"/>
      <c r="Y682" s="208"/>
      <c r="Z682" s="208"/>
      <c r="AA682" s="208"/>
      <c r="AB682" s="208"/>
    </row>
    <row r="683" ht="15.75" customHeight="1">
      <c r="A683" s="250"/>
      <c r="B683" s="244"/>
      <c r="C683" s="245"/>
      <c r="D683" s="246"/>
      <c r="E683" s="245"/>
      <c r="F683" s="247"/>
      <c r="G683" s="244"/>
      <c r="H683" s="243"/>
      <c r="I683" s="244"/>
      <c r="J683" s="244"/>
      <c r="K683" s="244"/>
      <c r="L683" s="248"/>
      <c r="M683" s="248"/>
      <c r="N683" s="244"/>
      <c r="O683" s="249"/>
      <c r="P683" s="249"/>
      <c r="Q683" s="208"/>
      <c r="R683" s="208"/>
      <c r="S683" s="208"/>
      <c r="T683" s="208"/>
      <c r="U683" s="208"/>
      <c r="V683" s="208"/>
      <c r="W683" s="208"/>
      <c r="X683" s="208"/>
      <c r="Y683" s="208"/>
      <c r="Z683" s="208"/>
      <c r="AA683" s="208"/>
      <c r="AB683" s="208"/>
    </row>
    <row r="684" ht="15.75" customHeight="1">
      <c r="A684" s="250"/>
      <c r="B684" s="244"/>
      <c r="C684" s="245"/>
      <c r="D684" s="246"/>
      <c r="E684" s="245"/>
      <c r="F684" s="247"/>
      <c r="G684" s="244"/>
      <c r="H684" s="243"/>
      <c r="I684" s="244"/>
      <c r="J684" s="244"/>
      <c r="K684" s="244"/>
      <c r="L684" s="248"/>
      <c r="M684" s="248"/>
      <c r="N684" s="244"/>
      <c r="O684" s="249"/>
      <c r="P684" s="249"/>
      <c r="Q684" s="208"/>
      <c r="R684" s="208"/>
      <c r="S684" s="208"/>
      <c r="T684" s="208"/>
      <c r="U684" s="208"/>
      <c r="V684" s="208"/>
      <c r="W684" s="208"/>
      <c r="X684" s="208"/>
      <c r="Y684" s="208"/>
      <c r="Z684" s="208"/>
      <c r="AA684" s="208"/>
      <c r="AB684" s="208"/>
    </row>
    <row r="685" ht="15.75" customHeight="1">
      <c r="A685" s="250"/>
      <c r="B685" s="244"/>
      <c r="C685" s="245"/>
      <c r="D685" s="246"/>
      <c r="E685" s="245"/>
      <c r="F685" s="247"/>
      <c r="G685" s="244"/>
      <c r="H685" s="243"/>
      <c r="I685" s="244"/>
      <c r="J685" s="244"/>
      <c r="K685" s="244"/>
      <c r="L685" s="248"/>
      <c r="M685" s="248"/>
      <c r="N685" s="244"/>
      <c r="O685" s="249"/>
      <c r="P685" s="249"/>
      <c r="Q685" s="208"/>
      <c r="R685" s="208"/>
      <c r="S685" s="208"/>
      <c r="T685" s="208"/>
      <c r="U685" s="208"/>
      <c r="V685" s="208"/>
      <c r="W685" s="208"/>
      <c r="X685" s="208"/>
      <c r="Y685" s="208"/>
      <c r="Z685" s="208"/>
      <c r="AA685" s="208"/>
      <c r="AB685" s="208"/>
    </row>
    <row r="686" ht="15.75" customHeight="1">
      <c r="A686" s="250"/>
      <c r="B686" s="244"/>
      <c r="C686" s="245"/>
      <c r="D686" s="246"/>
      <c r="E686" s="245"/>
      <c r="F686" s="247"/>
      <c r="G686" s="244"/>
      <c r="H686" s="243"/>
      <c r="I686" s="244"/>
      <c r="J686" s="244"/>
      <c r="K686" s="244"/>
      <c r="L686" s="248"/>
      <c r="M686" s="248"/>
      <c r="N686" s="244"/>
      <c r="O686" s="249"/>
      <c r="P686" s="249"/>
      <c r="Q686" s="208"/>
      <c r="R686" s="208"/>
      <c r="S686" s="208"/>
      <c r="T686" s="208"/>
      <c r="U686" s="208"/>
      <c r="V686" s="208"/>
      <c r="W686" s="208"/>
      <c r="X686" s="208"/>
      <c r="Y686" s="208"/>
      <c r="Z686" s="208"/>
      <c r="AA686" s="208"/>
      <c r="AB686" s="208"/>
    </row>
    <row r="687" ht="15.75" customHeight="1">
      <c r="A687" s="250"/>
      <c r="B687" s="244"/>
      <c r="C687" s="245"/>
      <c r="D687" s="246"/>
      <c r="E687" s="245"/>
      <c r="F687" s="247"/>
      <c r="G687" s="244"/>
      <c r="H687" s="243"/>
      <c r="I687" s="244"/>
      <c r="J687" s="244"/>
      <c r="K687" s="244"/>
      <c r="L687" s="248"/>
      <c r="M687" s="248"/>
      <c r="N687" s="244"/>
      <c r="O687" s="249"/>
      <c r="P687" s="249"/>
      <c r="Q687" s="208"/>
      <c r="R687" s="208"/>
      <c r="S687" s="208"/>
      <c r="T687" s="208"/>
      <c r="U687" s="208"/>
      <c r="V687" s="208"/>
      <c r="W687" s="208"/>
      <c r="X687" s="208"/>
      <c r="Y687" s="208"/>
      <c r="Z687" s="208"/>
      <c r="AA687" s="208"/>
      <c r="AB687" s="208"/>
    </row>
    <row r="688" ht="15.75" customHeight="1">
      <c r="A688" s="250"/>
      <c r="B688" s="244"/>
      <c r="C688" s="245"/>
      <c r="D688" s="246"/>
      <c r="E688" s="245"/>
      <c r="F688" s="247"/>
      <c r="G688" s="244"/>
      <c r="H688" s="243"/>
      <c r="I688" s="244"/>
      <c r="J688" s="244"/>
      <c r="K688" s="244"/>
      <c r="L688" s="248"/>
      <c r="M688" s="248"/>
      <c r="N688" s="244"/>
      <c r="O688" s="249"/>
      <c r="P688" s="249"/>
      <c r="Q688" s="208"/>
      <c r="R688" s="208"/>
      <c r="S688" s="208"/>
      <c r="T688" s="208"/>
      <c r="U688" s="208"/>
      <c r="V688" s="208"/>
      <c r="W688" s="208"/>
      <c r="X688" s="208"/>
      <c r="Y688" s="208"/>
      <c r="Z688" s="208"/>
      <c r="AA688" s="208"/>
      <c r="AB688" s="208"/>
    </row>
    <row r="689" ht="15.75" customHeight="1">
      <c r="A689" s="250"/>
      <c r="B689" s="244"/>
      <c r="C689" s="245"/>
      <c r="D689" s="246"/>
      <c r="E689" s="245"/>
      <c r="F689" s="247"/>
      <c r="G689" s="244"/>
      <c r="H689" s="243"/>
      <c r="I689" s="244"/>
      <c r="J689" s="244"/>
      <c r="K689" s="244"/>
      <c r="L689" s="248"/>
      <c r="M689" s="248"/>
      <c r="N689" s="244"/>
      <c r="O689" s="249"/>
      <c r="P689" s="249"/>
      <c r="Q689" s="208"/>
      <c r="R689" s="208"/>
      <c r="S689" s="208"/>
      <c r="T689" s="208"/>
      <c r="U689" s="208"/>
      <c r="V689" s="208"/>
      <c r="W689" s="208"/>
      <c r="X689" s="208"/>
      <c r="Y689" s="208"/>
      <c r="Z689" s="208"/>
      <c r="AA689" s="208"/>
      <c r="AB689" s="208"/>
    </row>
    <row r="690" ht="15.75" customHeight="1">
      <c r="A690" s="250"/>
      <c r="B690" s="244"/>
      <c r="C690" s="245"/>
      <c r="D690" s="246"/>
      <c r="E690" s="245"/>
      <c r="F690" s="247"/>
      <c r="G690" s="244"/>
      <c r="H690" s="243"/>
      <c r="I690" s="244"/>
      <c r="J690" s="244"/>
      <c r="K690" s="244"/>
      <c r="L690" s="248"/>
      <c r="M690" s="248"/>
      <c r="N690" s="244"/>
      <c r="O690" s="249"/>
      <c r="P690" s="249"/>
      <c r="Q690" s="208"/>
      <c r="R690" s="208"/>
      <c r="S690" s="208"/>
      <c r="T690" s="208"/>
      <c r="U690" s="208"/>
      <c r="V690" s="208"/>
      <c r="W690" s="208"/>
      <c r="X690" s="208"/>
      <c r="Y690" s="208"/>
      <c r="Z690" s="208"/>
      <c r="AA690" s="208"/>
      <c r="AB690" s="208"/>
    </row>
    <row r="691" ht="15.75" customHeight="1">
      <c r="A691" s="250"/>
      <c r="B691" s="244"/>
      <c r="C691" s="245"/>
      <c r="D691" s="246"/>
      <c r="E691" s="245"/>
      <c r="F691" s="247"/>
      <c r="G691" s="244"/>
      <c r="H691" s="243"/>
      <c r="I691" s="244"/>
      <c r="J691" s="244"/>
      <c r="K691" s="244"/>
      <c r="L691" s="248"/>
      <c r="M691" s="248"/>
      <c r="N691" s="244"/>
      <c r="O691" s="249"/>
      <c r="P691" s="249"/>
      <c r="Q691" s="208"/>
      <c r="R691" s="208"/>
      <c r="S691" s="208"/>
      <c r="T691" s="208"/>
      <c r="U691" s="208"/>
      <c r="V691" s="208"/>
      <c r="W691" s="208"/>
      <c r="X691" s="208"/>
      <c r="Y691" s="208"/>
      <c r="Z691" s="208"/>
      <c r="AA691" s="208"/>
      <c r="AB691" s="208"/>
    </row>
    <row r="692" ht="15.75" customHeight="1">
      <c r="A692" s="250"/>
      <c r="B692" s="244"/>
      <c r="C692" s="245"/>
      <c r="D692" s="246"/>
      <c r="E692" s="245"/>
      <c r="F692" s="247"/>
      <c r="G692" s="244"/>
      <c r="H692" s="243"/>
      <c r="I692" s="244"/>
      <c r="J692" s="244"/>
      <c r="K692" s="244"/>
      <c r="L692" s="248"/>
      <c r="M692" s="248"/>
      <c r="N692" s="244"/>
      <c r="O692" s="249"/>
      <c r="P692" s="249"/>
      <c r="Q692" s="208"/>
      <c r="R692" s="208"/>
      <c r="S692" s="208"/>
      <c r="T692" s="208"/>
      <c r="U692" s="208"/>
      <c r="V692" s="208"/>
      <c r="W692" s="208"/>
      <c r="X692" s="208"/>
      <c r="Y692" s="208"/>
      <c r="Z692" s="208"/>
      <c r="AA692" s="208"/>
      <c r="AB692" s="208"/>
    </row>
    <row r="693" ht="15.75" customHeight="1">
      <c r="A693" s="250"/>
      <c r="B693" s="244"/>
      <c r="C693" s="245"/>
      <c r="D693" s="246"/>
      <c r="E693" s="245"/>
      <c r="F693" s="247"/>
      <c r="G693" s="244"/>
      <c r="H693" s="243"/>
      <c r="I693" s="244"/>
      <c r="J693" s="244"/>
      <c r="K693" s="244"/>
      <c r="L693" s="248"/>
      <c r="M693" s="248"/>
      <c r="N693" s="244"/>
      <c r="O693" s="249"/>
      <c r="P693" s="249"/>
      <c r="Q693" s="208"/>
      <c r="R693" s="208"/>
      <c r="S693" s="208"/>
      <c r="T693" s="208"/>
      <c r="U693" s="208"/>
      <c r="V693" s="208"/>
      <c r="W693" s="208"/>
      <c r="X693" s="208"/>
      <c r="Y693" s="208"/>
      <c r="Z693" s="208"/>
      <c r="AA693" s="208"/>
      <c r="AB693" s="208"/>
    </row>
    <row r="694" ht="15.75" customHeight="1">
      <c r="A694" s="250"/>
      <c r="B694" s="244"/>
      <c r="C694" s="245"/>
      <c r="D694" s="246"/>
      <c r="E694" s="245"/>
      <c r="F694" s="247"/>
      <c r="G694" s="244"/>
      <c r="H694" s="243"/>
      <c r="I694" s="244"/>
      <c r="J694" s="244"/>
      <c r="K694" s="244"/>
      <c r="L694" s="248"/>
      <c r="M694" s="248"/>
      <c r="N694" s="244"/>
      <c r="O694" s="249"/>
      <c r="P694" s="249"/>
      <c r="Q694" s="208"/>
      <c r="R694" s="208"/>
      <c r="S694" s="208"/>
      <c r="T694" s="208"/>
      <c r="U694" s="208"/>
      <c r="V694" s="208"/>
      <c r="W694" s="208"/>
      <c r="X694" s="208"/>
      <c r="Y694" s="208"/>
      <c r="Z694" s="208"/>
      <c r="AA694" s="208"/>
      <c r="AB694" s="208"/>
    </row>
    <row r="695" ht="15.75" customHeight="1">
      <c r="A695" s="250"/>
      <c r="B695" s="244"/>
      <c r="C695" s="245"/>
      <c r="D695" s="246"/>
      <c r="E695" s="245"/>
      <c r="F695" s="247"/>
      <c r="G695" s="244"/>
      <c r="H695" s="243"/>
      <c r="I695" s="244"/>
      <c r="J695" s="244"/>
      <c r="K695" s="244"/>
      <c r="L695" s="248"/>
      <c r="M695" s="248"/>
      <c r="N695" s="244"/>
      <c r="O695" s="249"/>
      <c r="P695" s="249"/>
      <c r="Q695" s="208"/>
      <c r="R695" s="208"/>
      <c r="S695" s="208"/>
      <c r="T695" s="208"/>
      <c r="U695" s="208"/>
      <c r="V695" s="208"/>
      <c r="W695" s="208"/>
      <c r="X695" s="208"/>
      <c r="Y695" s="208"/>
      <c r="Z695" s="208"/>
      <c r="AA695" s="208"/>
      <c r="AB695" s="208"/>
    </row>
    <row r="696" ht="15.75" customHeight="1">
      <c r="A696" s="250"/>
      <c r="B696" s="244"/>
      <c r="C696" s="245"/>
      <c r="D696" s="246"/>
      <c r="E696" s="245"/>
      <c r="F696" s="247"/>
      <c r="G696" s="244"/>
      <c r="H696" s="243"/>
      <c r="I696" s="244"/>
      <c r="J696" s="244"/>
      <c r="K696" s="244"/>
      <c r="L696" s="248"/>
      <c r="M696" s="248"/>
      <c r="N696" s="244"/>
      <c r="O696" s="249"/>
      <c r="P696" s="249"/>
      <c r="Q696" s="208"/>
      <c r="R696" s="208"/>
      <c r="S696" s="208"/>
      <c r="T696" s="208"/>
      <c r="U696" s="208"/>
      <c r="V696" s="208"/>
      <c r="W696" s="208"/>
      <c r="X696" s="208"/>
      <c r="Y696" s="208"/>
      <c r="Z696" s="208"/>
      <c r="AA696" s="208"/>
      <c r="AB696" s="208"/>
    </row>
    <row r="697" ht="15.75" customHeight="1">
      <c r="A697" s="250"/>
      <c r="B697" s="244"/>
      <c r="C697" s="245"/>
      <c r="D697" s="246"/>
      <c r="E697" s="245"/>
      <c r="F697" s="247"/>
      <c r="G697" s="244"/>
      <c r="H697" s="243"/>
      <c r="I697" s="244"/>
      <c r="J697" s="244"/>
      <c r="K697" s="244"/>
      <c r="L697" s="248"/>
      <c r="M697" s="248"/>
      <c r="N697" s="244"/>
      <c r="O697" s="249"/>
      <c r="P697" s="249"/>
      <c r="Q697" s="208"/>
      <c r="R697" s="208"/>
      <c r="S697" s="208"/>
      <c r="T697" s="208"/>
      <c r="U697" s="208"/>
      <c r="V697" s="208"/>
      <c r="W697" s="208"/>
      <c r="X697" s="208"/>
      <c r="Y697" s="208"/>
      <c r="Z697" s="208"/>
      <c r="AA697" s="208"/>
      <c r="AB697" s="208"/>
    </row>
    <row r="698" ht="15.75" customHeight="1">
      <c r="A698" s="250"/>
      <c r="B698" s="244"/>
      <c r="C698" s="245"/>
      <c r="D698" s="246"/>
      <c r="E698" s="245"/>
      <c r="F698" s="247"/>
      <c r="G698" s="244"/>
      <c r="H698" s="243"/>
      <c r="I698" s="244"/>
      <c r="J698" s="244"/>
      <c r="K698" s="244"/>
      <c r="L698" s="248"/>
      <c r="M698" s="248"/>
      <c r="N698" s="244"/>
      <c r="O698" s="249"/>
      <c r="P698" s="249"/>
      <c r="Q698" s="208"/>
      <c r="R698" s="208"/>
      <c r="S698" s="208"/>
      <c r="T698" s="208"/>
      <c r="U698" s="208"/>
      <c r="V698" s="208"/>
      <c r="W698" s="208"/>
      <c r="X698" s="208"/>
      <c r="Y698" s="208"/>
      <c r="Z698" s="208"/>
      <c r="AA698" s="208"/>
      <c r="AB698" s="208"/>
    </row>
    <row r="699" ht="15.75" customHeight="1">
      <c r="A699" s="250"/>
      <c r="B699" s="244"/>
      <c r="C699" s="245"/>
      <c r="D699" s="246"/>
      <c r="E699" s="245"/>
      <c r="F699" s="247"/>
      <c r="G699" s="244"/>
      <c r="H699" s="243"/>
      <c r="I699" s="244"/>
      <c r="J699" s="244"/>
      <c r="K699" s="244"/>
      <c r="L699" s="248"/>
      <c r="M699" s="248"/>
      <c r="N699" s="244"/>
      <c r="O699" s="249"/>
      <c r="P699" s="249"/>
      <c r="Q699" s="208"/>
      <c r="R699" s="208"/>
      <c r="S699" s="208"/>
      <c r="T699" s="208"/>
      <c r="U699" s="208"/>
      <c r="V699" s="208"/>
      <c r="W699" s="208"/>
      <c r="X699" s="208"/>
      <c r="Y699" s="208"/>
      <c r="Z699" s="208"/>
      <c r="AA699" s="208"/>
      <c r="AB699" s="208"/>
    </row>
    <row r="700" ht="15.75" customHeight="1">
      <c r="A700" s="250"/>
      <c r="B700" s="244"/>
      <c r="C700" s="245"/>
      <c r="D700" s="246"/>
      <c r="E700" s="245"/>
      <c r="F700" s="247"/>
      <c r="G700" s="244"/>
      <c r="H700" s="243"/>
      <c r="I700" s="244"/>
      <c r="J700" s="244"/>
      <c r="K700" s="244"/>
      <c r="L700" s="248"/>
      <c r="M700" s="248"/>
      <c r="N700" s="244"/>
      <c r="O700" s="249"/>
      <c r="P700" s="249"/>
      <c r="Q700" s="208"/>
      <c r="R700" s="208"/>
      <c r="S700" s="208"/>
      <c r="T700" s="208"/>
      <c r="U700" s="208"/>
      <c r="V700" s="208"/>
      <c r="W700" s="208"/>
      <c r="X700" s="208"/>
      <c r="Y700" s="208"/>
      <c r="Z700" s="208"/>
      <c r="AA700" s="208"/>
      <c r="AB700" s="208"/>
    </row>
    <row r="701" ht="15.75" customHeight="1">
      <c r="A701" s="250"/>
      <c r="B701" s="244"/>
      <c r="C701" s="245"/>
      <c r="D701" s="246"/>
      <c r="E701" s="245"/>
      <c r="F701" s="247"/>
      <c r="G701" s="244"/>
      <c r="H701" s="243"/>
      <c r="I701" s="244"/>
      <c r="J701" s="244"/>
      <c r="K701" s="244"/>
      <c r="L701" s="248"/>
      <c r="M701" s="248"/>
      <c r="N701" s="244"/>
      <c r="O701" s="249"/>
      <c r="P701" s="249"/>
      <c r="Q701" s="208"/>
      <c r="R701" s="208"/>
      <c r="S701" s="208"/>
      <c r="T701" s="208"/>
      <c r="U701" s="208"/>
      <c r="V701" s="208"/>
      <c r="W701" s="208"/>
      <c r="X701" s="208"/>
      <c r="Y701" s="208"/>
      <c r="Z701" s="208"/>
      <c r="AA701" s="208"/>
      <c r="AB701" s="208"/>
    </row>
    <row r="702" ht="15.75" customHeight="1">
      <c r="A702" s="250"/>
      <c r="B702" s="244"/>
      <c r="C702" s="245"/>
      <c r="D702" s="246"/>
      <c r="E702" s="245"/>
      <c r="F702" s="247"/>
      <c r="G702" s="244"/>
      <c r="H702" s="243"/>
      <c r="I702" s="244"/>
      <c r="J702" s="244"/>
      <c r="K702" s="244"/>
      <c r="L702" s="248"/>
      <c r="M702" s="248"/>
      <c r="N702" s="244"/>
      <c r="O702" s="249"/>
      <c r="P702" s="249"/>
      <c r="Q702" s="208"/>
      <c r="R702" s="208"/>
      <c r="S702" s="208"/>
      <c r="T702" s="208"/>
      <c r="U702" s="208"/>
      <c r="V702" s="208"/>
      <c r="W702" s="208"/>
      <c r="X702" s="208"/>
      <c r="Y702" s="208"/>
      <c r="Z702" s="208"/>
      <c r="AA702" s="208"/>
      <c r="AB702" s="208"/>
    </row>
    <row r="703" ht="15.75" customHeight="1">
      <c r="A703" s="250"/>
      <c r="B703" s="244"/>
      <c r="C703" s="245"/>
      <c r="D703" s="246"/>
      <c r="E703" s="245"/>
      <c r="F703" s="247"/>
      <c r="G703" s="244"/>
      <c r="H703" s="243"/>
      <c r="I703" s="244"/>
      <c r="J703" s="244"/>
      <c r="K703" s="244"/>
      <c r="L703" s="248"/>
      <c r="M703" s="248"/>
      <c r="N703" s="244"/>
      <c r="O703" s="249"/>
      <c r="P703" s="249"/>
      <c r="Q703" s="208"/>
      <c r="R703" s="208"/>
      <c r="S703" s="208"/>
      <c r="T703" s="208"/>
      <c r="U703" s="208"/>
      <c r="V703" s="208"/>
      <c r="W703" s="208"/>
      <c r="X703" s="208"/>
      <c r="Y703" s="208"/>
      <c r="Z703" s="208"/>
      <c r="AA703" s="208"/>
      <c r="AB703" s="208"/>
    </row>
    <row r="704" ht="15.75" customHeight="1">
      <c r="A704" s="250"/>
      <c r="B704" s="244"/>
      <c r="C704" s="245"/>
      <c r="D704" s="246"/>
      <c r="E704" s="245"/>
      <c r="F704" s="247"/>
      <c r="G704" s="244"/>
      <c r="H704" s="243"/>
      <c r="I704" s="244"/>
      <c r="J704" s="244"/>
      <c r="K704" s="244"/>
      <c r="L704" s="248"/>
      <c r="M704" s="248"/>
      <c r="N704" s="244"/>
      <c r="O704" s="249"/>
      <c r="P704" s="249"/>
      <c r="Q704" s="208"/>
      <c r="R704" s="208"/>
      <c r="S704" s="208"/>
      <c r="T704" s="208"/>
      <c r="U704" s="208"/>
      <c r="V704" s="208"/>
      <c r="W704" s="208"/>
      <c r="X704" s="208"/>
      <c r="Y704" s="208"/>
      <c r="Z704" s="208"/>
      <c r="AA704" s="208"/>
      <c r="AB704" s="208"/>
    </row>
    <row r="705" ht="15.75" customHeight="1">
      <c r="A705" s="250"/>
      <c r="B705" s="244"/>
      <c r="C705" s="245"/>
      <c r="D705" s="246"/>
      <c r="E705" s="245"/>
      <c r="F705" s="247"/>
      <c r="G705" s="244"/>
      <c r="H705" s="243"/>
      <c r="I705" s="244"/>
      <c r="J705" s="244"/>
      <c r="K705" s="244"/>
      <c r="L705" s="248"/>
      <c r="M705" s="248"/>
      <c r="N705" s="244"/>
      <c r="O705" s="249"/>
      <c r="P705" s="249"/>
      <c r="Q705" s="208"/>
      <c r="R705" s="208"/>
      <c r="S705" s="208"/>
      <c r="T705" s="208"/>
      <c r="U705" s="208"/>
      <c r="V705" s="208"/>
      <c r="W705" s="208"/>
      <c r="X705" s="208"/>
      <c r="Y705" s="208"/>
      <c r="Z705" s="208"/>
      <c r="AA705" s="208"/>
      <c r="AB705" s="208"/>
    </row>
    <row r="706" ht="15.75" customHeight="1">
      <c r="A706" s="250"/>
      <c r="B706" s="244"/>
      <c r="C706" s="245"/>
      <c r="D706" s="246"/>
      <c r="E706" s="245"/>
      <c r="F706" s="247"/>
      <c r="G706" s="244"/>
      <c r="H706" s="243"/>
      <c r="I706" s="244"/>
      <c r="J706" s="244"/>
      <c r="K706" s="244"/>
      <c r="L706" s="248"/>
      <c r="M706" s="248"/>
      <c r="N706" s="244"/>
      <c r="O706" s="249"/>
      <c r="P706" s="249"/>
      <c r="Q706" s="208"/>
      <c r="R706" s="208"/>
      <c r="S706" s="208"/>
      <c r="T706" s="208"/>
      <c r="U706" s="208"/>
      <c r="V706" s="208"/>
      <c r="W706" s="208"/>
      <c r="X706" s="208"/>
      <c r="Y706" s="208"/>
      <c r="Z706" s="208"/>
      <c r="AA706" s="208"/>
      <c r="AB706" s="208"/>
    </row>
    <row r="707" ht="15.75" customHeight="1">
      <c r="A707" s="250"/>
      <c r="B707" s="244"/>
      <c r="C707" s="245"/>
      <c r="D707" s="246"/>
      <c r="E707" s="245"/>
      <c r="F707" s="247"/>
      <c r="G707" s="244"/>
      <c r="H707" s="243"/>
      <c r="I707" s="244"/>
      <c r="J707" s="244"/>
      <c r="K707" s="244"/>
      <c r="L707" s="248"/>
      <c r="M707" s="248"/>
      <c r="N707" s="244"/>
      <c r="O707" s="249"/>
      <c r="P707" s="249"/>
      <c r="Q707" s="208"/>
      <c r="R707" s="208"/>
      <c r="S707" s="208"/>
      <c r="T707" s="208"/>
      <c r="U707" s="208"/>
      <c r="V707" s="208"/>
      <c r="W707" s="208"/>
      <c r="X707" s="208"/>
      <c r="Y707" s="208"/>
      <c r="Z707" s="208"/>
      <c r="AA707" s="208"/>
      <c r="AB707" s="208"/>
    </row>
    <row r="708" ht="15.75" customHeight="1">
      <c r="A708" s="250"/>
      <c r="B708" s="244"/>
      <c r="C708" s="245"/>
      <c r="D708" s="246"/>
      <c r="E708" s="245"/>
      <c r="F708" s="247"/>
      <c r="G708" s="244"/>
      <c r="H708" s="243"/>
      <c r="I708" s="244"/>
      <c r="J708" s="244"/>
      <c r="K708" s="244"/>
      <c r="L708" s="248"/>
      <c r="M708" s="248"/>
      <c r="N708" s="244"/>
      <c r="O708" s="249"/>
      <c r="P708" s="249"/>
      <c r="Q708" s="208"/>
      <c r="R708" s="208"/>
      <c r="S708" s="208"/>
      <c r="T708" s="208"/>
      <c r="U708" s="208"/>
      <c r="V708" s="208"/>
      <c r="W708" s="208"/>
      <c r="X708" s="208"/>
      <c r="Y708" s="208"/>
      <c r="Z708" s="208"/>
      <c r="AA708" s="208"/>
      <c r="AB708" s="208"/>
    </row>
    <row r="709" ht="15.75" customHeight="1">
      <c r="A709" s="250"/>
      <c r="B709" s="244"/>
      <c r="C709" s="245"/>
      <c r="D709" s="246"/>
      <c r="E709" s="245"/>
      <c r="F709" s="247"/>
      <c r="G709" s="244"/>
      <c r="H709" s="243"/>
      <c r="I709" s="244"/>
      <c r="J709" s="244"/>
      <c r="K709" s="244"/>
      <c r="L709" s="248"/>
      <c r="M709" s="248"/>
      <c r="N709" s="244"/>
      <c r="O709" s="249"/>
      <c r="P709" s="249"/>
      <c r="Q709" s="208"/>
      <c r="R709" s="208"/>
      <c r="S709" s="208"/>
      <c r="T709" s="208"/>
      <c r="U709" s="208"/>
      <c r="V709" s="208"/>
      <c r="W709" s="208"/>
      <c r="X709" s="208"/>
      <c r="Y709" s="208"/>
      <c r="Z709" s="208"/>
      <c r="AA709" s="208"/>
      <c r="AB709" s="208"/>
    </row>
    <row r="710" ht="15.75" customHeight="1">
      <c r="A710" s="250"/>
      <c r="B710" s="244"/>
      <c r="C710" s="245"/>
      <c r="D710" s="246"/>
      <c r="E710" s="245"/>
      <c r="F710" s="247"/>
      <c r="G710" s="244"/>
      <c r="H710" s="243"/>
      <c r="I710" s="244"/>
      <c r="J710" s="244"/>
      <c r="K710" s="244"/>
      <c r="L710" s="248"/>
      <c r="M710" s="248"/>
      <c r="N710" s="244"/>
      <c r="O710" s="249"/>
      <c r="P710" s="249"/>
      <c r="Q710" s="208"/>
      <c r="R710" s="208"/>
      <c r="S710" s="208"/>
      <c r="T710" s="208"/>
      <c r="U710" s="208"/>
      <c r="V710" s="208"/>
      <c r="W710" s="208"/>
      <c r="X710" s="208"/>
      <c r="Y710" s="208"/>
      <c r="Z710" s="208"/>
      <c r="AA710" s="208"/>
      <c r="AB710" s="208"/>
    </row>
    <row r="711" ht="15.75" customHeight="1">
      <c r="A711" s="250"/>
      <c r="B711" s="244"/>
      <c r="C711" s="245"/>
      <c r="D711" s="246"/>
      <c r="E711" s="245"/>
      <c r="F711" s="247"/>
      <c r="G711" s="244"/>
      <c r="H711" s="243"/>
      <c r="I711" s="244"/>
      <c r="J711" s="244"/>
      <c r="K711" s="244"/>
      <c r="L711" s="248"/>
      <c r="M711" s="248"/>
      <c r="N711" s="244"/>
      <c r="O711" s="249"/>
      <c r="P711" s="249"/>
      <c r="Q711" s="208"/>
      <c r="R711" s="208"/>
      <c r="S711" s="208"/>
      <c r="T711" s="208"/>
      <c r="U711" s="208"/>
      <c r="V711" s="208"/>
      <c r="W711" s="208"/>
      <c r="X711" s="208"/>
      <c r="Y711" s="208"/>
      <c r="Z711" s="208"/>
      <c r="AA711" s="208"/>
      <c r="AB711" s="208"/>
    </row>
    <row r="712" ht="15.75" customHeight="1">
      <c r="A712" s="250"/>
      <c r="B712" s="244"/>
      <c r="C712" s="245"/>
      <c r="D712" s="246"/>
      <c r="E712" s="245"/>
      <c r="F712" s="247"/>
      <c r="G712" s="244"/>
      <c r="H712" s="243"/>
      <c r="I712" s="244"/>
      <c r="J712" s="244"/>
      <c r="K712" s="244"/>
      <c r="L712" s="248"/>
      <c r="M712" s="248"/>
      <c r="N712" s="244"/>
      <c r="O712" s="249"/>
      <c r="P712" s="249"/>
      <c r="Q712" s="208"/>
      <c r="R712" s="208"/>
      <c r="S712" s="208"/>
      <c r="T712" s="208"/>
      <c r="U712" s="208"/>
      <c r="V712" s="208"/>
      <c r="W712" s="208"/>
      <c r="X712" s="208"/>
      <c r="Y712" s="208"/>
      <c r="Z712" s="208"/>
      <c r="AA712" s="208"/>
      <c r="AB712" s="208"/>
    </row>
    <row r="713" ht="15.75" customHeight="1">
      <c r="A713" s="250"/>
      <c r="B713" s="244"/>
      <c r="C713" s="245"/>
      <c r="D713" s="246"/>
      <c r="E713" s="245"/>
      <c r="F713" s="247"/>
      <c r="G713" s="244"/>
      <c r="H713" s="243"/>
      <c r="I713" s="244"/>
      <c r="J713" s="244"/>
      <c r="K713" s="244"/>
      <c r="L713" s="248"/>
      <c r="M713" s="248"/>
      <c r="N713" s="244"/>
      <c r="O713" s="249"/>
      <c r="P713" s="249"/>
      <c r="Q713" s="208"/>
      <c r="R713" s="208"/>
      <c r="S713" s="208"/>
      <c r="T713" s="208"/>
      <c r="U713" s="208"/>
      <c r="V713" s="208"/>
      <c r="W713" s="208"/>
      <c r="X713" s="208"/>
      <c r="Y713" s="208"/>
      <c r="Z713" s="208"/>
      <c r="AA713" s="208"/>
      <c r="AB713" s="208"/>
    </row>
    <row r="714" ht="15.75" customHeight="1">
      <c r="A714" s="250"/>
      <c r="B714" s="244"/>
      <c r="C714" s="245"/>
      <c r="D714" s="246"/>
      <c r="E714" s="245"/>
      <c r="F714" s="247"/>
      <c r="G714" s="244"/>
      <c r="H714" s="243"/>
      <c r="I714" s="244"/>
      <c r="J714" s="244"/>
      <c r="K714" s="244"/>
      <c r="L714" s="248"/>
      <c r="M714" s="248"/>
      <c r="N714" s="244"/>
      <c r="O714" s="249"/>
      <c r="P714" s="249"/>
      <c r="Q714" s="208"/>
      <c r="R714" s="208"/>
      <c r="S714" s="208"/>
      <c r="T714" s="208"/>
      <c r="U714" s="208"/>
      <c r="V714" s="208"/>
      <c r="W714" s="208"/>
      <c r="X714" s="208"/>
      <c r="Y714" s="208"/>
      <c r="Z714" s="208"/>
      <c r="AA714" s="208"/>
      <c r="AB714" s="208"/>
    </row>
    <row r="715" ht="15.75" customHeight="1">
      <c r="A715" s="250"/>
      <c r="B715" s="244"/>
      <c r="C715" s="245"/>
      <c r="D715" s="246"/>
      <c r="E715" s="245"/>
      <c r="F715" s="247"/>
      <c r="G715" s="244"/>
      <c r="H715" s="243"/>
      <c r="I715" s="244"/>
      <c r="J715" s="244"/>
      <c r="K715" s="244"/>
      <c r="L715" s="248"/>
      <c r="M715" s="248"/>
      <c r="N715" s="244"/>
      <c r="O715" s="249"/>
      <c r="P715" s="249"/>
      <c r="Q715" s="208"/>
      <c r="R715" s="208"/>
      <c r="S715" s="208"/>
      <c r="T715" s="208"/>
      <c r="U715" s="208"/>
      <c r="V715" s="208"/>
      <c r="W715" s="208"/>
      <c r="X715" s="208"/>
      <c r="Y715" s="208"/>
      <c r="Z715" s="208"/>
      <c r="AA715" s="208"/>
      <c r="AB715" s="208"/>
    </row>
    <row r="716" ht="15.75" customHeight="1">
      <c r="A716" s="250"/>
      <c r="B716" s="244"/>
      <c r="C716" s="245"/>
      <c r="D716" s="246"/>
      <c r="E716" s="245"/>
      <c r="F716" s="247"/>
      <c r="G716" s="244"/>
      <c r="H716" s="243"/>
      <c r="I716" s="244"/>
      <c r="J716" s="244"/>
      <c r="K716" s="244"/>
      <c r="L716" s="248"/>
      <c r="M716" s="248"/>
      <c r="N716" s="244"/>
      <c r="O716" s="249"/>
      <c r="P716" s="249"/>
      <c r="Q716" s="208"/>
      <c r="R716" s="208"/>
      <c r="S716" s="208"/>
      <c r="T716" s="208"/>
      <c r="U716" s="208"/>
      <c r="V716" s="208"/>
      <c r="W716" s="208"/>
      <c r="X716" s="208"/>
      <c r="Y716" s="208"/>
      <c r="Z716" s="208"/>
      <c r="AA716" s="208"/>
      <c r="AB716" s="208"/>
    </row>
    <row r="717" ht="15.75" customHeight="1">
      <c r="A717" s="250"/>
      <c r="B717" s="244"/>
      <c r="C717" s="245"/>
      <c r="D717" s="246"/>
      <c r="E717" s="245"/>
      <c r="F717" s="247"/>
      <c r="G717" s="244"/>
      <c r="H717" s="243"/>
      <c r="I717" s="244"/>
      <c r="J717" s="244"/>
      <c r="K717" s="244"/>
      <c r="L717" s="248"/>
      <c r="M717" s="248"/>
      <c r="N717" s="244"/>
      <c r="O717" s="249"/>
      <c r="P717" s="249"/>
      <c r="Q717" s="208"/>
      <c r="R717" s="208"/>
      <c r="S717" s="208"/>
      <c r="T717" s="208"/>
      <c r="U717" s="208"/>
      <c r="V717" s="208"/>
      <c r="W717" s="208"/>
      <c r="X717" s="208"/>
      <c r="Y717" s="208"/>
      <c r="Z717" s="208"/>
      <c r="AA717" s="208"/>
      <c r="AB717" s="208"/>
    </row>
    <row r="718" ht="15.75" customHeight="1">
      <c r="A718" s="250"/>
      <c r="B718" s="244"/>
      <c r="C718" s="245"/>
      <c r="D718" s="246"/>
      <c r="E718" s="245"/>
      <c r="F718" s="247"/>
      <c r="G718" s="244"/>
      <c r="H718" s="243"/>
      <c r="I718" s="244"/>
      <c r="J718" s="244"/>
      <c r="K718" s="244"/>
      <c r="L718" s="248"/>
      <c r="M718" s="248"/>
      <c r="N718" s="244"/>
      <c r="O718" s="249"/>
      <c r="P718" s="249"/>
      <c r="Q718" s="208"/>
      <c r="R718" s="208"/>
      <c r="S718" s="208"/>
      <c r="T718" s="208"/>
      <c r="U718" s="208"/>
      <c r="V718" s="208"/>
      <c r="W718" s="208"/>
      <c r="X718" s="208"/>
      <c r="Y718" s="208"/>
      <c r="Z718" s="208"/>
      <c r="AA718" s="208"/>
      <c r="AB718" s="208"/>
    </row>
    <row r="719" ht="15.75" customHeight="1">
      <c r="A719" s="250"/>
      <c r="B719" s="244"/>
      <c r="C719" s="245"/>
      <c r="D719" s="246"/>
      <c r="E719" s="245"/>
      <c r="F719" s="247"/>
      <c r="G719" s="244"/>
      <c r="H719" s="243"/>
      <c r="I719" s="244"/>
      <c r="J719" s="244"/>
      <c r="K719" s="244"/>
      <c r="L719" s="248"/>
      <c r="M719" s="248"/>
      <c r="N719" s="244"/>
      <c r="O719" s="249"/>
      <c r="P719" s="249"/>
      <c r="Q719" s="208"/>
      <c r="R719" s="208"/>
      <c r="S719" s="208"/>
      <c r="T719" s="208"/>
      <c r="U719" s="208"/>
      <c r="V719" s="208"/>
      <c r="W719" s="208"/>
      <c r="X719" s="208"/>
      <c r="Y719" s="208"/>
      <c r="Z719" s="208"/>
      <c r="AA719" s="208"/>
      <c r="AB719" s="208"/>
    </row>
    <row r="720" ht="15.75" customHeight="1">
      <c r="A720" s="250"/>
      <c r="B720" s="244"/>
      <c r="C720" s="245"/>
      <c r="D720" s="246"/>
      <c r="E720" s="245"/>
      <c r="F720" s="247"/>
      <c r="G720" s="244"/>
      <c r="H720" s="243"/>
      <c r="I720" s="244"/>
      <c r="J720" s="244"/>
      <c r="K720" s="244"/>
      <c r="L720" s="248"/>
      <c r="M720" s="248"/>
      <c r="N720" s="244"/>
      <c r="O720" s="249"/>
      <c r="P720" s="249"/>
      <c r="Q720" s="208"/>
      <c r="R720" s="208"/>
      <c r="S720" s="208"/>
      <c r="T720" s="208"/>
      <c r="U720" s="208"/>
      <c r="V720" s="208"/>
      <c r="W720" s="208"/>
      <c r="X720" s="208"/>
      <c r="Y720" s="208"/>
      <c r="Z720" s="208"/>
      <c r="AA720" s="208"/>
      <c r="AB720" s="208"/>
    </row>
    <row r="721" ht="15.75" customHeight="1">
      <c r="A721" s="250"/>
      <c r="B721" s="244"/>
      <c r="C721" s="245"/>
      <c r="D721" s="246"/>
      <c r="E721" s="245"/>
      <c r="F721" s="247"/>
      <c r="G721" s="244"/>
      <c r="H721" s="243"/>
      <c r="I721" s="244"/>
      <c r="J721" s="244"/>
      <c r="K721" s="244"/>
      <c r="L721" s="248"/>
      <c r="M721" s="248"/>
      <c r="N721" s="244"/>
      <c r="O721" s="249"/>
      <c r="P721" s="249"/>
      <c r="Q721" s="208"/>
      <c r="R721" s="208"/>
      <c r="S721" s="208"/>
      <c r="T721" s="208"/>
      <c r="U721" s="208"/>
      <c r="V721" s="208"/>
      <c r="W721" s="208"/>
      <c r="X721" s="208"/>
      <c r="Y721" s="208"/>
      <c r="Z721" s="208"/>
      <c r="AA721" s="208"/>
      <c r="AB721" s="208"/>
    </row>
    <row r="722" ht="15.75" customHeight="1">
      <c r="A722" s="250"/>
      <c r="B722" s="244"/>
      <c r="C722" s="245"/>
      <c r="D722" s="246"/>
      <c r="E722" s="245"/>
      <c r="F722" s="247"/>
      <c r="G722" s="244"/>
      <c r="H722" s="243"/>
      <c r="I722" s="244"/>
      <c r="J722" s="244"/>
      <c r="K722" s="244"/>
      <c r="L722" s="248"/>
      <c r="M722" s="248"/>
      <c r="N722" s="244"/>
      <c r="O722" s="249"/>
      <c r="P722" s="249"/>
      <c r="Q722" s="208"/>
      <c r="R722" s="208"/>
      <c r="S722" s="208"/>
      <c r="T722" s="208"/>
      <c r="U722" s="208"/>
      <c r="V722" s="208"/>
      <c r="W722" s="208"/>
      <c r="X722" s="208"/>
      <c r="Y722" s="208"/>
      <c r="Z722" s="208"/>
      <c r="AA722" s="208"/>
      <c r="AB722" s="208"/>
    </row>
    <row r="723" ht="15.75" customHeight="1">
      <c r="A723" s="250"/>
      <c r="B723" s="244"/>
      <c r="C723" s="245"/>
      <c r="D723" s="246"/>
      <c r="E723" s="245"/>
      <c r="F723" s="247"/>
      <c r="G723" s="244"/>
      <c r="H723" s="243"/>
      <c r="I723" s="244"/>
      <c r="J723" s="244"/>
      <c r="K723" s="244"/>
      <c r="L723" s="248"/>
      <c r="M723" s="248"/>
      <c r="N723" s="244"/>
      <c r="O723" s="249"/>
      <c r="P723" s="249"/>
      <c r="Q723" s="208"/>
      <c r="R723" s="208"/>
      <c r="S723" s="208"/>
      <c r="T723" s="208"/>
      <c r="U723" s="208"/>
      <c r="V723" s="208"/>
      <c r="W723" s="208"/>
      <c r="X723" s="208"/>
      <c r="Y723" s="208"/>
      <c r="Z723" s="208"/>
      <c r="AA723" s="208"/>
      <c r="AB723" s="208"/>
    </row>
    <row r="724" ht="15.75" customHeight="1">
      <c r="A724" s="250"/>
      <c r="B724" s="244"/>
      <c r="C724" s="245"/>
      <c r="D724" s="246"/>
      <c r="E724" s="245"/>
      <c r="F724" s="247"/>
      <c r="G724" s="244"/>
      <c r="H724" s="243"/>
      <c r="I724" s="244"/>
      <c r="J724" s="244"/>
      <c r="K724" s="244"/>
      <c r="L724" s="248"/>
      <c r="M724" s="248"/>
      <c r="N724" s="244"/>
      <c r="O724" s="249"/>
      <c r="P724" s="249"/>
      <c r="Q724" s="208"/>
      <c r="R724" s="208"/>
      <c r="S724" s="208"/>
      <c r="T724" s="208"/>
      <c r="U724" s="208"/>
      <c r="V724" s="208"/>
      <c r="W724" s="208"/>
      <c r="X724" s="208"/>
      <c r="Y724" s="208"/>
      <c r="Z724" s="208"/>
      <c r="AA724" s="208"/>
      <c r="AB724" s="208"/>
    </row>
    <row r="725" ht="15.75" customHeight="1">
      <c r="A725" s="250"/>
      <c r="B725" s="244"/>
      <c r="C725" s="245"/>
      <c r="D725" s="246"/>
      <c r="E725" s="245"/>
      <c r="F725" s="247"/>
      <c r="G725" s="244"/>
      <c r="H725" s="243"/>
      <c r="I725" s="244"/>
      <c r="J725" s="244"/>
      <c r="K725" s="244"/>
      <c r="L725" s="248"/>
      <c r="M725" s="248"/>
      <c r="N725" s="244"/>
      <c r="O725" s="249"/>
      <c r="P725" s="249"/>
      <c r="Q725" s="208"/>
      <c r="R725" s="208"/>
      <c r="S725" s="208"/>
      <c r="T725" s="208"/>
      <c r="U725" s="208"/>
      <c r="V725" s="208"/>
      <c r="W725" s="208"/>
      <c r="X725" s="208"/>
      <c r="Y725" s="208"/>
      <c r="Z725" s="208"/>
      <c r="AA725" s="208"/>
      <c r="AB725" s="208"/>
    </row>
    <row r="726" ht="15.75" customHeight="1">
      <c r="A726" s="250"/>
      <c r="B726" s="244"/>
      <c r="C726" s="245"/>
      <c r="D726" s="246"/>
      <c r="E726" s="245"/>
      <c r="F726" s="247"/>
      <c r="G726" s="244"/>
      <c r="H726" s="243"/>
      <c r="I726" s="244"/>
      <c r="J726" s="244"/>
      <c r="K726" s="244"/>
      <c r="L726" s="248"/>
      <c r="M726" s="248"/>
      <c r="N726" s="244"/>
      <c r="O726" s="249"/>
      <c r="P726" s="249"/>
      <c r="Q726" s="208"/>
      <c r="R726" s="208"/>
      <c r="S726" s="208"/>
      <c r="T726" s="208"/>
      <c r="U726" s="208"/>
      <c r="V726" s="208"/>
      <c r="W726" s="208"/>
      <c r="X726" s="208"/>
      <c r="Y726" s="208"/>
      <c r="Z726" s="208"/>
      <c r="AA726" s="208"/>
      <c r="AB726" s="208"/>
    </row>
    <row r="727" ht="15.75" customHeight="1">
      <c r="A727" s="250"/>
      <c r="B727" s="244"/>
      <c r="C727" s="245"/>
      <c r="D727" s="246"/>
      <c r="E727" s="245"/>
      <c r="F727" s="247"/>
      <c r="G727" s="244"/>
      <c r="H727" s="243"/>
      <c r="I727" s="244"/>
      <c r="J727" s="244"/>
      <c r="K727" s="244"/>
      <c r="L727" s="248"/>
      <c r="M727" s="248"/>
      <c r="N727" s="244"/>
      <c r="O727" s="249"/>
      <c r="P727" s="249"/>
      <c r="Q727" s="208"/>
      <c r="R727" s="208"/>
      <c r="S727" s="208"/>
      <c r="T727" s="208"/>
      <c r="U727" s="208"/>
      <c r="V727" s="208"/>
      <c r="W727" s="208"/>
      <c r="X727" s="208"/>
      <c r="Y727" s="208"/>
      <c r="Z727" s="208"/>
      <c r="AA727" s="208"/>
      <c r="AB727" s="208"/>
    </row>
    <row r="728" ht="15.75" customHeight="1">
      <c r="A728" s="250"/>
      <c r="B728" s="244"/>
      <c r="C728" s="245"/>
      <c r="D728" s="246"/>
      <c r="E728" s="245"/>
      <c r="F728" s="247"/>
      <c r="G728" s="244"/>
      <c r="H728" s="243"/>
      <c r="I728" s="244"/>
      <c r="J728" s="244"/>
      <c r="K728" s="244"/>
      <c r="L728" s="248"/>
      <c r="M728" s="248"/>
      <c r="N728" s="244"/>
      <c r="O728" s="249"/>
      <c r="P728" s="249"/>
      <c r="Q728" s="208"/>
      <c r="R728" s="208"/>
      <c r="S728" s="208"/>
      <c r="T728" s="208"/>
      <c r="U728" s="208"/>
      <c r="V728" s="208"/>
      <c r="W728" s="208"/>
      <c r="X728" s="208"/>
      <c r="Y728" s="208"/>
      <c r="Z728" s="208"/>
      <c r="AA728" s="208"/>
      <c r="AB728" s="208"/>
    </row>
    <row r="729" ht="15.75" customHeight="1">
      <c r="A729" s="250"/>
      <c r="B729" s="244"/>
      <c r="C729" s="245"/>
      <c r="D729" s="246"/>
      <c r="E729" s="245"/>
      <c r="F729" s="247"/>
      <c r="G729" s="244"/>
      <c r="H729" s="243"/>
      <c r="I729" s="244"/>
      <c r="J729" s="244"/>
      <c r="K729" s="244"/>
      <c r="L729" s="248"/>
      <c r="M729" s="248"/>
      <c r="N729" s="244"/>
      <c r="O729" s="249"/>
      <c r="P729" s="249"/>
      <c r="Q729" s="208"/>
      <c r="R729" s="208"/>
      <c r="S729" s="208"/>
      <c r="T729" s="208"/>
      <c r="U729" s="208"/>
      <c r="V729" s="208"/>
      <c r="W729" s="208"/>
      <c r="X729" s="208"/>
      <c r="Y729" s="208"/>
      <c r="Z729" s="208"/>
      <c r="AA729" s="208"/>
      <c r="AB729" s="208"/>
    </row>
    <row r="730" ht="15.75" customHeight="1">
      <c r="A730" s="250"/>
      <c r="B730" s="244"/>
      <c r="C730" s="245"/>
      <c r="D730" s="246"/>
      <c r="E730" s="245"/>
      <c r="F730" s="247"/>
      <c r="G730" s="244"/>
      <c r="H730" s="243"/>
      <c r="I730" s="244"/>
      <c r="J730" s="244"/>
      <c r="K730" s="244"/>
      <c r="L730" s="248"/>
      <c r="M730" s="248"/>
      <c r="N730" s="244"/>
      <c r="O730" s="249"/>
      <c r="P730" s="249"/>
      <c r="Q730" s="208"/>
      <c r="R730" s="208"/>
      <c r="S730" s="208"/>
      <c r="T730" s="208"/>
      <c r="U730" s="208"/>
      <c r="V730" s="208"/>
      <c r="W730" s="208"/>
      <c r="X730" s="208"/>
      <c r="Y730" s="208"/>
      <c r="Z730" s="208"/>
      <c r="AA730" s="208"/>
      <c r="AB730" s="208"/>
    </row>
    <row r="731" ht="15.75" customHeight="1">
      <c r="A731" s="250"/>
      <c r="B731" s="244"/>
      <c r="C731" s="245"/>
      <c r="D731" s="246"/>
      <c r="E731" s="245"/>
      <c r="F731" s="247"/>
      <c r="G731" s="244"/>
      <c r="H731" s="243"/>
      <c r="I731" s="244"/>
      <c r="J731" s="244"/>
      <c r="K731" s="244"/>
      <c r="L731" s="248"/>
      <c r="M731" s="248"/>
      <c r="N731" s="244"/>
      <c r="O731" s="249"/>
      <c r="P731" s="249"/>
      <c r="Q731" s="208"/>
      <c r="R731" s="208"/>
      <c r="S731" s="208"/>
      <c r="T731" s="208"/>
      <c r="U731" s="208"/>
      <c r="V731" s="208"/>
      <c r="W731" s="208"/>
      <c r="X731" s="208"/>
      <c r="Y731" s="208"/>
      <c r="Z731" s="208"/>
      <c r="AA731" s="208"/>
      <c r="AB731" s="208"/>
    </row>
    <row r="732" ht="15.75" customHeight="1">
      <c r="A732" s="250"/>
      <c r="B732" s="244"/>
      <c r="C732" s="245"/>
      <c r="D732" s="246"/>
      <c r="E732" s="245"/>
      <c r="F732" s="247"/>
      <c r="G732" s="244"/>
      <c r="H732" s="243"/>
      <c r="I732" s="244"/>
      <c r="J732" s="244"/>
      <c r="K732" s="244"/>
      <c r="L732" s="248"/>
      <c r="M732" s="248"/>
      <c r="N732" s="244"/>
      <c r="O732" s="249"/>
      <c r="P732" s="249"/>
      <c r="Q732" s="208"/>
      <c r="R732" s="208"/>
      <c r="S732" s="208"/>
      <c r="T732" s="208"/>
      <c r="U732" s="208"/>
      <c r="V732" s="208"/>
      <c r="W732" s="208"/>
      <c r="X732" s="208"/>
      <c r="Y732" s="208"/>
      <c r="Z732" s="208"/>
      <c r="AA732" s="208"/>
      <c r="AB732" s="208"/>
    </row>
    <row r="733" ht="15.75" customHeight="1">
      <c r="A733" s="250"/>
      <c r="B733" s="244"/>
      <c r="C733" s="245"/>
      <c r="D733" s="246"/>
      <c r="E733" s="245"/>
      <c r="F733" s="247"/>
      <c r="G733" s="244"/>
      <c r="H733" s="243"/>
      <c r="I733" s="244"/>
      <c r="J733" s="244"/>
      <c r="K733" s="244"/>
      <c r="L733" s="248"/>
      <c r="M733" s="248"/>
      <c r="N733" s="244"/>
      <c r="O733" s="249"/>
      <c r="P733" s="249"/>
      <c r="Q733" s="208"/>
      <c r="R733" s="208"/>
      <c r="S733" s="208"/>
      <c r="T733" s="208"/>
      <c r="U733" s="208"/>
      <c r="V733" s="208"/>
      <c r="W733" s="208"/>
      <c r="X733" s="208"/>
      <c r="Y733" s="208"/>
      <c r="Z733" s="208"/>
      <c r="AA733" s="208"/>
      <c r="AB733" s="208"/>
    </row>
    <row r="734" ht="15.75" customHeight="1">
      <c r="A734" s="250"/>
      <c r="B734" s="244"/>
      <c r="C734" s="245"/>
      <c r="D734" s="246"/>
      <c r="E734" s="245"/>
      <c r="F734" s="247"/>
      <c r="G734" s="244"/>
      <c r="H734" s="243"/>
      <c r="I734" s="244"/>
      <c r="J734" s="244"/>
      <c r="K734" s="244"/>
      <c r="L734" s="248"/>
      <c r="M734" s="248"/>
      <c r="N734" s="244"/>
      <c r="O734" s="249"/>
      <c r="P734" s="249"/>
      <c r="Q734" s="208"/>
      <c r="R734" s="208"/>
      <c r="S734" s="208"/>
      <c r="T734" s="208"/>
      <c r="U734" s="208"/>
      <c r="V734" s="208"/>
      <c r="W734" s="208"/>
      <c r="X734" s="208"/>
      <c r="Y734" s="208"/>
      <c r="Z734" s="208"/>
      <c r="AA734" s="208"/>
      <c r="AB734" s="208"/>
    </row>
    <row r="735" ht="15.75" customHeight="1">
      <c r="A735" s="250"/>
      <c r="B735" s="244"/>
      <c r="C735" s="245"/>
      <c r="D735" s="246"/>
      <c r="E735" s="245"/>
      <c r="F735" s="247"/>
      <c r="G735" s="244"/>
      <c r="H735" s="243"/>
      <c r="I735" s="244"/>
      <c r="J735" s="244"/>
      <c r="K735" s="244"/>
      <c r="L735" s="248"/>
      <c r="M735" s="248"/>
      <c r="N735" s="244"/>
      <c r="O735" s="249"/>
      <c r="P735" s="249"/>
      <c r="Q735" s="208"/>
      <c r="R735" s="208"/>
      <c r="S735" s="208"/>
      <c r="T735" s="208"/>
      <c r="U735" s="208"/>
      <c r="V735" s="208"/>
      <c r="W735" s="208"/>
      <c r="X735" s="208"/>
      <c r="Y735" s="208"/>
      <c r="Z735" s="208"/>
      <c r="AA735" s="208"/>
      <c r="AB735" s="208"/>
    </row>
    <row r="736" ht="15.75" customHeight="1">
      <c r="A736" s="250"/>
      <c r="B736" s="244"/>
      <c r="C736" s="245"/>
      <c r="D736" s="246"/>
      <c r="E736" s="245"/>
      <c r="F736" s="247"/>
      <c r="G736" s="244"/>
      <c r="H736" s="243"/>
      <c r="I736" s="244"/>
      <c r="J736" s="244"/>
      <c r="K736" s="244"/>
      <c r="L736" s="248"/>
      <c r="M736" s="248"/>
      <c r="N736" s="244"/>
      <c r="O736" s="249"/>
      <c r="P736" s="249"/>
      <c r="Q736" s="208"/>
      <c r="R736" s="208"/>
      <c r="S736" s="208"/>
      <c r="T736" s="208"/>
      <c r="U736" s="208"/>
      <c r="V736" s="208"/>
      <c r="W736" s="208"/>
      <c r="X736" s="208"/>
      <c r="Y736" s="208"/>
      <c r="Z736" s="208"/>
      <c r="AA736" s="208"/>
      <c r="AB736" s="208"/>
    </row>
    <row r="737" ht="15.75" customHeight="1">
      <c r="A737" s="250"/>
      <c r="B737" s="244"/>
      <c r="C737" s="245"/>
      <c r="D737" s="246"/>
      <c r="E737" s="245"/>
      <c r="F737" s="247"/>
      <c r="G737" s="244"/>
      <c r="H737" s="243"/>
      <c r="I737" s="244"/>
      <c r="J737" s="244"/>
      <c r="K737" s="244"/>
      <c r="L737" s="248"/>
      <c r="M737" s="248"/>
      <c r="N737" s="244"/>
      <c r="O737" s="249"/>
      <c r="P737" s="249"/>
      <c r="Q737" s="208"/>
      <c r="R737" s="208"/>
      <c r="S737" s="208"/>
      <c r="T737" s="208"/>
      <c r="U737" s="208"/>
      <c r="V737" s="208"/>
      <c r="W737" s="208"/>
      <c r="X737" s="208"/>
      <c r="Y737" s="208"/>
      <c r="Z737" s="208"/>
      <c r="AA737" s="208"/>
      <c r="AB737" s="208"/>
    </row>
    <row r="738" ht="15.75" customHeight="1">
      <c r="A738" s="250"/>
      <c r="B738" s="244"/>
      <c r="C738" s="245"/>
      <c r="D738" s="246"/>
      <c r="E738" s="245"/>
      <c r="F738" s="247"/>
      <c r="G738" s="244"/>
      <c r="H738" s="243"/>
      <c r="I738" s="244"/>
      <c r="J738" s="244"/>
      <c r="K738" s="244"/>
      <c r="L738" s="248"/>
      <c r="M738" s="248"/>
      <c r="N738" s="244"/>
      <c r="O738" s="249"/>
      <c r="P738" s="249"/>
      <c r="Q738" s="208"/>
      <c r="R738" s="208"/>
      <c r="S738" s="208"/>
      <c r="T738" s="208"/>
      <c r="U738" s="208"/>
      <c r="V738" s="208"/>
      <c r="W738" s="208"/>
      <c r="X738" s="208"/>
      <c r="Y738" s="208"/>
      <c r="Z738" s="208"/>
      <c r="AA738" s="208"/>
      <c r="AB738" s="208"/>
    </row>
    <row r="739" ht="15.75" customHeight="1">
      <c r="A739" s="250"/>
      <c r="B739" s="244"/>
      <c r="C739" s="245"/>
      <c r="D739" s="246"/>
      <c r="E739" s="245"/>
      <c r="F739" s="247"/>
      <c r="G739" s="244"/>
      <c r="H739" s="243"/>
      <c r="I739" s="244"/>
      <c r="J739" s="244"/>
      <c r="K739" s="244"/>
      <c r="L739" s="248"/>
      <c r="M739" s="248"/>
      <c r="N739" s="244"/>
      <c r="O739" s="249"/>
      <c r="P739" s="249"/>
      <c r="Q739" s="208"/>
      <c r="R739" s="208"/>
      <c r="S739" s="208"/>
      <c r="T739" s="208"/>
      <c r="U739" s="208"/>
      <c r="V739" s="208"/>
      <c r="W739" s="208"/>
      <c r="X739" s="208"/>
      <c r="Y739" s="208"/>
      <c r="Z739" s="208"/>
      <c r="AA739" s="208"/>
      <c r="AB739" s="208"/>
    </row>
    <row r="740" ht="15.75" customHeight="1">
      <c r="A740" s="250"/>
      <c r="B740" s="244"/>
      <c r="C740" s="245"/>
      <c r="D740" s="246"/>
      <c r="E740" s="245"/>
      <c r="F740" s="247"/>
      <c r="G740" s="244"/>
      <c r="H740" s="243"/>
      <c r="I740" s="244"/>
      <c r="J740" s="244"/>
      <c r="K740" s="244"/>
      <c r="L740" s="248"/>
      <c r="M740" s="248"/>
      <c r="N740" s="244"/>
      <c r="O740" s="249"/>
      <c r="P740" s="249"/>
      <c r="Q740" s="208"/>
      <c r="R740" s="208"/>
      <c r="S740" s="208"/>
      <c r="T740" s="208"/>
      <c r="U740" s="208"/>
      <c r="V740" s="208"/>
      <c r="W740" s="208"/>
      <c r="X740" s="208"/>
      <c r="Y740" s="208"/>
      <c r="Z740" s="208"/>
      <c r="AA740" s="208"/>
      <c r="AB740" s="208"/>
    </row>
    <row r="741" ht="15.75" customHeight="1">
      <c r="A741" s="250"/>
      <c r="B741" s="244"/>
      <c r="C741" s="245"/>
      <c r="D741" s="246"/>
      <c r="E741" s="245"/>
      <c r="F741" s="247"/>
      <c r="G741" s="244"/>
      <c r="H741" s="243"/>
      <c r="I741" s="244"/>
      <c r="J741" s="244"/>
      <c r="K741" s="244"/>
      <c r="L741" s="248"/>
      <c r="M741" s="248"/>
      <c r="N741" s="244"/>
      <c r="O741" s="249"/>
      <c r="P741" s="249"/>
      <c r="Q741" s="208"/>
      <c r="R741" s="208"/>
      <c r="S741" s="208"/>
      <c r="T741" s="208"/>
      <c r="U741" s="208"/>
      <c r="V741" s="208"/>
      <c r="W741" s="208"/>
      <c r="X741" s="208"/>
      <c r="Y741" s="208"/>
      <c r="Z741" s="208"/>
      <c r="AA741" s="208"/>
      <c r="AB741" s="208"/>
    </row>
    <row r="742" ht="15.75" customHeight="1">
      <c r="A742" s="250"/>
      <c r="B742" s="244"/>
      <c r="C742" s="245"/>
      <c r="D742" s="246"/>
      <c r="E742" s="245"/>
      <c r="F742" s="247"/>
      <c r="G742" s="244"/>
      <c r="H742" s="243"/>
      <c r="I742" s="244"/>
      <c r="J742" s="244"/>
      <c r="K742" s="244"/>
      <c r="L742" s="248"/>
      <c r="M742" s="248"/>
      <c r="N742" s="244"/>
      <c r="O742" s="249"/>
      <c r="P742" s="249"/>
      <c r="Q742" s="208"/>
      <c r="R742" s="208"/>
      <c r="S742" s="208"/>
      <c r="T742" s="208"/>
      <c r="U742" s="208"/>
      <c r="V742" s="208"/>
      <c r="W742" s="208"/>
      <c r="X742" s="208"/>
      <c r="Y742" s="208"/>
      <c r="Z742" s="208"/>
      <c r="AA742" s="208"/>
      <c r="AB742" s="208"/>
    </row>
    <row r="743" ht="15.75" customHeight="1">
      <c r="A743" s="250"/>
      <c r="B743" s="244"/>
      <c r="C743" s="245"/>
      <c r="D743" s="246"/>
      <c r="E743" s="245"/>
      <c r="F743" s="247"/>
      <c r="G743" s="244"/>
      <c r="H743" s="243"/>
      <c r="I743" s="244"/>
      <c r="J743" s="244"/>
      <c r="K743" s="244"/>
      <c r="L743" s="248"/>
      <c r="M743" s="248"/>
      <c r="N743" s="244"/>
      <c r="O743" s="249"/>
      <c r="P743" s="249"/>
      <c r="Q743" s="208"/>
      <c r="R743" s="208"/>
      <c r="S743" s="208"/>
      <c r="T743" s="208"/>
      <c r="U743" s="208"/>
      <c r="V743" s="208"/>
      <c r="W743" s="208"/>
      <c r="X743" s="208"/>
      <c r="Y743" s="208"/>
      <c r="Z743" s="208"/>
      <c r="AA743" s="208"/>
      <c r="AB743" s="208"/>
    </row>
    <row r="744" ht="15.75" customHeight="1">
      <c r="A744" s="250"/>
      <c r="B744" s="244"/>
      <c r="C744" s="245"/>
      <c r="D744" s="246"/>
      <c r="E744" s="245"/>
      <c r="F744" s="247"/>
      <c r="G744" s="244"/>
      <c r="H744" s="243"/>
      <c r="I744" s="244"/>
      <c r="J744" s="244"/>
      <c r="K744" s="244"/>
      <c r="L744" s="248"/>
      <c r="M744" s="248"/>
      <c r="N744" s="244"/>
      <c r="O744" s="249"/>
      <c r="P744" s="249"/>
      <c r="Q744" s="208"/>
      <c r="R744" s="208"/>
      <c r="S744" s="208"/>
      <c r="T744" s="208"/>
      <c r="U744" s="208"/>
      <c r="V744" s="208"/>
      <c r="W744" s="208"/>
      <c r="X744" s="208"/>
      <c r="Y744" s="208"/>
      <c r="Z744" s="208"/>
      <c r="AA744" s="208"/>
      <c r="AB744" s="208"/>
    </row>
    <row r="745" ht="15.75" customHeight="1">
      <c r="A745" s="250"/>
      <c r="B745" s="244"/>
      <c r="C745" s="245"/>
      <c r="D745" s="246"/>
      <c r="E745" s="245"/>
      <c r="F745" s="247"/>
      <c r="G745" s="244"/>
      <c r="H745" s="243"/>
      <c r="I745" s="244"/>
      <c r="J745" s="244"/>
      <c r="K745" s="244"/>
      <c r="L745" s="248"/>
      <c r="M745" s="248"/>
      <c r="N745" s="244"/>
      <c r="O745" s="249"/>
      <c r="P745" s="249"/>
      <c r="Q745" s="208"/>
      <c r="R745" s="208"/>
      <c r="S745" s="208"/>
      <c r="T745" s="208"/>
      <c r="U745" s="208"/>
      <c r="V745" s="208"/>
      <c r="W745" s="208"/>
      <c r="X745" s="208"/>
      <c r="Y745" s="208"/>
      <c r="Z745" s="208"/>
      <c r="AA745" s="208"/>
      <c r="AB745" s="208"/>
    </row>
    <row r="746" ht="15.75" customHeight="1">
      <c r="A746" s="250"/>
      <c r="B746" s="244"/>
      <c r="C746" s="245"/>
      <c r="D746" s="246"/>
      <c r="E746" s="245"/>
      <c r="F746" s="247"/>
      <c r="G746" s="244"/>
      <c r="H746" s="243"/>
      <c r="I746" s="244"/>
      <c r="J746" s="244"/>
      <c r="K746" s="244"/>
      <c r="L746" s="248"/>
      <c r="M746" s="248"/>
      <c r="N746" s="244"/>
      <c r="O746" s="249"/>
      <c r="P746" s="249"/>
      <c r="Q746" s="208"/>
      <c r="R746" s="208"/>
      <c r="S746" s="208"/>
      <c r="T746" s="208"/>
      <c r="U746" s="208"/>
      <c r="V746" s="208"/>
      <c r="W746" s="208"/>
      <c r="X746" s="208"/>
      <c r="Y746" s="208"/>
      <c r="Z746" s="208"/>
      <c r="AA746" s="208"/>
      <c r="AB746" s="208"/>
    </row>
    <row r="747" ht="15.75" customHeight="1">
      <c r="A747" s="250"/>
      <c r="B747" s="244"/>
      <c r="C747" s="245"/>
      <c r="D747" s="246"/>
      <c r="E747" s="245"/>
      <c r="F747" s="247"/>
      <c r="G747" s="244"/>
      <c r="H747" s="243"/>
      <c r="I747" s="244"/>
      <c r="J747" s="244"/>
      <c r="K747" s="244"/>
      <c r="L747" s="248"/>
      <c r="M747" s="248"/>
      <c r="N747" s="244"/>
      <c r="O747" s="249"/>
      <c r="P747" s="249"/>
      <c r="Q747" s="208"/>
      <c r="R747" s="208"/>
      <c r="S747" s="208"/>
      <c r="T747" s="208"/>
      <c r="U747" s="208"/>
      <c r="V747" s="208"/>
      <c r="W747" s="208"/>
      <c r="X747" s="208"/>
      <c r="Y747" s="208"/>
      <c r="Z747" s="208"/>
      <c r="AA747" s="208"/>
      <c r="AB747" s="208"/>
    </row>
    <row r="748" ht="15.75" customHeight="1">
      <c r="A748" s="250"/>
      <c r="B748" s="244"/>
      <c r="C748" s="245"/>
      <c r="D748" s="246"/>
      <c r="E748" s="245"/>
      <c r="F748" s="247"/>
      <c r="G748" s="244"/>
      <c r="H748" s="243"/>
      <c r="I748" s="244"/>
      <c r="J748" s="244"/>
      <c r="K748" s="244"/>
      <c r="L748" s="248"/>
      <c r="M748" s="248"/>
      <c r="N748" s="244"/>
      <c r="O748" s="249"/>
      <c r="P748" s="249"/>
      <c r="Q748" s="208"/>
      <c r="R748" s="208"/>
      <c r="S748" s="208"/>
      <c r="T748" s="208"/>
      <c r="U748" s="208"/>
      <c r="V748" s="208"/>
      <c r="W748" s="208"/>
      <c r="X748" s="208"/>
      <c r="Y748" s="208"/>
      <c r="Z748" s="208"/>
      <c r="AA748" s="208"/>
      <c r="AB748" s="208"/>
    </row>
    <row r="749" ht="15.75" customHeight="1">
      <c r="A749" s="250"/>
      <c r="B749" s="244"/>
      <c r="C749" s="245"/>
      <c r="D749" s="246"/>
      <c r="E749" s="245"/>
      <c r="F749" s="247"/>
      <c r="G749" s="244"/>
      <c r="H749" s="243"/>
      <c r="I749" s="244"/>
      <c r="J749" s="244"/>
      <c r="K749" s="244"/>
      <c r="L749" s="248"/>
      <c r="M749" s="248"/>
      <c r="N749" s="244"/>
      <c r="O749" s="249"/>
      <c r="P749" s="249"/>
      <c r="Q749" s="208"/>
      <c r="R749" s="208"/>
      <c r="S749" s="208"/>
      <c r="T749" s="208"/>
      <c r="U749" s="208"/>
      <c r="V749" s="208"/>
      <c r="W749" s="208"/>
      <c r="X749" s="208"/>
      <c r="Y749" s="208"/>
      <c r="Z749" s="208"/>
      <c r="AA749" s="208"/>
      <c r="AB749" s="208"/>
    </row>
    <row r="750" ht="15.75" customHeight="1">
      <c r="A750" s="250"/>
      <c r="B750" s="244"/>
      <c r="C750" s="245"/>
      <c r="D750" s="246"/>
      <c r="E750" s="245"/>
      <c r="F750" s="247"/>
      <c r="G750" s="244"/>
      <c r="H750" s="243"/>
      <c r="I750" s="244"/>
      <c r="J750" s="244"/>
      <c r="K750" s="244"/>
      <c r="L750" s="248"/>
      <c r="M750" s="248"/>
      <c r="N750" s="244"/>
      <c r="O750" s="249"/>
      <c r="P750" s="249"/>
      <c r="Q750" s="208"/>
      <c r="R750" s="208"/>
      <c r="S750" s="208"/>
      <c r="T750" s="208"/>
      <c r="U750" s="208"/>
      <c r="V750" s="208"/>
      <c r="W750" s="208"/>
      <c r="X750" s="208"/>
      <c r="Y750" s="208"/>
      <c r="Z750" s="208"/>
      <c r="AA750" s="208"/>
      <c r="AB750" s="208"/>
    </row>
    <row r="751" ht="15.75" customHeight="1">
      <c r="A751" s="250"/>
      <c r="B751" s="244"/>
      <c r="C751" s="245"/>
      <c r="D751" s="246"/>
      <c r="E751" s="245"/>
      <c r="F751" s="247"/>
      <c r="G751" s="244"/>
      <c r="H751" s="243"/>
      <c r="I751" s="244"/>
      <c r="J751" s="244"/>
      <c r="K751" s="244"/>
      <c r="L751" s="248"/>
      <c r="M751" s="248"/>
      <c r="N751" s="244"/>
      <c r="O751" s="249"/>
      <c r="P751" s="249"/>
      <c r="Q751" s="208"/>
      <c r="R751" s="208"/>
      <c r="S751" s="208"/>
      <c r="T751" s="208"/>
      <c r="U751" s="208"/>
      <c r="V751" s="208"/>
      <c r="W751" s="208"/>
      <c r="X751" s="208"/>
      <c r="Y751" s="208"/>
      <c r="Z751" s="208"/>
      <c r="AA751" s="208"/>
      <c r="AB751" s="208"/>
    </row>
    <row r="752" ht="15.75" customHeight="1">
      <c r="A752" s="250"/>
      <c r="B752" s="244"/>
      <c r="C752" s="245"/>
      <c r="D752" s="246"/>
      <c r="E752" s="245"/>
      <c r="F752" s="247"/>
      <c r="G752" s="244"/>
      <c r="H752" s="243"/>
      <c r="I752" s="244"/>
      <c r="J752" s="244"/>
      <c r="K752" s="244"/>
      <c r="L752" s="248"/>
      <c r="M752" s="248"/>
      <c r="N752" s="244"/>
      <c r="O752" s="249"/>
      <c r="P752" s="249"/>
      <c r="Q752" s="208"/>
      <c r="R752" s="208"/>
      <c r="S752" s="208"/>
      <c r="T752" s="208"/>
      <c r="U752" s="208"/>
      <c r="V752" s="208"/>
      <c r="W752" s="208"/>
      <c r="X752" s="208"/>
      <c r="Y752" s="208"/>
      <c r="Z752" s="208"/>
      <c r="AA752" s="208"/>
      <c r="AB752" s="208"/>
    </row>
    <row r="753" ht="15.75" customHeight="1">
      <c r="A753" s="250"/>
      <c r="B753" s="244"/>
      <c r="C753" s="245"/>
      <c r="D753" s="246"/>
      <c r="E753" s="245"/>
      <c r="F753" s="247"/>
      <c r="G753" s="244"/>
      <c r="H753" s="243"/>
      <c r="I753" s="244"/>
      <c r="J753" s="244"/>
      <c r="K753" s="244"/>
      <c r="L753" s="248"/>
      <c r="M753" s="248"/>
      <c r="N753" s="244"/>
      <c r="O753" s="249"/>
      <c r="P753" s="249"/>
      <c r="Q753" s="208"/>
      <c r="R753" s="208"/>
      <c r="S753" s="208"/>
      <c r="T753" s="208"/>
      <c r="U753" s="208"/>
      <c r="V753" s="208"/>
      <c r="W753" s="208"/>
      <c r="X753" s="208"/>
      <c r="Y753" s="208"/>
      <c r="Z753" s="208"/>
      <c r="AA753" s="208"/>
      <c r="AB753" s="208"/>
    </row>
    <row r="754" ht="15.75" customHeight="1">
      <c r="A754" s="250"/>
      <c r="B754" s="244"/>
      <c r="C754" s="245"/>
      <c r="D754" s="246"/>
      <c r="E754" s="245"/>
      <c r="F754" s="247"/>
      <c r="G754" s="244"/>
      <c r="H754" s="243"/>
      <c r="I754" s="244"/>
      <c r="J754" s="244"/>
      <c r="K754" s="244"/>
      <c r="L754" s="248"/>
      <c r="M754" s="248"/>
      <c r="N754" s="244"/>
      <c r="O754" s="249"/>
      <c r="P754" s="249"/>
      <c r="Q754" s="208"/>
      <c r="R754" s="208"/>
      <c r="S754" s="208"/>
      <c r="T754" s="208"/>
      <c r="U754" s="208"/>
      <c r="V754" s="208"/>
      <c r="W754" s="208"/>
      <c r="X754" s="208"/>
      <c r="Y754" s="208"/>
      <c r="Z754" s="208"/>
      <c r="AA754" s="208"/>
      <c r="AB754" s="208"/>
    </row>
    <row r="755" ht="15.75" customHeight="1">
      <c r="A755" s="250"/>
      <c r="B755" s="244"/>
      <c r="C755" s="245"/>
      <c r="D755" s="246"/>
      <c r="E755" s="245"/>
      <c r="F755" s="247"/>
      <c r="G755" s="244"/>
      <c r="H755" s="243"/>
      <c r="I755" s="244"/>
      <c r="J755" s="244"/>
      <c r="K755" s="244"/>
      <c r="L755" s="248"/>
      <c r="M755" s="248"/>
      <c r="N755" s="244"/>
      <c r="O755" s="249"/>
      <c r="P755" s="249"/>
      <c r="Q755" s="208"/>
      <c r="R755" s="208"/>
      <c r="S755" s="208"/>
      <c r="T755" s="208"/>
      <c r="U755" s="208"/>
      <c r="V755" s="208"/>
      <c r="W755" s="208"/>
      <c r="X755" s="208"/>
      <c r="Y755" s="208"/>
      <c r="Z755" s="208"/>
      <c r="AA755" s="208"/>
      <c r="AB755" s="208"/>
    </row>
    <row r="756" ht="15.75" customHeight="1">
      <c r="A756" s="250"/>
      <c r="B756" s="244"/>
      <c r="C756" s="245"/>
      <c r="D756" s="246"/>
      <c r="E756" s="245"/>
      <c r="F756" s="247"/>
      <c r="G756" s="244"/>
      <c r="H756" s="243"/>
      <c r="I756" s="244"/>
      <c r="J756" s="244"/>
      <c r="K756" s="244"/>
      <c r="L756" s="248"/>
      <c r="M756" s="248"/>
      <c r="N756" s="244"/>
      <c r="O756" s="249"/>
      <c r="P756" s="249"/>
      <c r="Q756" s="208"/>
      <c r="R756" s="208"/>
      <c r="S756" s="208"/>
      <c r="T756" s="208"/>
      <c r="U756" s="208"/>
      <c r="V756" s="208"/>
      <c r="W756" s="208"/>
      <c r="X756" s="208"/>
      <c r="Y756" s="208"/>
      <c r="Z756" s="208"/>
      <c r="AA756" s="208"/>
      <c r="AB756" s="208"/>
    </row>
    <row r="757" ht="15.75" customHeight="1">
      <c r="A757" s="250"/>
      <c r="B757" s="244"/>
      <c r="C757" s="245"/>
      <c r="D757" s="246"/>
      <c r="E757" s="245"/>
      <c r="F757" s="247"/>
      <c r="G757" s="244"/>
      <c r="H757" s="243"/>
      <c r="I757" s="244"/>
      <c r="J757" s="244"/>
      <c r="K757" s="244"/>
      <c r="L757" s="248"/>
      <c r="M757" s="248"/>
      <c r="N757" s="244"/>
      <c r="O757" s="249"/>
      <c r="P757" s="249"/>
      <c r="Q757" s="208"/>
      <c r="R757" s="208"/>
      <c r="S757" s="208"/>
      <c r="T757" s="208"/>
      <c r="U757" s="208"/>
      <c r="V757" s="208"/>
      <c r="W757" s="208"/>
      <c r="X757" s="208"/>
      <c r="Y757" s="208"/>
      <c r="Z757" s="208"/>
      <c r="AA757" s="208"/>
      <c r="AB757" s="208"/>
    </row>
    <row r="758" ht="15.75" customHeight="1">
      <c r="A758" s="250"/>
      <c r="B758" s="244"/>
      <c r="C758" s="245"/>
      <c r="D758" s="246"/>
      <c r="E758" s="245"/>
      <c r="F758" s="247"/>
      <c r="G758" s="244"/>
      <c r="H758" s="243"/>
      <c r="I758" s="244"/>
      <c r="J758" s="244"/>
      <c r="K758" s="244"/>
      <c r="L758" s="248"/>
      <c r="M758" s="248"/>
      <c r="N758" s="244"/>
      <c r="O758" s="249"/>
      <c r="P758" s="249"/>
      <c r="Q758" s="208"/>
      <c r="R758" s="208"/>
      <c r="S758" s="208"/>
      <c r="T758" s="208"/>
      <c r="U758" s="208"/>
      <c r="V758" s="208"/>
      <c r="W758" s="208"/>
      <c r="X758" s="208"/>
      <c r="Y758" s="208"/>
      <c r="Z758" s="208"/>
      <c r="AA758" s="208"/>
      <c r="AB758" s="208"/>
    </row>
    <row r="759" ht="15.75" customHeight="1">
      <c r="A759" s="250"/>
      <c r="B759" s="244"/>
      <c r="C759" s="245"/>
      <c r="D759" s="246"/>
      <c r="E759" s="245"/>
      <c r="F759" s="247"/>
      <c r="G759" s="244"/>
      <c r="H759" s="243"/>
      <c r="I759" s="244"/>
      <c r="J759" s="244"/>
      <c r="K759" s="244"/>
      <c r="L759" s="248"/>
      <c r="M759" s="248"/>
      <c r="N759" s="244"/>
      <c r="O759" s="249"/>
      <c r="P759" s="249"/>
      <c r="Q759" s="208"/>
      <c r="R759" s="208"/>
      <c r="S759" s="208"/>
      <c r="T759" s="208"/>
      <c r="U759" s="208"/>
      <c r="V759" s="208"/>
      <c r="W759" s="208"/>
      <c r="X759" s="208"/>
      <c r="Y759" s="208"/>
      <c r="Z759" s="208"/>
      <c r="AA759" s="208"/>
      <c r="AB759" s="208"/>
    </row>
    <row r="760" ht="15.75" customHeight="1">
      <c r="A760" s="250"/>
      <c r="B760" s="244"/>
      <c r="C760" s="245"/>
      <c r="D760" s="246"/>
      <c r="E760" s="245"/>
      <c r="F760" s="247"/>
      <c r="G760" s="244"/>
      <c r="H760" s="243"/>
      <c r="I760" s="244"/>
      <c r="J760" s="244"/>
      <c r="K760" s="244"/>
      <c r="L760" s="248"/>
      <c r="M760" s="248"/>
      <c r="N760" s="244"/>
      <c r="O760" s="249"/>
      <c r="P760" s="249"/>
      <c r="Q760" s="208"/>
      <c r="R760" s="208"/>
      <c r="S760" s="208"/>
      <c r="T760" s="208"/>
      <c r="U760" s="208"/>
      <c r="V760" s="208"/>
      <c r="W760" s="208"/>
      <c r="X760" s="208"/>
      <c r="Y760" s="208"/>
      <c r="Z760" s="208"/>
      <c r="AA760" s="208"/>
      <c r="AB760" s="208"/>
    </row>
    <row r="761" ht="15.75" customHeight="1">
      <c r="A761" s="250"/>
      <c r="B761" s="244"/>
      <c r="C761" s="245"/>
      <c r="D761" s="246"/>
      <c r="E761" s="245"/>
      <c r="F761" s="247"/>
      <c r="G761" s="244"/>
      <c r="H761" s="243"/>
      <c r="I761" s="244"/>
      <c r="J761" s="244"/>
      <c r="K761" s="244"/>
      <c r="L761" s="248"/>
      <c r="M761" s="248"/>
      <c r="N761" s="244"/>
      <c r="O761" s="249"/>
      <c r="P761" s="249"/>
      <c r="Q761" s="208"/>
      <c r="R761" s="208"/>
      <c r="S761" s="208"/>
      <c r="T761" s="208"/>
      <c r="U761" s="208"/>
      <c r="V761" s="208"/>
      <c r="W761" s="208"/>
      <c r="X761" s="208"/>
      <c r="Y761" s="208"/>
      <c r="Z761" s="208"/>
      <c r="AA761" s="208"/>
      <c r="AB761" s="208"/>
    </row>
    <row r="762" ht="15.75" customHeight="1">
      <c r="A762" s="250"/>
      <c r="B762" s="244"/>
      <c r="C762" s="245"/>
      <c r="D762" s="246"/>
      <c r="E762" s="245"/>
      <c r="F762" s="247"/>
      <c r="G762" s="244"/>
      <c r="H762" s="243"/>
      <c r="I762" s="244"/>
      <c r="J762" s="244"/>
      <c r="K762" s="244"/>
      <c r="L762" s="248"/>
      <c r="M762" s="248"/>
      <c r="N762" s="244"/>
      <c r="O762" s="249"/>
      <c r="P762" s="249"/>
      <c r="Q762" s="208"/>
      <c r="R762" s="208"/>
      <c r="S762" s="208"/>
      <c r="T762" s="208"/>
      <c r="U762" s="208"/>
      <c r="V762" s="208"/>
      <c r="W762" s="208"/>
      <c r="X762" s="208"/>
      <c r="Y762" s="208"/>
      <c r="Z762" s="208"/>
      <c r="AA762" s="208"/>
      <c r="AB762" s="208"/>
    </row>
    <row r="763" ht="15.75" customHeight="1">
      <c r="A763" s="250"/>
      <c r="B763" s="244"/>
      <c r="C763" s="245"/>
      <c r="D763" s="246"/>
      <c r="E763" s="245"/>
      <c r="F763" s="247"/>
      <c r="G763" s="244"/>
      <c r="H763" s="243"/>
      <c r="I763" s="244"/>
      <c r="J763" s="244"/>
      <c r="K763" s="244"/>
      <c r="L763" s="248"/>
      <c r="M763" s="248"/>
      <c r="N763" s="244"/>
      <c r="O763" s="249"/>
      <c r="P763" s="249"/>
      <c r="Q763" s="208"/>
      <c r="R763" s="208"/>
      <c r="S763" s="208"/>
      <c r="T763" s="208"/>
      <c r="U763" s="208"/>
      <c r="V763" s="208"/>
      <c r="W763" s="208"/>
      <c r="X763" s="208"/>
      <c r="Y763" s="208"/>
      <c r="Z763" s="208"/>
      <c r="AA763" s="208"/>
      <c r="AB763" s="208"/>
    </row>
    <row r="764" ht="15.75" customHeight="1">
      <c r="A764" s="250"/>
      <c r="B764" s="244"/>
      <c r="C764" s="245"/>
      <c r="D764" s="246"/>
      <c r="E764" s="245"/>
      <c r="F764" s="247"/>
      <c r="G764" s="244"/>
      <c r="H764" s="243"/>
      <c r="I764" s="244"/>
      <c r="J764" s="244"/>
      <c r="K764" s="244"/>
      <c r="L764" s="248"/>
      <c r="M764" s="248"/>
      <c r="N764" s="244"/>
      <c r="O764" s="249"/>
      <c r="P764" s="249"/>
      <c r="Q764" s="208"/>
      <c r="R764" s="208"/>
      <c r="S764" s="208"/>
      <c r="T764" s="208"/>
      <c r="U764" s="208"/>
      <c r="V764" s="208"/>
      <c r="W764" s="208"/>
      <c r="X764" s="208"/>
      <c r="Y764" s="208"/>
      <c r="Z764" s="208"/>
      <c r="AA764" s="208"/>
      <c r="AB764" s="208"/>
    </row>
    <row r="765" ht="15.75" customHeight="1">
      <c r="A765" s="250"/>
      <c r="B765" s="244"/>
      <c r="C765" s="245"/>
      <c r="D765" s="246"/>
      <c r="E765" s="245"/>
      <c r="F765" s="247"/>
      <c r="G765" s="244"/>
      <c r="H765" s="243"/>
      <c r="I765" s="244"/>
      <c r="J765" s="244"/>
      <c r="K765" s="244"/>
      <c r="L765" s="248"/>
      <c r="M765" s="248"/>
      <c r="N765" s="244"/>
      <c r="O765" s="249"/>
      <c r="P765" s="249"/>
      <c r="Q765" s="208"/>
      <c r="R765" s="208"/>
      <c r="S765" s="208"/>
      <c r="T765" s="208"/>
      <c r="U765" s="208"/>
      <c r="V765" s="208"/>
      <c r="W765" s="208"/>
      <c r="X765" s="208"/>
      <c r="Y765" s="208"/>
      <c r="Z765" s="208"/>
      <c r="AA765" s="208"/>
      <c r="AB765" s="208"/>
    </row>
    <row r="766" ht="15.75" customHeight="1">
      <c r="A766" s="250"/>
      <c r="B766" s="244"/>
      <c r="C766" s="245"/>
      <c r="D766" s="246"/>
      <c r="E766" s="245"/>
      <c r="F766" s="247"/>
      <c r="G766" s="244"/>
      <c r="H766" s="243"/>
      <c r="I766" s="244"/>
      <c r="J766" s="244"/>
      <c r="K766" s="244"/>
      <c r="L766" s="248"/>
      <c r="M766" s="248"/>
      <c r="N766" s="244"/>
      <c r="O766" s="249"/>
      <c r="P766" s="249"/>
      <c r="Q766" s="208"/>
      <c r="R766" s="208"/>
      <c r="S766" s="208"/>
      <c r="T766" s="208"/>
      <c r="U766" s="208"/>
      <c r="V766" s="208"/>
      <c r="W766" s="208"/>
      <c r="X766" s="208"/>
      <c r="Y766" s="208"/>
      <c r="Z766" s="208"/>
      <c r="AA766" s="208"/>
      <c r="AB766" s="208"/>
    </row>
    <row r="767" ht="15.75" customHeight="1">
      <c r="A767" s="250"/>
      <c r="B767" s="244"/>
      <c r="C767" s="245"/>
      <c r="D767" s="246"/>
      <c r="E767" s="245"/>
      <c r="F767" s="247"/>
      <c r="G767" s="244"/>
      <c r="H767" s="243"/>
      <c r="I767" s="244"/>
      <c r="J767" s="244"/>
      <c r="K767" s="244"/>
      <c r="L767" s="248"/>
      <c r="M767" s="248"/>
      <c r="N767" s="244"/>
      <c r="O767" s="249"/>
      <c r="P767" s="249"/>
      <c r="Q767" s="208"/>
      <c r="R767" s="208"/>
      <c r="S767" s="208"/>
      <c r="T767" s="208"/>
      <c r="U767" s="208"/>
      <c r="V767" s="208"/>
      <c r="W767" s="208"/>
      <c r="X767" s="208"/>
      <c r="Y767" s="208"/>
      <c r="Z767" s="208"/>
      <c r="AA767" s="208"/>
      <c r="AB767" s="208"/>
    </row>
    <row r="768" ht="15.75" customHeight="1">
      <c r="A768" s="250"/>
      <c r="B768" s="244"/>
      <c r="C768" s="245"/>
      <c r="D768" s="246"/>
      <c r="E768" s="245"/>
      <c r="F768" s="247"/>
      <c r="G768" s="244"/>
      <c r="H768" s="243"/>
      <c r="I768" s="244"/>
      <c r="J768" s="244"/>
      <c r="K768" s="244"/>
      <c r="L768" s="248"/>
      <c r="M768" s="248"/>
      <c r="N768" s="244"/>
      <c r="O768" s="249"/>
      <c r="P768" s="249"/>
      <c r="Q768" s="208"/>
      <c r="R768" s="208"/>
      <c r="S768" s="208"/>
      <c r="T768" s="208"/>
      <c r="U768" s="208"/>
      <c r="V768" s="208"/>
      <c r="W768" s="208"/>
      <c r="X768" s="208"/>
      <c r="Y768" s="208"/>
      <c r="Z768" s="208"/>
      <c r="AA768" s="208"/>
      <c r="AB768" s="208"/>
    </row>
    <row r="769" ht="15.75" customHeight="1">
      <c r="A769" s="250"/>
      <c r="B769" s="244"/>
      <c r="C769" s="245"/>
      <c r="D769" s="246"/>
      <c r="E769" s="245"/>
      <c r="F769" s="247"/>
      <c r="G769" s="244"/>
      <c r="H769" s="243"/>
      <c r="I769" s="244"/>
      <c r="J769" s="244"/>
      <c r="K769" s="244"/>
      <c r="L769" s="248"/>
      <c r="M769" s="248"/>
      <c r="N769" s="244"/>
      <c r="O769" s="249"/>
      <c r="P769" s="249"/>
      <c r="Q769" s="208"/>
      <c r="R769" s="208"/>
      <c r="S769" s="208"/>
      <c r="T769" s="208"/>
      <c r="U769" s="208"/>
      <c r="V769" s="208"/>
      <c r="W769" s="208"/>
      <c r="X769" s="208"/>
      <c r="Y769" s="208"/>
      <c r="Z769" s="208"/>
      <c r="AA769" s="208"/>
      <c r="AB769" s="208"/>
    </row>
    <row r="770" ht="15.75" customHeight="1">
      <c r="A770" s="250"/>
      <c r="B770" s="244"/>
      <c r="C770" s="245"/>
      <c r="D770" s="246"/>
      <c r="E770" s="245"/>
      <c r="F770" s="247"/>
      <c r="G770" s="244"/>
      <c r="H770" s="243"/>
      <c r="I770" s="244"/>
      <c r="J770" s="244"/>
      <c r="K770" s="244"/>
      <c r="L770" s="248"/>
      <c r="M770" s="248"/>
      <c r="N770" s="244"/>
      <c r="O770" s="249"/>
      <c r="P770" s="249"/>
      <c r="Q770" s="208"/>
      <c r="R770" s="208"/>
      <c r="S770" s="208"/>
      <c r="T770" s="208"/>
      <c r="U770" s="208"/>
      <c r="V770" s="208"/>
      <c r="W770" s="208"/>
      <c r="X770" s="208"/>
      <c r="Y770" s="208"/>
      <c r="Z770" s="208"/>
      <c r="AA770" s="208"/>
      <c r="AB770" s="208"/>
    </row>
    <row r="771" ht="15.75" customHeight="1">
      <c r="A771" s="250"/>
      <c r="B771" s="244"/>
      <c r="C771" s="245"/>
      <c r="D771" s="246"/>
      <c r="E771" s="245"/>
      <c r="F771" s="247"/>
      <c r="G771" s="244"/>
      <c r="H771" s="243"/>
      <c r="I771" s="244"/>
      <c r="J771" s="244"/>
      <c r="K771" s="244"/>
      <c r="L771" s="248"/>
      <c r="M771" s="248"/>
      <c r="N771" s="244"/>
      <c r="O771" s="249"/>
      <c r="P771" s="249"/>
      <c r="Q771" s="208"/>
      <c r="R771" s="208"/>
      <c r="S771" s="208"/>
      <c r="T771" s="208"/>
      <c r="U771" s="208"/>
      <c r="V771" s="208"/>
      <c r="W771" s="208"/>
      <c r="X771" s="208"/>
      <c r="Y771" s="208"/>
      <c r="Z771" s="208"/>
      <c r="AA771" s="208"/>
      <c r="AB771" s="208"/>
    </row>
    <row r="772" ht="15.75" customHeight="1">
      <c r="A772" s="250"/>
      <c r="B772" s="244"/>
      <c r="C772" s="245"/>
      <c r="D772" s="246"/>
      <c r="E772" s="245"/>
      <c r="F772" s="247"/>
      <c r="G772" s="244"/>
      <c r="H772" s="243"/>
      <c r="I772" s="244"/>
      <c r="J772" s="244"/>
      <c r="K772" s="244"/>
      <c r="L772" s="248"/>
      <c r="M772" s="248"/>
      <c r="N772" s="244"/>
      <c r="O772" s="249"/>
      <c r="P772" s="249"/>
      <c r="Q772" s="208"/>
      <c r="R772" s="208"/>
      <c r="S772" s="208"/>
      <c r="T772" s="208"/>
      <c r="U772" s="208"/>
      <c r="V772" s="208"/>
      <c r="W772" s="208"/>
      <c r="X772" s="208"/>
      <c r="Y772" s="208"/>
      <c r="Z772" s="208"/>
      <c r="AA772" s="208"/>
      <c r="AB772" s="208"/>
    </row>
    <row r="773" ht="15.75" customHeight="1">
      <c r="A773" s="250"/>
      <c r="B773" s="244"/>
      <c r="C773" s="245"/>
      <c r="D773" s="246"/>
      <c r="E773" s="245"/>
      <c r="F773" s="247"/>
      <c r="G773" s="244"/>
      <c r="H773" s="243"/>
      <c r="I773" s="244"/>
      <c r="J773" s="244"/>
      <c r="K773" s="244"/>
      <c r="L773" s="248"/>
      <c r="M773" s="248"/>
      <c r="N773" s="244"/>
      <c r="O773" s="249"/>
      <c r="P773" s="249"/>
      <c r="Q773" s="208"/>
      <c r="R773" s="208"/>
      <c r="S773" s="208"/>
      <c r="T773" s="208"/>
      <c r="U773" s="208"/>
      <c r="V773" s="208"/>
      <c r="W773" s="208"/>
      <c r="X773" s="208"/>
      <c r="Y773" s="208"/>
      <c r="Z773" s="208"/>
      <c r="AA773" s="208"/>
      <c r="AB773" s="208"/>
    </row>
    <row r="774" ht="15.75" customHeight="1">
      <c r="A774" s="250"/>
      <c r="B774" s="244"/>
      <c r="C774" s="245"/>
      <c r="D774" s="246"/>
      <c r="E774" s="245"/>
      <c r="F774" s="247"/>
      <c r="G774" s="244"/>
      <c r="H774" s="243"/>
      <c r="I774" s="244"/>
      <c r="J774" s="244"/>
      <c r="K774" s="244"/>
      <c r="L774" s="248"/>
      <c r="M774" s="248"/>
      <c r="N774" s="244"/>
      <c r="O774" s="249"/>
      <c r="P774" s="249"/>
      <c r="Q774" s="208"/>
      <c r="R774" s="208"/>
      <c r="S774" s="208"/>
      <c r="T774" s="208"/>
      <c r="U774" s="208"/>
      <c r="V774" s="208"/>
      <c r="W774" s="208"/>
      <c r="X774" s="208"/>
      <c r="Y774" s="208"/>
      <c r="Z774" s="208"/>
      <c r="AA774" s="208"/>
      <c r="AB774" s="208"/>
    </row>
    <row r="775" ht="15.75" customHeight="1">
      <c r="A775" s="250"/>
      <c r="B775" s="244"/>
      <c r="C775" s="245"/>
      <c r="D775" s="246"/>
      <c r="E775" s="245"/>
      <c r="F775" s="247"/>
      <c r="G775" s="244"/>
      <c r="H775" s="243"/>
      <c r="I775" s="244"/>
      <c r="J775" s="244"/>
      <c r="K775" s="244"/>
      <c r="L775" s="248"/>
      <c r="M775" s="248"/>
      <c r="N775" s="244"/>
      <c r="O775" s="249"/>
      <c r="P775" s="249"/>
      <c r="Q775" s="208"/>
      <c r="R775" s="208"/>
      <c r="S775" s="208"/>
      <c r="T775" s="208"/>
      <c r="U775" s="208"/>
      <c r="V775" s="208"/>
      <c r="W775" s="208"/>
      <c r="X775" s="208"/>
      <c r="Y775" s="208"/>
      <c r="Z775" s="208"/>
      <c r="AA775" s="208"/>
      <c r="AB775" s="208"/>
    </row>
    <row r="776" ht="15.75" customHeight="1">
      <c r="A776" s="250"/>
      <c r="B776" s="244"/>
      <c r="C776" s="245"/>
      <c r="D776" s="246"/>
      <c r="E776" s="245"/>
      <c r="F776" s="247"/>
      <c r="G776" s="244"/>
      <c r="H776" s="243"/>
      <c r="I776" s="244"/>
      <c r="J776" s="244"/>
      <c r="K776" s="244"/>
      <c r="L776" s="248"/>
      <c r="M776" s="248"/>
      <c r="N776" s="244"/>
      <c r="O776" s="249"/>
      <c r="P776" s="249"/>
      <c r="Q776" s="208"/>
      <c r="R776" s="208"/>
      <c r="S776" s="208"/>
      <c r="T776" s="208"/>
      <c r="U776" s="208"/>
      <c r="V776" s="208"/>
      <c r="W776" s="208"/>
      <c r="X776" s="208"/>
      <c r="Y776" s="208"/>
      <c r="Z776" s="208"/>
      <c r="AA776" s="208"/>
      <c r="AB776" s="208"/>
    </row>
    <row r="777" ht="15.75" customHeight="1">
      <c r="A777" s="250"/>
      <c r="B777" s="244"/>
      <c r="C777" s="245"/>
      <c r="D777" s="246"/>
      <c r="E777" s="245"/>
      <c r="F777" s="247"/>
      <c r="G777" s="244"/>
      <c r="H777" s="243"/>
      <c r="I777" s="244"/>
      <c r="J777" s="244"/>
      <c r="K777" s="244"/>
      <c r="L777" s="248"/>
      <c r="M777" s="248"/>
      <c r="N777" s="244"/>
      <c r="O777" s="249"/>
      <c r="P777" s="249"/>
      <c r="Q777" s="208"/>
      <c r="R777" s="208"/>
      <c r="S777" s="208"/>
      <c r="T777" s="208"/>
      <c r="U777" s="208"/>
      <c r="V777" s="208"/>
      <c r="W777" s="208"/>
      <c r="X777" s="208"/>
      <c r="Y777" s="208"/>
      <c r="Z777" s="208"/>
      <c r="AA777" s="208"/>
      <c r="AB777" s="208"/>
    </row>
    <row r="778" ht="15.75" customHeight="1">
      <c r="A778" s="250"/>
      <c r="B778" s="244"/>
      <c r="C778" s="245"/>
      <c r="D778" s="246"/>
      <c r="E778" s="245"/>
      <c r="F778" s="247"/>
      <c r="G778" s="244"/>
      <c r="H778" s="243"/>
      <c r="I778" s="244"/>
      <c r="J778" s="244"/>
      <c r="K778" s="244"/>
      <c r="L778" s="248"/>
      <c r="M778" s="248"/>
      <c r="N778" s="244"/>
      <c r="O778" s="249"/>
      <c r="P778" s="249"/>
      <c r="Q778" s="208"/>
      <c r="R778" s="208"/>
      <c r="S778" s="208"/>
      <c r="T778" s="208"/>
      <c r="U778" s="208"/>
      <c r="V778" s="208"/>
      <c r="W778" s="208"/>
      <c r="X778" s="208"/>
      <c r="Y778" s="208"/>
      <c r="Z778" s="208"/>
      <c r="AA778" s="208"/>
      <c r="AB778" s="208"/>
    </row>
    <row r="779" ht="15.75" customHeight="1">
      <c r="A779" s="250"/>
      <c r="B779" s="244"/>
      <c r="C779" s="245"/>
      <c r="D779" s="246"/>
      <c r="E779" s="245"/>
      <c r="F779" s="247"/>
      <c r="G779" s="244"/>
      <c r="H779" s="243"/>
      <c r="I779" s="244"/>
      <c r="J779" s="244"/>
      <c r="K779" s="244"/>
      <c r="L779" s="248"/>
      <c r="M779" s="248"/>
      <c r="N779" s="244"/>
      <c r="O779" s="249"/>
      <c r="P779" s="249"/>
      <c r="Q779" s="208"/>
      <c r="R779" s="208"/>
      <c r="S779" s="208"/>
      <c r="T779" s="208"/>
      <c r="U779" s="208"/>
      <c r="V779" s="208"/>
      <c r="W779" s="208"/>
      <c r="X779" s="208"/>
      <c r="Y779" s="208"/>
      <c r="Z779" s="208"/>
      <c r="AA779" s="208"/>
      <c r="AB779" s="208"/>
    </row>
    <row r="780" ht="15.75" customHeight="1">
      <c r="A780" s="250"/>
      <c r="B780" s="244"/>
      <c r="C780" s="245"/>
      <c r="D780" s="246"/>
      <c r="E780" s="245"/>
      <c r="F780" s="247"/>
      <c r="G780" s="244"/>
      <c r="H780" s="243"/>
      <c r="I780" s="244"/>
      <c r="J780" s="244"/>
      <c r="K780" s="244"/>
      <c r="L780" s="248"/>
      <c r="M780" s="248"/>
      <c r="N780" s="244"/>
      <c r="O780" s="249"/>
      <c r="P780" s="249"/>
      <c r="Q780" s="208"/>
      <c r="R780" s="208"/>
      <c r="S780" s="208"/>
      <c r="T780" s="208"/>
      <c r="U780" s="208"/>
      <c r="V780" s="208"/>
      <c r="W780" s="208"/>
      <c r="X780" s="208"/>
      <c r="Y780" s="208"/>
      <c r="Z780" s="208"/>
      <c r="AA780" s="208"/>
      <c r="AB780" s="208"/>
    </row>
    <row r="781" ht="15.75" customHeight="1">
      <c r="A781" s="250"/>
      <c r="B781" s="244"/>
      <c r="C781" s="245"/>
      <c r="D781" s="246"/>
      <c r="E781" s="245"/>
      <c r="F781" s="247"/>
      <c r="G781" s="244"/>
      <c r="H781" s="243"/>
      <c r="I781" s="244"/>
      <c r="J781" s="244"/>
      <c r="K781" s="244"/>
      <c r="L781" s="248"/>
      <c r="M781" s="248"/>
      <c r="N781" s="244"/>
      <c r="O781" s="249"/>
      <c r="P781" s="249"/>
      <c r="Q781" s="208"/>
      <c r="R781" s="208"/>
      <c r="S781" s="208"/>
      <c r="T781" s="208"/>
      <c r="U781" s="208"/>
      <c r="V781" s="208"/>
      <c r="W781" s="208"/>
      <c r="X781" s="208"/>
      <c r="Y781" s="208"/>
      <c r="Z781" s="208"/>
      <c r="AA781" s="208"/>
      <c r="AB781" s="208"/>
    </row>
    <row r="782" ht="15.75" customHeight="1">
      <c r="A782" s="250"/>
      <c r="B782" s="244"/>
      <c r="C782" s="245"/>
      <c r="D782" s="246"/>
      <c r="E782" s="245"/>
      <c r="F782" s="247"/>
      <c r="G782" s="244"/>
      <c r="H782" s="243"/>
      <c r="I782" s="244"/>
      <c r="J782" s="244"/>
      <c r="K782" s="244"/>
      <c r="L782" s="248"/>
      <c r="M782" s="248"/>
      <c r="N782" s="244"/>
      <c r="O782" s="249"/>
      <c r="P782" s="249"/>
      <c r="Q782" s="208"/>
      <c r="R782" s="208"/>
      <c r="S782" s="208"/>
      <c r="T782" s="208"/>
      <c r="U782" s="208"/>
      <c r="V782" s="208"/>
      <c r="W782" s="208"/>
      <c r="X782" s="208"/>
      <c r="Y782" s="208"/>
      <c r="Z782" s="208"/>
      <c r="AA782" s="208"/>
      <c r="AB782" s="208"/>
    </row>
    <row r="783" ht="15.75" customHeight="1">
      <c r="A783" s="250"/>
      <c r="B783" s="244"/>
      <c r="C783" s="245"/>
      <c r="D783" s="246"/>
      <c r="E783" s="245"/>
      <c r="F783" s="247"/>
      <c r="G783" s="244"/>
      <c r="H783" s="243"/>
      <c r="I783" s="244"/>
      <c r="J783" s="244"/>
      <c r="K783" s="244"/>
      <c r="L783" s="248"/>
      <c r="M783" s="248"/>
      <c r="N783" s="244"/>
      <c r="O783" s="249"/>
      <c r="P783" s="249"/>
      <c r="Q783" s="208"/>
      <c r="R783" s="208"/>
      <c r="S783" s="208"/>
      <c r="T783" s="208"/>
      <c r="U783" s="208"/>
      <c r="V783" s="208"/>
      <c r="W783" s="208"/>
      <c r="X783" s="208"/>
      <c r="Y783" s="208"/>
      <c r="Z783" s="208"/>
      <c r="AA783" s="208"/>
      <c r="AB783" s="208"/>
    </row>
    <row r="784" ht="15.75" customHeight="1">
      <c r="A784" s="250"/>
      <c r="B784" s="244"/>
      <c r="C784" s="245"/>
      <c r="D784" s="246"/>
      <c r="E784" s="245"/>
      <c r="F784" s="247"/>
      <c r="G784" s="244"/>
      <c r="H784" s="243"/>
      <c r="I784" s="244"/>
      <c r="J784" s="244"/>
      <c r="K784" s="244"/>
      <c r="L784" s="248"/>
      <c r="M784" s="248"/>
      <c r="N784" s="244"/>
      <c r="O784" s="249"/>
      <c r="P784" s="249"/>
      <c r="Q784" s="208"/>
      <c r="R784" s="208"/>
      <c r="S784" s="208"/>
      <c r="T784" s="208"/>
      <c r="U784" s="208"/>
      <c r="V784" s="208"/>
      <c r="W784" s="208"/>
      <c r="X784" s="208"/>
      <c r="Y784" s="208"/>
      <c r="Z784" s="208"/>
      <c r="AA784" s="208"/>
      <c r="AB784" s="208"/>
    </row>
    <row r="785" ht="15.75" customHeight="1">
      <c r="A785" s="250"/>
      <c r="B785" s="244"/>
      <c r="C785" s="245"/>
      <c r="D785" s="246"/>
      <c r="E785" s="245"/>
      <c r="F785" s="247"/>
      <c r="G785" s="244"/>
      <c r="H785" s="243"/>
      <c r="I785" s="244"/>
      <c r="J785" s="244"/>
      <c r="K785" s="244"/>
      <c r="L785" s="248"/>
      <c r="M785" s="248"/>
      <c r="N785" s="244"/>
      <c r="O785" s="249"/>
      <c r="P785" s="249"/>
      <c r="Q785" s="208"/>
      <c r="R785" s="208"/>
      <c r="S785" s="208"/>
      <c r="T785" s="208"/>
      <c r="U785" s="208"/>
      <c r="V785" s="208"/>
      <c r="W785" s="208"/>
      <c r="X785" s="208"/>
      <c r="Y785" s="208"/>
      <c r="Z785" s="208"/>
      <c r="AA785" s="208"/>
      <c r="AB785" s="208"/>
    </row>
    <row r="786" ht="15.75" customHeight="1">
      <c r="A786" s="250"/>
      <c r="B786" s="244"/>
      <c r="C786" s="245"/>
      <c r="D786" s="246"/>
      <c r="E786" s="245"/>
      <c r="F786" s="247"/>
      <c r="G786" s="244"/>
      <c r="H786" s="243"/>
      <c r="I786" s="244"/>
      <c r="J786" s="244"/>
      <c r="K786" s="244"/>
      <c r="L786" s="248"/>
      <c r="M786" s="248"/>
      <c r="N786" s="244"/>
      <c r="O786" s="249"/>
      <c r="P786" s="249"/>
      <c r="Q786" s="208"/>
      <c r="R786" s="208"/>
      <c r="S786" s="208"/>
      <c r="T786" s="208"/>
      <c r="U786" s="208"/>
      <c r="V786" s="208"/>
      <c r="W786" s="208"/>
      <c r="X786" s="208"/>
      <c r="Y786" s="208"/>
      <c r="Z786" s="208"/>
      <c r="AA786" s="208"/>
      <c r="AB786" s="208"/>
    </row>
    <row r="787" ht="15.75" customHeight="1">
      <c r="A787" s="250"/>
      <c r="B787" s="244"/>
      <c r="C787" s="245"/>
      <c r="D787" s="246"/>
      <c r="E787" s="245"/>
      <c r="F787" s="247"/>
      <c r="G787" s="244"/>
      <c r="H787" s="243"/>
      <c r="I787" s="244"/>
      <c r="J787" s="244"/>
      <c r="K787" s="244"/>
      <c r="L787" s="248"/>
      <c r="M787" s="248"/>
      <c r="N787" s="244"/>
      <c r="O787" s="249"/>
      <c r="P787" s="249"/>
      <c r="Q787" s="208"/>
      <c r="R787" s="208"/>
      <c r="S787" s="208"/>
      <c r="T787" s="208"/>
      <c r="U787" s="208"/>
      <c r="V787" s="208"/>
      <c r="W787" s="208"/>
      <c r="X787" s="208"/>
      <c r="Y787" s="208"/>
      <c r="Z787" s="208"/>
      <c r="AA787" s="208"/>
      <c r="AB787" s="208"/>
    </row>
    <row r="788" ht="15.75" customHeight="1">
      <c r="A788" s="250"/>
      <c r="B788" s="244"/>
      <c r="C788" s="245"/>
      <c r="D788" s="246"/>
      <c r="E788" s="245"/>
      <c r="F788" s="247"/>
      <c r="G788" s="244"/>
      <c r="H788" s="243"/>
      <c r="I788" s="244"/>
      <c r="J788" s="244"/>
      <c r="K788" s="244"/>
      <c r="L788" s="248"/>
      <c r="M788" s="248"/>
      <c r="N788" s="244"/>
      <c r="O788" s="249"/>
      <c r="P788" s="249"/>
      <c r="Q788" s="208"/>
      <c r="R788" s="208"/>
      <c r="S788" s="208"/>
      <c r="T788" s="208"/>
      <c r="U788" s="208"/>
      <c r="V788" s="208"/>
      <c r="W788" s="208"/>
      <c r="X788" s="208"/>
      <c r="Y788" s="208"/>
      <c r="Z788" s="208"/>
      <c r="AA788" s="208"/>
      <c r="AB788" s="208"/>
    </row>
    <row r="789" ht="15.75" customHeight="1">
      <c r="A789" s="250"/>
      <c r="B789" s="244"/>
      <c r="C789" s="245"/>
      <c r="D789" s="246"/>
      <c r="E789" s="245"/>
      <c r="F789" s="247"/>
      <c r="G789" s="244"/>
      <c r="H789" s="243"/>
      <c r="I789" s="244"/>
      <c r="J789" s="244"/>
      <c r="K789" s="244"/>
      <c r="L789" s="248"/>
      <c r="M789" s="248"/>
      <c r="N789" s="244"/>
      <c r="O789" s="249"/>
      <c r="P789" s="249"/>
      <c r="Q789" s="208"/>
      <c r="R789" s="208"/>
      <c r="S789" s="208"/>
      <c r="T789" s="208"/>
      <c r="U789" s="208"/>
      <c r="V789" s="208"/>
      <c r="W789" s="208"/>
      <c r="X789" s="208"/>
      <c r="Y789" s="208"/>
      <c r="Z789" s="208"/>
      <c r="AA789" s="208"/>
      <c r="AB789" s="208"/>
    </row>
    <row r="790" ht="15.75" customHeight="1">
      <c r="A790" s="250"/>
      <c r="B790" s="244"/>
      <c r="C790" s="245"/>
      <c r="D790" s="246"/>
      <c r="E790" s="245"/>
      <c r="F790" s="247"/>
      <c r="G790" s="244"/>
      <c r="H790" s="243"/>
      <c r="I790" s="244"/>
      <c r="J790" s="244"/>
      <c r="K790" s="244"/>
      <c r="L790" s="248"/>
      <c r="M790" s="248"/>
      <c r="N790" s="244"/>
      <c r="O790" s="249"/>
      <c r="P790" s="249"/>
      <c r="Q790" s="208"/>
      <c r="R790" s="208"/>
      <c r="S790" s="208"/>
      <c r="T790" s="208"/>
      <c r="U790" s="208"/>
      <c r="V790" s="208"/>
      <c r="W790" s="208"/>
      <c r="X790" s="208"/>
      <c r="Y790" s="208"/>
      <c r="Z790" s="208"/>
      <c r="AA790" s="208"/>
      <c r="AB790" s="208"/>
    </row>
    <row r="791" ht="15.75" customHeight="1">
      <c r="A791" s="250"/>
      <c r="B791" s="244"/>
      <c r="C791" s="245"/>
      <c r="D791" s="246"/>
      <c r="E791" s="245"/>
      <c r="F791" s="247"/>
      <c r="G791" s="244"/>
      <c r="H791" s="243"/>
      <c r="I791" s="244"/>
      <c r="J791" s="244"/>
      <c r="K791" s="244"/>
      <c r="L791" s="248"/>
      <c r="M791" s="248"/>
      <c r="N791" s="244"/>
      <c r="O791" s="249"/>
      <c r="P791" s="249"/>
      <c r="Q791" s="208"/>
      <c r="R791" s="208"/>
      <c r="S791" s="208"/>
      <c r="T791" s="208"/>
      <c r="U791" s="208"/>
      <c r="V791" s="208"/>
      <c r="W791" s="208"/>
      <c r="X791" s="208"/>
      <c r="Y791" s="208"/>
      <c r="Z791" s="208"/>
      <c r="AA791" s="208"/>
      <c r="AB791" s="208"/>
    </row>
    <row r="792" ht="15.75" customHeight="1">
      <c r="A792" s="250"/>
      <c r="B792" s="244"/>
      <c r="C792" s="245"/>
      <c r="D792" s="246"/>
      <c r="E792" s="245"/>
      <c r="F792" s="247"/>
      <c r="G792" s="244"/>
      <c r="H792" s="243"/>
      <c r="I792" s="244"/>
      <c r="J792" s="244"/>
      <c r="K792" s="244"/>
      <c r="L792" s="248"/>
      <c r="M792" s="248"/>
      <c r="N792" s="244"/>
      <c r="O792" s="249"/>
      <c r="P792" s="249"/>
      <c r="Q792" s="208"/>
      <c r="R792" s="208"/>
      <c r="S792" s="208"/>
      <c r="T792" s="208"/>
      <c r="U792" s="208"/>
      <c r="V792" s="208"/>
      <c r="W792" s="208"/>
      <c r="X792" s="208"/>
      <c r="Y792" s="208"/>
      <c r="Z792" s="208"/>
      <c r="AA792" s="208"/>
      <c r="AB792" s="208"/>
    </row>
    <row r="793" ht="15.75" customHeight="1">
      <c r="A793" s="250"/>
      <c r="B793" s="244"/>
      <c r="C793" s="245"/>
      <c r="D793" s="246"/>
      <c r="E793" s="245"/>
      <c r="F793" s="247"/>
      <c r="G793" s="244"/>
      <c r="H793" s="243"/>
      <c r="I793" s="244"/>
      <c r="J793" s="244"/>
      <c r="K793" s="244"/>
      <c r="L793" s="248"/>
      <c r="M793" s="248"/>
      <c r="N793" s="244"/>
      <c r="O793" s="249"/>
      <c r="P793" s="249"/>
      <c r="Q793" s="208"/>
      <c r="R793" s="208"/>
      <c r="S793" s="208"/>
      <c r="T793" s="208"/>
      <c r="U793" s="208"/>
      <c r="V793" s="208"/>
      <c r="W793" s="208"/>
      <c r="X793" s="208"/>
      <c r="Y793" s="208"/>
      <c r="Z793" s="208"/>
      <c r="AA793" s="208"/>
      <c r="AB793" s="208"/>
    </row>
    <row r="794" ht="15.75" customHeight="1">
      <c r="A794" s="250"/>
      <c r="B794" s="244"/>
      <c r="C794" s="245"/>
      <c r="D794" s="246"/>
      <c r="E794" s="245"/>
      <c r="F794" s="247"/>
      <c r="G794" s="244"/>
      <c r="H794" s="243"/>
      <c r="I794" s="244"/>
      <c r="J794" s="244"/>
      <c r="K794" s="244"/>
      <c r="L794" s="248"/>
      <c r="M794" s="248"/>
      <c r="N794" s="244"/>
      <c r="O794" s="249"/>
      <c r="P794" s="249"/>
      <c r="Q794" s="208"/>
      <c r="R794" s="208"/>
      <c r="S794" s="208"/>
      <c r="T794" s="208"/>
      <c r="U794" s="208"/>
      <c r="V794" s="208"/>
      <c r="W794" s="208"/>
      <c r="X794" s="208"/>
      <c r="Y794" s="208"/>
      <c r="Z794" s="208"/>
      <c r="AA794" s="208"/>
      <c r="AB794" s="208"/>
    </row>
    <row r="795" ht="15.75" customHeight="1">
      <c r="A795" s="250"/>
      <c r="B795" s="244"/>
      <c r="C795" s="245"/>
      <c r="D795" s="246"/>
      <c r="E795" s="245"/>
      <c r="F795" s="247"/>
      <c r="G795" s="244"/>
      <c r="H795" s="243"/>
      <c r="I795" s="244"/>
      <c r="J795" s="244"/>
      <c r="K795" s="244"/>
      <c r="L795" s="248"/>
      <c r="M795" s="248"/>
      <c r="N795" s="244"/>
      <c r="O795" s="249"/>
      <c r="P795" s="249"/>
      <c r="Q795" s="208"/>
      <c r="R795" s="208"/>
      <c r="S795" s="208"/>
      <c r="T795" s="208"/>
      <c r="U795" s="208"/>
      <c r="V795" s="208"/>
      <c r="W795" s="208"/>
      <c r="X795" s="208"/>
      <c r="Y795" s="208"/>
      <c r="Z795" s="208"/>
      <c r="AA795" s="208"/>
      <c r="AB795" s="208"/>
    </row>
    <row r="796" ht="15.75" customHeight="1">
      <c r="A796" s="250"/>
      <c r="B796" s="244"/>
      <c r="C796" s="245"/>
      <c r="D796" s="246"/>
      <c r="E796" s="245"/>
      <c r="F796" s="247"/>
      <c r="G796" s="244"/>
      <c r="H796" s="243"/>
      <c r="I796" s="244"/>
      <c r="J796" s="244"/>
      <c r="K796" s="244"/>
      <c r="L796" s="248"/>
      <c r="M796" s="248"/>
      <c r="N796" s="244"/>
      <c r="O796" s="249"/>
      <c r="P796" s="249"/>
      <c r="Q796" s="208"/>
      <c r="R796" s="208"/>
      <c r="S796" s="208"/>
      <c r="T796" s="208"/>
      <c r="U796" s="208"/>
      <c r="V796" s="208"/>
      <c r="W796" s="208"/>
      <c r="X796" s="208"/>
      <c r="Y796" s="208"/>
      <c r="Z796" s="208"/>
      <c r="AA796" s="208"/>
      <c r="AB796" s="208"/>
    </row>
    <row r="797" ht="15.75" customHeight="1">
      <c r="A797" s="250"/>
      <c r="B797" s="244"/>
      <c r="C797" s="245"/>
      <c r="D797" s="246"/>
      <c r="E797" s="245"/>
      <c r="F797" s="247"/>
      <c r="G797" s="244"/>
      <c r="H797" s="243"/>
      <c r="I797" s="244"/>
      <c r="J797" s="244"/>
      <c r="K797" s="244"/>
      <c r="L797" s="248"/>
      <c r="M797" s="248"/>
      <c r="N797" s="244"/>
      <c r="O797" s="249"/>
      <c r="P797" s="249"/>
      <c r="Q797" s="208"/>
      <c r="R797" s="208"/>
      <c r="S797" s="208"/>
      <c r="T797" s="208"/>
      <c r="U797" s="208"/>
      <c r="V797" s="208"/>
      <c r="W797" s="208"/>
      <c r="X797" s="208"/>
      <c r="Y797" s="208"/>
      <c r="Z797" s="208"/>
      <c r="AA797" s="208"/>
      <c r="AB797" s="208"/>
    </row>
    <row r="798" ht="15.75" customHeight="1">
      <c r="A798" s="250"/>
      <c r="B798" s="244"/>
      <c r="C798" s="245"/>
      <c r="D798" s="246"/>
      <c r="E798" s="245"/>
      <c r="F798" s="247"/>
      <c r="G798" s="244"/>
      <c r="H798" s="243"/>
      <c r="I798" s="244"/>
      <c r="J798" s="244"/>
      <c r="K798" s="244"/>
      <c r="L798" s="248"/>
      <c r="M798" s="248"/>
      <c r="N798" s="244"/>
      <c r="O798" s="249"/>
      <c r="P798" s="249"/>
      <c r="Q798" s="208"/>
      <c r="R798" s="208"/>
      <c r="S798" s="208"/>
      <c r="T798" s="208"/>
      <c r="U798" s="208"/>
      <c r="V798" s="208"/>
      <c r="W798" s="208"/>
      <c r="X798" s="208"/>
      <c r="Y798" s="208"/>
      <c r="Z798" s="208"/>
      <c r="AA798" s="208"/>
      <c r="AB798" s="208"/>
    </row>
    <row r="799" ht="15.75" customHeight="1">
      <c r="A799" s="250"/>
      <c r="B799" s="244"/>
      <c r="C799" s="245"/>
      <c r="D799" s="246"/>
      <c r="E799" s="245"/>
      <c r="F799" s="247"/>
      <c r="G799" s="244"/>
      <c r="H799" s="243"/>
      <c r="I799" s="244"/>
      <c r="J799" s="244"/>
      <c r="K799" s="244"/>
      <c r="L799" s="248"/>
      <c r="M799" s="248"/>
      <c r="N799" s="244"/>
      <c r="O799" s="249"/>
      <c r="P799" s="249"/>
      <c r="Q799" s="208"/>
      <c r="R799" s="208"/>
      <c r="S799" s="208"/>
      <c r="T799" s="208"/>
      <c r="U799" s="208"/>
      <c r="V799" s="208"/>
      <c r="W799" s="208"/>
      <c r="X799" s="208"/>
      <c r="Y799" s="208"/>
      <c r="Z799" s="208"/>
      <c r="AA799" s="208"/>
      <c r="AB799" s="208"/>
    </row>
    <row r="800" ht="15.75" customHeight="1">
      <c r="A800" s="250"/>
      <c r="B800" s="244"/>
      <c r="C800" s="245"/>
      <c r="D800" s="246"/>
      <c r="E800" s="245"/>
      <c r="F800" s="247"/>
      <c r="G800" s="244"/>
      <c r="H800" s="243"/>
      <c r="I800" s="244"/>
      <c r="J800" s="244"/>
      <c r="K800" s="244"/>
      <c r="L800" s="248"/>
      <c r="M800" s="248"/>
      <c r="N800" s="244"/>
      <c r="O800" s="249"/>
      <c r="P800" s="249"/>
      <c r="Q800" s="208"/>
      <c r="R800" s="208"/>
      <c r="S800" s="208"/>
      <c r="T800" s="208"/>
      <c r="U800" s="208"/>
      <c r="V800" s="208"/>
      <c r="W800" s="208"/>
      <c r="X800" s="208"/>
      <c r="Y800" s="208"/>
      <c r="Z800" s="208"/>
      <c r="AA800" s="208"/>
      <c r="AB800" s="208"/>
    </row>
    <row r="801" ht="15.75" customHeight="1">
      <c r="A801" s="250"/>
      <c r="B801" s="244"/>
      <c r="C801" s="245"/>
      <c r="D801" s="246"/>
      <c r="E801" s="245"/>
      <c r="F801" s="247"/>
      <c r="G801" s="244"/>
      <c r="H801" s="243"/>
      <c r="I801" s="244"/>
      <c r="J801" s="244"/>
      <c r="K801" s="244"/>
      <c r="L801" s="248"/>
      <c r="M801" s="248"/>
      <c r="N801" s="244"/>
      <c r="O801" s="249"/>
      <c r="P801" s="249"/>
      <c r="Q801" s="208"/>
      <c r="R801" s="208"/>
      <c r="S801" s="208"/>
      <c r="T801" s="208"/>
      <c r="U801" s="208"/>
      <c r="V801" s="208"/>
      <c r="W801" s="208"/>
      <c r="X801" s="208"/>
      <c r="Y801" s="208"/>
      <c r="Z801" s="208"/>
      <c r="AA801" s="208"/>
      <c r="AB801" s="208"/>
    </row>
    <row r="802" ht="15.75" customHeight="1">
      <c r="A802" s="250"/>
      <c r="B802" s="244"/>
      <c r="C802" s="245"/>
      <c r="D802" s="246"/>
      <c r="E802" s="245"/>
      <c r="F802" s="247"/>
      <c r="G802" s="244"/>
      <c r="H802" s="243"/>
      <c r="I802" s="244"/>
      <c r="J802" s="244"/>
      <c r="K802" s="244"/>
      <c r="L802" s="248"/>
      <c r="M802" s="248"/>
      <c r="N802" s="244"/>
      <c r="O802" s="249"/>
      <c r="P802" s="249"/>
      <c r="Q802" s="208"/>
      <c r="R802" s="208"/>
      <c r="S802" s="208"/>
      <c r="T802" s="208"/>
      <c r="U802" s="208"/>
      <c r="V802" s="208"/>
      <c r="W802" s="208"/>
      <c r="X802" s="208"/>
      <c r="Y802" s="208"/>
      <c r="Z802" s="208"/>
      <c r="AA802" s="208"/>
      <c r="AB802" s="208"/>
    </row>
    <row r="803" ht="15.75" customHeight="1">
      <c r="A803" s="250"/>
      <c r="B803" s="244"/>
      <c r="C803" s="245"/>
      <c r="D803" s="246"/>
      <c r="E803" s="245"/>
      <c r="F803" s="247"/>
      <c r="G803" s="244"/>
      <c r="H803" s="243"/>
      <c r="I803" s="244"/>
      <c r="J803" s="244"/>
      <c r="K803" s="244"/>
      <c r="L803" s="248"/>
      <c r="M803" s="248"/>
      <c r="N803" s="244"/>
      <c r="O803" s="249"/>
      <c r="P803" s="249"/>
      <c r="Q803" s="208"/>
      <c r="R803" s="208"/>
      <c r="S803" s="208"/>
      <c r="T803" s="208"/>
      <c r="U803" s="208"/>
      <c r="V803" s="208"/>
      <c r="W803" s="208"/>
      <c r="X803" s="208"/>
      <c r="Y803" s="208"/>
      <c r="Z803" s="208"/>
      <c r="AA803" s="208"/>
      <c r="AB803" s="208"/>
    </row>
    <row r="804" ht="15.75" customHeight="1">
      <c r="A804" s="250"/>
      <c r="B804" s="244"/>
      <c r="C804" s="245"/>
      <c r="D804" s="246"/>
      <c r="E804" s="245"/>
      <c r="F804" s="247"/>
      <c r="G804" s="244"/>
      <c r="H804" s="243"/>
      <c r="I804" s="244"/>
      <c r="J804" s="244"/>
      <c r="K804" s="244"/>
      <c r="L804" s="248"/>
      <c r="M804" s="248"/>
      <c r="N804" s="244"/>
      <c r="O804" s="249"/>
      <c r="P804" s="249"/>
      <c r="Q804" s="208"/>
      <c r="R804" s="208"/>
      <c r="S804" s="208"/>
      <c r="T804" s="208"/>
      <c r="U804" s="208"/>
      <c r="V804" s="208"/>
      <c r="W804" s="208"/>
      <c r="X804" s="208"/>
      <c r="Y804" s="208"/>
      <c r="Z804" s="208"/>
      <c r="AA804" s="208"/>
      <c r="AB804" s="208"/>
    </row>
    <row r="805" ht="15.75" customHeight="1">
      <c r="A805" s="250"/>
      <c r="B805" s="244"/>
      <c r="C805" s="245"/>
      <c r="D805" s="246"/>
      <c r="E805" s="245"/>
      <c r="F805" s="247"/>
      <c r="G805" s="244"/>
      <c r="H805" s="243"/>
      <c r="I805" s="244"/>
      <c r="J805" s="244"/>
      <c r="K805" s="244"/>
      <c r="L805" s="248"/>
      <c r="M805" s="248"/>
      <c r="N805" s="244"/>
      <c r="O805" s="249"/>
      <c r="P805" s="249"/>
      <c r="Q805" s="208"/>
      <c r="R805" s="208"/>
      <c r="S805" s="208"/>
      <c r="T805" s="208"/>
      <c r="U805" s="208"/>
      <c r="V805" s="208"/>
      <c r="W805" s="208"/>
      <c r="X805" s="208"/>
      <c r="Y805" s="208"/>
      <c r="Z805" s="208"/>
      <c r="AA805" s="208"/>
      <c r="AB805" s="208"/>
    </row>
    <row r="806" ht="15.75" customHeight="1">
      <c r="A806" s="250"/>
      <c r="B806" s="244"/>
      <c r="C806" s="245"/>
      <c r="D806" s="246"/>
      <c r="E806" s="245"/>
      <c r="F806" s="247"/>
      <c r="G806" s="244"/>
      <c r="H806" s="243"/>
      <c r="I806" s="244"/>
      <c r="J806" s="244"/>
      <c r="K806" s="244"/>
      <c r="L806" s="248"/>
      <c r="M806" s="248"/>
      <c r="N806" s="244"/>
      <c r="O806" s="249"/>
      <c r="P806" s="249"/>
      <c r="Q806" s="208"/>
      <c r="R806" s="208"/>
      <c r="S806" s="208"/>
      <c r="T806" s="208"/>
      <c r="U806" s="208"/>
      <c r="V806" s="208"/>
      <c r="W806" s="208"/>
      <c r="X806" s="208"/>
      <c r="Y806" s="208"/>
      <c r="Z806" s="208"/>
      <c r="AA806" s="208"/>
      <c r="AB806" s="208"/>
    </row>
    <row r="807" ht="15.75" customHeight="1">
      <c r="A807" s="250"/>
      <c r="B807" s="244"/>
      <c r="C807" s="245"/>
      <c r="D807" s="246"/>
      <c r="E807" s="245"/>
      <c r="F807" s="247"/>
      <c r="G807" s="244"/>
      <c r="H807" s="243"/>
      <c r="I807" s="244"/>
      <c r="J807" s="244"/>
      <c r="K807" s="244"/>
      <c r="L807" s="248"/>
      <c r="M807" s="248"/>
      <c r="N807" s="244"/>
      <c r="O807" s="249"/>
      <c r="P807" s="249"/>
      <c r="Q807" s="208"/>
      <c r="R807" s="208"/>
      <c r="S807" s="208"/>
      <c r="T807" s="208"/>
      <c r="U807" s="208"/>
      <c r="V807" s="208"/>
      <c r="W807" s="208"/>
      <c r="X807" s="208"/>
      <c r="Y807" s="208"/>
      <c r="Z807" s="208"/>
      <c r="AA807" s="208"/>
      <c r="AB807" s="208"/>
    </row>
    <row r="808" ht="15.75" customHeight="1">
      <c r="A808" s="250"/>
      <c r="B808" s="244"/>
      <c r="C808" s="245"/>
      <c r="D808" s="246"/>
      <c r="E808" s="245"/>
      <c r="F808" s="247"/>
      <c r="G808" s="244"/>
      <c r="H808" s="243"/>
      <c r="I808" s="244"/>
      <c r="J808" s="244"/>
      <c r="K808" s="244"/>
      <c r="L808" s="248"/>
      <c r="M808" s="248"/>
      <c r="N808" s="244"/>
      <c r="O808" s="249"/>
      <c r="P808" s="249"/>
      <c r="Q808" s="208"/>
      <c r="R808" s="208"/>
      <c r="S808" s="208"/>
      <c r="T808" s="208"/>
      <c r="U808" s="208"/>
      <c r="V808" s="208"/>
      <c r="W808" s="208"/>
      <c r="X808" s="208"/>
      <c r="Y808" s="208"/>
      <c r="Z808" s="208"/>
      <c r="AA808" s="208"/>
      <c r="AB808" s="208"/>
    </row>
    <row r="809" ht="15.75" customHeight="1">
      <c r="A809" s="250"/>
      <c r="B809" s="244"/>
      <c r="C809" s="245"/>
      <c r="D809" s="246"/>
      <c r="E809" s="245"/>
      <c r="F809" s="247"/>
      <c r="G809" s="244"/>
      <c r="H809" s="243"/>
      <c r="I809" s="244"/>
      <c r="J809" s="244"/>
      <c r="K809" s="244"/>
      <c r="L809" s="248"/>
      <c r="M809" s="248"/>
      <c r="N809" s="244"/>
      <c r="O809" s="249"/>
      <c r="P809" s="249"/>
      <c r="Q809" s="208"/>
      <c r="R809" s="208"/>
      <c r="S809" s="208"/>
      <c r="T809" s="208"/>
      <c r="U809" s="208"/>
      <c r="V809" s="208"/>
      <c r="W809" s="208"/>
      <c r="X809" s="208"/>
      <c r="Y809" s="208"/>
      <c r="Z809" s="208"/>
      <c r="AA809" s="208"/>
      <c r="AB809" s="208"/>
    </row>
    <row r="810" ht="15.75" customHeight="1">
      <c r="A810" s="250"/>
      <c r="B810" s="244"/>
      <c r="C810" s="245"/>
      <c r="D810" s="246"/>
      <c r="E810" s="245"/>
      <c r="F810" s="247"/>
      <c r="G810" s="244"/>
      <c r="H810" s="243"/>
      <c r="I810" s="244"/>
      <c r="J810" s="244"/>
      <c r="K810" s="244"/>
      <c r="L810" s="248"/>
      <c r="M810" s="248"/>
      <c r="N810" s="244"/>
      <c r="O810" s="249"/>
      <c r="P810" s="249"/>
      <c r="Q810" s="208"/>
      <c r="R810" s="208"/>
      <c r="S810" s="208"/>
      <c r="T810" s="208"/>
      <c r="U810" s="208"/>
      <c r="V810" s="208"/>
      <c r="W810" s="208"/>
      <c r="X810" s="208"/>
      <c r="Y810" s="208"/>
      <c r="Z810" s="208"/>
      <c r="AA810" s="208"/>
      <c r="AB810" s="208"/>
    </row>
    <row r="811" ht="15.75" customHeight="1">
      <c r="A811" s="250"/>
      <c r="B811" s="244"/>
      <c r="C811" s="245"/>
      <c r="D811" s="246"/>
      <c r="E811" s="245"/>
      <c r="F811" s="247"/>
      <c r="G811" s="244"/>
      <c r="H811" s="243"/>
      <c r="I811" s="244"/>
      <c r="J811" s="244"/>
      <c r="K811" s="244"/>
      <c r="L811" s="248"/>
      <c r="M811" s="248"/>
      <c r="N811" s="244"/>
      <c r="O811" s="249"/>
      <c r="P811" s="249"/>
      <c r="Q811" s="208"/>
      <c r="R811" s="208"/>
      <c r="S811" s="208"/>
      <c r="T811" s="208"/>
      <c r="U811" s="208"/>
      <c r="V811" s="208"/>
      <c r="W811" s="208"/>
      <c r="X811" s="208"/>
      <c r="Y811" s="208"/>
      <c r="Z811" s="208"/>
      <c r="AA811" s="208"/>
      <c r="AB811" s="208"/>
    </row>
    <row r="812" ht="15.75" customHeight="1">
      <c r="A812" s="250"/>
      <c r="B812" s="244"/>
      <c r="C812" s="245"/>
      <c r="D812" s="246"/>
      <c r="E812" s="245"/>
      <c r="F812" s="247"/>
      <c r="G812" s="244"/>
      <c r="H812" s="243"/>
      <c r="I812" s="244"/>
      <c r="J812" s="244"/>
      <c r="K812" s="244"/>
      <c r="L812" s="248"/>
      <c r="M812" s="248"/>
      <c r="N812" s="244"/>
      <c r="O812" s="249"/>
      <c r="P812" s="249"/>
      <c r="Q812" s="208"/>
      <c r="R812" s="208"/>
      <c r="S812" s="208"/>
      <c r="T812" s="208"/>
      <c r="U812" s="208"/>
      <c r="V812" s="208"/>
      <c r="W812" s="208"/>
      <c r="X812" s="208"/>
      <c r="Y812" s="208"/>
      <c r="Z812" s="208"/>
      <c r="AA812" s="208"/>
      <c r="AB812" s="208"/>
    </row>
    <row r="813" ht="15.75" customHeight="1">
      <c r="A813" s="250"/>
      <c r="B813" s="244"/>
      <c r="C813" s="245"/>
      <c r="D813" s="246"/>
      <c r="E813" s="245"/>
      <c r="F813" s="247"/>
      <c r="G813" s="244"/>
      <c r="H813" s="243"/>
      <c r="I813" s="244"/>
      <c r="J813" s="244"/>
      <c r="K813" s="244"/>
      <c r="L813" s="248"/>
      <c r="M813" s="248"/>
      <c r="N813" s="244"/>
      <c r="O813" s="249"/>
      <c r="P813" s="249"/>
      <c r="Q813" s="208"/>
      <c r="R813" s="208"/>
      <c r="S813" s="208"/>
      <c r="T813" s="208"/>
      <c r="U813" s="208"/>
      <c r="V813" s="208"/>
      <c r="W813" s="208"/>
      <c r="X813" s="208"/>
      <c r="Y813" s="208"/>
      <c r="Z813" s="208"/>
      <c r="AA813" s="208"/>
      <c r="AB813" s="208"/>
    </row>
    <row r="814" ht="15.75" customHeight="1">
      <c r="A814" s="250"/>
      <c r="B814" s="244"/>
      <c r="C814" s="245"/>
      <c r="D814" s="246"/>
      <c r="E814" s="245"/>
      <c r="F814" s="247"/>
      <c r="G814" s="244"/>
      <c r="H814" s="243"/>
      <c r="I814" s="244"/>
      <c r="J814" s="244"/>
      <c r="K814" s="244"/>
      <c r="L814" s="248"/>
      <c r="M814" s="248"/>
      <c r="N814" s="244"/>
      <c r="O814" s="249"/>
      <c r="P814" s="249"/>
      <c r="Q814" s="208"/>
      <c r="R814" s="208"/>
      <c r="S814" s="208"/>
      <c r="T814" s="208"/>
      <c r="U814" s="208"/>
      <c r="V814" s="208"/>
      <c r="W814" s="208"/>
      <c r="X814" s="208"/>
      <c r="Y814" s="208"/>
      <c r="Z814" s="208"/>
      <c r="AA814" s="208"/>
      <c r="AB814" s="208"/>
    </row>
    <row r="815" ht="15.75" customHeight="1">
      <c r="A815" s="250"/>
      <c r="B815" s="244"/>
      <c r="C815" s="245"/>
      <c r="D815" s="246"/>
      <c r="E815" s="245"/>
      <c r="F815" s="247"/>
      <c r="G815" s="244"/>
      <c r="H815" s="243"/>
      <c r="I815" s="244"/>
      <c r="J815" s="244"/>
      <c r="K815" s="244"/>
      <c r="L815" s="248"/>
      <c r="M815" s="248"/>
      <c r="N815" s="244"/>
      <c r="O815" s="249"/>
      <c r="P815" s="249"/>
      <c r="Q815" s="208"/>
      <c r="R815" s="208"/>
      <c r="S815" s="208"/>
      <c r="T815" s="208"/>
      <c r="U815" s="208"/>
      <c r="V815" s="208"/>
      <c r="W815" s="208"/>
      <c r="X815" s="208"/>
      <c r="Y815" s="208"/>
      <c r="Z815" s="208"/>
      <c r="AA815" s="208"/>
      <c r="AB815" s="208"/>
    </row>
    <row r="816" ht="15.75" customHeight="1">
      <c r="A816" s="250"/>
      <c r="B816" s="244"/>
      <c r="C816" s="245"/>
      <c r="D816" s="246"/>
      <c r="E816" s="245"/>
      <c r="F816" s="247"/>
      <c r="G816" s="244"/>
      <c r="H816" s="243"/>
      <c r="I816" s="244"/>
      <c r="J816" s="244"/>
      <c r="K816" s="244"/>
      <c r="L816" s="248"/>
      <c r="M816" s="248"/>
      <c r="N816" s="244"/>
      <c r="O816" s="249"/>
      <c r="P816" s="249"/>
      <c r="Q816" s="208"/>
      <c r="R816" s="208"/>
      <c r="S816" s="208"/>
      <c r="T816" s="208"/>
      <c r="U816" s="208"/>
      <c r="V816" s="208"/>
      <c r="W816" s="208"/>
      <c r="X816" s="208"/>
      <c r="Y816" s="208"/>
      <c r="Z816" s="208"/>
      <c r="AA816" s="208"/>
      <c r="AB816" s="208"/>
    </row>
    <row r="817" ht="15.75" customHeight="1">
      <c r="A817" s="250"/>
      <c r="B817" s="244"/>
      <c r="C817" s="245"/>
      <c r="D817" s="246"/>
      <c r="E817" s="245"/>
      <c r="F817" s="247"/>
      <c r="G817" s="244"/>
      <c r="H817" s="243"/>
      <c r="I817" s="244"/>
      <c r="J817" s="244"/>
      <c r="K817" s="244"/>
      <c r="L817" s="248"/>
      <c r="M817" s="248"/>
      <c r="N817" s="244"/>
      <c r="O817" s="249"/>
      <c r="P817" s="249"/>
      <c r="Q817" s="208"/>
      <c r="R817" s="208"/>
      <c r="S817" s="208"/>
      <c r="T817" s="208"/>
      <c r="U817" s="208"/>
      <c r="V817" s="208"/>
      <c r="W817" s="208"/>
      <c r="X817" s="208"/>
      <c r="Y817" s="208"/>
      <c r="Z817" s="208"/>
      <c r="AA817" s="208"/>
      <c r="AB817" s="208"/>
    </row>
    <row r="818" ht="15.75" customHeight="1">
      <c r="A818" s="250"/>
      <c r="B818" s="244"/>
      <c r="C818" s="245"/>
      <c r="D818" s="246"/>
      <c r="E818" s="245"/>
      <c r="F818" s="247"/>
      <c r="G818" s="244"/>
      <c r="H818" s="243"/>
      <c r="I818" s="244"/>
      <c r="J818" s="244"/>
      <c r="K818" s="244"/>
      <c r="L818" s="248"/>
      <c r="M818" s="248"/>
      <c r="N818" s="244"/>
      <c r="O818" s="249"/>
      <c r="P818" s="249"/>
      <c r="Q818" s="208"/>
      <c r="R818" s="208"/>
      <c r="S818" s="208"/>
      <c r="T818" s="208"/>
      <c r="U818" s="208"/>
      <c r="V818" s="208"/>
      <c r="W818" s="208"/>
      <c r="X818" s="208"/>
      <c r="Y818" s="208"/>
      <c r="Z818" s="208"/>
      <c r="AA818" s="208"/>
      <c r="AB818" s="208"/>
    </row>
    <row r="819" ht="15.75" customHeight="1">
      <c r="A819" s="250"/>
      <c r="B819" s="244"/>
      <c r="C819" s="245"/>
      <c r="D819" s="246"/>
      <c r="E819" s="245"/>
      <c r="F819" s="247"/>
      <c r="G819" s="244"/>
      <c r="H819" s="243"/>
      <c r="I819" s="244"/>
      <c r="J819" s="244"/>
      <c r="K819" s="244"/>
      <c r="L819" s="248"/>
      <c r="M819" s="248"/>
      <c r="N819" s="244"/>
      <c r="O819" s="249"/>
      <c r="P819" s="249"/>
      <c r="Q819" s="208"/>
      <c r="R819" s="208"/>
      <c r="S819" s="208"/>
      <c r="T819" s="208"/>
      <c r="U819" s="208"/>
      <c r="V819" s="208"/>
      <c r="W819" s="208"/>
      <c r="X819" s="208"/>
      <c r="Y819" s="208"/>
      <c r="Z819" s="208"/>
      <c r="AA819" s="208"/>
      <c r="AB819" s="208"/>
    </row>
    <row r="820" ht="15.75" customHeight="1">
      <c r="A820" s="250"/>
      <c r="B820" s="244"/>
      <c r="C820" s="245"/>
      <c r="D820" s="246"/>
      <c r="E820" s="245"/>
      <c r="F820" s="247"/>
      <c r="G820" s="244"/>
      <c r="H820" s="243"/>
      <c r="I820" s="244"/>
      <c r="J820" s="244"/>
      <c r="K820" s="244"/>
      <c r="L820" s="248"/>
      <c r="M820" s="248"/>
      <c r="N820" s="244"/>
      <c r="O820" s="249"/>
      <c r="P820" s="249"/>
      <c r="Q820" s="208"/>
      <c r="R820" s="208"/>
      <c r="S820" s="208"/>
      <c r="T820" s="208"/>
      <c r="U820" s="208"/>
      <c r="V820" s="208"/>
      <c r="W820" s="208"/>
      <c r="X820" s="208"/>
      <c r="Y820" s="208"/>
      <c r="Z820" s="208"/>
      <c r="AA820" s="208"/>
      <c r="AB820" s="208"/>
    </row>
    <row r="821" ht="15.75" customHeight="1">
      <c r="A821" s="250"/>
      <c r="B821" s="244"/>
      <c r="C821" s="245"/>
      <c r="D821" s="246"/>
      <c r="E821" s="245"/>
      <c r="F821" s="247"/>
      <c r="G821" s="244"/>
      <c r="H821" s="243"/>
      <c r="I821" s="244"/>
      <c r="J821" s="244"/>
      <c r="K821" s="244"/>
      <c r="L821" s="248"/>
      <c r="M821" s="248"/>
      <c r="N821" s="244"/>
      <c r="O821" s="249"/>
      <c r="P821" s="249"/>
      <c r="Q821" s="208"/>
      <c r="R821" s="208"/>
      <c r="S821" s="208"/>
      <c r="T821" s="208"/>
      <c r="U821" s="208"/>
      <c r="V821" s="208"/>
      <c r="W821" s="208"/>
      <c r="X821" s="208"/>
      <c r="Y821" s="208"/>
      <c r="Z821" s="208"/>
      <c r="AA821" s="208"/>
      <c r="AB821" s="208"/>
    </row>
    <row r="822" ht="15.75" customHeight="1">
      <c r="A822" s="250"/>
      <c r="B822" s="244"/>
      <c r="C822" s="245"/>
      <c r="D822" s="246"/>
      <c r="E822" s="245"/>
      <c r="F822" s="247"/>
      <c r="G822" s="244"/>
      <c r="H822" s="243"/>
      <c r="I822" s="244"/>
      <c r="J822" s="244"/>
      <c r="K822" s="244"/>
      <c r="L822" s="248"/>
      <c r="M822" s="248"/>
      <c r="N822" s="244"/>
      <c r="O822" s="249"/>
      <c r="P822" s="249"/>
      <c r="Q822" s="208"/>
      <c r="R822" s="208"/>
      <c r="S822" s="208"/>
      <c r="T822" s="208"/>
      <c r="U822" s="208"/>
      <c r="V822" s="208"/>
      <c r="W822" s="208"/>
      <c r="X822" s="208"/>
      <c r="Y822" s="208"/>
      <c r="Z822" s="208"/>
      <c r="AA822" s="208"/>
      <c r="AB822" s="208"/>
    </row>
    <row r="823" ht="15.75" customHeight="1">
      <c r="A823" s="250"/>
      <c r="B823" s="244"/>
      <c r="C823" s="245"/>
      <c r="D823" s="246"/>
      <c r="E823" s="245"/>
      <c r="F823" s="247"/>
      <c r="G823" s="244"/>
      <c r="H823" s="243"/>
      <c r="I823" s="244"/>
      <c r="J823" s="244"/>
      <c r="K823" s="244"/>
      <c r="L823" s="248"/>
      <c r="M823" s="248"/>
      <c r="N823" s="244"/>
      <c r="O823" s="249"/>
      <c r="P823" s="249"/>
      <c r="Q823" s="208"/>
      <c r="R823" s="208"/>
      <c r="S823" s="208"/>
      <c r="T823" s="208"/>
      <c r="U823" s="208"/>
      <c r="V823" s="208"/>
      <c r="W823" s="208"/>
      <c r="X823" s="208"/>
      <c r="Y823" s="208"/>
      <c r="Z823" s="208"/>
      <c r="AA823" s="208"/>
      <c r="AB823" s="208"/>
    </row>
    <row r="824" ht="15.75" customHeight="1">
      <c r="A824" s="250"/>
      <c r="B824" s="244"/>
      <c r="C824" s="245"/>
      <c r="D824" s="246"/>
      <c r="E824" s="245"/>
      <c r="F824" s="247"/>
      <c r="G824" s="244"/>
      <c r="H824" s="243"/>
      <c r="I824" s="244"/>
      <c r="J824" s="244"/>
      <c r="K824" s="244"/>
      <c r="L824" s="248"/>
      <c r="M824" s="248"/>
      <c r="N824" s="244"/>
      <c r="O824" s="249"/>
      <c r="P824" s="249"/>
      <c r="Q824" s="208"/>
      <c r="R824" s="208"/>
      <c r="S824" s="208"/>
      <c r="T824" s="208"/>
      <c r="U824" s="208"/>
      <c r="V824" s="208"/>
      <c r="W824" s="208"/>
      <c r="X824" s="208"/>
      <c r="Y824" s="208"/>
      <c r="Z824" s="208"/>
      <c r="AA824" s="208"/>
      <c r="AB824" s="208"/>
    </row>
    <row r="825" ht="15.75" customHeight="1">
      <c r="A825" s="250"/>
      <c r="B825" s="244"/>
      <c r="C825" s="245"/>
      <c r="D825" s="246"/>
      <c r="E825" s="245"/>
      <c r="F825" s="247"/>
      <c r="G825" s="244"/>
      <c r="H825" s="243"/>
      <c r="I825" s="244"/>
      <c r="J825" s="244"/>
      <c r="K825" s="244"/>
      <c r="L825" s="248"/>
      <c r="M825" s="248"/>
      <c r="N825" s="244"/>
      <c r="O825" s="249"/>
      <c r="P825" s="249"/>
      <c r="Q825" s="208"/>
      <c r="R825" s="208"/>
      <c r="S825" s="208"/>
      <c r="T825" s="208"/>
      <c r="U825" s="208"/>
      <c r="V825" s="208"/>
      <c r="W825" s="208"/>
      <c r="X825" s="208"/>
      <c r="Y825" s="208"/>
      <c r="Z825" s="208"/>
      <c r="AA825" s="208"/>
      <c r="AB825" s="208"/>
    </row>
    <row r="826" ht="15.75" customHeight="1">
      <c r="A826" s="250"/>
      <c r="B826" s="244"/>
      <c r="C826" s="245"/>
      <c r="D826" s="246"/>
      <c r="E826" s="245"/>
      <c r="F826" s="247"/>
      <c r="G826" s="244"/>
      <c r="H826" s="243"/>
      <c r="I826" s="244"/>
      <c r="J826" s="244"/>
      <c r="K826" s="244"/>
      <c r="L826" s="248"/>
      <c r="M826" s="248"/>
      <c r="N826" s="244"/>
      <c r="O826" s="249"/>
      <c r="P826" s="249"/>
      <c r="Q826" s="208"/>
      <c r="R826" s="208"/>
      <c r="S826" s="208"/>
      <c r="T826" s="208"/>
      <c r="U826" s="208"/>
      <c r="V826" s="208"/>
      <c r="W826" s="208"/>
      <c r="X826" s="208"/>
      <c r="Y826" s="208"/>
      <c r="Z826" s="208"/>
      <c r="AA826" s="208"/>
      <c r="AB826" s="208"/>
    </row>
    <row r="827" ht="15.75" customHeight="1">
      <c r="A827" s="250"/>
      <c r="B827" s="244"/>
      <c r="C827" s="245"/>
      <c r="D827" s="246"/>
      <c r="E827" s="245"/>
      <c r="F827" s="247"/>
      <c r="G827" s="244"/>
      <c r="H827" s="243"/>
      <c r="I827" s="244"/>
      <c r="J827" s="244"/>
      <c r="K827" s="244"/>
      <c r="L827" s="248"/>
      <c r="M827" s="248"/>
      <c r="N827" s="244"/>
      <c r="O827" s="249"/>
      <c r="P827" s="249"/>
      <c r="Q827" s="208"/>
      <c r="R827" s="208"/>
      <c r="S827" s="208"/>
      <c r="T827" s="208"/>
      <c r="U827" s="208"/>
      <c r="V827" s="208"/>
      <c r="W827" s="208"/>
      <c r="X827" s="208"/>
      <c r="Y827" s="208"/>
      <c r="Z827" s="208"/>
      <c r="AA827" s="208"/>
      <c r="AB827" s="208"/>
    </row>
    <row r="828" ht="15.75" customHeight="1">
      <c r="A828" s="250"/>
      <c r="B828" s="244"/>
      <c r="C828" s="245"/>
      <c r="D828" s="246"/>
      <c r="E828" s="245"/>
      <c r="F828" s="247"/>
      <c r="G828" s="244"/>
      <c r="H828" s="243"/>
      <c r="I828" s="244"/>
      <c r="J828" s="244"/>
      <c r="K828" s="244"/>
      <c r="L828" s="248"/>
      <c r="M828" s="248"/>
      <c r="N828" s="244"/>
      <c r="O828" s="249"/>
      <c r="P828" s="249"/>
      <c r="Q828" s="208"/>
      <c r="R828" s="208"/>
      <c r="S828" s="208"/>
      <c r="T828" s="208"/>
      <c r="U828" s="208"/>
      <c r="V828" s="208"/>
      <c r="W828" s="208"/>
      <c r="X828" s="208"/>
      <c r="Y828" s="208"/>
      <c r="Z828" s="208"/>
      <c r="AA828" s="208"/>
      <c r="AB828" s="208"/>
    </row>
    <row r="829" ht="15.75" customHeight="1">
      <c r="A829" s="250"/>
      <c r="B829" s="244"/>
      <c r="C829" s="245"/>
      <c r="D829" s="246"/>
      <c r="E829" s="245"/>
      <c r="F829" s="247"/>
      <c r="G829" s="244"/>
      <c r="H829" s="243"/>
      <c r="I829" s="244"/>
      <c r="J829" s="244"/>
      <c r="K829" s="244"/>
      <c r="L829" s="248"/>
      <c r="M829" s="248"/>
      <c r="N829" s="244"/>
      <c r="O829" s="249"/>
      <c r="P829" s="249"/>
      <c r="Q829" s="208"/>
      <c r="R829" s="208"/>
      <c r="S829" s="208"/>
      <c r="T829" s="208"/>
      <c r="U829" s="208"/>
      <c r="V829" s="208"/>
      <c r="W829" s="208"/>
      <c r="X829" s="208"/>
      <c r="Y829" s="208"/>
      <c r="Z829" s="208"/>
      <c r="AA829" s="208"/>
      <c r="AB829" s="208"/>
    </row>
    <row r="830" ht="15.75" customHeight="1">
      <c r="A830" s="250"/>
      <c r="B830" s="244"/>
      <c r="C830" s="245"/>
      <c r="D830" s="246"/>
      <c r="E830" s="245"/>
      <c r="F830" s="247"/>
      <c r="G830" s="244"/>
      <c r="H830" s="243"/>
      <c r="I830" s="244"/>
      <c r="J830" s="244"/>
      <c r="K830" s="244"/>
      <c r="L830" s="248"/>
      <c r="M830" s="248"/>
      <c r="N830" s="244"/>
      <c r="O830" s="249"/>
      <c r="P830" s="249"/>
      <c r="Q830" s="208"/>
      <c r="R830" s="208"/>
      <c r="S830" s="208"/>
      <c r="T830" s="208"/>
      <c r="U830" s="208"/>
      <c r="V830" s="208"/>
      <c r="W830" s="208"/>
      <c r="X830" s="208"/>
      <c r="Y830" s="208"/>
      <c r="Z830" s="208"/>
      <c r="AA830" s="208"/>
      <c r="AB830" s="208"/>
    </row>
    <row r="831" ht="15.75" customHeight="1">
      <c r="A831" s="250"/>
      <c r="B831" s="244"/>
      <c r="C831" s="245"/>
      <c r="D831" s="246"/>
      <c r="E831" s="245"/>
      <c r="F831" s="247"/>
      <c r="G831" s="244"/>
      <c r="H831" s="243"/>
      <c r="I831" s="244"/>
      <c r="J831" s="244"/>
      <c r="K831" s="244"/>
      <c r="L831" s="248"/>
      <c r="M831" s="248"/>
      <c r="N831" s="244"/>
      <c r="O831" s="249"/>
      <c r="P831" s="249"/>
      <c r="Q831" s="208"/>
      <c r="R831" s="208"/>
      <c r="S831" s="208"/>
      <c r="T831" s="208"/>
      <c r="U831" s="208"/>
      <c r="V831" s="208"/>
      <c r="W831" s="208"/>
      <c r="X831" s="208"/>
      <c r="Y831" s="208"/>
      <c r="Z831" s="208"/>
      <c r="AA831" s="208"/>
      <c r="AB831" s="208"/>
    </row>
    <row r="832" ht="15.75" customHeight="1">
      <c r="A832" s="250"/>
      <c r="B832" s="244"/>
      <c r="C832" s="245"/>
      <c r="D832" s="246"/>
      <c r="E832" s="245"/>
      <c r="F832" s="247"/>
      <c r="G832" s="244"/>
      <c r="H832" s="243"/>
      <c r="I832" s="244"/>
      <c r="J832" s="244"/>
      <c r="K832" s="244"/>
      <c r="L832" s="248"/>
      <c r="M832" s="248"/>
      <c r="N832" s="244"/>
      <c r="O832" s="249"/>
      <c r="P832" s="249"/>
      <c r="Q832" s="208"/>
      <c r="R832" s="208"/>
      <c r="S832" s="208"/>
      <c r="T832" s="208"/>
      <c r="U832" s="208"/>
      <c r="V832" s="208"/>
      <c r="W832" s="208"/>
      <c r="X832" s="208"/>
      <c r="Y832" s="208"/>
      <c r="Z832" s="208"/>
      <c r="AA832" s="208"/>
      <c r="AB832" s="208"/>
    </row>
    <row r="833" ht="15.75" customHeight="1">
      <c r="A833" s="250"/>
      <c r="B833" s="244"/>
      <c r="C833" s="245"/>
      <c r="D833" s="246"/>
      <c r="E833" s="245"/>
      <c r="F833" s="247"/>
      <c r="G833" s="244"/>
      <c r="H833" s="243"/>
      <c r="I833" s="244"/>
      <c r="J833" s="244"/>
      <c r="K833" s="244"/>
      <c r="L833" s="248"/>
      <c r="M833" s="248"/>
      <c r="N833" s="244"/>
      <c r="O833" s="249"/>
      <c r="P833" s="249"/>
      <c r="Q833" s="208"/>
      <c r="R833" s="208"/>
      <c r="S833" s="208"/>
      <c r="T833" s="208"/>
      <c r="U833" s="208"/>
      <c r="V833" s="208"/>
      <c r="W833" s="208"/>
      <c r="X833" s="208"/>
      <c r="Y833" s="208"/>
      <c r="Z833" s="208"/>
      <c r="AA833" s="208"/>
      <c r="AB833" s="208"/>
    </row>
    <row r="834" ht="15.75" customHeight="1">
      <c r="A834" s="250"/>
      <c r="B834" s="244"/>
      <c r="C834" s="245"/>
      <c r="D834" s="246"/>
      <c r="E834" s="245"/>
      <c r="F834" s="247"/>
      <c r="G834" s="244"/>
      <c r="H834" s="243"/>
      <c r="I834" s="244"/>
      <c r="J834" s="244"/>
      <c r="K834" s="244"/>
      <c r="L834" s="248"/>
      <c r="M834" s="248"/>
      <c r="N834" s="244"/>
      <c r="O834" s="249"/>
      <c r="P834" s="249"/>
      <c r="Q834" s="208"/>
      <c r="R834" s="208"/>
      <c r="S834" s="208"/>
      <c r="T834" s="208"/>
      <c r="U834" s="208"/>
      <c r="V834" s="208"/>
      <c r="W834" s="208"/>
      <c r="X834" s="208"/>
      <c r="Y834" s="208"/>
      <c r="Z834" s="208"/>
      <c r="AA834" s="208"/>
      <c r="AB834" s="208"/>
    </row>
    <row r="835" ht="15.75" customHeight="1">
      <c r="A835" s="250"/>
      <c r="B835" s="244"/>
      <c r="C835" s="245"/>
      <c r="D835" s="246"/>
      <c r="E835" s="245"/>
      <c r="F835" s="247"/>
      <c r="G835" s="244"/>
      <c r="H835" s="243"/>
      <c r="I835" s="244"/>
      <c r="J835" s="244"/>
      <c r="K835" s="244"/>
      <c r="L835" s="248"/>
      <c r="M835" s="248"/>
      <c r="N835" s="244"/>
      <c r="O835" s="249"/>
      <c r="P835" s="249"/>
      <c r="Q835" s="208"/>
      <c r="R835" s="208"/>
      <c r="S835" s="208"/>
      <c r="T835" s="208"/>
      <c r="U835" s="208"/>
      <c r="V835" s="208"/>
      <c r="W835" s="208"/>
      <c r="X835" s="208"/>
      <c r="Y835" s="208"/>
      <c r="Z835" s="208"/>
      <c r="AA835" s="208"/>
      <c r="AB835" s="208"/>
    </row>
    <row r="836" ht="15.75" customHeight="1">
      <c r="A836" s="250"/>
      <c r="B836" s="244"/>
      <c r="C836" s="245"/>
      <c r="D836" s="246"/>
      <c r="E836" s="245"/>
      <c r="F836" s="247"/>
      <c r="G836" s="244"/>
      <c r="H836" s="243"/>
      <c r="I836" s="244"/>
      <c r="J836" s="244"/>
      <c r="K836" s="244"/>
      <c r="L836" s="248"/>
      <c r="M836" s="248"/>
      <c r="N836" s="244"/>
      <c r="O836" s="249"/>
      <c r="P836" s="249"/>
      <c r="Q836" s="208"/>
      <c r="R836" s="208"/>
      <c r="S836" s="208"/>
      <c r="T836" s="208"/>
      <c r="U836" s="208"/>
      <c r="V836" s="208"/>
      <c r="W836" s="208"/>
      <c r="X836" s="208"/>
      <c r="Y836" s="208"/>
      <c r="Z836" s="208"/>
      <c r="AA836" s="208"/>
      <c r="AB836" s="208"/>
    </row>
    <row r="837" ht="15.75" customHeight="1">
      <c r="A837" s="250"/>
      <c r="B837" s="244"/>
      <c r="C837" s="245"/>
      <c r="D837" s="246"/>
      <c r="E837" s="245"/>
      <c r="F837" s="247"/>
      <c r="G837" s="244"/>
      <c r="H837" s="243"/>
      <c r="I837" s="244"/>
      <c r="J837" s="244"/>
      <c r="K837" s="244"/>
      <c r="L837" s="248"/>
      <c r="M837" s="248"/>
      <c r="N837" s="244"/>
      <c r="O837" s="249"/>
      <c r="P837" s="249"/>
      <c r="Q837" s="208"/>
      <c r="R837" s="208"/>
      <c r="S837" s="208"/>
      <c r="T837" s="208"/>
      <c r="U837" s="208"/>
      <c r="V837" s="208"/>
      <c r="W837" s="208"/>
      <c r="X837" s="208"/>
      <c r="Y837" s="208"/>
      <c r="Z837" s="208"/>
      <c r="AA837" s="208"/>
      <c r="AB837" s="208"/>
    </row>
    <row r="838" ht="15.75" customHeight="1">
      <c r="A838" s="250"/>
      <c r="B838" s="244"/>
      <c r="C838" s="245"/>
      <c r="D838" s="246"/>
      <c r="E838" s="245"/>
      <c r="F838" s="247"/>
      <c r="G838" s="244"/>
      <c r="H838" s="243"/>
      <c r="I838" s="244"/>
      <c r="J838" s="244"/>
      <c r="K838" s="244"/>
      <c r="L838" s="248"/>
      <c r="M838" s="248"/>
      <c r="N838" s="244"/>
      <c r="O838" s="249"/>
      <c r="P838" s="249"/>
      <c r="Q838" s="208"/>
      <c r="R838" s="208"/>
      <c r="S838" s="208"/>
      <c r="T838" s="208"/>
      <c r="U838" s="208"/>
      <c r="V838" s="208"/>
      <c r="W838" s="208"/>
      <c r="X838" s="208"/>
      <c r="Y838" s="208"/>
      <c r="Z838" s="208"/>
      <c r="AA838" s="208"/>
      <c r="AB838" s="208"/>
    </row>
    <row r="839" ht="15.75" customHeight="1">
      <c r="A839" s="250"/>
      <c r="B839" s="244"/>
      <c r="C839" s="245"/>
      <c r="D839" s="246"/>
      <c r="E839" s="245"/>
      <c r="F839" s="247"/>
      <c r="G839" s="244"/>
      <c r="H839" s="243"/>
      <c r="I839" s="244"/>
      <c r="J839" s="244"/>
      <c r="K839" s="244"/>
      <c r="L839" s="248"/>
      <c r="M839" s="248"/>
      <c r="N839" s="244"/>
      <c r="O839" s="249"/>
      <c r="P839" s="249"/>
      <c r="Q839" s="208"/>
      <c r="R839" s="208"/>
      <c r="S839" s="208"/>
      <c r="T839" s="208"/>
      <c r="U839" s="208"/>
      <c r="V839" s="208"/>
      <c r="W839" s="208"/>
      <c r="X839" s="208"/>
      <c r="Y839" s="208"/>
      <c r="Z839" s="208"/>
      <c r="AA839" s="208"/>
      <c r="AB839" s="208"/>
    </row>
    <row r="840" ht="15.75" customHeight="1">
      <c r="A840" s="250"/>
      <c r="B840" s="244"/>
      <c r="C840" s="245"/>
      <c r="D840" s="246"/>
      <c r="E840" s="245"/>
      <c r="F840" s="247"/>
      <c r="G840" s="244"/>
      <c r="H840" s="243"/>
      <c r="I840" s="244"/>
      <c r="J840" s="244"/>
      <c r="K840" s="244"/>
      <c r="L840" s="248"/>
      <c r="M840" s="248"/>
      <c r="N840" s="244"/>
      <c r="O840" s="249"/>
      <c r="P840" s="249"/>
      <c r="Q840" s="208"/>
      <c r="R840" s="208"/>
      <c r="S840" s="208"/>
      <c r="T840" s="208"/>
      <c r="U840" s="208"/>
      <c r="V840" s="208"/>
      <c r="W840" s="208"/>
      <c r="X840" s="208"/>
      <c r="Y840" s="208"/>
      <c r="Z840" s="208"/>
      <c r="AA840" s="208"/>
      <c r="AB840" s="208"/>
    </row>
    <row r="841" ht="15.75" customHeight="1">
      <c r="A841" s="250"/>
      <c r="B841" s="244"/>
      <c r="C841" s="245"/>
      <c r="D841" s="246"/>
      <c r="E841" s="245"/>
      <c r="F841" s="247"/>
      <c r="G841" s="244"/>
      <c r="H841" s="243"/>
      <c r="I841" s="244"/>
      <c r="J841" s="244"/>
      <c r="K841" s="244"/>
      <c r="L841" s="248"/>
      <c r="M841" s="248"/>
      <c r="N841" s="244"/>
      <c r="O841" s="249"/>
      <c r="P841" s="249"/>
      <c r="Q841" s="208"/>
      <c r="R841" s="208"/>
      <c r="S841" s="208"/>
      <c r="T841" s="208"/>
      <c r="U841" s="208"/>
      <c r="V841" s="208"/>
      <c r="W841" s="208"/>
      <c r="X841" s="208"/>
      <c r="Y841" s="208"/>
      <c r="Z841" s="208"/>
      <c r="AA841" s="208"/>
      <c r="AB841" s="208"/>
    </row>
    <row r="842" ht="15.75" customHeight="1">
      <c r="A842" s="250"/>
      <c r="B842" s="244"/>
      <c r="C842" s="245"/>
      <c r="D842" s="246"/>
      <c r="E842" s="245"/>
      <c r="F842" s="247"/>
      <c r="G842" s="244"/>
      <c r="H842" s="243"/>
      <c r="I842" s="244"/>
      <c r="J842" s="244"/>
      <c r="K842" s="244"/>
      <c r="L842" s="248"/>
      <c r="M842" s="248"/>
      <c r="N842" s="244"/>
      <c r="O842" s="249"/>
      <c r="P842" s="249"/>
      <c r="Q842" s="208"/>
      <c r="R842" s="208"/>
      <c r="S842" s="208"/>
      <c r="T842" s="208"/>
      <c r="U842" s="208"/>
      <c r="V842" s="208"/>
      <c r="W842" s="208"/>
      <c r="X842" s="208"/>
      <c r="Y842" s="208"/>
      <c r="Z842" s="208"/>
      <c r="AA842" s="208"/>
      <c r="AB842" s="208"/>
    </row>
    <row r="843" ht="15.75" customHeight="1">
      <c r="A843" s="250"/>
      <c r="B843" s="244"/>
      <c r="C843" s="245"/>
      <c r="D843" s="246"/>
      <c r="E843" s="245"/>
      <c r="F843" s="247"/>
      <c r="G843" s="244"/>
      <c r="H843" s="243"/>
      <c r="I843" s="244"/>
      <c r="J843" s="244"/>
      <c r="K843" s="244"/>
      <c r="L843" s="248"/>
      <c r="M843" s="248"/>
      <c r="N843" s="244"/>
      <c r="O843" s="249"/>
      <c r="P843" s="249"/>
      <c r="Q843" s="208"/>
      <c r="R843" s="208"/>
      <c r="S843" s="208"/>
      <c r="T843" s="208"/>
      <c r="U843" s="208"/>
      <c r="V843" s="208"/>
      <c r="W843" s="208"/>
      <c r="X843" s="208"/>
      <c r="Y843" s="208"/>
      <c r="Z843" s="208"/>
      <c r="AA843" s="208"/>
      <c r="AB843" s="208"/>
    </row>
    <row r="844" ht="15.75" customHeight="1">
      <c r="A844" s="250"/>
      <c r="B844" s="244"/>
      <c r="C844" s="245"/>
      <c r="D844" s="246"/>
      <c r="E844" s="245"/>
      <c r="F844" s="247"/>
      <c r="G844" s="244"/>
      <c r="H844" s="243"/>
      <c r="I844" s="244"/>
      <c r="J844" s="244"/>
      <c r="K844" s="244"/>
      <c r="L844" s="248"/>
      <c r="M844" s="248"/>
      <c r="N844" s="244"/>
      <c r="O844" s="249"/>
      <c r="P844" s="249"/>
      <c r="Q844" s="208"/>
      <c r="R844" s="208"/>
      <c r="S844" s="208"/>
      <c r="T844" s="208"/>
      <c r="U844" s="208"/>
      <c r="V844" s="208"/>
      <c r="W844" s="208"/>
      <c r="X844" s="208"/>
      <c r="Y844" s="208"/>
      <c r="Z844" s="208"/>
      <c r="AA844" s="208"/>
      <c r="AB844" s="208"/>
    </row>
    <row r="845" ht="15.75" customHeight="1">
      <c r="A845" s="250"/>
      <c r="B845" s="244"/>
      <c r="C845" s="245"/>
      <c r="D845" s="246"/>
      <c r="E845" s="245"/>
      <c r="F845" s="247"/>
      <c r="G845" s="244"/>
      <c r="H845" s="243"/>
      <c r="I845" s="244"/>
      <c r="J845" s="244"/>
      <c r="K845" s="244"/>
      <c r="L845" s="248"/>
      <c r="M845" s="248"/>
      <c r="N845" s="244"/>
      <c r="O845" s="249"/>
      <c r="P845" s="249"/>
      <c r="Q845" s="208"/>
      <c r="R845" s="208"/>
      <c r="S845" s="208"/>
      <c r="T845" s="208"/>
      <c r="U845" s="208"/>
      <c r="V845" s="208"/>
      <c r="W845" s="208"/>
      <c r="X845" s="208"/>
      <c r="Y845" s="208"/>
      <c r="Z845" s="208"/>
      <c r="AA845" s="208"/>
      <c r="AB845" s="208"/>
    </row>
    <row r="846" ht="15.75" customHeight="1">
      <c r="A846" s="250"/>
      <c r="B846" s="244"/>
      <c r="C846" s="245"/>
      <c r="D846" s="246"/>
      <c r="E846" s="245"/>
      <c r="F846" s="247"/>
      <c r="G846" s="244"/>
      <c r="H846" s="243"/>
      <c r="I846" s="244"/>
      <c r="J846" s="244"/>
      <c r="K846" s="244"/>
      <c r="L846" s="248"/>
      <c r="M846" s="248"/>
      <c r="N846" s="244"/>
      <c r="O846" s="249"/>
      <c r="P846" s="249"/>
      <c r="Q846" s="208"/>
      <c r="R846" s="208"/>
      <c r="S846" s="208"/>
      <c r="T846" s="208"/>
      <c r="U846" s="208"/>
      <c r="V846" s="208"/>
      <c r="W846" s="208"/>
      <c r="X846" s="208"/>
      <c r="Y846" s="208"/>
      <c r="Z846" s="208"/>
      <c r="AA846" s="208"/>
      <c r="AB846" s="208"/>
    </row>
    <row r="847" ht="15.75" customHeight="1">
      <c r="A847" s="250"/>
      <c r="B847" s="244"/>
      <c r="C847" s="245"/>
      <c r="D847" s="246"/>
      <c r="E847" s="245"/>
      <c r="F847" s="247"/>
      <c r="G847" s="244"/>
      <c r="H847" s="243"/>
      <c r="I847" s="244"/>
      <c r="J847" s="244"/>
      <c r="K847" s="244"/>
      <c r="L847" s="248"/>
      <c r="M847" s="248"/>
      <c r="N847" s="244"/>
      <c r="O847" s="249"/>
      <c r="P847" s="249"/>
      <c r="Q847" s="208"/>
      <c r="R847" s="208"/>
      <c r="S847" s="208"/>
      <c r="T847" s="208"/>
      <c r="U847" s="208"/>
      <c r="V847" s="208"/>
      <c r="W847" s="208"/>
      <c r="X847" s="208"/>
      <c r="Y847" s="208"/>
      <c r="Z847" s="208"/>
      <c r="AA847" s="208"/>
      <c r="AB847" s="208"/>
    </row>
    <row r="848" ht="15.75" customHeight="1">
      <c r="A848" s="250"/>
      <c r="B848" s="244"/>
      <c r="C848" s="245"/>
      <c r="D848" s="246"/>
      <c r="E848" s="245"/>
      <c r="F848" s="247"/>
      <c r="G848" s="244"/>
      <c r="H848" s="243"/>
      <c r="I848" s="244"/>
      <c r="J848" s="244"/>
      <c r="K848" s="244"/>
      <c r="L848" s="248"/>
      <c r="M848" s="248"/>
      <c r="N848" s="244"/>
      <c r="O848" s="249"/>
      <c r="P848" s="249"/>
      <c r="Q848" s="208"/>
      <c r="R848" s="208"/>
      <c r="S848" s="208"/>
      <c r="T848" s="208"/>
      <c r="U848" s="208"/>
      <c r="V848" s="208"/>
      <c r="W848" s="208"/>
      <c r="X848" s="208"/>
      <c r="Y848" s="208"/>
      <c r="Z848" s="208"/>
      <c r="AA848" s="208"/>
      <c r="AB848" s="208"/>
    </row>
    <row r="849" ht="15.75" customHeight="1">
      <c r="A849" s="250"/>
      <c r="B849" s="244"/>
      <c r="C849" s="245"/>
      <c r="D849" s="246"/>
      <c r="E849" s="245"/>
      <c r="F849" s="247"/>
      <c r="G849" s="244"/>
      <c r="H849" s="243"/>
      <c r="I849" s="244"/>
      <c r="J849" s="244"/>
      <c r="K849" s="244"/>
      <c r="L849" s="248"/>
      <c r="M849" s="248"/>
      <c r="N849" s="244"/>
      <c r="O849" s="249"/>
      <c r="P849" s="249"/>
      <c r="Q849" s="208"/>
      <c r="R849" s="208"/>
      <c r="S849" s="208"/>
      <c r="T849" s="208"/>
      <c r="U849" s="208"/>
      <c r="V849" s="208"/>
      <c r="W849" s="208"/>
      <c r="X849" s="208"/>
      <c r="Y849" s="208"/>
      <c r="Z849" s="208"/>
      <c r="AA849" s="208"/>
      <c r="AB849" s="208"/>
    </row>
    <row r="850" ht="15.75" customHeight="1">
      <c r="A850" s="250"/>
      <c r="B850" s="244"/>
      <c r="C850" s="245"/>
      <c r="D850" s="246"/>
      <c r="E850" s="245"/>
      <c r="F850" s="247"/>
      <c r="G850" s="244"/>
      <c r="H850" s="243"/>
      <c r="I850" s="244"/>
      <c r="J850" s="244"/>
      <c r="K850" s="244"/>
      <c r="L850" s="248"/>
      <c r="M850" s="248"/>
      <c r="N850" s="244"/>
      <c r="O850" s="249"/>
      <c r="P850" s="249"/>
      <c r="Q850" s="208"/>
      <c r="R850" s="208"/>
      <c r="S850" s="208"/>
      <c r="T850" s="208"/>
      <c r="U850" s="208"/>
      <c r="V850" s="208"/>
      <c r="W850" s="208"/>
      <c r="X850" s="208"/>
      <c r="Y850" s="208"/>
      <c r="Z850" s="208"/>
      <c r="AA850" s="208"/>
      <c r="AB850" s="208"/>
    </row>
    <row r="851" ht="15.75" customHeight="1">
      <c r="A851" s="250"/>
      <c r="B851" s="244"/>
      <c r="C851" s="245"/>
      <c r="D851" s="246"/>
      <c r="E851" s="245"/>
      <c r="F851" s="247"/>
      <c r="G851" s="244"/>
      <c r="H851" s="243"/>
      <c r="I851" s="244"/>
      <c r="J851" s="244"/>
      <c r="K851" s="244"/>
      <c r="L851" s="248"/>
      <c r="M851" s="248"/>
      <c r="N851" s="244"/>
      <c r="O851" s="249"/>
      <c r="P851" s="249"/>
      <c r="Q851" s="208"/>
      <c r="R851" s="208"/>
      <c r="S851" s="208"/>
      <c r="T851" s="208"/>
      <c r="U851" s="208"/>
      <c r="V851" s="208"/>
      <c r="W851" s="208"/>
      <c r="X851" s="208"/>
      <c r="Y851" s="208"/>
      <c r="Z851" s="208"/>
      <c r="AA851" s="208"/>
      <c r="AB851" s="208"/>
    </row>
    <row r="852" ht="15.75" customHeight="1">
      <c r="A852" s="250"/>
      <c r="B852" s="244"/>
      <c r="C852" s="245"/>
      <c r="D852" s="246"/>
      <c r="E852" s="245"/>
      <c r="F852" s="247"/>
      <c r="G852" s="244"/>
      <c r="H852" s="243"/>
      <c r="I852" s="244"/>
      <c r="J852" s="244"/>
      <c r="K852" s="244"/>
      <c r="L852" s="248"/>
      <c r="M852" s="248"/>
      <c r="N852" s="244"/>
      <c r="O852" s="249"/>
      <c r="P852" s="249"/>
      <c r="Q852" s="208"/>
      <c r="R852" s="208"/>
      <c r="S852" s="208"/>
      <c r="T852" s="208"/>
      <c r="U852" s="208"/>
      <c r="V852" s="208"/>
      <c r="W852" s="208"/>
      <c r="X852" s="208"/>
      <c r="Y852" s="208"/>
      <c r="Z852" s="208"/>
      <c r="AA852" s="208"/>
      <c r="AB852" s="208"/>
    </row>
    <row r="853" ht="15.75" customHeight="1">
      <c r="A853" s="250"/>
      <c r="B853" s="244"/>
      <c r="C853" s="245"/>
      <c r="D853" s="246"/>
      <c r="E853" s="245"/>
      <c r="F853" s="247"/>
      <c r="G853" s="244"/>
      <c r="H853" s="243"/>
      <c r="I853" s="244"/>
      <c r="J853" s="244"/>
      <c r="K853" s="244"/>
      <c r="L853" s="248"/>
      <c r="M853" s="248"/>
      <c r="N853" s="244"/>
      <c r="O853" s="249"/>
      <c r="P853" s="249"/>
      <c r="Q853" s="208"/>
      <c r="R853" s="208"/>
      <c r="S853" s="208"/>
      <c r="T853" s="208"/>
      <c r="U853" s="208"/>
      <c r="V853" s="208"/>
      <c r="W853" s="208"/>
      <c r="X853" s="208"/>
      <c r="Y853" s="208"/>
      <c r="Z853" s="208"/>
      <c r="AA853" s="208"/>
      <c r="AB853" s="208"/>
    </row>
    <row r="854" ht="15.75" customHeight="1">
      <c r="A854" s="250"/>
      <c r="B854" s="244"/>
      <c r="C854" s="245"/>
      <c r="D854" s="246"/>
      <c r="E854" s="245"/>
      <c r="F854" s="247"/>
      <c r="G854" s="244"/>
      <c r="H854" s="243"/>
      <c r="I854" s="244"/>
      <c r="J854" s="244"/>
      <c r="K854" s="244"/>
      <c r="L854" s="248"/>
      <c r="M854" s="248"/>
      <c r="N854" s="244"/>
      <c r="O854" s="249"/>
      <c r="P854" s="249"/>
      <c r="Q854" s="208"/>
      <c r="R854" s="208"/>
      <c r="S854" s="208"/>
      <c r="T854" s="208"/>
      <c r="U854" s="208"/>
      <c r="V854" s="208"/>
      <c r="W854" s="208"/>
      <c r="X854" s="208"/>
      <c r="Y854" s="208"/>
      <c r="Z854" s="208"/>
      <c r="AA854" s="208"/>
      <c r="AB854" s="208"/>
    </row>
    <row r="855" ht="15.75" customHeight="1">
      <c r="A855" s="250"/>
      <c r="B855" s="244"/>
      <c r="C855" s="245"/>
      <c r="D855" s="246"/>
      <c r="E855" s="245"/>
      <c r="F855" s="247"/>
      <c r="G855" s="244"/>
      <c r="H855" s="243"/>
      <c r="I855" s="244"/>
      <c r="J855" s="244"/>
      <c r="K855" s="244"/>
      <c r="L855" s="248"/>
      <c r="M855" s="248"/>
      <c r="N855" s="244"/>
      <c r="O855" s="249"/>
      <c r="P855" s="249"/>
      <c r="Q855" s="208"/>
      <c r="R855" s="208"/>
      <c r="S855" s="208"/>
      <c r="T855" s="208"/>
      <c r="U855" s="208"/>
      <c r="V855" s="208"/>
      <c r="W855" s="208"/>
      <c r="X855" s="208"/>
      <c r="Y855" s="208"/>
      <c r="Z855" s="208"/>
      <c r="AA855" s="208"/>
      <c r="AB855" s="208"/>
    </row>
    <row r="856" ht="15.75" customHeight="1">
      <c r="A856" s="250"/>
      <c r="B856" s="244"/>
      <c r="C856" s="245"/>
      <c r="D856" s="246"/>
      <c r="E856" s="245"/>
      <c r="F856" s="247"/>
      <c r="G856" s="244"/>
      <c r="H856" s="243"/>
      <c r="I856" s="244"/>
      <c r="J856" s="244"/>
      <c r="K856" s="244"/>
      <c r="L856" s="248"/>
      <c r="M856" s="248"/>
      <c r="N856" s="244"/>
      <c r="O856" s="249"/>
      <c r="P856" s="249"/>
      <c r="Q856" s="208"/>
      <c r="R856" s="208"/>
      <c r="S856" s="208"/>
      <c r="T856" s="208"/>
      <c r="U856" s="208"/>
      <c r="V856" s="208"/>
      <c r="W856" s="208"/>
      <c r="X856" s="208"/>
      <c r="Y856" s="208"/>
      <c r="Z856" s="208"/>
      <c r="AA856" s="208"/>
      <c r="AB856" s="208"/>
    </row>
    <row r="857" ht="15.75" customHeight="1">
      <c r="A857" s="250"/>
      <c r="B857" s="244"/>
      <c r="C857" s="245"/>
      <c r="D857" s="246"/>
      <c r="E857" s="245"/>
      <c r="F857" s="247"/>
      <c r="G857" s="244"/>
      <c r="H857" s="243"/>
      <c r="I857" s="244"/>
      <c r="J857" s="244"/>
      <c r="K857" s="244"/>
      <c r="L857" s="248"/>
      <c r="M857" s="248"/>
      <c r="N857" s="244"/>
      <c r="O857" s="249"/>
      <c r="P857" s="249"/>
      <c r="Q857" s="208"/>
      <c r="R857" s="208"/>
      <c r="S857" s="208"/>
      <c r="T857" s="208"/>
      <c r="U857" s="208"/>
      <c r="V857" s="208"/>
      <c r="W857" s="208"/>
      <c r="X857" s="208"/>
      <c r="Y857" s="208"/>
      <c r="Z857" s="208"/>
      <c r="AA857" s="208"/>
      <c r="AB857" s="208"/>
    </row>
    <row r="858" ht="15.75" customHeight="1">
      <c r="A858" s="250"/>
      <c r="B858" s="244"/>
      <c r="C858" s="245"/>
      <c r="D858" s="246"/>
      <c r="E858" s="245"/>
      <c r="F858" s="247"/>
      <c r="G858" s="244"/>
      <c r="H858" s="243"/>
      <c r="I858" s="244"/>
      <c r="J858" s="244"/>
      <c r="K858" s="244"/>
      <c r="L858" s="248"/>
      <c r="M858" s="248"/>
      <c r="N858" s="244"/>
      <c r="O858" s="249"/>
      <c r="P858" s="249"/>
      <c r="Q858" s="208"/>
      <c r="R858" s="208"/>
      <c r="S858" s="208"/>
      <c r="T858" s="208"/>
      <c r="U858" s="208"/>
      <c r="V858" s="208"/>
      <c r="W858" s="208"/>
      <c r="X858" s="208"/>
      <c r="Y858" s="208"/>
      <c r="Z858" s="208"/>
      <c r="AA858" s="208"/>
      <c r="AB858" s="208"/>
    </row>
    <row r="859" ht="15.75" customHeight="1">
      <c r="A859" s="250"/>
      <c r="B859" s="244"/>
      <c r="C859" s="245"/>
      <c r="D859" s="246"/>
      <c r="E859" s="245"/>
      <c r="F859" s="247"/>
      <c r="G859" s="244"/>
      <c r="H859" s="243"/>
      <c r="I859" s="244"/>
      <c r="J859" s="244"/>
      <c r="K859" s="244"/>
      <c r="L859" s="248"/>
      <c r="M859" s="248"/>
      <c r="N859" s="244"/>
      <c r="O859" s="249"/>
      <c r="P859" s="249"/>
      <c r="Q859" s="208"/>
      <c r="R859" s="208"/>
      <c r="S859" s="208"/>
      <c r="T859" s="208"/>
      <c r="U859" s="208"/>
      <c r="V859" s="208"/>
      <c r="W859" s="208"/>
      <c r="X859" s="208"/>
      <c r="Y859" s="208"/>
      <c r="Z859" s="208"/>
      <c r="AA859" s="208"/>
      <c r="AB859" s="208"/>
    </row>
    <row r="860" ht="15.75" customHeight="1">
      <c r="A860" s="250"/>
      <c r="B860" s="244"/>
      <c r="C860" s="245"/>
      <c r="D860" s="246"/>
      <c r="E860" s="245"/>
      <c r="F860" s="247"/>
      <c r="G860" s="244"/>
      <c r="H860" s="243"/>
      <c r="I860" s="244"/>
      <c r="J860" s="244"/>
      <c r="K860" s="244"/>
      <c r="L860" s="248"/>
      <c r="M860" s="248"/>
      <c r="N860" s="244"/>
      <c r="O860" s="249"/>
      <c r="P860" s="249"/>
      <c r="Q860" s="208"/>
      <c r="R860" s="208"/>
      <c r="S860" s="208"/>
      <c r="T860" s="208"/>
      <c r="U860" s="208"/>
      <c r="V860" s="208"/>
      <c r="W860" s="208"/>
      <c r="X860" s="208"/>
      <c r="Y860" s="208"/>
      <c r="Z860" s="208"/>
      <c r="AA860" s="208"/>
      <c r="AB860" s="208"/>
    </row>
    <row r="861" ht="15.75" customHeight="1">
      <c r="A861" s="250"/>
      <c r="B861" s="244"/>
      <c r="C861" s="245"/>
      <c r="D861" s="246"/>
      <c r="E861" s="245"/>
      <c r="F861" s="247"/>
      <c r="G861" s="244"/>
      <c r="H861" s="243"/>
      <c r="I861" s="244"/>
      <c r="J861" s="244"/>
      <c r="K861" s="244"/>
      <c r="L861" s="248"/>
      <c r="M861" s="248"/>
      <c r="N861" s="244"/>
      <c r="O861" s="249"/>
      <c r="P861" s="249"/>
      <c r="Q861" s="208"/>
      <c r="R861" s="208"/>
      <c r="S861" s="208"/>
      <c r="T861" s="208"/>
      <c r="U861" s="208"/>
      <c r="V861" s="208"/>
      <c r="W861" s="208"/>
      <c r="X861" s="208"/>
      <c r="Y861" s="208"/>
      <c r="Z861" s="208"/>
      <c r="AA861" s="208"/>
      <c r="AB861" s="208"/>
    </row>
    <row r="862" ht="15.75" customHeight="1">
      <c r="A862" s="250"/>
      <c r="B862" s="244"/>
      <c r="C862" s="245"/>
      <c r="D862" s="246"/>
      <c r="E862" s="245"/>
      <c r="F862" s="247"/>
      <c r="G862" s="244"/>
      <c r="H862" s="243"/>
      <c r="I862" s="244"/>
      <c r="J862" s="244"/>
      <c r="K862" s="244"/>
      <c r="L862" s="248"/>
      <c r="M862" s="248"/>
      <c r="N862" s="244"/>
      <c r="O862" s="249"/>
      <c r="P862" s="249"/>
      <c r="Q862" s="208"/>
      <c r="R862" s="208"/>
      <c r="S862" s="208"/>
      <c r="T862" s="208"/>
      <c r="U862" s="208"/>
      <c r="V862" s="208"/>
      <c r="W862" s="208"/>
      <c r="X862" s="208"/>
      <c r="Y862" s="208"/>
      <c r="Z862" s="208"/>
      <c r="AA862" s="208"/>
      <c r="AB862" s="208"/>
    </row>
    <row r="863" ht="15.75" customHeight="1">
      <c r="A863" s="250"/>
      <c r="B863" s="244"/>
      <c r="C863" s="245"/>
      <c r="D863" s="246"/>
      <c r="E863" s="245"/>
      <c r="F863" s="247"/>
      <c r="G863" s="244"/>
      <c r="H863" s="243"/>
      <c r="I863" s="244"/>
      <c r="J863" s="244"/>
      <c r="K863" s="244"/>
      <c r="L863" s="248"/>
      <c r="M863" s="248"/>
      <c r="N863" s="244"/>
      <c r="O863" s="249"/>
      <c r="P863" s="249"/>
      <c r="Q863" s="208"/>
      <c r="R863" s="208"/>
      <c r="S863" s="208"/>
      <c r="T863" s="208"/>
      <c r="U863" s="208"/>
      <c r="V863" s="208"/>
      <c r="W863" s="208"/>
      <c r="X863" s="208"/>
      <c r="Y863" s="208"/>
      <c r="Z863" s="208"/>
      <c r="AA863" s="208"/>
      <c r="AB863" s="208"/>
    </row>
    <row r="864" ht="15.75" customHeight="1">
      <c r="A864" s="250"/>
      <c r="B864" s="244"/>
      <c r="C864" s="245"/>
      <c r="D864" s="246"/>
      <c r="E864" s="245"/>
      <c r="F864" s="247"/>
      <c r="G864" s="244"/>
      <c r="H864" s="243"/>
      <c r="I864" s="244"/>
      <c r="J864" s="244"/>
      <c r="K864" s="244"/>
      <c r="L864" s="248"/>
      <c r="M864" s="248"/>
      <c r="N864" s="244"/>
      <c r="O864" s="249"/>
      <c r="P864" s="249"/>
      <c r="Q864" s="208"/>
      <c r="R864" s="208"/>
      <c r="S864" s="208"/>
      <c r="T864" s="208"/>
      <c r="U864" s="208"/>
      <c r="V864" s="208"/>
      <c r="W864" s="208"/>
      <c r="X864" s="208"/>
      <c r="Y864" s="208"/>
      <c r="Z864" s="208"/>
      <c r="AA864" s="208"/>
      <c r="AB864" s="208"/>
    </row>
    <row r="865" ht="15.75" customHeight="1">
      <c r="A865" s="250"/>
      <c r="B865" s="244"/>
      <c r="C865" s="245"/>
      <c r="D865" s="246"/>
      <c r="E865" s="245"/>
      <c r="F865" s="247"/>
      <c r="G865" s="244"/>
      <c r="H865" s="243"/>
      <c r="I865" s="244"/>
      <c r="J865" s="244"/>
      <c r="K865" s="244"/>
      <c r="L865" s="248"/>
      <c r="M865" s="248"/>
      <c r="N865" s="244"/>
      <c r="O865" s="249"/>
      <c r="P865" s="249"/>
      <c r="Q865" s="208"/>
      <c r="R865" s="208"/>
      <c r="S865" s="208"/>
      <c r="T865" s="208"/>
      <c r="U865" s="208"/>
      <c r="V865" s="208"/>
      <c r="W865" s="208"/>
      <c r="X865" s="208"/>
      <c r="Y865" s="208"/>
      <c r="Z865" s="208"/>
      <c r="AA865" s="208"/>
      <c r="AB865" s="208"/>
    </row>
    <row r="866" ht="15.75" customHeight="1">
      <c r="A866" s="250"/>
      <c r="B866" s="244"/>
      <c r="C866" s="245"/>
      <c r="D866" s="246"/>
      <c r="E866" s="245"/>
      <c r="F866" s="247"/>
      <c r="G866" s="244"/>
      <c r="H866" s="243"/>
      <c r="I866" s="244"/>
      <c r="J866" s="244"/>
      <c r="K866" s="244"/>
      <c r="L866" s="248"/>
      <c r="M866" s="248"/>
      <c r="N866" s="244"/>
      <c r="O866" s="249"/>
      <c r="P866" s="249"/>
      <c r="Q866" s="208"/>
      <c r="R866" s="208"/>
      <c r="S866" s="208"/>
      <c r="T866" s="208"/>
      <c r="U866" s="208"/>
      <c r="V866" s="208"/>
      <c r="W866" s="208"/>
      <c r="X866" s="208"/>
      <c r="Y866" s="208"/>
      <c r="Z866" s="208"/>
      <c r="AA866" s="208"/>
      <c r="AB866" s="208"/>
    </row>
    <row r="867" ht="15.75" customHeight="1">
      <c r="A867" s="250"/>
      <c r="B867" s="244"/>
      <c r="C867" s="245"/>
      <c r="D867" s="246"/>
      <c r="E867" s="245"/>
      <c r="F867" s="247"/>
      <c r="G867" s="244"/>
      <c r="H867" s="243"/>
      <c r="I867" s="244"/>
      <c r="J867" s="244"/>
      <c r="K867" s="244"/>
      <c r="L867" s="248"/>
      <c r="M867" s="248"/>
      <c r="N867" s="244"/>
      <c r="O867" s="249"/>
      <c r="P867" s="249"/>
      <c r="Q867" s="208"/>
      <c r="R867" s="208"/>
      <c r="S867" s="208"/>
      <c r="T867" s="208"/>
      <c r="U867" s="208"/>
      <c r="V867" s="208"/>
      <c r="W867" s="208"/>
      <c r="X867" s="208"/>
      <c r="Y867" s="208"/>
      <c r="Z867" s="208"/>
      <c r="AA867" s="208"/>
      <c r="AB867" s="208"/>
    </row>
    <row r="868" ht="15.75" customHeight="1">
      <c r="A868" s="250"/>
      <c r="B868" s="244"/>
      <c r="C868" s="245"/>
      <c r="D868" s="246"/>
      <c r="E868" s="245"/>
      <c r="F868" s="247"/>
      <c r="G868" s="244"/>
      <c r="H868" s="243"/>
      <c r="I868" s="244"/>
      <c r="J868" s="244"/>
      <c r="K868" s="244"/>
      <c r="L868" s="248"/>
      <c r="M868" s="248"/>
      <c r="N868" s="244"/>
      <c r="O868" s="249"/>
      <c r="P868" s="249"/>
      <c r="Q868" s="208"/>
      <c r="R868" s="208"/>
      <c r="S868" s="208"/>
      <c r="T868" s="208"/>
      <c r="U868" s="208"/>
      <c r="V868" s="208"/>
      <c r="W868" s="208"/>
      <c r="X868" s="208"/>
      <c r="Y868" s="208"/>
      <c r="Z868" s="208"/>
      <c r="AA868" s="208"/>
      <c r="AB868" s="208"/>
    </row>
    <row r="869" ht="15.75" customHeight="1">
      <c r="A869" s="250"/>
      <c r="B869" s="244"/>
      <c r="C869" s="245"/>
      <c r="D869" s="246"/>
      <c r="E869" s="245"/>
      <c r="F869" s="247"/>
      <c r="G869" s="244"/>
      <c r="H869" s="243"/>
      <c r="I869" s="244"/>
      <c r="J869" s="244"/>
      <c r="K869" s="244"/>
      <c r="L869" s="248"/>
      <c r="M869" s="248"/>
      <c r="N869" s="244"/>
      <c r="O869" s="249"/>
      <c r="P869" s="249"/>
      <c r="Q869" s="208"/>
      <c r="R869" s="208"/>
      <c r="S869" s="208"/>
      <c r="T869" s="208"/>
      <c r="U869" s="208"/>
      <c r="V869" s="208"/>
      <c r="W869" s="208"/>
      <c r="X869" s="208"/>
      <c r="Y869" s="208"/>
      <c r="Z869" s="208"/>
      <c r="AA869" s="208"/>
      <c r="AB869" s="208"/>
    </row>
    <row r="870" ht="15.75" customHeight="1">
      <c r="A870" s="250"/>
      <c r="B870" s="244"/>
      <c r="C870" s="245"/>
      <c r="D870" s="246"/>
      <c r="E870" s="245"/>
      <c r="F870" s="247"/>
      <c r="G870" s="244"/>
      <c r="H870" s="243"/>
      <c r="I870" s="244"/>
      <c r="J870" s="244"/>
      <c r="K870" s="244"/>
      <c r="L870" s="248"/>
      <c r="M870" s="248"/>
      <c r="N870" s="244"/>
      <c r="O870" s="249"/>
      <c r="P870" s="249"/>
      <c r="Q870" s="208"/>
      <c r="R870" s="208"/>
      <c r="S870" s="208"/>
      <c r="T870" s="208"/>
      <c r="U870" s="208"/>
      <c r="V870" s="208"/>
      <c r="W870" s="208"/>
      <c r="X870" s="208"/>
      <c r="Y870" s="208"/>
      <c r="Z870" s="208"/>
      <c r="AA870" s="208"/>
      <c r="AB870" s="208"/>
    </row>
    <row r="871" ht="15.75" customHeight="1">
      <c r="A871" s="250"/>
      <c r="B871" s="244"/>
      <c r="C871" s="245"/>
      <c r="D871" s="246"/>
      <c r="E871" s="245"/>
      <c r="F871" s="247"/>
      <c r="G871" s="244"/>
      <c r="H871" s="243"/>
      <c r="I871" s="244"/>
      <c r="J871" s="244"/>
      <c r="K871" s="244"/>
      <c r="L871" s="248"/>
      <c r="M871" s="248"/>
      <c r="N871" s="244"/>
      <c r="O871" s="249"/>
      <c r="P871" s="249"/>
      <c r="Q871" s="208"/>
      <c r="R871" s="208"/>
      <c r="S871" s="208"/>
      <c r="T871" s="208"/>
      <c r="U871" s="208"/>
      <c r="V871" s="208"/>
      <c r="W871" s="208"/>
      <c r="X871" s="208"/>
      <c r="Y871" s="208"/>
      <c r="Z871" s="208"/>
      <c r="AA871" s="208"/>
      <c r="AB871" s="208"/>
    </row>
    <row r="872" ht="15.75" customHeight="1">
      <c r="A872" s="250"/>
      <c r="B872" s="244"/>
      <c r="C872" s="245"/>
      <c r="D872" s="246"/>
      <c r="E872" s="245"/>
      <c r="F872" s="247"/>
      <c r="G872" s="244"/>
      <c r="H872" s="243"/>
      <c r="I872" s="244"/>
      <c r="J872" s="244"/>
      <c r="K872" s="244"/>
      <c r="L872" s="248"/>
      <c r="M872" s="248"/>
      <c r="N872" s="244"/>
      <c r="O872" s="249"/>
      <c r="P872" s="249"/>
      <c r="Q872" s="208"/>
      <c r="R872" s="208"/>
      <c r="S872" s="208"/>
      <c r="T872" s="208"/>
      <c r="U872" s="208"/>
      <c r="V872" s="208"/>
      <c r="W872" s="208"/>
      <c r="X872" s="208"/>
      <c r="Y872" s="208"/>
      <c r="Z872" s="208"/>
      <c r="AA872" s="208"/>
      <c r="AB872" s="208"/>
    </row>
    <row r="873" ht="15.75" customHeight="1">
      <c r="A873" s="250"/>
      <c r="B873" s="244"/>
      <c r="C873" s="245"/>
      <c r="D873" s="246"/>
      <c r="E873" s="245"/>
      <c r="F873" s="247"/>
      <c r="G873" s="244"/>
      <c r="H873" s="243"/>
      <c r="I873" s="244"/>
      <c r="J873" s="244"/>
      <c r="K873" s="244"/>
      <c r="L873" s="248"/>
      <c r="M873" s="248"/>
      <c r="N873" s="244"/>
      <c r="O873" s="249"/>
      <c r="P873" s="249"/>
      <c r="Q873" s="208"/>
      <c r="R873" s="208"/>
      <c r="S873" s="208"/>
      <c r="T873" s="208"/>
      <c r="U873" s="208"/>
      <c r="V873" s="208"/>
      <c r="W873" s="208"/>
      <c r="X873" s="208"/>
      <c r="Y873" s="208"/>
      <c r="Z873" s="208"/>
      <c r="AA873" s="208"/>
      <c r="AB873" s="208"/>
    </row>
    <row r="874" ht="15.75" customHeight="1">
      <c r="A874" s="250"/>
      <c r="B874" s="244"/>
      <c r="C874" s="245"/>
      <c r="D874" s="246"/>
      <c r="E874" s="245"/>
      <c r="F874" s="247"/>
      <c r="G874" s="244"/>
      <c r="H874" s="243"/>
      <c r="I874" s="244"/>
      <c r="J874" s="244"/>
      <c r="K874" s="244"/>
      <c r="L874" s="248"/>
      <c r="M874" s="248"/>
      <c r="N874" s="244"/>
      <c r="O874" s="249"/>
      <c r="P874" s="249"/>
      <c r="Q874" s="208"/>
      <c r="R874" s="208"/>
      <c r="S874" s="208"/>
      <c r="T874" s="208"/>
      <c r="U874" s="208"/>
      <c r="V874" s="208"/>
      <c r="W874" s="208"/>
      <c r="X874" s="208"/>
      <c r="Y874" s="208"/>
      <c r="Z874" s="208"/>
      <c r="AA874" s="208"/>
      <c r="AB874" s="208"/>
    </row>
    <row r="875" ht="15.75" customHeight="1">
      <c r="A875" s="250"/>
      <c r="B875" s="244"/>
      <c r="C875" s="245"/>
      <c r="D875" s="246"/>
      <c r="E875" s="245"/>
      <c r="F875" s="247"/>
      <c r="G875" s="244"/>
      <c r="H875" s="243"/>
      <c r="I875" s="244"/>
      <c r="J875" s="244"/>
      <c r="K875" s="244"/>
      <c r="L875" s="248"/>
      <c r="M875" s="248"/>
      <c r="N875" s="244"/>
      <c r="O875" s="249"/>
      <c r="P875" s="249"/>
      <c r="Q875" s="208"/>
      <c r="R875" s="208"/>
      <c r="S875" s="208"/>
      <c r="T875" s="208"/>
      <c r="U875" s="208"/>
      <c r="V875" s="208"/>
      <c r="W875" s="208"/>
      <c r="X875" s="208"/>
      <c r="Y875" s="208"/>
      <c r="Z875" s="208"/>
      <c r="AA875" s="208"/>
      <c r="AB875" s="208"/>
    </row>
    <row r="876" ht="15.75" customHeight="1">
      <c r="A876" s="250"/>
      <c r="B876" s="244"/>
      <c r="C876" s="245"/>
      <c r="D876" s="246"/>
      <c r="E876" s="245"/>
      <c r="F876" s="247"/>
      <c r="G876" s="244"/>
      <c r="H876" s="243"/>
      <c r="I876" s="244"/>
      <c r="J876" s="244"/>
      <c r="K876" s="244"/>
      <c r="L876" s="248"/>
      <c r="M876" s="248"/>
      <c r="N876" s="244"/>
      <c r="O876" s="249"/>
      <c r="P876" s="249"/>
      <c r="Q876" s="208"/>
      <c r="R876" s="208"/>
      <c r="S876" s="208"/>
      <c r="T876" s="208"/>
      <c r="U876" s="208"/>
      <c r="V876" s="208"/>
      <c r="W876" s="208"/>
      <c r="X876" s="208"/>
      <c r="Y876" s="208"/>
      <c r="Z876" s="208"/>
      <c r="AA876" s="208"/>
      <c r="AB876" s="208"/>
    </row>
    <row r="877" ht="15.75" customHeight="1">
      <c r="A877" s="250"/>
      <c r="B877" s="244"/>
      <c r="C877" s="245"/>
      <c r="D877" s="246"/>
      <c r="E877" s="245"/>
      <c r="F877" s="247"/>
      <c r="G877" s="244"/>
      <c r="H877" s="243"/>
      <c r="I877" s="244"/>
      <c r="J877" s="244"/>
      <c r="K877" s="244"/>
      <c r="L877" s="248"/>
      <c r="M877" s="248"/>
      <c r="N877" s="244"/>
      <c r="O877" s="249"/>
      <c r="P877" s="249"/>
      <c r="Q877" s="208"/>
      <c r="R877" s="208"/>
      <c r="S877" s="208"/>
      <c r="T877" s="208"/>
      <c r="U877" s="208"/>
      <c r="V877" s="208"/>
      <c r="W877" s="208"/>
      <c r="X877" s="208"/>
      <c r="Y877" s="208"/>
      <c r="Z877" s="208"/>
      <c r="AA877" s="208"/>
      <c r="AB877" s="208"/>
    </row>
    <row r="878" ht="15.75" customHeight="1">
      <c r="A878" s="250"/>
      <c r="B878" s="244"/>
      <c r="C878" s="245"/>
      <c r="D878" s="246"/>
      <c r="E878" s="245"/>
      <c r="F878" s="247"/>
      <c r="G878" s="244"/>
      <c r="H878" s="243"/>
      <c r="I878" s="244"/>
      <c r="J878" s="244"/>
      <c r="K878" s="244"/>
      <c r="L878" s="248"/>
      <c r="M878" s="248"/>
      <c r="N878" s="244"/>
      <c r="O878" s="249"/>
      <c r="P878" s="249"/>
      <c r="Q878" s="208"/>
      <c r="R878" s="208"/>
      <c r="S878" s="208"/>
      <c r="T878" s="208"/>
      <c r="U878" s="208"/>
      <c r="V878" s="208"/>
      <c r="W878" s="208"/>
      <c r="X878" s="208"/>
      <c r="Y878" s="208"/>
      <c r="Z878" s="208"/>
      <c r="AA878" s="208"/>
      <c r="AB878" s="208"/>
    </row>
    <row r="879" ht="15.75" customHeight="1">
      <c r="A879" s="250"/>
      <c r="B879" s="244"/>
      <c r="C879" s="245"/>
      <c r="D879" s="246"/>
      <c r="E879" s="245"/>
      <c r="F879" s="247"/>
      <c r="G879" s="244"/>
      <c r="H879" s="243"/>
      <c r="I879" s="244"/>
      <c r="J879" s="244"/>
      <c r="K879" s="244"/>
      <c r="L879" s="248"/>
      <c r="M879" s="248"/>
      <c r="N879" s="244"/>
      <c r="O879" s="249"/>
      <c r="P879" s="249"/>
      <c r="Q879" s="208"/>
      <c r="R879" s="208"/>
      <c r="S879" s="208"/>
      <c r="T879" s="208"/>
      <c r="U879" s="208"/>
      <c r="V879" s="208"/>
      <c r="W879" s="208"/>
      <c r="X879" s="208"/>
      <c r="Y879" s="208"/>
      <c r="Z879" s="208"/>
      <c r="AA879" s="208"/>
      <c r="AB879" s="208"/>
    </row>
    <row r="880" ht="15.75" customHeight="1">
      <c r="A880" s="250"/>
      <c r="B880" s="244"/>
      <c r="C880" s="245"/>
      <c r="D880" s="246"/>
      <c r="E880" s="245"/>
      <c r="F880" s="247"/>
      <c r="G880" s="244"/>
      <c r="H880" s="243"/>
      <c r="I880" s="244"/>
      <c r="J880" s="244"/>
      <c r="K880" s="244"/>
      <c r="L880" s="248"/>
      <c r="M880" s="248"/>
      <c r="N880" s="244"/>
      <c r="O880" s="249"/>
      <c r="P880" s="249"/>
      <c r="Q880" s="208"/>
      <c r="R880" s="208"/>
      <c r="S880" s="208"/>
      <c r="T880" s="208"/>
      <c r="U880" s="208"/>
      <c r="V880" s="208"/>
      <c r="W880" s="208"/>
      <c r="X880" s="208"/>
      <c r="Y880" s="208"/>
      <c r="Z880" s="208"/>
      <c r="AA880" s="208"/>
      <c r="AB880" s="208"/>
    </row>
    <row r="881" ht="15.75" customHeight="1">
      <c r="A881" s="250"/>
      <c r="B881" s="244"/>
      <c r="C881" s="245"/>
      <c r="D881" s="246"/>
      <c r="E881" s="245"/>
      <c r="F881" s="247"/>
      <c r="G881" s="244"/>
      <c r="H881" s="243"/>
      <c r="I881" s="244"/>
      <c r="J881" s="244"/>
      <c r="K881" s="244"/>
      <c r="L881" s="248"/>
      <c r="M881" s="248"/>
      <c r="N881" s="244"/>
      <c r="O881" s="249"/>
      <c r="P881" s="249"/>
      <c r="Q881" s="208"/>
      <c r="R881" s="208"/>
      <c r="S881" s="208"/>
      <c r="T881" s="208"/>
      <c r="U881" s="208"/>
      <c r="V881" s="208"/>
      <c r="W881" s="208"/>
      <c r="X881" s="208"/>
      <c r="Y881" s="208"/>
      <c r="Z881" s="208"/>
      <c r="AA881" s="208"/>
      <c r="AB881" s="208"/>
    </row>
    <row r="882" ht="15.75" customHeight="1">
      <c r="A882" s="250"/>
      <c r="B882" s="244"/>
      <c r="C882" s="245"/>
      <c r="D882" s="246"/>
      <c r="E882" s="245"/>
      <c r="F882" s="247"/>
      <c r="G882" s="244"/>
      <c r="H882" s="243"/>
      <c r="I882" s="244"/>
      <c r="J882" s="244"/>
      <c r="K882" s="244"/>
      <c r="L882" s="248"/>
      <c r="M882" s="248"/>
      <c r="N882" s="244"/>
      <c r="O882" s="249"/>
      <c r="P882" s="249"/>
      <c r="Q882" s="208"/>
      <c r="R882" s="208"/>
      <c r="S882" s="208"/>
      <c r="T882" s="208"/>
      <c r="U882" s="208"/>
      <c r="V882" s="208"/>
      <c r="W882" s="208"/>
      <c r="X882" s="208"/>
      <c r="Y882" s="208"/>
      <c r="Z882" s="208"/>
      <c r="AA882" s="208"/>
      <c r="AB882" s="208"/>
    </row>
    <row r="883" ht="15.75" customHeight="1">
      <c r="A883" s="250"/>
      <c r="B883" s="244"/>
      <c r="C883" s="245"/>
      <c r="D883" s="246"/>
      <c r="E883" s="245"/>
      <c r="F883" s="247"/>
      <c r="G883" s="244"/>
      <c r="H883" s="243"/>
      <c r="I883" s="244"/>
      <c r="J883" s="244"/>
      <c r="K883" s="244"/>
      <c r="L883" s="248"/>
      <c r="M883" s="248"/>
      <c r="N883" s="244"/>
      <c r="O883" s="249"/>
      <c r="P883" s="249"/>
      <c r="Q883" s="208"/>
      <c r="R883" s="208"/>
      <c r="S883" s="208"/>
      <c r="T883" s="208"/>
      <c r="U883" s="208"/>
      <c r="V883" s="208"/>
      <c r="W883" s="208"/>
      <c r="X883" s="208"/>
      <c r="Y883" s="208"/>
      <c r="Z883" s="208"/>
      <c r="AA883" s="208"/>
      <c r="AB883" s="208"/>
    </row>
    <row r="884" ht="15.75" customHeight="1">
      <c r="A884" s="250"/>
      <c r="B884" s="244"/>
      <c r="C884" s="245"/>
      <c r="D884" s="246"/>
      <c r="E884" s="245"/>
      <c r="F884" s="247"/>
      <c r="G884" s="244"/>
      <c r="H884" s="243"/>
      <c r="I884" s="244"/>
      <c r="J884" s="244"/>
      <c r="K884" s="244"/>
      <c r="L884" s="248"/>
      <c r="M884" s="248"/>
      <c r="N884" s="244"/>
      <c r="O884" s="249"/>
      <c r="P884" s="249"/>
      <c r="Q884" s="208"/>
      <c r="R884" s="208"/>
      <c r="S884" s="208"/>
      <c r="T884" s="208"/>
      <c r="U884" s="208"/>
      <c r="V884" s="208"/>
      <c r="W884" s="208"/>
      <c r="X884" s="208"/>
      <c r="Y884" s="208"/>
      <c r="Z884" s="208"/>
      <c r="AA884" s="208"/>
      <c r="AB884" s="208"/>
    </row>
    <row r="885" ht="15.75" customHeight="1">
      <c r="A885" s="250"/>
      <c r="B885" s="244"/>
      <c r="C885" s="245"/>
      <c r="D885" s="246"/>
      <c r="E885" s="245"/>
      <c r="F885" s="247"/>
      <c r="G885" s="244"/>
      <c r="H885" s="243"/>
      <c r="I885" s="244"/>
      <c r="J885" s="244"/>
      <c r="K885" s="244"/>
      <c r="L885" s="248"/>
      <c r="M885" s="248"/>
      <c r="N885" s="244"/>
      <c r="O885" s="249"/>
      <c r="P885" s="249"/>
      <c r="Q885" s="208"/>
      <c r="R885" s="208"/>
      <c r="S885" s="208"/>
      <c r="T885" s="208"/>
      <c r="U885" s="208"/>
      <c r="V885" s="208"/>
      <c r="W885" s="208"/>
      <c r="X885" s="208"/>
      <c r="Y885" s="208"/>
      <c r="Z885" s="208"/>
      <c r="AA885" s="208"/>
      <c r="AB885" s="208"/>
    </row>
    <row r="886" ht="15.75" customHeight="1">
      <c r="A886" s="250"/>
      <c r="B886" s="244"/>
      <c r="C886" s="245"/>
      <c r="D886" s="246"/>
      <c r="E886" s="245"/>
      <c r="F886" s="247"/>
      <c r="G886" s="244"/>
      <c r="H886" s="243"/>
      <c r="I886" s="244"/>
      <c r="J886" s="244"/>
      <c r="K886" s="244"/>
      <c r="L886" s="248"/>
      <c r="M886" s="248"/>
      <c r="N886" s="244"/>
      <c r="O886" s="249"/>
      <c r="P886" s="249"/>
      <c r="Q886" s="208"/>
      <c r="R886" s="208"/>
      <c r="S886" s="208"/>
      <c r="T886" s="208"/>
      <c r="U886" s="208"/>
      <c r="V886" s="208"/>
      <c r="W886" s="208"/>
      <c r="X886" s="208"/>
      <c r="Y886" s="208"/>
      <c r="Z886" s="208"/>
      <c r="AA886" s="208"/>
      <c r="AB886" s="208"/>
    </row>
    <row r="887" ht="15.75" customHeight="1">
      <c r="A887" s="250"/>
      <c r="B887" s="244"/>
      <c r="C887" s="245"/>
      <c r="D887" s="246"/>
      <c r="E887" s="245"/>
      <c r="F887" s="247"/>
      <c r="G887" s="244"/>
      <c r="H887" s="243"/>
      <c r="I887" s="244"/>
      <c r="J887" s="244"/>
      <c r="K887" s="244"/>
      <c r="L887" s="248"/>
      <c r="M887" s="248"/>
      <c r="N887" s="244"/>
      <c r="O887" s="249"/>
      <c r="P887" s="249"/>
      <c r="Q887" s="208"/>
      <c r="R887" s="208"/>
      <c r="S887" s="208"/>
      <c r="T887" s="208"/>
      <c r="U887" s="208"/>
      <c r="V887" s="208"/>
      <c r="W887" s="208"/>
      <c r="X887" s="208"/>
      <c r="Y887" s="208"/>
      <c r="Z887" s="208"/>
      <c r="AA887" s="208"/>
      <c r="AB887" s="208"/>
    </row>
    <row r="888" ht="15.75" customHeight="1">
      <c r="A888" s="250"/>
      <c r="B888" s="244"/>
      <c r="C888" s="245"/>
      <c r="D888" s="246"/>
      <c r="E888" s="245"/>
      <c r="F888" s="247"/>
      <c r="G888" s="244"/>
      <c r="H888" s="243"/>
      <c r="I888" s="244"/>
      <c r="J888" s="244"/>
      <c r="K888" s="244"/>
      <c r="L888" s="248"/>
      <c r="M888" s="248"/>
      <c r="N888" s="244"/>
      <c r="O888" s="249"/>
      <c r="P888" s="249"/>
      <c r="Q888" s="208"/>
      <c r="R888" s="208"/>
      <c r="S888" s="208"/>
      <c r="T888" s="208"/>
      <c r="U888" s="208"/>
      <c r="V888" s="208"/>
      <c r="W888" s="208"/>
      <c r="X888" s="208"/>
      <c r="Y888" s="208"/>
      <c r="Z888" s="208"/>
      <c r="AA888" s="208"/>
      <c r="AB888" s="208"/>
    </row>
    <row r="889" ht="15.75" customHeight="1">
      <c r="A889" s="250"/>
      <c r="B889" s="244"/>
      <c r="C889" s="245"/>
      <c r="D889" s="246"/>
      <c r="E889" s="245"/>
      <c r="F889" s="247"/>
      <c r="G889" s="244"/>
      <c r="H889" s="243"/>
      <c r="I889" s="244"/>
      <c r="J889" s="244"/>
      <c r="K889" s="244"/>
      <c r="L889" s="248"/>
      <c r="M889" s="248"/>
      <c r="N889" s="244"/>
      <c r="O889" s="249"/>
      <c r="P889" s="249"/>
      <c r="Q889" s="208"/>
      <c r="R889" s="208"/>
      <c r="S889" s="208"/>
      <c r="T889" s="208"/>
      <c r="U889" s="208"/>
      <c r="V889" s="208"/>
      <c r="W889" s="208"/>
      <c r="X889" s="208"/>
      <c r="Y889" s="208"/>
      <c r="Z889" s="208"/>
      <c r="AA889" s="208"/>
      <c r="AB889" s="208"/>
    </row>
    <row r="890" ht="15.75" customHeight="1">
      <c r="A890" s="250"/>
      <c r="B890" s="244"/>
      <c r="C890" s="245"/>
      <c r="D890" s="246"/>
      <c r="E890" s="245"/>
      <c r="F890" s="247"/>
      <c r="G890" s="244"/>
      <c r="H890" s="243"/>
      <c r="I890" s="244"/>
      <c r="J890" s="244"/>
      <c r="K890" s="244"/>
      <c r="L890" s="248"/>
      <c r="M890" s="248"/>
      <c r="N890" s="244"/>
      <c r="O890" s="249"/>
      <c r="P890" s="249"/>
      <c r="Q890" s="208"/>
      <c r="R890" s="208"/>
      <c r="S890" s="208"/>
      <c r="T890" s="208"/>
      <c r="U890" s="208"/>
      <c r="V890" s="208"/>
      <c r="W890" s="208"/>
      <c r="X890" s="208"/>
      <c r="Y890" s="208"/>
      <c r="Z890" s="208"/>
      <c r="AA890" s="208"/>
      <c r="AB890" s="208"/>
    </row>
    <row r="891" ht="15.75" customHeight="1">
      <c r="A891" s="250"/>
      <c r="B891" s="244"/>
      <c r="C891" s="245"/>
      <c r="D891" s="246"/>
      <c r="E891" s="245"/>
      <c r="F891" s="247"/>
      <c r="G891" s="244"/>
      <c r="H891" s="243"/>
      <c r="I891" s="244"/>
      <c r="J891" s="244"/>
      <c r="K891" s="244"/>
      <c r="L891" s="248"/>
      <c r="M891" s="248"/>
      <c r="N891" s="244"/>
      <c r="O891" s="249"/>
      <c r="P891" s="249"/>
      <c r="Q891" s="208"/>
      <c r="R891" s="208"/>
      <c r="S891" s="208"/>
      <c r="T891" s="208"/>
      <c r="U891" s="208"/>
      <c r="V891" s="208"/>
      <c r="W891" s="208"/>
      <c r="X891" s="208"/>
      <c r="Y891" s="208"/>
      <c r="Z891" s="208"/>
      <c r="AA891" s="208"/>
      <c r="AB891" s="208"/>
    </row>
    <row r="892" ht="15.75" customHeight="1">
      <c r="A892" s="250"/>
      <c r="B892" s="244"/>
      <c r="C892" s="245"/>
      <c r="D892" s="246"/>
      <c r="E892" s="245"/>
      <c r="F892" s="247"/>
      <c r="G892" s="244"/>
      <c r="H892" s="243"/>
      <c r="I892" s="244"/>
      <c r="J892" s="244"/>
      <c r="K892" s="244"/>
      <c r="L892" s="248"/>
      <c r="M892" s="248"/>
      <c r="N892" s="244"/>
      <c r="O892" s="249"/>
      <c r="P892" s="249"/>
      <c r="Q892" s="208"/>
      <c r="R892" s="208"/>
      <c r="S892" s="208"/>
      <c r="T892" s="208"/>
      <c r="U892" s="208"/>
      <c r="V892" s="208"/>
      <c r="W892" s="208"/>
      <c r="X892" s="208"/>
      <c r="Y892" s="208"/>
      <c r="Z892" s="208"/>
      <c r="AA892" s="208"/>
      <c r="AB892" s="208"/>
    </row>
    <row r="893" ht="15.75" customHeight="1">
      <c r="A893" s="250"/>
      <c r="B893" s="244"/>
      <c r="C893" s="245"/>
      <c r="D893" s="246"/>
      <c r="E893" s="245"/>
      <c r="F893" s="247"/>
      <c r="G893" s="244"/>
      <c r="H893" s="243"/>
      <c r="I893" s="244"/>
      <c r="J893" s="244"/>
      <c r="K893" s="244"/>
      <c r="L893" s="248"/>
      <c r="M893" s="248"/>
      <c r="N893" s="244"/>
      <c r="O893" s="249"/>
      <c r="P893" s="249"/>
      <c r="Q893" s="208"/>
      <c r="R893" s="208"/>
      <c r="S893" s="208"/>
      <c r="T893" s="208"/>
      <c r="U893" s="208"/>
      <c r="V893" s="208"/>
      <c r="W893" s="208"/>
      <c r="X893" s="208"/>
      <c r="Y893" s="208"/>
      <c r="Z893" s="208"/>
      <c r="AA893" s="208"/>
      <c r="AB893" s="208"/>
    </row>
    <row r="894" ht="15.75" customHeight="1">
      <c r="A894" s="250"/>
      <c r="B894" s="244"/>
      <c r="C894" s="245"/>
      <c r="D894" s="246"/>
      <c r="E894" s="245"/>
      <c r="F894" s="247"/>
      <c r="G894" s="244"/>
      <c r="H894" s="243"/>
      <c r="I894" s="244"/>
      <c r="J894" s="244"/>
      <c r="K894" s="244"/>
      <c r="L894" s="248"/>
      <c r="M894" s="248"/>
      <c r="N894" s="244"/>
      <c r="O894" s="249"/>
      <c r="P894" s="249"/>
      <c r="Q894" s="208"/>
      <c r="R894" s="208"/>
      <c r="S894" s="208"/>
      <c r="T894" s="208"/>
      <c r="U894" s="208"/>
      <c r="V894" s="208"/>
      <c r="W894" s="208"/>
      <c r="X894" s="208"/>
      <c r="Y894" s="208"/>
      <c r="Z894" s="208"/>
      <c r="AA894" s="208"/>
      <c r="AB894" s="208"/>
    </row>
    <row r="895" ht="15.75" customHeight="1">
      <c r="A895" s="250"/>
      <c r="B895" s="244"/>
      <c r="C895" s="245"/>
      <c r="D895" s="246"/>
      <c r="E895" s="245"/>
      <c r="F895" s="247"/>
      <c r="G895" s="244"/>
      <c r="H895" s="243"/>
      <c r="I895" s="244"/>
      <c r="J895" s="244"/>
      <c r="K895" s="244"/>
      <c r="L895" s="248"/>
      <c r="M895" s="248"/>
      <c r="N895" s="244"/>
      <c r="O895" s="249"/>
      <c r="P895" s="249"/>
      <c r="Q895" s="208"/>
      <c r="R895" s="208"/>
      <c r="S895" s="208"/>
      <c r="T895" s="208"/>
      <c r="U895" s="208"/>
      <c r="V895" s="208"/>
      <c r="W895" s="208"/>
      <c r="X895" s="208"/>
      <c r="Y895" s="208"/>
      <c r="Z895" s="208"/>
      <c r="AA895" s="208"/>
      <c r="AB895" s="208"/>
    </row>
    <row r="896" ht="15.75" customHeight="1">
      <c r="A896" s="250"/>
      <c r="B896" s="244"/>
      <c r="C896" s="245"/>
      <c r="D896" s="246"/>
      <c r="E896" s="245"/>
      <c r="F896" s="247"/>
      <c r="G896" s="244"/>
      <c r="H896" s="243"/>
      <c r="I896" s="244"/>
      <c r="J896" s="244"/>
      <c r="K896" s="244"/>
      <c r="L896" s="248"/>
      <c r="M896" s="248"/>
      <c r="N896" s="244"/>
      <c r="O896" s="249"/>
      <c r="P896" s="249"/>
      <c r="Q896" s="208"/>
      <c r="R896" s="208"/>
      <c r="S896" s="208"/>
      <c r="T896" s="208"/>
      <c r="U896" s="208"/>
      <c r="V896" s="208"/>
      <c r="W896" s="208"/>
      <c r="X896" s="208"/>
      <c r="Y896" s="208"/>
      <c r="Z896" s="208"/>
      <c r="AA896" s="208"/>
      <c r="AB896" s="208"/>
    </row>
    <row r="897" ht="15.75" customHeight="1">
      <c r="A897" s="250"/>
      <c r="B897" s="244"/>
      <c r="C897" s="245"/>
      <c r="D897" s="246"/>
      <c r="E897" s="245"/>
      <c r="F897" s="247"/>
      <c r="G897" s="244"/>
      <c r="H897" s="243"/>
      <c r="I897" s="244"/>
      <c r="J897" s="244"/>
      <c r="K897" s="244"/>
      <c r="L897" s="248"/>
      <c r="M897" s="248"/>
      <c r="N897" s="244"/>
      <c r="O897" s="249"/>
      <c r="P897" s="249"/>
      <c r="Q897" s="208"/>
      <c r="R897" s="208"/>
      <c r="S897" s="208"/>
      <c r="T897" s="208"/>
      <c r="U897" s="208"/>
      <c r="V897" s="208"/>
      <c r="W897" s="208"/>
      <c r="X897" s="208"/>
      <c r="Y897" s="208"/>
      <c r="Z897" s="208"/>
      <c r="AA897" s="208"/>
      <c r="AB897" s="208"/>
    </row>
    <row r="898" ht="15.75" customHeight="1">
      <c r="A898" s="250"/>
      <c r="B898" s="244"/>
      <c r="C898" s="245"/>
      <c r="D898" s="246"/>
      <c r="E898" s="245"/>
      <c r="F898" s="247"/>
      <c r="G898" s="244"/>
      <c r="H898" s="243"/>
      <c r="I898" s="244"/>
      <c r="J898" s="244"/>
      <c r="K898" s="244"/>
      <c r="L898" s="248"/>
      <c r="M898" s="248"/>
      <c r="N898" s="244"/>
      <c r="O898" s="249"/>
      <c r="P898" s="249"/>
      <c r="Q898" s="208"/>
      <c r="R898" s="208"/>
      <c r="S898" s="208"/>
      <c r="T898" s="208"/>
      <c r="U898" s="208"/>
      <c r="V898" s="208"/>
      <c r="W898" s="208"/>
      <c r="X898" s="208"/>
      <c r="Y898" s="208"/>
      <c r="Z898" s="208"/>
      <c r="AA898" s="208"/>
      <c r="AB898" s="208"/>
    </row>
    <row r="899" ht="15.75" customHeight="1">
      <c r="A899" s="250"/>
      <c r="B899" s="244"/>
      <c r="C899" s="245"/>
      <c r="D899" s="246"/>
      <c r="E899" s="245"/>
      <c r="F899" s="247"/>
      <c r="G899" s="244"/>
      <c r="H899" s="243"/>
      <c r="I899" s="244"/>
      <c r="J899" s="244"/>
      <c r="K899" s="244"/>
      <c r="L899" s="248"/>
      <c r="M899" s="248"/>
      <c r="N899" s="244"/>
      <c r="O899" s="249"/>
      <c r="P899" s="249"/>
      <c r="Q899" s="208"/>
      <c r="R899" s="208"/>
      <c r="S899" s="208"/>
      <c r="T899" s="208"/>
      <c r="U899" s="208"/>
      <c r="V899" s="208"/>
      <c r="W899" s="208"/>
      <c r="X899" s="208"/>
      <c r="Y899" s="208"/>
      <c r="Z899" s="208"/>
      <c r="AA899" s="208"/>
      <c r="AB899" s="208"/>
    </row>
    <row r="900" ht="15.75" customHeight="1">
      <c r="A900" s="250"/>
      <c r="B900" s="244"/>
      <c r="C900" s="245"/>
      <c r="D900" s="246"/>
      <c r="E900" s="245"/>
      <c r="F900" s="247"/>
      <c r="G900" s="244"/>
      <c r="H900" s="243"/>
      <c r="I900" s="244"/>
      <c r="J900" s="244"/>
      <c r="K900" s="244"/>
      <c r="L900" s="248"/>
      <c r="M900" s="248"/>
      <c r="N900" s="244"/>
      <c r="O900" s="249"/>
      <c r="P900" s="249"/>
      <c r="Q900" s="208"/>
      <c r="R900" s="208"/>
      <c r="S900" s="208"/>
      <c r="T900" s="208"/>
      <c r="U900" s="208"/>
      <c r="V900" s="208"/>
      <c r="W900" s="208"/>
      <c r="X900" s="208"/>
      <c r="Y900" s="208"/>
      <c r="Z900" s="208"/>
      <c r="AA900" s="208"/>
      <c r="AB900" s="208"/>
    </row>
    <row r="901" ht="15.75" customHeight="1">
      <c r="A901" s="250"/>
      <c r="B901" s="244"/>
      <c r="C901" s="245"/>
      <c r="D901" s="246"/>
      <c r="E901" s="245"/>
      <c r="F901" s="247"/>
      <c r="G901" s="244"/>
      <c r="H901" s="243"/>
      <c r="I901" s="244"/>
      <c r="J901" s="244"/>
      <c r="K901" s="244"/>
      <c r="L901" s="248"/>
      <c r="M901" s="248"/>
      <c r="N901" s="244"/>
      <c r="O901" s="249"/>
      <c r="P901" s="249"/>
      <c r="Q901" s="208"/>
      <c r="R901" s="208"/>
      <c r="S901" s="208"/>
      <c r="T901" s="208"/>
      <c r="U901" s="208"/>
      <c r="V901" s="208"/>
      <c r="W901" s="208"/>
      <c r="X901" s="208"/>
      <c r="Y901" s="208"/>
      <c r="Z901" s="208"/>
      <c r="AA901" s="208"/>
      <c r="AB901" s="208"/>
    </row>
    <row r="902" ht="15.75" customHeight="1">
      <c r="A902" s="250"/>
      <c r="B902" s="244"/>
      <c r="C902" s="245"/>
      <c r="D902" s="246"/>
      <c r="E902" s="245"/>
      <c r="F902" s="247"/>
      <c r="G902" s="244"/>
      <c r="H902" s="243"/>
      <c r="I902" s="244"/>
      <c r="J902" s="244"/>
      <c r="K902" s="244"/>
      <c r="L902" s="248"/>
      <c r="M902" s="248"/>
      <c r="N902" s="244"/>
      <c r="O902" s="249"/>
      <c r="P902" s="249"/>
      <c r="Q902" s="208"/>
      <c r="R902" s="208"/>
      <c r="S902" s="208"/>
      <c r="T902" s="208"/>
      <c r="U902" s="208"/>
      <c r="V902" s="208"/>
      <c r="W902" s="208"/>
      <c r="X902" s="208"/>
      <c r="Y902" s="208"/>
      <c r="Z902" s="208"/>
      <c r="AA902" s="208"/>
      <c r="AB902" s="208"/>
    </row>
    <row r="903" ht="15.75" customHeight="1">
      <c r="A903" s="250"/>
      <c r="B903" s="244"/>
      <c r="C903" s="245"/>
      <c r="D903" s="246"/>
      <c r="E903" s="245"/>
      <c r="F903" s="247"/>
      <c r="G903" s="244"/>
      <c r="H903" s="243"/>
      <c r="I903" s="244"/>
      <c r="J903" s="244"/>
      <c r="K903" s="244"/>
      <c r="L903" s="248"/>
      <c r="M903" s="248"/>
      <c r="N903" s="244"/>
      <c r="O903" s="249"/>
      <c r="P903" s="249"/>
      <c r="Q903" s="208"/>
      <c r="R903" s="208"/>
      <c r="S903" s="208"/>
      <c r="T903" s="208"/>
      <c r="U903" s="208"/>
      <c r="V903" s="208"/>
      <c r="W903" s="208"/>
      <c r="X903" s="208"/>
      <c r="Y903" s="208"/>
      <c r="Z903" s="208"/>
      <c r="AA903" s="208"/>
      <c r="AB903" s="208"/>
    </row>
    <row r="904" ht="15.75" customHeight="1">
      <c r="A904" s="250"/>
      <c r="B904" s="244"/>
      <c r="C904" s="245"/>
      <c r="D904" s="246"/>
      <c r="E904" s="245"/>
      <c r="F904" s="247"/>
      <c r="G904" s="244"/>
      <c r="H904" s="243"/>
      <c r="I904" s="244"/>
      <c r="J904" s="244"/>
      <c r="K904" s="244"/>
      <c r="L904" s="248"/>
      <c r="M904" s="248"/>
      <c r="N904" s="244"/>
      <c r="O904" s="249"/>
      <c r="P904" s="249"/>
      <c r="Q904" s="208"/>
      <c r="R904" s="208"/>
      <c r="S904" s="208"/>
      <c r="T904" s="208"/>
      <c r="U904" s="208"/>
      <c r="V904" s="208"/>
      <c r="W904" s="208"/>
      <c r="X904" s="208"/>
      <c r="Y904" s="208"/>
      <c r="Z904" s="208"/>
      <c r="AA904" s="208"/>
      <c r="AB904" s="208"/>
    </row>
    <row r="905" ht="15.75" customHeight="1">
      <c r="A905" s="250"/>
      <c r="B905" s="244"/>
      <c r="C905" s="245"/>
      <c r="D905" s="246"/>
      <c r="E905" s="245"/>
      <c r="F905" s="247"/>
      <c r="G905" s="244"/>
      <c r="H905" s="243"/>
      <c r="I905" s="244"/>
      <c r="J905" s="244"/>
      <c r="K905" s="244"/>
      <c r="L905" s="248"/>
      <c r="M905" s="248"/>
      <c r="N905" s="244"/>
      <c r="O905" s="249"/>
      <c r="P905" s="249"/>
      <c r="Q905" s="208"/>
      <c r="R905" s="208"/>
      <c r="S905" s="208"/>
      <c r="T905" s="208"/>
      <c r="U905" s="208"/>
      <c r="V905" s="208"/>
      <c r="W905" s="208"/>
      <c r="X905" s="208"/>
      <c r="Y905" s="208"/>
      <c r="Z905" s="208"/>
      <c r="AA905" s="208"/>
      <c r="AB905" s="208"/>
    </row>
    <row r="906" ht="15.75" customHeight="1">
      <c r="A906" s="250"/>
      <c r="B906" s="244"/>
      <c r="C906" s="245"/>
      <c r="D906" s="246"/>
      <c r="E906" s="245"/>
      <c r="F906" s="247"/>
      <c r="G906" s="244"/>
      <c r="H906" s="243"/>
      <c r="I906" s="244"/>
      <c r="J906" s="244"/>
      <c r="K906" s="244"/>
      <c r="L906" s="248"/>
      <c r="M906" s="248"/>
      <c r="N906" s="244"/>
      <c r="O906" s="249"/>
      <c r="P906" s="249"/>
      <c r="Q906" s="208"/>
      <c r="R906" s="208"/>
      <c r="S906" s="208"/>
      <c r="T906" s="208"/>
      <c r="U906" s="208"/>
      <c r="V906" s="208"/>
      <c r="W906" s="208"/>
      <c r="X906" s="208"/>
      <c r="Y906" s="208"/>
      <c r="Z906" s="208"/>
      <c r="AA906" s="208"/>
      <c r="AB906" s="208"/>
    </row>
    <row r="907" ht="15.75" customHeight="1">
      <c r="A907" s="250"/>
      <c r="B907" s="244"/>
      <c r="C907" s="245"/>
      <c r="D907" s="246"/>
      <c r="E907" s="245"/>
      <c r="F907" s="247"/>
      <c r="G907" s="244"/>
      <c r="H907" s="243"/>
      <c r="I907" s="244"/>
      <c r="J907" s="244"/>
      <c r="K907" s="244"/>
      <c r="L907" s="248"/>
      <c r="M907" s="248"/>
      <c r="N907" s="244"/>
      <c r="O907" s="249"/>
      <c r="P907" s="249"/>
      <c r="Q907" s="208"/>
      <c r="R907" s="208"/>
      <c r="S907" s="208"/>
      <c r="T907" s="208"/>
      <c r="U907" s="208"/>
      <c r="V907" s="208"/>
      <c r="W907" s="208"/>
      <c r="X907" s="208"/>
      <c r="Y907" s="208"/>
      <c r="Z907" s="208"/>
      <c r="AA907" s="208"/>
      <c r="AB907" s="208"/>
    </row>
    <row r="908" ht="15.75" customHeight="1">
      <c r="A908" s="250"/>
      <c r="B908" s="244"/>
      <c r="C908" s="245"/>
      <c r="D908" s="246"/>
      <c r="E908" s="245"/>
      <c r="F908" s="247"/>
      <c r="G908" s="244"/>
      <c r="H908" s="243"/>
      <c r="I908" s="244"/>
      <c r="J908" s="244"/>
      <c r="K908" s="244"/>
      <c r="L908" s="248"/>
      <c r="M908" s="248"/>
      <c r="N908" s="244"/>
      <c r="O908" s="249"/>
      <c r="P908" s="249"/>
      <c r="Q908" s="208"/>
      <c r="R908" s="208"/>
      <c r="S908" s="208"/>
      <c r="T908" s="208"/>
      <c r="U908" s="208"/>
      <c r="V908" s="208"/>
      <c r="W908" s="208"/>
      <c r="X908" s="208"/>
      <c r="Y908" s="208"/>
      <c r="Z908" s="208"/>
      <c r="AA908" s="208"/>
      <c r="AB908" s="208"/>
    </row>
    <row r="909" ht="15.75" customHeight="1">
      <c r="A909" s="250"/>
      <c r="B909" s="244"/>
      <c r="C909" s="245"/>
      <c r="D909" s="246"/>
      <c r="E909" s="245"/>
      <c r="F909" s="247"/>
      <c r="G909" s="244"/>
      <c r="H909" s="243"/>
      <c r="I909" s="244"/>
      <c r="J909" s="244"/>
      <c r="K909" s="244"/>
      <c r="L909" s="248"/>
      <c r="M909" s="248"/>
      <c r="N909" s="244"/>
      <c r="O909" s="249"/>
      <c r="P909" s="249"/>
      <c r="Q909" s="208"/>
      <c r="R909" s="208"/>
      <c r="S909" s="208"/>
      <c r="T909" s="208"/>
      <c r="U909" s="208"/>
      <c r="V909" s="208"/>
      <c r="W909" s="208"/>
      <c r="X909" s="208"/>
      <c r="Y909" s="208"/>
      <c r="Z909" s="208"/>
      <c r="AA909" s="208"/>
      <c r="AB909" s="208"/>
    </row>
    <row r="910" ht="15.75" customHeight="1">
      <c r="A910" s="250"/>
      <c r="B910" s="244"/>
      <c r="C910" s="245"/>
      <c r="D910" s="246"/>
      <c r="E910" s="245"/>
      <c r="F910" s="247"/>
      <c r="G910" s="244"/>
      <c r="H910" s="243"/>
      <c r="I910" s="244"/>
      <c r="J910" s="244"/>
      <c r="K910" s="244"/>
      <c r="L910" s="248"/>
      <c r="M910" s="248"/>
      <c r="N910" s="244"/>
      <c r="O910" s="249"/>
      <c r="P910" s="249"/>
      <c r="Q910" s="208"/>
      <c r="R910" s="208"/>
      <c r="S910" s="208"/>
      <c r="T910" s="208"/>
      <c r="U910" s="208"/>
      <c r="V910" s="208"/>
      <c r="W910" s="208"/>
      <c r="X910" s="208"/>
      <c r="Y910" s="208"/>
      <c r="Z910" s="208"/>
      <c r="AA910" s="208"/>
      <c r="AB910" s="208"/>
    </row>
    <row r="911" ht="15.75" customHeight="1">
      <c r="A911" s="250"/>
      <c r="B911" s="244"/>
      <c r="C911" s="245"/>
      <c r="D911" s="246"/>
      <c r="E911" s="245"/>
      <c r="F911" s="247"/>
      <c r="G911" s="244"/>
      <c r="H911" s="243"/>
      <c r="I911" s="244"/>
      <c r="J911" s="244"/>
      <c r="K911" s="244"/>
      <c r="L911" s="248"/>
      <c r="M911" s="248"/>
      <c r="N911" s="244"/>
      <c r="O911" s="249"/>
      <c r="P911" s="249"/>
      <c r="Q911" s="208"/>
      <c r="R911" s="208"/>
      <c r="S911" s="208"/>
      <c r="T911" s="208"/>
      <c r="U911" s="208"/>
      <c r="V911" s="208"/>
      <c r="W911" s="208"/>
      <c r="X911" s="208"/>
      <c r="Y911" s="208"/>
      <c r="Z911" s="208"/>
      <c r="AA911" s="208"/>
      <c r="AB911" s="208"/>
    </row>
    <row r="912" ht="15.75" customHeight="1">
      <c r="A912" s="250"/>
      <c r="B912" s="244"/>
      <c r="C912" s="245"/>
      <c r="D912" s="246"/>
      <c r="E912" s="245"/>
      <c r="F912" s="247"/>
      <c r="G912" s="244"/>
      <c r="H912" s="243"/>
      <c r="I912" s="244"/>
      <c r="J912" s="244"/>
      <c r="K912" s="244"/>
      <c r="L912" s="248"/>
      <c r="M912" s="248"/>
      <c r="N912" s="244"/>
      <c r="O912" s="249"/>
      <c r="P912" s="249"/>
      <c r="Q912" s="208"/>
      <c r="R912" s="208"/>
      <c r="S912" s="208"/>
      <c r="T912" s="208"/>
      <c r="U912" s="208"/>
      <c r="V912" s="208"/>
      <c r="W912" s="208"/>
      <c r="X912" s="208"/>
      <c r="Y912" s="208"/>
      <c r="Z912" s="208"/>
      <c r="AA912" s="208"/>
      <c r="AB912" s="208"/>
    </row>
    <row r="913" ht="15.75" customHeight="1">
      <c r="A913" s="250"/>
      <c r="B913" s="244"/>
      <c r="C913" s="245"/>
      <c r="D913" s="246"/>
      <c r="E913" s="245"/>
      <c r="F913" s="247"/>
      <c r="G913" s="244"/>
      <c r="H913" s="243"/>
      <c r="I913" s="244"/>
      <c r="J913" s="244"/>
      <c r="K913" s="244"/>
      <c r="L913" s="248"/>
      <c r="M913" s="248"/>
      <c r="N913" s="244"/>
      <c r="O913" s="249"/>
      <c r="P913" s="249"/>
      <c r="Q913" s="208"/>
      <c r="R913" s="208"/>
      <c r="S913" s="208"/>
      <c r="T913" s="208"/>
      <c r="U913" s="208"/>
      <c r="V913" s="208"/>
      <c r="W913" s="208"/>
      <c r="X913" s="208"/>
      <c r="Y913" s="208"/>
      <c r="Z913" s="208"/>
      <c r="AA913" s="208"/>
      <c r="AB913" s="208"/>
    </row>
    <row r="914" ht="15.75" customHeight="1">
      <c r="A914" s="250"/>
      <c r="B914" s="244"/>
      <c r="C914" s="245"/>
      <c r="D914" s="246"/>
      <c r="E914" s="245"/>
      <c r="F914" s="247"/>
      <c r="G914" s="244"/>
      <c r="H914" s="243"/>
      <c r="I914" s="244"/>
      <c r="J914" s="244"/>
      <c r="K914" s="244"/>
      <c r="L914" s="248"/>
      <c r="M914" s="248"/>
      <c r="N914" s="244"/>
      <c r="O914" s="249"/>
      <c r="P914" s="249"/>
      <c r="Q914" s="208"/>
      <c r="R914" s="208"/>
      <c r="S914" s="208"/>
      <c r="T914" s="208"/>
      <c r="U914" s="208"/>
      <c r="V914" s="208"/>
      <c r="W914" s="208"/>
      <c r="X914" s="208"/>
      <c r="Y914" s="208"/>
      <c r="Z914" s="208"/>
      <c r="AA914" s="208"/>
      <c r="AB914" s="208"/>
    </row>
    <row r="915" ht="15.75" customHeight="1">
      <c r="A915" s="250"/>
      <c r="B915" s="244"/>
      <c r="C915" s="245"/>
      <c r="D915" s="246"/>
      <c r="E915" s="245"/>
      <c r="F915" s="247"/>
      <c r="G915" s="244"/>
      <c r="H915" s="243"/>
      <c r="I915" s="244"/>
      <c r="J915" s="244"/>
      <c r="K915" s="244"/>
      <c r="L915" s="248"/>
      <c r="M915" s="248"/>
      <c r="N915" s="244"/>
      <c r="O915" s="249"/>
      <c r="P915" s="249"/>
      <c r="Q915" s="208"/>
      <c r="R915" s="208"/>
      <c r="S915" s="208"/>
      <c r="T915" s="208"/>
      <c r="U915" s="208"/>
      <c r="V915" s="208"/>
      <c r="W915" s="208"/>
      <c r="X915" s="208"/>
      <c r="Y915" s="208"/>
      <c r="Z915" s="208"/>
      <c r="AA915" s="208"/>
      <c r="AB915" s="208"/>
    </row>
    <row r="916" ht="15.75" customHeight="1">
      <c r="A916" s="250"/>
      <c r="B916" s="244"/>
      <c r="C916" s="245"/>
      <c r="D916" s="246"/>
      <c r="E916" s="245"/>
      <c r="F916" s="247"/>
      <c r="G916" s="244"/>
      <c r="H916" s="243"/>
      <c r="I916" s="244"/>
      <c r="J916" s="244"/>
      <c r="K916" s="244"/>
      <c r="L916" s="248"/>
      <c r="M916" s="248"/>
      <c r="N916" s="244"/>
      <c r="O916" s="249"/>
      <c r="P916" s="249"/>
      <c r="Q916" s="208"/>
      <c r="R916" s="208"/>
      <c r="S916" s="208"/>
      <c r="T916" s="208"/>
      <c r="U916" s="208"/>
      <c r="V916" s="208"/>
      <c r="W916" s="208"/>
      <c r="X916" s="208"/>
      <c r="Y916" s="208"/>
      <c r="Z916" s="208"/>
      <c r="AA916" s="208"/>
      <c r="AB916" s="208"/>
    </row>
    <row r="917" ht="15.75" customHeight="1">
      <c r="A917" s="250"/>
      <c r="B917" s="244"/>
      <c r="C917" s="245"/>
      <c r="D917" s="246"/>
      <c r="E917" s="245"/>
      <c r="F917" s="247"/>
      <c r="G917" s="244"/>
      <c r="H917" s="243"/>
      <c r="I917" s="244"/>
      <c r="J917" s="244"/>
      <c r="K917" s="244"/>
      <c r="L917" s="248"/>
      <c r="M917" s="248"/>
      <c r="N917" s="244"/>
      <c r="O917" s="249"/>
      <c r="P917" s="249"/>
      <c r="Q917" s="208"/>
      <c r="R917" s="208"/>
      <c r="S917" s="208"/>
      <c r="T917" s="208"/>
      <c r="U917" s="208"/>
      <c r="V917" s="208"/>
      <c r="W917" s="208"/>
      <c r="X917" s="208"/>
      <c r="Y917" s="208"/>
      <c r="Z917" s="208"/>
      <c r="AA917" s="208"/>
      <c r="AB917" s="208"/>
    </row>
    <row r="918" ht="15.75" customHeight="1">
      <c r="A918" s="250"/>
      <c r="B918" s="244"/>
      <c r="C918" s="245"/>
      <c r="D918" s="246"/>
      <c r="E918" s="245"/>
      <c r="F918" s="247"/>
      <c r="G918" s="244"/>
      <c r="H918" s="243"/>
      <c r="I918" s="244"/>
      <c r="J918" s="244"/>
      <c r="K918" s="244"/>
      <c r="L918" s="248"/>
      <c r="M918" s="248"/>
      <c r="N918" s="244"/>
      <c r="O918" s="249"/>
      <c r="P918" s="249"/>
      <c r="Q918" s="208"/>
      <c r="R918" s="208"/>
      <c r="S918" s="208"/>
      <c r="T918" s="208"/>
      <c r="U918" s="208"/>
      <c r="V918" s="208"/>
      <c r="W918" s="208"/>
      <c r="X918" s="208"/>
      <c r="Y918" s="208"/>
      <c r="Z918" s="208"/>
      <c r="AA918" s="208"/>
      <c r="AB918" s="208"/>
    </row>
    <row r="919" ht="15.75" customHeight="1">
      <c r="A919" s="250"/>
      <c r="B919" s="244"/>
      <c r="C919" s="245"/>
      <c r="D919" s="246"/>
      <c r="E919" s="245"/>
      <c r="F919" s="247"/>
      <c r="G919" s="244"/>
      <c r="H919" s="243"/>
      <c r="I919" s="244"/>
      <c r="J919" s="244"/>
      <c r="K919" s="244"/>
      <c r="L919" s="248"/>
      <c r="M919" s="248"/>
      <c r="N919" s="244"/>
      <c r="O919" s="249"/>
      <c r="P919" s="249"/>
      <c r="Q919" s="208"/>
      <c r="R919" s="208"/>
      <c r="S919" s="208"/>
      <c r="T919" s="208"/>
      <c r="U919" s="208"/>
      <c r="V919" s="208"/>
      <c r="W919" s="208"/>
      <c r="X919" s="208"/>
      <c r="Y919" s="208"/>
      <c r="Z919" s="208"/>
      <c r="AA919" s="208"/>
      <c r="AB919" s="208"/>
    </row>
    <row r="920" ht="15.75" customHeight="1">
      <c r="A920" s="250"/>
      <c r="B920" s="244"/>
      <c r="C920" s="245"/>
      <c r="D920" s="246"/>
      <c r="E920" s="245"/>
      <c r="F920" s="247"/>
      <c r="G920" s="244"/>
      <c r="H920" s="243"/>
      <c r="I920" s="244"/>
      <c r="J920" s="244"/>
      <c r="K920" s="244"/>
      <c r="L920" s="248"/>
      <c r="M920" s="248"/>
      <c r="N920" s="244"/>
      <c r="O920" s="249"/>
      <c r="P920" s="249"/>
      <c r="Q920" s="208"/>
      <c r="R920" s="208"/>
      <c r="S920" s="208"/>
      <c r="T920" s="208"/>
      <c r="U920" s="208"/>
      <c r="V920" s="208"/>
      <c r="W920" s="208"/>
      <c r="X920" s="208"/>
      <c r="Y920" s="208"/>
      <c r="Z920" s="208"/>
      <c r="AA920" s="208"/>
      <c r="AB920" s="208"/>
    </row>
    <row r="921" ht="15.75" customHeight="1">
      <c r="A921" s="250"/>
      <c r="B921" s="244"/>
      <c r="C921" s="245"/>
      <c r="D921" s="246"/>
      <c r="E921" s="245"/>
      <c r="F921" s="247"/>
      <c r="G921" s="244"/>
      <c r="H921" s="243"/>
      <c r="I921" s="244"/>
      <c r="J921" s="244"/>
      <c r="K921" s="244"/>
      <c r="L921" s="248"/>
      <c r="M921" s="248"/>
      <c r="N921" s="244"/>
      <c r="O921" s="249"/>
      <c r="P921" s="249"/>
      <c r="Q921" s="208"/>
      <c r="R921" s="208"/>
      <c r="S921" s="208"/>
      <c r="T921" s="208"/>
      <c r="U921" s="208"/>
      <c r="V921" s="208"/>
      <c r="W921" s="208"/>
      <c r="X921" s="208"/>
      <c r="Y921" s="208"/>
      <c r="Z921" s="208"/>
      <c r="AA921" s="208"/>
      <c r="AB921" s="208"/>
    </row>
    <row r="922" ht="15.75" customHeight="1">
      <c r="A922" s="250"/>
      <c r="B922" s="244"/>
      <c r="C922" s="245"/>
      <c r="D922" s="246"/>
      <c r="E922" s="245"/>
      <c r="F922" s="247"/>
      <c r="G922" s="244"/>
      <c r="H922" s="243"/>
      <c r="I922" s="244"/>
      <c r="J922" s="244"/>
      <c r="K922" s="244"/>
      <c r="L922" s="248"/>
      <c r="M922" s="248"/>
      <c r="N922" s="244"/>
      <c r="O922" s="249"/>
      <c r="P922" s="249"/>
      <c r="Q922" s="208"/>
      <c r="R922" s="208"/>
      <c r="S922" s="208"/>
      <c r="T922" s="208"/>
      <c r="U922" s="208"/>
      <c r="V922" s="208"/>
      <c r="W922" s="208"/>
      <c r="X922" s="208"/>
      <c r="Y922" s="208"/>
      <c r="Z922" s="208"/>
      <c r="AA922" s="208"/>
      <c r="AB922" s="208"/>
    </row>
    <row r="923" ht="15.75" customHeight="1">
      <c r="A923" s="250"/>
      <c r="B923" s="244"/>
      <c r="C923" s="245"/>
      <c r="D923" s="246"/>
      <c r="E923" s="245"/>
      <c r="F923" s="247"/>
      <c r="G923" s="244"/>
      <c r="H923" s="243"/>
      <c r="I923" s="244"/>
      <c r="J923" s="244"/>
      <c r="K923" s="244"/>
      <c r="L923" s="248"/>
      <c r="M923" s="248"/>
      <c r="N923" s="244"/>
      <c r="O923" s="249"/>
      <c r="P923" s="249"/>
      <c r="Q923" s="208"/>
      <c r="R923" s="208"/>
      <c r="S923" s="208"/>
      <c r="T923" s="208"/>
      <c r="U923" s="208"/>
      <c r="V923" s="208"/>
      <c r="W923" s="208"/>
      <c r="X923" s="208"/>
      <c r="Y923" s="208"/>
      <c r="Z923" s="208"/>
      <c r="AA923" s="208"/>
      <c r="AB923" s="208"/>
    </row>
    <row r="924" ht="15.75" customHeight="1">
      <c r="A924" s="250"/>
      <c r="B924" s="244"/>
      <c r="C924" s="245"/>
      <c r="D924" s="246"/>
      <c r="E924" s="245"/>
      <c r="F924" s="247"/>
      <c r="G924" s="244"/>
      <c r="H924" s="243"/>
      <c r="I924" s="244"/>
      <c r="J924" s="244"/>
      <c r="K924" s="244"/>
      <c r="L924" s="248"/>
      <c r="M924" s="248"/>
      <c r="N924" s="244"/>
      <c r="O924" s="249"/>
      <c r="P924" s="249"/>
      <c r="Q924" s="208"/>
      <c r="R924" s="208"/>
      <c r="S924" s="208"/>
      <c r="T924" s="208"/>
      <c r="U924" s="208"/>
      <c r="V924" s="208"/>
      <c r="W924" s="208"/>
      <c r="X924" s="208"/>
      <c r="Y924" s="208"/>
      <c r="Z924" s="208"/>
      <c r="AA924" s="208"/>
      <c r="AB924" s="208"/>
    </row>
    <row r="925" ht="15.75" customHeight="1">
      <c r="A925" s="250"/>
      <c r="B925" s="244"/>
      <c r="C925" s="245"/>
      <c r="D925" s="246"/>
      <c r="E925" s="245"/>
      <c r="F925" s="247"/>
      <c r="G925" s="244"/>
      <c r="H925" s="243"/>
      <c r="I925" s="244"/>
      <c r="J925" s="244"/>
      <c r="K925" s="244"/>
      <c r="L925" s="248"/>
      <c r="M925" s="248"/>
      <c r="N925" s="244"/>
      <c r="O925" s="249"/>
      <c r="P925" s="249"/>
      <c r="Q925" s="208"/>
      <c r="R925" s="208"/>
      <c r="S925" s="208"/>
      <c r="T925" s="208"/>
      <c r="U925" s="208"/>
      <c r="V925" s="208"/>
      <c r="W925" s="208"/>
      <c r="X925" s="208"/>
      <c r="Y925" s="208"/>
      <c r="Z925" s="208"/>
      <c r="AA925" s="208"/>
      <c r="AB925" s="208"/>
    </row>
    <row r="926" ht="15.75" customHeight="1">
      <c r="A926" s="250"/>
      <c r="B926" s="244"/>
      <c r="C926" s="245"/>
      <c r="D926" s="246"/>
      <c r="E926" s="245"/>
      <c r="F926" s="247"/>
      <c r="G926" s="244"/>
      <c r="H926" s="243"/>
      <c r="I926" s="244"/>
      <c r="J926" s="244"/>
      <c r="K926" s="244"/>
      <c r="L926" s="248"/>
      <c r="M926" s="248"/>
      <c r="N926" s="244"/>
      <c r="O926" s="249"/>
      <c r="P926" s="249"/>
      <c r="Q926" s="208"/>
      <c r="R926" s="208"/>
      <c r="S926" s="208"/>
      <c r="T926" s="208"/>
      <c r="U926" s="208"/>
      <c r="V926" s="208"/>
      <c r="W926" s="208"/>
      <c r="X926" s="208"/>
      <c r="Y926" s="208"/>
      <c r="Z926" s="208"/>
      <c r="AA926" s="208"/>
      <c r="AB926" s="208"/>
    </row>
    <row r="927" ht="15.75" customHeight="1">
      <c r="A927" s="250"/>
      <c r="B927" s="244"/>
      <c r="C927" s="245"/>
      <c r="D927" s="246"/>
      <c r="E927" s="245"/>
      <c r="F927" s="247"/>
      <c r="G927" s="244"/>
      <c r="H927" s="243"/>
      <c r="I927" s="244"/>
      <c r="J927" s="244"/>
      <c r="K927" s="244"/>
      <c r="L927" s="248"/>
      <c r="M927" s="248"/>
      <c r="N927" s="244"/>
      <c r="O927" s="249"/>
      <c r="P927" s="249"/>
      <c r="Q927" s="208"/>
      <c r="R927" s="208"/>
      <c r="S927" s="208"/>
      <c r="T927" s="208"/>
      <c r="U927" s="208"/>
      <c r="V927" s="208"/>
      <c r="W927" s="208"/>
      <c r="X927" s="208"/>
      <c r="Y927" s="208"/>
      <c r="Z927" s="208"/>
      <c r="AA927" s="208"/>
      <c r="AB927" s="208"/>
    </row>
    <row r="928" ht="15.75" customHeight="1">
      <c r="A928" s="250"/>
      <c r="B928" s="244"/>
      <c r="C928" s="245"/>
      <c r="D928" s="246"/>
      <c r="E928" s="245"/>
      <c r="F928" s="247"/>
      <c r="G928" s="244"/>
      <c r="H928" s="243"/>
      <c r="I928" s="244"/>
      <c r="J928" s="244"/>
      <c r="K928" s="244"/>
      <c r="L928" s="248"/>
      <c r="M928" s="248"/>
      <c r="N928" s="244"/>
      <c r="O928" s="249"/>
      <c r="P928" s="249"/>
      <c r="Q928" s="208"/>
      <c r="R928" s="208"/>
      <c r="S928" s="208"/>
      <c r="T928" s="208"/>
      <c r="U928" s="208"/>
      <c r="V928" s="208"/>
      <c r="W928" s="208"/>
      <c r="X928" s="208"/>
      <c r="Y928" s="208"/>
      <c r="Z928" s="208"/>
      <c r="AA928" s="208"/>
      <c r="AB928" s="208"/>
    </row>
    <row r="929" ht="15.75" customHeight="1">
      <c r="A929" s="250"/>
      <c r="B929" s="244"/>
      <c r="C929" s="245"/>
      <c r="D929" s="246"/>
      <c r="E929" s="245"/>
      <c r="F929" s="247"/>
      <c r="G929" s="244"/>
      <c r="H929" s="243"/>
      <c r="I929" s="244"/>
      <c r="J929" s="244"/>
      <c r="K929" s="244"/>
      <c r="L929" s="248"/>
      <c r="M929" s="248"/>
      <c r="N929" s="244"/>
      <c r="O929" s="249"/>
      <c r="P929" s="249"/>
      <c r="Q929" s="208"/>
      <c r="R929" s="208"/>
      <c r="S929" s="208"/>
      <c r="T929" s="208"/>
      <c r="U929" s="208"/>
      <c r="V929" s="208"/>
      <c r="W929" s="208"/>
      <c r="X929" s="208"/>
      <c r="Y929" s="208"/>
      <c r="Z929" s="208"/>
      <c r="AA929" s="208"/>
      <c r="AB929" s="208"/>
    </row>
    <row r="930" ht="15.75" customHeight="1">
      <c r="A930" s="250"/>
      <c r="B930" s="244"/>
      <c r="C930" s="245"/>
      <c r="D930" s="246"/>
      <c r="E930" s="245"/>
      <c r="F930" s="247"/>
      <c r="G930" s="244"/>
      <c r="H930" s="243"/>
      <c r="I930" s="244"/>
      <c r="J930" s="244"/>
      <c r="K930" s="244"/>
      <c r="L930" s="248"/>
      <c r="M930" s="248"/>
      <c r="N930" s="244"/>
      <c r="O930" s="249"/>
      <c r="P930" s="249"/>
      <c r="Q930" s="208"/>
      <c r="R930" s="208"/>
      <c r="S930" s="208"/>
      <c r="T930" s="208"/>
      <c r="U930" s="208"/>
      <c r="V930" s="208"/>
      <c r="W930" s="208"/>
      <c r="X930" s="208"/>
      <c r="Y930" s="208"/>
      <c r="Z930" s="208"/>
      <c r="AA930" s="208"/>
      <c r="AB930" s="208"/>
    </row>
    <row r="931" ht="15.75" customHeight="1">
      <c r="A931" s="250"/>
      <c r="B931" s="244"/>
      <c r="C931" s="245"/>
      <c r="D931" s="246"/>
      <c r="E931" s="245"/>
      <c r="F931" s="247"/>
      <c r="G931" s="244"/>
      <c r="H931" s="243"/>
      <c r="I931" s="244"/>
      <c r="J931" s="244"/>
      <c r="K931" s="244"/>
      <c r="L931" s="248"/>
      <c r="M931" s="248"/>
      <c r="N931" s="244"/>
      <c r="O931" s="249"/>
      <c r="P931" s="249"/>
      <c r="Q931" s="208"/>
      <c r="R931" s="208"/>
      <c r="S931" s="208"/>
      <c r="T931" s="208"/>
      <c r="U931" s="208"/>
      <c r="V931" s="208"/>
      <c r="W931" s="208"/>
      <c r="X931" s="208"/>
      <c r="Y931" s="208"/>
      <c r="Z931" s="208"/>
      <c r="AA931" s="208"/>
      <c r="AB931" s="208"/>
    </row>
    <row r="932" ht="15.75" customHeight="1">
      <c r="A932" s="250"/>
      <c r="B932" s="244"/>
      <c r="C932" s="245"/>
      <c r="D932" s="246"/>
      <c r="E932" s="245"/>
      <c r="F932" s="247"/>
      <c r="G932" s="244"/>
      <c r="H932" s="243"/>
      <c r="I932" s="244"/>
      <c r="J932" s="244"/>
      <c r="K932" s="244"/>
      <c r="L932" s="248"/>
      <c r="M932" s="248"/>
      <c r="N932" s="244"/>
      <c r="O932" s="249"/>
      <c r="P932" s="249"/>
      <c r="Q932" s="208"/>
      <c r="R932" s="208"/>
      <c r="S932" s="208"/>
      <c r="T932" s="208"/>
      <c r="U932" s="208"/>
      <c r="V932" s="208"/>
      <c r="W932" s="208"/>
      <c r="X932" s="208"/>
      <c r="Y932" s="208"/>
      <c r="Z932" s="208"/>
      <c r="AA932" s="208"/>
      <c r="AB932" s="208"/>
    </row>
    <row r="933" ht="15.75" customHeight="1">
      <c r="A933" s="250"/>
      <c r="B933" s="244"/>
      <c r="C933" s="245"/>
      <c r="D933" s="246"/>
      <c r="E933" s="245"/>
      <c r="F933" s="247"/>
      <c r="G933" s="244"/>
      <c r="H933" s="243"/>
      <c r="I933" s="244"/>
      <c r="J933" s="244"/>
      <c r="K933" s="244"/>
      <c r="L933" s="248"/>
      <c r="M933" s="248"/>
      <c r="N933" s="244"/>
      <c r="O933" s="249"/>
      <c r="P933" s="249"/>
      <c r="Q933" s="208"/>
      <c r="R933" s="208"/>
      <c r="S933" s="208"/>
      <c r="T933" s="208"/>
      <c r="U933" s="208"/>
      <c r="V933" s="208"/>
      <c r="W933" s="208"/>
      <c r="X933" s="208"/>
      <c r="Y933" s="208"/>
      <c r="Z933" s="208"/>
      <c r="AA933" s="208"/>
      <c r="AB933" s="208"/>
    </row>
    <row r="934" ht="15.75" customHeight="1">
      <c r="A934" s="250"/>
      <c r="B934" s="244"/>
      <c r="C934" s="245"/>
      <c r="D934" s="246"/>
      <c r="E934" s="245"/>
      <c r="F934" s="247"/>
      <c r="G934" s="244"/>
      <c r="H934" s="243"/>
      <c r="I934" s="244"/>
      <c r="J934" s="244"/>
      <c r="K934" s="244"/>
      <c r="L934" s="248"/>
      <c r="M934" s="248"/>
      <c r="N934" s="244"/>
      <c r="O934" s="249"/>
      <c r="P934" s="249"/>
      <c r="Q934" s="208"/>
      <c r="R934" s="208"/>
      <c r="S934" s="208"/>
      <c r="T934" s="208"/>
      <c r="U934" s="208"/>
      <c r="V934" s="208"/>
      <c r="W934" s="208"/>
      <c r="X934" s="208"/>
      <c r="Y934" s="208"/>
      <c r="Z934" s="208"/>
      <c r="AA934" s="208"/>
      <c r="AB934" s="208"/>
    </row>
    <row r="935" ht="15.75" customHeight="1">
      <c r="A935" s="250"/>
      <c r="B935" s="244"/>
      <c r="C935" s="245"/>
      <c r="D935" s="246"/>
      <c r="E935" s="245"/>
      <c r="F935" s="247"/>
      <c r="G935" s="244"/>
      <c r="H935" s="243"/>
      <c r="I935" s="244"/>
      <c r="J935" s="244"/>
      <c r="K935" s="244"/>
      <c r="L935" s="248"/>
      <c r="M935" s="248"/>
      <c r="N935" s="244"/>
      <c r="O935" s="249"/>
      <c r="P935" s="249"/>
      <c r="Q935" s="208"/>
      <c r="R935" s="208"/>
      <c r="S935" s="208"/>
      <c r="T935" s="208"/>
      <c r="U935" s="208"/>
      <c r="V935" s="208"/>
      <c r="W935" s="208"/>
      <c r="X935" s="208"/>
      <c r="Y935" s="208"/>
      <c r="Z935" s="208"/>
      <c r="AA935" s="208"/>
      <c r="AB935" s="208"/>
    </row>
    <row r="936" ht="15.75" customHeight="1">
      <c r="A936" s="250"/>
      <c r="B936" s="244"/>
      <c r="C936" s="245"/>
      <c r="D936" s="246"/>
      <c r="E936" s="245"/>
      <c r="F936" s="247"/>
      <c r="G936" s="244"/>
      <c r="H936" s="243"/>
      <c r="I936" s="244"/>
      <c r="J936" s="244"/>
      <c r="K936" s="244"/>
      <c r="L936" s="248"/>
      <c r="M936" s="248"/>
      <c r="N936" s="244"/>
      <c r="O936" s="249"/>
      <c r="P936" s="249"/>
      <c r="Q936" s="208"/>
      <c r="R936" s="208"/>
      <c r="S936" s="208"/>
      <c r="T936" s="208"/>
      <c r="U936" s="208"/>
      <c r="V936" s="208"/>
      <c r="W936" s="208"/>
      <c r="X936" s="208"/>
      <c r="Y936" s="208"/>
      <c r="Z936" s="208"/>
      <c r="AA936" s="208"/>
      <c r="AB936" s="208"/>
    </row>
    <row r="937" ht="15.75" customHeight="1">
      <c r="A937" s="250"/>
      <c r="B937" s="244"/>
      <c r="C937" s="245"/>
      <c r="D937" s="246"/>
      <c r="E937" s="245"/>
      <c r="F937" s="247"/>
      <c r="G937" s="244"/>
      <c r="H937" s="243"/>
      <c r="I937" s="244"/>
      <c r="J937" s="244"/>
      <c r="K937" s="244"/>
      <c r="L937" s="248"/>
      <c r="M937" s="248"/>
      <c r="N937" s="244"/>
      <c r="O937" s="249"/>
      <c r="P937" s="249"/>
      <c r="Q937" s="208"/>
      <c r="R937" s="208"/>
      <c r="S937" s="208"/>
      <c r="T937" s="208"/>
      <c r="U937" s="208"/>
      <c r="V937" s="208"/>
      <c r="W937" s="208"/>
      <c r="X937" s="208"/>
      <c r="Y937" s="208"/>
      <c r="Z937" s="208"/>
      <c r="AA937" s="208"/>
      <c r="AB937" s="208"/>
    </row>
    <row r="938" ht="15.75" customHeight="1">
      <c r="A938" s="250"/>
      <c r="B938" s="244"/>
      <c r="C938" s="245"/>
      <c r="D938" s="246"/>
      <c r="E938" s="245"/>
      <c r="F938" s="247"/>
      <c r="G938" s="244"/>
      <c r="H938" s="243"/>
      <c r="I938" s="244"/>
      <c r="J938" s="244"/>
      <c r="K938" s="244"/>
      <c r="L938" s="248"/>
      <c r="M938" s="248"/>
      <c r="N938" s="244"/>
      <c r="O938" s="249"/>
      <c r="P938" s="249"/>
      <c r="Q938" s="208"/>
      <c r="R938" s="208"/>
      <c r="S938" s="208"/>
      <c r="T938" s="208"/>
      <c r="U938" s="208"/>
      <c r="V938" s="208"/>
      <c r="W938" s="208"/>
      <c r="X938" s="208"/>
      <c r="Y938" s="208"/>
      <c r="Z938" s="208"/>
      <c r="AA938" s="208"/>
      <c r="AB938" s="208"/>
    </row>
    <row r="939" ht="15.75" customHeight="1">
      <c r="A939" s="250"/>
      <c r="B939" s="244"/>
      <c r="C939" s="245"/>
      <c r="D939" s="246"/>
      <c r="E939" s="245"/>
      <c r="F939" s="247"/>
      <c r="G939" s="244"/>
      <c r="H939" s="243"/>
      <c r="I939" s="244"/>
      <c r="J939" s="244"/>
      <c r="K939" s="244"/>
      <c r="L939" s="248"/>
      <c r="M939" s="248"/>
      <c r="N939" s="244"/>
      <c r="O939" s="249"/>
      <c r="P939" s="249"/>
      <c r="Q939" s="208"/>
      <c r="R939" s="208"/>
      <c r="S939" s="208"/>
      <c r="T939" s="208"/>
      <c r="U939" s="208"/>
      <c r="V939" s="208"/>
      <c r="W939" s="208"/>
      <c r="X939" s="208"/>
      <c r="Y939" s="208"/>
      <c r="Z939" s="208"/>
      <c r="AA939" s="208"/>
      <c r="AB939" s="208"/>
    </row>
    <row r="940" ht="15.75" customHeight="1">
      <c r="A940" s="250"/>
      <c r="B940" s="244"/>
      <c r="C940" s="245"/>
      <c r="D940" s="246"/>
      <c r="E940" s="245"/>
      <c r="F940" s="247"/>
      <c r="G940" s="244"/>
      <c r="H940" s="243"/>
      <c r="I940" s="244"/>
      <c r="J940" s="244"/>
      <c r="K940" s="244"/>
      <c r="L940" s="248"/>
      <c r="M940" s="248"/>
      <c r="N940" s="244"/>
      <c r="O940" s="249"/>
      <c r="P940" s="249"/>
      <c r="Q940" s="208"/>
      <c r="R940" s="208"/>
      <c r="S940" s="208"/>
      <c r="T940" s="208"/>
      <c r="U940" s="208"/>
      <c r="V940" s="208"/>
      <c r="W940" s="208"/>
      <c r="X940" s="208"/>
      <c r="Y940" s="208"/>
      <c r="Z940" s="208"/>
      <c r="AA940" s="208"/>
      <c r="AB940" s="208"/>
    </row>
    <row r="941" ht="15.75" customHeight="1">
      <c r="A941" s="250"/>
      <c r="B941" s="244"/>
      <c r="C941" s="245"/>
      <c r="D941" s="246"/>
      <c r="E941" s="245"/>
      <c r="F941" s="247"/>
      <c r="G941" s="244"/>
      <c r="H941" s="243"/>
      <c r="I941" s="244"/>
      <c r="J941" s="244"/>
      <c r="K941" s="244"/>
      <c r="L941" s="248"/>
      <c r="M941" s="248"/>
      <c r="N941" s="244"/>
      <c r="O941" s="249"/>
      <c r="P941" s="249"/>
      <c r="Q941" s="208"/>
      <c r="R941" s="208"/>
      <c r="S941" s="208"/>
      <c r="T941" s="208"/>
      <c r="U941" s="208"/>
      <c r="V941" s="208"/>
      <c r="W941" s="208"/>
      <c r="X941" s="208"/>
      <c r="Y941" s="208"/>
      <c r="Z941" s="208"/>
      <c r="AA941" s="208"/>
      <c r="AB941" s="208"/>
    </row>
    <row r="942" ht="15.75" customHeight="1">
      <c r="A942" s="250"/>
      <c r="B942" s="244"/>
      <c r="C942" s="245"/>
      <c r="D942" s="246"/>
      <c r="E942" s="245"/>
      <c r="F942" s="247"/>
      <c r="G942" s="244"/>
      <c r="H942" s="243"/>
      <c r="I942" s="244"/>
      <c r="J942" s="244"/>
      <c r="K942" s="244"/>
      <c r="L942" s="248"/>
      <c r="M942" s="248"/>
      <c r="N942" s="244"/>
      <c r="O942" s="249"/>
      <c r="P942" s="249"/>
      <c r="Q942" s="208"/>
      <c r="R942" s="208"/>
      <c r="S942" s="208"/>
      <c r="T942" s="208"/>
      <c r="U942" s="208"/>
      <c r="V942" s="208"/>
      <c r="W942" s="208"/>
      <c r="X942" s="208"/>
      <c r="Y942" s="208"/>
      <c r="Z942" s="208"/>
      <c r="AA942" s="208"/>
      <c r="AB942" s="208"/>
    </row>
    <row r="943" ht="15.75" customHeight="1">
      <c r="A943" s="250"/>
      <c r="B943" s="244"/>
      <c r="C943" s="245"/>
      <c r="D943" s="246"/>
      <c r="E943" s="245"/>
      <c r="F943" s="247"/>
      <c r="G943" s="244"/>
      <c r="H943" s="243"/>
      <c r="I943" s="244"/>
      <c r="J943" s="244"/>
      <c r="K943" s="244"/>
      <c r="L943" s="248"/>
      <c r="M943" s="248"/>
      <c r="N943" s="244"/>
      <c r="O943" s="249"/>
      <c r="P943" s="249"/>
      <c r="Q943" s="208"/>
      <c r="R943" s="208"/>
      <c r="S943" s="208"/>
      <c r="T943" s="208"/>
      <c r="U943" s="208"/>
      <c r="V943" s="208"/>
      <c r="W943" s="208"/>
      <c r="X943" s="208"/>
      <c r="Y943" s="208"/>
      <c r="Z943" s="208"/>
      <c r="AA943" s="208"/>
      <c r="AB943" s="208"/>
    </row>
    <row r="944" ht="15.75" customHeight="1">
      <c r="A944" s="250"/>
      <c r="B944" s="244"/>
      <c r="C944" s="245"/>
      <c r="D944" s="246"/>
      <c r="E944" s="245"/>
      <c r="F944" s="247"/>
      <c r="G944" s="244"/>
      <c r="H944" s="243"/>
      <c r="I944" s="244"/>
      <c r="J944" s="244"/>
      <c r="K944" s="244"/>
      <c r="L944" s="248"/>
      <c r="M944" s="248"/>
      <c r="N944" s="244"/>
      <c r="O944" s="249"/>
      <c r="P944" s="249"/>
      <c r="Q944" s="208"/>
      <c r="R944" s="208"/>
      <c r="S944" s="208"/>
      <c r="T944" s="208"/>
      <c r="U944" s="208"/>
      <c r="V944" s="208"/>
      <c r="W944" s="208"/>
      <c r="X944" s="208"/>
      <c r="Y944" s="208"/>
      <c r="Z944" s="208"/>
      <c r="AA944" s="208"/>
      <c r="AB944" s="208"/>
    </row>
    <row r="945" ht="15.75" customHeight="1">
      <c r="A945" s="250"/>
      <c r="B945" s="244"/>
      <c r="C945" s="245"/>
      <c r="D945" s="246"/>
      <c r="E945" s="245"/>
      <c r="F945" s="247"/>
      <c r="G945" s="244"/>
      <c r="H945" s="243"/>
      <c r="I945" s="244"/>
      <c r="J945" s="244"/>
      <c r="K945" s="244"/>
      <c r="L945" s="248"/>
      <c r="M945" s="248"/>
      <c r="N945" s="244"/>
      <c r="O945" s="249"/>
      <c r="P945" s="249"/>
      <c r="Q945" s="208"/>
      <c r="R945" s="208"/>
      <c r="S945" s="208"/>
      <c r="T945" s="208"/>
      <c r="U945" s="208"/>
      <c r="V945" s="208"/>
      <c r="W945" s="208"/>
      <c r="X945" s="208"/>
      <c r="Y945" s="208"/>
      <c r="Z945" s="208"/>
      <c r="AA945" s="208"/>
      <c r="AB945" s="208"/>
    </row>
    <row r="946" ht="15.75" customHeight="1">
      <c r="A946" s="250"/>
      <c r="B946" s="244"/>
      <c r="C946" s="245"/>
      <c r="D946" s="246"/>
      <c r="E946" s="245"/>
      <c r="F946" s="247"/>
      <c r="G946" s="244"/>
      <c r="H946" s="243"/>
      <c r="I946" s="244"/>
      <c r="J946" s="244"/>
      <c r="K946" s="244"/>
      <c r="L946" s="248"/>
      <c r="M946" s="248"/>
      <c r="N946" s="244"/>
      <c r="O946" s="249"/>
      <c r="P946" s="249"/>
      <c r="Q946" s="208"/>
      <c r="R946" s="208"/>
      <c r="S946" s="208"/>
      <c r="T946" s="208"/>
      <c r="U946" s="208"/>
      <c r="V946" s="208"/>
      <c r="W946" s="208"/>
      <c r="X946" s="208"/>
      <c r="Y946" s="208"/>
      <c r="Z946" s="208"/>
      <c r="AA946" s="208"/>
      <c r="AB946" s="208"/>
    </row>
    <row r="947" ht="15.75" customHeight="1">
      <c r="A947" s="250"/>
      <c r="B947" s="244"/>
      <c r="C947" s="245"/>
      <c r="D947" s="246"/>
      <c r="E947" s="245"/>
      <c r="F947" s="247"/>
      <c r="G947" s="244"/>
      <c r="H947" s="243"/>
      <c r="I947" s="244"/>
      <c r="J947" s="244"/>
      <c r="K947" s="244"/>
      <c r="L947" s="248"/>
      <c r="M947" s="248"/>
      <c r="N947" s="244"/>
      <c r="O947" s="249"/>
      <c r="P947" s="249"/>
      <c r="Q947" s="208"/>
      <c r="R947" s="208"/>
      <c r="S947" s="208"/>
      <c r="T947" s="208"/>
      <c r="U947" s="208"/>
      <c r="V947" s="208"/>
      <c r="W947" s="208"/>
      <c r="X947" s="208"/>
      <c r="Y947" s="208"/>
      <c r="Z947" s="208"/>
      <c r="AA947" s="208"/>
      <c r="AB947" s="208"/>
    </row>
    <row r="948" ht="15.75" customHeight="1">
      <c r="A948" s="250"/>
      <c r="B948" s="244"/>
      <c r="C948" s="245"/>
      <c r="D948" s="246"/>
      <c r="E948" s="245"/>
      <c r="F948" s="247"/>
      <c r="G948" s="244"/>
      <c r="H948" s="243"/>
      <c r="I948" s="244"/>
      <c r="J948" s="244"/>
      <c r="K948" s="244"/>
      <c r="L948" s="248"/>
      <c r="M948" s="248"/>
      <c r="N948" s="244"/>
      <c r="O948" s="249"/>
      <c r="P948" s="249"/>
      <c r="Q948" s="208"/>
      <c r="R948" s="208"/>
      <c r="S948" s="208"/>
      <c r="T948" s="208"/>
      <c r="U948" s="208"/>
      <c r="V948" s="208"/>
      <c r="W948" s="208"/>
      <c r="X948" s="208"/>
      <c r="Y948" s="208"/>
      <c r="Z948" s="208"/>
      <c r="AA948" s="208"/>
      <c r="AB948" s="208"/>
    </row>
    <row r="949" ht="15.75" customHeight="1">
      <c r="A949" s="250"/>
      <c r="B949" s="244"/>
      <c r="C949" s="245"/>
      <c r="D949" s="246"/>
      <c r="E949" s="245"/>
      <c r="F949" s="247"/>
      <c r="G949" s="244"/>
      <c r="H949" s="243"/>
      <c r="I949" s="244"/>
      <c r="J949" s="244"/>
      <c r="K949" s="244"/>
      <c r="L949" s="248"/>
      <c r="M949" s="248"/>
      <c r="N949" s="244"/>
      <c r="O949" s="249"/>
      <c r="P949" s="249"/>
      <c r="Q949" s="208"/>
      <c r="R949" s="208"/>
      <c r="S949" s="208"/>
      <c r="T949" s="208"/>
      <c r="U949" s="208"/>
      <c r="V949" s="208"/>
      <c r="W949" s="208"/>
      <c r="X949" s="208"/>
      <c r="Y949" s="208"/>
      <c r="Z949" s="208"/>
      <c r="AA949" s="208"/>
      <c r="AB949" s="208"/>
    </row>
    <row r="950" ht="15.75" customHeight="1">
      <c r="A950" s="250"/>
      <c r="B950" s="244"/>
      <c r="C950" s="245"/>
      <c r="D950" s="246"/>
      <c r="E950" s="245"/>
      <c r="F950" s="247"/>
      <c r="G950" s="244"/>
      <c r="H950" s="243"/>
      <c r="I950" s="244"/>
      <c r="J950" s="244"/>
      <c r="K950" s="244"/>
      <c r="L950" s="248"/>
      <c r="M950" s="248"/>
      <c r="N950" s="244"/>
      <c r="O950" s="249"/>
      <c r="P950" s="249"/>
      <c r="Q950" s="208"/>
      <c r="R950" s="208"/>
      <c r="S950" s="208"/>
      <c r="T950" s="208"/>
      <c r="U950" s="208"/>
      <c r="V950" s="208"/>
      <c r="W950" s="208"/>
      <c r="X950" s="208"/>
      <c r="Y950" s="208"/>
      <c r="Z950" s="208"/>
      <c r="AA950" s="208"/>
      <c r="AB950" s="208"/>
    </row>
    <row r="951" ht="15.75" customHeight="1">
      <c r="A951" s="250"/>
      <c r="B951" s="244"/>
      <c r="C951" s="245"/>
      <c r="D951" s="246"/>
      <c r="E951" s="245"/>
      <c r="F951" s="247"/>
      <c r="G951" s="244"/>
      <c r="H951" s="243"/>
      <c r="I951" s="244"/>
      <c r="J951" s="244"/>
      <c r="K951" s="244"/>
      <c r="L951" s="248"/>
      <c r="M951" s="248"/>
      <c r="N951" s="244"/>
      <c r="O951" s="249"/>
      <c r="P951" s="249"/>
      <c r="Q951" s="208"/>
      <c r="R951" s="208"/>
      <c r="S951" s="208"/>
      <c r="T951" s="208"/>
      <c r="U951" s="208"/>
      <c r="V951" s="208"/>
      <c r="W951" s="208"/>
      <c r="X951" s="208"/>
      <c r="Y951" s="208"/>
      <c r="Z951" s="208"/>
      <c r="AA951" s="208"/>
      <c r="AB951" s="208"/>
    </row>
    <row r="952" ht="15.75" customHeight="1">
      <c r="A952" s="250"/>
      <c r="B952" s="244"/>
      <c r="C952" s="245"/>
      <c r="D952" s="246"/>
      <c r="E952" s="245"/>
      <c r="F952" s="247"/>
      <c r="G952" s="244"/>
      <c r="H952" s="243"/>
      <c r="I952" s="244"/>
      <c r="J952" s="244"/>
      <c r="K952" s="244"/>
      <c r="L952" s="248"/>
      <c r="M952" s="248"/>
      <c r="N952" s="244"/>
      <c r="O952" s="249"/>
      <c r="P952" s="249"/>
      <c r="Q952" s="208"/>
      <c r="R952" s="208"/>
      <c r="S952" s="208"/>
      <c r="T952" s="208"/>
      <c r="U952" s="208"/>
      <c r="V952" s="208"/>
      <c r="W952" s="208"/>
      <c r="X952" s="208"/>
      <c r="Y952" s="208"/>
      <c r="Z952" s="208"/>
      <c r="AA952" s="208"/>
      <c r="AB952" s="208"/>
    </row>
    <row r="953" ht="15.75" customHeight="1">
      <c r="A953" s="250"/>
      <c r="B953" s="244"/>
      <c r="C953" s="245"/>
      <c r="D953" s="246"/>
      <c r="E953" s="245"/>
      <c r="F953" s="247"/>
      <c r="G953" s="244"/>
      <c r="H953" s="243"/>
      <c r="I953" s="244"/>
      <c r="J953" s="244"/>
      <c r="K953" s="244"/>
      <c r="L953" s="248"/>
      <c r="M953" s="248"/>
      <c r="N953" s="244"/>
      <c r="O953" s="249"/>
      <c r="P953" s="249"/>
      <c r="Q953" s="208"/>
      <c r="R953" s="208"/>
      <c r="S953" s="208"/>
      <c r="T953" s="208"/>
      <c r="U953" s="208"/>
      <c r="V953" s="208"/>
      <c r="W953" s="208"/>
      <c r="X953" s="208"/>
      <c r="Y953" s="208"/>
      <c r="Z953" s="208"/>
      <c r="AA953" s="208"/>
      <c r="AB953" s="208"/>
    </row>
    <row r="954" ht="15.75" customHeight="1">
      <c r="A954" s="250"/>
      <c r="B954" s="244"/>
      <c r="C954" s="245"/>
      <c r="D954" s="246"/>
      <c r="E954" s="245"/>
      <c r="F954" s="247"/>
      <c r="G954" s="244"/>
      <c r="H954" s="243"/>
      <c r="I954" s="244"/>
      <c r="J954" s="244"/>
      <c r="K954" s="244"/>
      <c r="L954" s="248"/>
      <c r="M954" s="248"/>
      <c r="N954" s="244"/>
      <c r="O954" s="249"/>
      <c r="P954" s="249"/>
      <c r="Q954" s="208"/>
      <c r="R954" s="208"/>
      <c r="S954" s="208"/>
      <c r="T954" s="208"/>
      <c r="U954" s="208"/>
      <c r="V954" s="208"/>
      <c r="W954" s="208"/>
      <c r="X954" s="208"/>
      <c r="Y954" s="208"/>
      <c r="Z954" s="208"/>
      <c r="AA954" s="208"/>
      <c r="AB954" s="208"/>
    </row>
    <row r="955" ht="15.75" customHeight="1">
      <c r="A955" s="250"/>
      <c r="B955" s="244"/>
      <c r="C955" s="245"/>
      <c r="D955" s="246"/>
      <c r="E955" s="245"/>
      <c r="F955" s="247"/>
      <c r="G955" s="244"/>
      <c r="H955" s="243"/>
      <c r="I955" s="244"/>
      <c r="J955" s="244"/>
      <c r="K955" s="244"/>
      <c r="L955" s="248"/>
      <c r="M955" s="248"/>
      <c r="N955" s="244"/>
      <c r="O955" s="249"/>
      <c r="P955" s="249"/>
      <c r="Q955" s="208"/>
      <c r="R955" s="208"/>
      <c r="S955" s="208"/>
      <c r="T955" s="208"/>
      <c r="U955" s="208"/>
      <c r="V955" s="208"/>
      <c r="W955" s="208"/>
      <c r="X955" s="208"/>
      <c r="Y955" s="208"/>
      <c r="Z955" s="208"/>
      <c r="AA955" s="208"/>
      <c r="AB955" s="208"/>
    </row>
    <row r="956" ht="15.75" customHeight="1">
      <c r="A956" s="250"/>
      <c r="B956" s="244"/>
      <c r="C956" s="245"/>
      <c r="D956" s="246"/>
      <c r="E956" s="245"/>
      <c r="F956" s="247"/>
      <c r="G956" s="244"/>
      <c r="H956" s="243"/>
      <c r="I956" s="244"/>
      <c r="J956" s="244"/>
      <c r="K956" s="244"/>
      <c r="L956" s="248"/>
      <c r="M956" s="248"/>
      <c r="N956" s="244"/>
      <c r="O956" s="249"/>
      <c r="P956" s="249"/>
      <c r="Q956" s="208"/>
      <c r="R956" s="208"/>
      <c r="S956" s="208"/>
      <c r="T956" s="208"/>
      <c r="U956" s="208"/>
      <c r="V956" s="208"/>
      <c r="W956" s="208"/>
      <c r="X956" s="208"/>
      <c r="Y956" s="208"/>
      <c r="Z956" s="208"/>
      <c r="AA956" s="208"/>
      <c r="AB956" s="208"/>
    </row>
    <row r="957" ht="15.75" customHeight="1">
      <c r="A957" s="250"/>
      <c r="B957" s="244"/>
      <c r="C957" s="245"/>
      <c r="D957" s="246"/>
      <c r="E957" s="245"/>
      <c r="F957" s="247"/>
      <c r="G957" s="244"/>
      <c r="H957" s="243"/>
      <c r="I957" s="244"/>
      <c r="J957" s="244"/>
      <c r="K957" s="244"/>
      <c r="L957" s="248"/>
      <c r="M957" s="248"/>
      <c r="N957" s="244"/>
      <c r="O957" s="249"/>
      <c r="P957" s="249"/>
      <c r="Q957" s="208"/>
      <c r="R957" s="208"/>
      <c r="S957" s="208"/>
      <c r="T957" s="208"/>
      <c r="U957" s="208"/>
      <c r="V957" s="208"/>
      <c r="W957" s="208"/>
      <c r="X957" s="208"/>
      <c r="Y957" s="208"/>
      <c r="Z957" s="208"/>
      <c r="AA957" s="208"/>
      <c r="AB957" s="208"/>
    </row>
    <row r="958" ht="15.75" customHeight="1">
      <c r="A958" s="250"/>
      <c r="B958" s="244"/>
      <c r="C958" s="245"/>
      <c r="D958" s="246"/>
      <c r="E958" s="245"/>
      <c r="F958" s="247"/>
      <c r="G958" s="244"/>
      <c r="H958" s="243"/>
      <c r="I958" s="244"/>
      <c r="J958" s="244"/>
      <c r="K958" s="244"/>
      <c r="L958" s="248"/>
      <c r="M958" s="248"/>
      <c r="N958" s="244"/>
      <c r="O958" s="249"/>
      <c r="P958" s="249"/>
      <c r="Q958" s="208"/>
      <c r="R958" s="208"/>
      <c r="S958" s="208"/>
      <c r="T958" s="208"/>
      <c r="U958" s="208"/>
      <c r="V958" s="208"/>
      <c r="W958" s="208"/>
      <c r="X958" s="208"/>
      <c r="Y958" s="208"/>
      <c r="Z958" s="208"/>
      <c r="AA958" s="208"/>
      <c r="AB958" s="208"/>
    </row>
    <row r="959" ht="15.75" customHeight="1">
      <c r="A959" s="250"/>
      <c r="B959" s="244"/>
      <c r="C959" s="245"/>
      <c r="D959" s="246"/>
      <c r="E959" s="245"/>
      <c r="F959" s="247"/>
      <c r="G959" s="244"/>
      <c r="H959" s="243"/>
      <c r="I959" s="244"/>
      <c r="J959" s="244"/>
      <c r="K959" s="244"/>
      <c r="L959" s="248"/>
      <c r="M959" s="248"/>
      <c r="N959" s="244"/>
      <c r="O959" s="249"/>
      <c r="P959" s="249"/>
      <c r="Q959" s="208"/>
      <c r="R959" s="208"/>
      <c r="S959" s="208"/>
      <c r="T959" s="208"/>
      <c r="U959" s="208"/>
      <c r="V959" s="208"/>
      <c r="W959" s="208"/>
      <c r="X959" s="208"/>
      <c r="Y959" s="208"/>
      <c r="Z959" s="208"/>
      <c r="AA959" s="208"/>
      <c r="AB959" s="208"/>
    </row>
    <row r="960" ht="15.75" customHeight="1">
      <c r="A960" s="250"/>
      <c r="B960" s="244"/>
      <c r="C960" s="245"/>
      <c r="D960" s="246"/>
      <c r="E960" s="245"/>
      <c r="F960" s="247"/>
      <c r="G960" s="244"/>
      <c r="H960" s="243"/>
      <c r="I960" s="244"/>
      <c r="J960" s="244"/>
      <c r="K960" s="244"/>
      <c r="L960" s="248"/>
      <c r="M960" s="248"/>
      <c r="N960" s="244"/>
      <c r="O960" s="249"/>
      <c r="P960" s="249"/>
      <c r="Q960" s="208"/>
      <c r="R960" s="208"/>
      <c r="S960" s="208"/>
      <c r="T960" s="208"/>
      <c r="U960" s="208"/>
      <c r="V960" s="208"/>
      <c r="W960" s="208"/>
      <c r="X960" s="208"/>
      <c r="Y960" s="208"/>
      <c r="Z960" s="208"/>
      <c r="AA960" s="208"/>
      <c r="AB960" s="208"/>
    </row>
    <row r="961" ht="15.75" customHeight="1">
      <c r="A961" s="250"/>
      <c r="B961" s="244"/>
      <c r="C961" s="245"/>
      <c r="D961" s="246"/>
      <c r="E961" s="245"/>
      <c r="F961" s="247"/>
      <c r="G961" s="244"/>
      <c r="H961" s="243"/>
      <c r="I961" s="244"/>
      <c r="J961" s="244"/>
      <c r="K961" s="244"/>
      <c r="L961" s="248"/>
      <c r="M961" s="248"/>
      <c r="N961" s="244"/>
      <c r="O961" s="249"/>
      <c r="P961" s="249"/>
      <c r="Q961" s="208"/>
      <c r="R961" s="208"/>
      <c r="S961" s="208"/>
      <c r="T961" s="208"/>
      <c r="U961" s="208"/>
      <c r="V961" s="208"/>
      <c r="W961" s="208"/>
      <c r="X961" s="208"/>
      <c r="Y961" s="208"/>
      <c r="Z961" s="208"/>
      <c r="AA961" s="208"/>
      <c r="AB961" s="208"/>
    </row>
    <row r="962" ht="15.75" customHeight="1">
      <c r="A962" s="250"/>
      <c r="B962" s="244"/>
      <c r="C962" s="245"/>
      <c r="D962" s="246"/>
      <c r="E962" s="245"/>
      <c r="F962" s="247"/>
      <c r="G962" s="244"/>
      <c r="H962" s="243"/>
      <c r="I962" s="244"/>
      <c r="J962" s="244"/>
      <c r="K962" s="244"/>
      <c r="L962" s="248"/>
      <c r="M962" s="248"/>
      <c r="N962" s="244"/>
      <c r="O962" s="249"/>
      <c r="P962" s="249"/>
      <c r="Q962" s="208"/>
      <c r="R962" s="208"/>
      <c r="S962" s="208"/>
      <c r="T962" s="208"/>
      <c r="U962" s="208"/>
      <c r="V962" s="208"/>
      <c r="W962" s="208"/>
      <c r="X962" s="208"/>
      <c r="Y962" s="208"/>
      <c r="Z962" s="208"/>
      <c r="AA962" s="208"/>
      <c r="AB962" s="208"/>
    </row>
    <row r="963" ht="15.75" customHeight="1">
      <c r="A963" s="250"/>
      <c r="B963" s="244"/>
      <c r="C963" s="245"/>
      <c r="D963" s="246"/>
      <c r="E963" s="245"/>
      <c r="F963" s="247"/>
      <c r="G963" s="244"/>
      <c r="H963" s="243"/>
      <c r="I963" s="244"/>
      <c r="J963" s="244"/>
      <c r="K963" s="244"/>
      <c r="L963" s="248"/>
      <c r="M963" s="248"/>
      <c r="N963" s="244"/>
      <c r="O963" s="249"/>
      <c r="P963" s="249"/>
      <c r="Q963" s="208"/>
      <c r="R963" s="208"/>
      <c r="S963" s="208"/>
      <c r="T963" s="208"/>
      <c r="U963" s="208"/>
      <c r="V963" s="208"/>
      <c r="W963" s="208"/>
      <c r="X963" s="208"/>
      <c r="Y963" s="208"/>
      <c r="Z963" s="208"/>
      <c r="AA963" s="208"/>
      <c r="AB963" s="208"/>
    </row>
    <row r="964" ht="15.75" customHeight="1">
      <c r="A964" s="250"/>
      <c r="B964" s="244"/>
      <c r="C964" s="245"/>
      <c r="D964" s="246"/>
      <c r="E964" s="245"/>
      <c r="F964" s="247"/>
      <c r="G964" s="244"/>
      <c r="H964" s="243"/>
      <c r="I964" s="244"/>
      <c r="J964" s="244"/>
      <c r="K964" s="244"/>
      <c r="L964" s="248"/>
      <c r="M964" s="248"/>
      <c r="N964" s="244"/>
      <c r="O964" s="249"/>
      <c r="P964" s="249"/>
      <c r="Q964" s="208"/>
      <c r="R964" s="208"/>
      <c r="S964" s="208"/>
      <c r="T964" s="208"/>
      <c r="U964" s="208"/>
      <c r="V964" s="208"/>
      <c r="W964" s="208"/>
      <c r="X964" s="208"/>
      <c r="Y964" s="208"/>
      <c r="Z964" s="208"/>
      <c r="AA964" s="208"/>
      <c r="AB964" s="208"/>
    </row>
    <row r="965" ht="15.75" customHeight="1">
      <c r="A965" s="250"/>
      <c r="B965" s="244"/>
      <c r="C965" s="245"/>
      <c r="D965" s="246"/>
      <c r="E965" s="245"/>
      <c r="F965" s="247"/>
      <c r="G965" s="244"/>
      <c r="H965" s="243"/>
      <c r="I965" s="244"/>
      <c r="J965" s="244"/>
      <c r="K965" s="244"/>
      <c r="L965" s="248"/>
      <c r="M965" s="248"/>
      <c r="N965" s="244"/>
      <c r="O965" s="249"/>
      <c r="P965" s="249"/>
      <c r="Q965" s="208"/>
      <c r="R965" s="208"/>
      <c r="S965" s="208"/>
      <c r="T965" s="208"/>
      <c r="U965" s="208"/>
      <c r="V965" s="208"/>
      <c r="W965" s="208"/>
      <c r="X965" s="208"/>
      <c r="Y965" s="208"/>
      <c r="Z965" s="208"/>
      <c r="AA965" s="208"/>
      <c r="AB965" s="208"/>
    </row>
    <row r="966" ht="15.75" customHeight="1">
      <c r="A966" s="250"/>
      <c r="B966" s="244"/>
      <c r="C966" s="245"/>
      <c r="D966" s="246"/>
      <c r="E966" s="245"/>
      <c r="F966" s="247"/>
      <c r="G966" s="244"/>
      <c r="H966" s="243"/>
      <c r="I966" s="244"/>
      <c r="J966" s="244"/>
      <c r="K966" s="244"/>
      <c r="L966" s="248"/>
      <c r="M966" s="248"/>
      <c r="N966" s="244"/>
      <c r="O966" s="249"/>
      <c r="P966" s="249"/>
      <c r="Q966" s="208"/>
      <c r="R966" s="208"/>
      <c r="S966" s="208"/>
      <c r="T966" s="208"/>
      <c r="U966" s="208"/>
      <c r="V966" s="208"/>
      <c r="W966" s="208"/>
      <c r="X966" s="208"/>
      <c r="Y966" s="208"/>
      <c r="Z966" s="208"/>
      <c r="AA966" s="208"/>
      <c r="AB966" s="208"/>
    </row>
    <row r="967" ht="15.75" customHeight="1">
      <c r="A967" s="250"/>
      <c r="B967" s="244"/>
      <c r="C967" s="245"/>
      <c r="D967" s="246"/>
      <c r="E967" s="245"/>
      <c r="F967" s="247"/>
      <c r="G967" s="244"/>
      <c r="H967" s="243"/>
      <c r="I967" s="244"/>
      <c r="J967" s="244"/>
      <c r="K967" s="244"/>
      <c r="L967" s="248"/>
      <c r="M967" s="248"/>
      <c r="N967" s="244"/>
      <c r="O967" s="249"/>
      <c r="P967" s="249"/>
      <c r="Q967" s="208"/>
      <c r="R967" s="208"/>
      <c r="S967" s="208"/>
      <c r="T967" s="208"/>
      <c r="U967" s="208"/>
      <c r="V967" s="208"/>
      <c r="W967" s="208"/>
      <c r="X967" s="208"/>
      <c r="Y967" s="208"/>
      <c r="Z967" s="208"/>
      <c r="AA967" s="208"/>
      <c r="AB967" s="208"/>
    </row>
    <row r="968" ht="15.75" customHeight="1">
      <c r="A968" s="250"/>
      <c r="B968" s="244"/>
      <c r="C968" s="245"/>
      <c r="D968" s="246"/>
      <c r="E968" s="245"/>
      <c r="F968" s="247"/>
      <c r="G968" s="244"/>
      <c r="H968" s="243"/>
      <c r="I968" s="244"/>
      <c r="J968" s="244"/>
      <c r="K968" s="244"/>
      <c r="L968" s="248"/>
      <c r="M968" s="248"/>
      <c r="N968" s="244"/>
      <c r="O968" s="249"/>
      <c r="P968" s="249"/>
      <c r="Q968" s="208"/>
      <c r="R968" s="208"/>
      <c r="S968" s="208"/>
      <c r="T968" s="208"/>
      <c r="U968" s="208"/>
      <c r="V968" s="208"/>
      <c r="W968" s="208"/>
      <c r="X968" s="208"/>
      <c r="Y968" s="208"/>
      <c r="Z968" s="208"/>
      <c r="AA968" s="208"/>
      <c r="AB968" s="208"/>
    </row>
    <row r="969" ht="15.75" customHeight="1">
      <c r="A969" s="250"/>
      <c r="B969" s="244"/>
      <c r="C969" s="245"/>
      <c r="D969" s="246"/>
      <c r="E969" s="245"/>
      <c r="F969" s="247"/>
      <c r="G969" s="244"/>
      <c r="H969" s="243"/>
      <c r="I969" s="244"/>
      <c r="J969" s="244"/>
      <c r="K969" s="244"/>
      <c r="L969" s="248"/>
      <c r="M969" s="248"/>
      <c r="N969" s="244"/>
      <c r="O969" s="249"/>
      <c r="P969" s="249"/>
      <c r="Q969" s="208"/>
      <c r="R969" s="208"/>
      <c r="S969" s="208"/>
      <c r="T969" s="208"/>
      <c r="U969" s="208"/>
      <c r="V969" s="208"/>
      <c r="W969" s="208"/>
      <c r="X969" s="208"/>
      <c r="Y969" s="208"/>
      <c r="Z969" s="208"/>
      <c r="AA969" s="208"/>
      <c r="AB969" s="208"/>
    </row>
    <row r="970" ht="15.75" customHeight="1">
      <c r="A970" s="250"/>
      <c r="B970" s="244"/>
      <c r="C970" s="245"/>
      <c r="D970" s="246"/>
      <c r="E970" s="245"/>
      <c r="F970" s="247"/>
      <c r="G970" s="244"/>
      <c r="H970" s="243"/>
      <c r="I970" s="244"/>
      <c r="J970" s="244"/>
      <c r="K970" s="244"/>
      <c r="L970" s="248"/>
      <c r="M970" s="248"/>
      <c r="N970" s="244"/>
      <c r="O970" s="249"/>
      <c r="P970" s="249"/>
      <c r="Q970" s="208"/>
      <c r="R970" s="208"/>
      <c r="S970" s="208"/>
      <c r="T970" s="208"/>
      <c r="U970" s="208"/>
      <c r="V970" s="208"/>
      <c r="W970" s="208"/>
      <c r="X970" s="208"/>
      <c r="Y970" s="208"/>
      <c r="Z970" s="208"/>
      <c r="AA970" s="208"/>
      <c r="AB970" s="208"/>
    </row>
    <row r="971" ht="15.75" customHeight="1">
      <c r="A971" s="250"/>
      <c r="B971" s="244"/>
      <c r="C971" s="245"/>
      <c r="D971" s="246"/>
      <c r="E971" s="245"/>
      <c r="F971" s="247"/>
      <c r="G971" s="244"/>
      <c r="H971" s="243"/>
      <c r="I971" s="244"/>
      <c r="J971" s="244"/>
      <c r="K971" s="244"/>
      <c r="L971" s="248"/>
      <c r="M971" s="248"/>
      <c r="N971" s="244"/>
      <c r="O971" s="249"/>
      <c r="P971" s="249"/>
      <c r="Q971" s="208"/>
      <c r="R971" s="208"/>
      <c r="S971" s="208"/>
      <c r="T971" s="208"/>
      <c r="U971" s="208"/>
      <c r="V971" s="208"/>
      <c r="W971" s="208"/>
      <c r="X971" s="208"/>
      <c r="Y971" s="208"/>
      <c r="Z971" s="208"/>
      <c r="AA971" s="208"/>
      <c r="AB971" s="208"/>
    </row>
    <row r="972" ht="15.75" customHeight="1">
      <c r="A972" s="250"/>
      <c r="B972" s="244"/>
      <c r="C972" s="245"/>
      <c r="D972" s="246"/>
      <c r="E972" s="245"/>
      <c r="F972" s="247"/>
      <c r="G972" s="244"/>
      <c r="H972" s="243"/>
      <c r="I972" s="244"/>
      <c r="J972" s="244"/>
      <c r="K972" s="244"/>
      <c r="L972" s="248"/>
      <c r="M972" s="248"/>
      <c r="N972" s="244"/>
      <c r="O972" s="249"/>
      <c r="P972" s="249"/>
      <c r="Q972" s="208"/>
      <c r="R972" s="208"/>
      <c r="S972" s="208"/>
      <c r="T972" s="208"/>
      <c r="U972" s="208"/>
      <c r="V972" s="208"/>
      <c r="W972" s="208"/>
      <c r="X972" s="208"/>
      <c r="Y972" s="208"/>
      <c r="Z972" s="208"/>
      <c r="AA972" s="208"/>
      <c r="AB972" s="208"/>
    </row>
    <row r="973" ht="15.75" customHeight="1">
      <c r="A973" s="250"/>
      <c r="B973" s="244"/>
      <c r="C973" s="245"/>
      <c r="D973" s="246"/>
      <c r="E973" s="245"/>
      <c r="F973" s="247"/>
      <c r="G973" s="244"/>
      <c r="H973" s="243"/>
      <c r="I973" s="244"/>
      <c r="J973" s="244"/>
      <c r="K973" s="244"/>
      <c r="L973" s="248"/>
      <c r="M973" s="248"/>
      <c r="N973" s="244"/>
      <c r="O973" s="249"/>
      <c r="P973" s="249"/>
      <c r="Q973" s="208"/>
      <c r="R973" s="208"/>
      <c r="S973" s="208"/>
      <c r="T973" s="208"/>
      <c r="U973" s="208"/>
      <c r="V973" s="208"/>
      <c r="W973" s="208"/>
      <c r="X973" s="208"/>
      <c r="Y973" s="208"/>
      <c r="Z973" s="208"/>
      <c r="AA973" s="208"/>
      <c r="AB973" s="208"/>
    </row>
    <row r="974" ht="15.75" customHeight="1">
      <c r="A974" s="250"/>
      <c r="B974" s="244"/>
      <c r="C974" s="245"/>
      <c r="D974" s="246"/>
      <c r="E974" s="245"/>
      <c r="F974" s="247"/>
      <c r="G974" s="244"/>
      <c r="H974" s="243"/>
      <c r="I974" s="244"/>
      <c r="J974" s="244"/>
      <c r="K974" s="244"/>
      <c r="L974" s="248"/>
      <c r="M974" s="248"/>
      <c r="N974" s="244"/>
      <c r="O974" s="249"/>
      <c r="P974" s="249"/>
      <c r="Q974" s="208"/>
      <c r="R974" s="208"/>
      <c r="S974" s="208"/>
      <c r="T974" s="208"/>
      <c r="U974" s="208"/>
      <c r="V974" s="208"/>
      <c r="W974" s="208"/>
      <c r="X974" s="208"/>
      <c r="Y974" s="208"/>
      <c r="Z974" s="208"/>
      <c r="AA974" s="208"/>
      <c r="AB974" s="208"/>
    </row>
    <row r="975" ht="15.75" customHeight="1">
      <c r="A975" s="250"/>
      <c r="B975" s="244"/>
      <c r="C975" s="245"/>
      <c r="D975" s="246"/>
      <c r="E975" s="245"/>
      <c r="F975" s="247"/>
      <c r="G975" s="244"/>
      <c r="H975" s="243"/>
      <c r="I975" s="244"/>
      <c r="J975" s="244"/>
      <c r="K975" s="244"/>
      <c r="L975" s="248"/>
      <c r="M975" s="248"/>
      <c r="N975" s="244"/>
      <c r="O975" s="249"/>
      <c r="P975" s="249"/>
      <c r="Q975" s="208"/>
      <c r="R975" s="208"/>
      <c r="S975" s="208"/>
      <c r="T975" s="208"/>
      <c r="U975" s="208"/>
      <c r="V975" s="208"/>
      <c r="W975" s="208"/>
      <c r="X975" s="208"/>
      <c r="Y975" s="208"/>
      <c r="Z975" s="208"/>
      <c r="AA975" s="208"/>
      <c r="AB975" s="208"/>
    </row>
    <row r="976" ht="15.75" customHeight="1">
      <c r="A976" s="250"/>
      <c r="B976" s="244"/>
      <c r="C976" s="245"/>
      <c r="D976" s="246"/>
      <c r="E976" s="245"/>
      <c r="F976" s="247"/>
      <c r="G976" s="244"/>
      <c r="H976" s="243"/>
      <c r="I976" s="244"/>
      <c r="J976" s="244"/>
      <c r="K976" s="244"/>
      <c r="L976" s="248"/>
      <c r="M976" s="248"/>
      <c r="N976" s="244"/>
      <c r="O976" s="249"/>
      <c r="P976" s="249"/>
      <c r="Q976" s="208"/>
      <c r="R976" s="208"/>
      <c r="S976" s="208"/>
      <c r="T976" s="208"/>
      <c r="U976" s="208"/>
      <c r="V976" s="208"/>
      <c r="W976" s="208"/>
      <c r="X976" s="208"/>
      <c r="Y976" s="208"/>
      <c r="Z976" s="208"/>
      <c r="AA976" s="208"/>
      <c r="AB976" s="208"/>
    </row>
  </sheetData>
  <autoFilter ref="$A$1:$Q$559"/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0"/>
  <cols>
    <col customWidth="1" min="1" max="1" width="11.67"/>
    <col customWidth="1" min="2" max="2" width="9.44"/>
    <col customWidth="1" min="3" max="3" width="9.89"/>
    <col customWidth="1" min="4" max="4" width="8.67"/>
    <col customWidth="1" min="5" max="5" width="10.11"/>
    <col customWidth="1" min="6" max="6" width="8.78"/>
    <col customWidth="1" min="7" max="7" width="8.0"/>
    <col customWidth="1" min="8" max="8" width="9.89"/>
    <col customWidth="1" min="9" max="10" width="7.11"/>
    <col customWidth="1" min="11" max="11" width="7.78"/>
    <col customWidth="1" min="12" max="12" width="8.78"/>
    <col customWidth="1" min="13" max="16" width="7.78"/>
    <col customWidth="1" min="17" max="17" width="7.11"/>
    <col customWidth="1" min="18" max="18" width="0.33"/>
    <col customWidth="1" min="19" max="19" width="6.33"/>
    <col customWidth="1" min="20" max="20" width="51.0"/>
    <col customWidth="1" min="21" max="27" width="10.44"/>
  </cols>
  <sheetData>
    <row r="1" ht="30.75" customHeight="1">
      <c r="A1" s="251" t="s">
        <v>0</v>
      </c>
      <c r="B1" s="252" t="s">
        <v>362</v>
      </c>
      <c r="C1" s="253" t="s">
        <v>363</v>
      </c>
      <c r="D1" s="251" t="s">
        <v>364</v>
      </c>
      <c r="E1" s="253" t="s">
        <v>365</v>
      </c>
      <c r="F1" s="254" t="s">
        <v>366</v>
      </c>
      <c r="G1" s="252" t="s">
        <v>367</v>
      </c>
      <c r="H1" s="253" t="s">
        <v>368</v>
      </c>
      <c r="I1" s="254" t="s">
        <v>369</v>
      </c>
      <c r="J1" s="251" t="s">
        <v>370</v>
      </c>
      <c r="K1" s="255" t="s">
        <v>371</v>
      </c>
      <c r="L1" s="255" t="s">
        <v>372</v>
      </c>
      <c r="M1" s="255" t="s">
        <v>373</v>
      </c>
      <c r="N1" s="255" t="s">
        <v>374</v>
      </c>
      <c r="O1" s="255" t="s">
        <v>375</v>
      </c>
      <c r="P1" s="255" t="s">
        <v>376</v>
      </c>
      <c r="Q1" s="254" t="s">
        <v>377</v>
      </c>
      <c r="R1" s="256" t="s">
        <v>7</v>
      </c>
      <c r="S1" s="251" t="s">
        <v>8</v>
      </c>
      <c r="T1" s="251" t="s">
        <v>9</v>
      </c>
      <c r="U1" s="257"/>
      <c r="V1" s="257"/>
      <c r="W1" s="257"/>
      <c r="X1" s="257"/>
      <c r="Y1" s="257"/>
      <c r="Z1" s="257"/>
      <c r="AA1" s="257"/>
    </row>
    <row r="2" ht="31.5" customHeight="1">
      <c r="A2" s="209" t="s">
        <v>378</v>
      </c>
      <c r="B2" s="258" t="s">
        <v>70</v>
      </c>
      <c r="C2" s="259" t="s">
        <v>70</v>
      </c>
      <c r="D2" s="258" t="s">
        <v>70</v>
      </c>
      <c r="E2" s="259" t="s">
        <v>70</v>
      </c>
      <c r="F2" s="258" t="s">
        <v>70</v>
      </c>
      <c r="G2" s="258" t="s">
        <v>70</v>
      </c>
      <c r="H2" s="258" t="s">
        <v>70</v>
      </c>
      <c r="I2" s="258" t="s">
        <v>70</v>
      </c>
      <c r="J2" s="7">
        <v>1.0</v>
      </c>
      <c r="K2" s="260">
        <v>0.003</v>
      </c>
      <c r="L2" s="260">
        <v>0.002</v>
      </c>
      <c r="M2" s="260">
        <v>0.0</v>
      </c>
      <c r="N2" s="260">
        <v>0.002</v>
      </c>
      <c r="O2" s="260">
        <v>0.002</v>
      </c>
      <c r="P2" s="260">
        <v>0.0</v>
      </c>
      <c r="Q2" s="261">
        <f>((26.7*((K2-M2)-(O2-P2))*1000))</f>
        <v>26.7</v>
      </c>
      <c r="R2" s="262" t="s">
        <v>12</v>
      </c>
      <c r="S2" s="263" t="s">
        <v>13</v>
      </c>
      <c r="T2" s="7"/>
      <c r="U2" s="264"/>
      <c r="V2" s="264"/>
      <c r="W2" s="264"/>
      <c r="X2" s="264"/>
      <c r="Y2" s="264"/>
      <c r="Z2" s="264"/>
      <c r="AA2" s="264"/>
    </row>
    <row r="3" ht="32.25" customHeight="1">
      <c r="A3" s="209" t="s">
        <v>379</v>
      </c>
      <c r="B3" s="258" t="s">
        <v>70</v>
      </c>
      <c r="C3" s="259" t="s">
        <v>70</v>
      </c>
      <c r="D3" s="258" t="s">
        <v>70</v>
      </c>
      <c r="E3" s="259" t="s">
        <v>70</v>
      </c>
      <c r="F3" s="258" t="s">
        <v>70</v>
      </c>
      <c r="G3" s="258" t="s">
        <v>70</v>
      </c>
      <c r="H3" s="258" t="s">
        <v>70</v>
      </c>
      <c r="I3" s="258" t="s">
        <v>70</v>
      </c>
      <c r="J3" s="16">
        <v>1.0</v>
      </c>
      <c r="K3" s="265">
        <v>0.002</v>
      </c>
      <c r="L3" s="265">
        <v>0.002</v>
      </c>
      <c r="M3" s="265">
        <v>0.009</v>
      </c>
      <c r="N3" s="265">
        <v>0.001</v>
      </c>
      <c r="O3" s="265">
        <v>0.001</v>
      </c>
      <c r="P3" s="265">
        <v>0.009</v>
      </c>
      <c r="Q3" s="261">
        <f>((26.7*((K3-M3)-(O3-P3))*1000))</f>
        <v>26.7</v>
      </c>
      <c r="R3" s="266"/>
      <c r="S3" s="267" t="s">
        <v>13</v>
      </c>
      <c r="T3" s="268"/>
      <c r="U3" s="90"/>
      <c r="V3" s="90"/>
      <c r="W3" s="90"/>
      <c r="X3" s="90"/>
      <c r="Y3" s="90"/>
      <c r="Z3" s="90"/>
      <c r="AA3" s="90"/>
    </row>
    <row r="4" ht="15.75" customHeight="1">
      <c r="A4" s="14" t="s">
        <v>380</v>
      </c>
      <c r="B4" s="8">
        <v>45531.0</v>
      </c>
      <c r="C4" s="9">
        <v>0.3090277777777778</v>
      </c>
      <c r="D4" s="8">
        <v>45531.0</v>
      </c>
      <c r="E4" s="269">
        <v>0.5909722222222222</v>
      </c>
      <c r="F4" s="270">
        <v>1050.0</v>
      </c>
      <c r="G4" s="271">
        <v>45551.0</v>
      </c>
      <c r="H4" s="269">
        <v>0.4777777777777778</v>
      </c>
      <c r="I4" s="270">
        <v>6.0</v>
      </c>
      <c r="J4" s="16">
        <v>1.0</v>
      </c>
      <c r="K4" s="265">
        <v>0.022</v>
      </c>
      <c r="L4" s="265">
        <v>0.022</v>
      </c>
      <c r="M4" s="265">
        <v>0.021</v>
      </c>
      <c r="N4" s="265">
        <v>0.006</v>
      </c>
      <c r="O4" s="265">
        <v>0.006</v>
      </c>
      <c r="P4" s="265">
        <v>0.007</v>
      </c>
      <c r="Q4" s="272">
        <f t="shared" ref="Q4:Q12" si="1">((26.7*((K4-M4)-(O4-P4))*I4)/(F4*J4))*1000</f>
        <v>0.3051428571</v>
      </c>
      <c r="R4" s="256"/>
      <c r="S4" s="273" t="s">
        <v>13</v>
      </c>
      <c r="T4" s="268"/>
      <c r="U4" s="90"/>
      <c r="V4" s="90"/>
      <c r="W4" s="90"/>
      <c r="X4" s="90"/>
      <c r="Y4" s="90"/>
      <c r="Z4" s="90"/>
      <c r="AA4" s="90"/>
    </row>
    <row r="5" ht="15.75" customHeight="1">
      <c r="A5" s="14" t="s">
        <v>381</v>
      </c>
      <c r="B5" s="8">
        <v>45531.0</v>
      </c>
      <c r="C5" s="9">
        <v>0.325</v>
      </c>
      <c r="D5" s="8">
        <v>45531.0</v>
      </c>
      <c r="E5" s="269">
        <v>0.5916666666666667</v>
      </c>
      <c r="F5" s="270">
        <v>1052.0</v>
      </c>
      <c r="G5" s="271">
        <v>45551.0</v>
      </c>
      <c r="H5" s="269">
        <v>0.4840277777777778</v>
      </c>
      <c r="I5" s="270">
        <v>7.0</v>
      </c>
      <c r="J5" s="16">
        <v>1.0</v>
      </c>
      <c r="K5" s="265">
        <v>0.02</v>
      </c>
      <c r="L5" s="265">
        <v>0.019</v>
      </c>
      <c r="M5" s="265">
        <v>0.017</v>
      </c>
      <c r="N5" s="265">
        <v>0.008</v>
      </c>
      <c r="O5" s="265">
        <v>0.008</v>
      </c>
      <c r="P5" s="265">
        <v>0.008</v>
      </c>
      <c r="Q5" s="272">
        <f t="shared" si="1"/>
        <v>0.5329847909</v>
      </c>
      <c r="R5" s="256"/>
      <c r="S5" s="273" t="s">
        <v>13</v>
      </c>
      <c r="T5" s="268"/>
      <c r="U5" s="90"/>
      <c r="V5" s="90"/>
      <c r="W5" s="90"/>
      <c r="X5" s="90"/>
      <c r="Y5" s="90"/>
      <c r="Z5" s="90"/>
      <c r="AA5" s="90"/>
    </row>
    <row r="6" ht="15.75" customHeight="1">
      <c r="A6" s="14" t="s">
        <v>382</v>
      </c>
      <c r="B6" s="8">
        <v>45531.0</v>
      </c>
      <c r="C6" s="9">
        <v>0.3347222222222222</v>
      </c>
      <c r="D6" s="8">
        <v>45531.0</v>
      </c>
      <c r="E6" s="269">
        <v>0.5951388888888889</v>
      </c>
      <c r="F6" s="270">
        <v>1052.0</v>
      </c>
      <c r="G6" s="271">
        <v>45551.0</v>
      </c>
      <c r="H6" s="269">
        <v>0.4875</v>
      </c>
      <c r="I6" s="270">
        <v>7.5</v>
      </c>
      <c r="J6" s="16">
        <v>1.0</v>
      </c>
      <c r="K6" s="274">
        <v>0.01</v>
      </c>
      <c r="L6" s="274">
        <v>0.01</v>
      </c>
      <c r="M6" s="242">
        <v>0.009</v>
      </c>
      <c r="N6" s="265">
        <v>0.004</v>
      </c>
      <c r="O6" s="265">
        <v>0.004</v>
      </c>
      <c r="P6" s="265">
        <v>0.004</v>
      </c>
      <c r="Q6" s="272">
        <f t="shared" si="1"/>
        <v>0.190351711</v>
      </c>
      <c r="R6" s="256"/>
      <c r="S6" s="273" t="s">
        <v>13</v>
      </c>
      <c r="T6" s="268"/>
      <c r="U6" s="90"/>
      <c r="V6" s="90"/>
      <c r="W6" s="90"/>
      <c r="X6" s="90"/>
      <c r="Y6" s="90"/>
      <c r="Z6" s="90"/>
      <c r="AA6" s="90"/>
    </row>
    <row r="7" ht="15.75" customHeight="1">
      <c r="A7" s="14" t="s">
        <v>383</v>
      </c>
      <c r="B7" s="8">
        <v>45531.0</v>
      </c>
      <c r="C7" s="9">
        <v>0.37430555555555556</v>
      </c>
      <c r="D7" s="8">
        <v>45531.0</v>
      </c>
      <c r="E7" s="269">
        <v>0.6097222222222223</v>
      </c>
      <c r="F7" s="270">
        <v>1054.0</v>
      </c>
      <c r="G7" s="271">
        <v>45551.0</v>
      </c>
      <c r="H7" s="269">
        <v>0.4895833333333333</v>
      </c>
      <c r="I7" s="270">
        <v>7.3</v>
      </c>
      <c r="J7" s="16">
        <v>1.0</v>
      </c>
      <c r="K7" s="265">
        <v>0.016</v>
      </c>
      <c r="L7" s="265">
        <v>0.016</v>
      </c>
      <c r="M7" s="265">
        <v>0.007</v>
      </c>
      <c r="N7" s="265">
        <v>0.008</v>
      </c>
      <c r="O7" s="265">
        <v>0.008</v>
      </c>
      <c r="P7" s="265">
        <v>0.004</v>
      </c>
      <c r="Q7" s="272">
        <f t="shared" si="1"/>
        <v>0.9246204934</v>
      </c>
      <c r="R7" s="256"/>
      <c r="S7" s="273" t="s">
        <v>13</v>
      </c>
      <c r="T7" s="268"/>
      <c r="U7" s="275"/>
      <c r="V7" s="90"/>
      <c r="W7" s="90"/>
      <c r="X7" s="90"/>
      <c r="Y7" s="90"/>
      <c r="Z7" s="90"/>
      <c r="AA7" s="90"/>
    </row>
    <row r="8" ht="15.75" customHeight="1">
      <c r="A8" s="14" t="s">
        <v>384</v>
      </c>
      <c r="B8" s="8">
        <v>45531.0</v>
      </c>
      <c r="C8" s="9">
        <v>0.38472222222222224</v>
      </c>
      <c r="D8" s="8">
        <v>45531.0</v>
      </c>
      <c r="E8" s="269">
        <v>0.6138888888888889</v>
      </c>
      <c r="F8" s="270">
        <v>1052.0</v>
      </c>
      <c r="G8" s="271">
        <v>45551.0</v>
      </c>
      <c r="H8" s="269">
        <v>0.49236111111111114</v>
      </c>
      <c r="I8" s="270">
        <v>7.0</v>
      </c>
      <c r="J8" s="16">
        <v>1.0</v>
      </c>
      <c r="K8" s="265">
        <v>0.011</v>
      </c>
      <c r="L8" s="242">
        <v>0.011</v>
      </c>
      <c r="M8" s="265">
        <v>0.006</v>
      </c>
      <c r="N8" s="242">
        <v>0.005</v>
      </c>
      <c r="O8" s="242">
        <v>0.005</v>
      </c>
      <c r="P8" s="265">
        <v>0.003</v>
      </c>
      <c r="Q8" s="272">
        <f t="shared" si="1"/>
        <v>0.5329847909</v>
      </c>
      <c r="R8" s="256"/>
      <c r="S8" s="273" t="s">
        <v>13</v>
      </c>
      <c r="T8" s="207"/>
      <c r="U8" s="275"/>
      <c r="V8" s="275"/>
      <c r="W8" s="275"/>
      <c r="X8" s="275"/>
      <c r="Y8" s="275"/>
      <c r="Z8" s="275"/>
      <c r="AA8" s="275"/>
    </row>
    <row r="9" ht="15.75" customHeight="1">
      <c r="A9" s="14" t="s">
        <v>385</v>
      </c>
      <c r="B9" s="8">
        <v>45531.0</v>
      </c>
      <c r="C9" s="9">
        <v>0.3951388888888889</v>
      </c>
      <c r="D9" s="8">
        <v>45531.0</v>
      </c>
      <c r="E9" s="269">
        <v>0.6180555555555556</v>
      </c>
      <c r="F9" s="270">
        <v>1050.0</v>
      </c>
      <c r="G9" s="271">
        <v>45551.0</v>
      </c>
      <c r="H9" s="269">
        <v>0.49444444444444446</v>
      </c>
      <c r="I9" s="270">
        <v>7.6</v>
      </c>
      <c r="J9" s="16">
        <v>1.0</v>
      </c>
      <c r="K9" s="242">
        <v>0.014</v>
      </c>
      <c r="L9" s="242">
        <v>0.014</v>
      </c>
      <c r="M9" s="265">
        <v>0.009</v>
      </c>
      <c r="N9" s="242">
        <v>0.009</v>
      </c>
      <c r="O9" s="242">
        <v>0.009</v>
      </c>
      <c r="P9" s="265">
        <v>0.007</v>
      </c>
      <c r="Q9" s="272">
        <f t="shared" si="1"/>
        <v>0.5797714286</v>
      </c>
      <c r="R9" s="256"/>
      <c r="S9" s="273" t="s">
        <v>13</v>
      </c>
      <c r="T9" s="276"/>
      <c r="U9" s="277"/>
      <c r="V9" s="90"/>
      <c r="W9" s="90"/>
      <c r="X9" s="90"/>
      <c r="Y9" s="90"/>
      <c r="Z9" s="90"/>
      <c r="AA9" s="90"/>
    </row>
    <row r="10" ht="15.75" customHeight="1">
      <c r="A10" s="14" t="s">
        <v>386</v>
      </c>
      <c r="B10" s="8">
        <v>45531.0</v>
      </c>
      <c r="C10" s="9">
        <v>0.4201388888888889</v>
      </c>
      <c r="D10" s="8">
        <v>45531.0</v>
      </c>
      <c r="E10" s="269">
        <v>0.6263888888888889</v>
      </c>
      <c r="F10" s="270">
        <v>1050.0</v>
      </c>
      <c r="G10" s="271">
        <v>45551.0</v>
      </c>
      <c r="H10" s="269">
        <v>0.49722222222222223</v>
      </c>
      <c r="I10" s="270">
        <v>7.0</v>
      </c>
      <c r="J10" s="16">
        <v>1.0</v>
      </c>
      <c r="K10" s="265">
        <v>0.01</v>
      </c>
      <c r="L10" s="265">
        <v>0.001</v>
      </c>
      <c r="M10" s="265">
        <v>0.004</v>
      </c>
      <c r="N10" s="265">
        <v>0.005</v>
      </c>
      <c r="O10" s="265">
        <v>0.005</v>
      </c>
      <c r="P10" s="265">
        <v>0.002</v>
      </c>
      <c r="Q10" s="272">
        <f t="shared" si="1"/>
        <v>0.534</v>
      </c>
      <c r="R10" s="256"/>
      <c r="S10" s="273" t="s">
        <v>13</v>
      </c>
      <c r="T10" s="276"/>
      <c r="U10" s="277"/>
      <c r="V10" s="90"/>
      <c r="W10" s="90"/>
      <c r="X10" s="90"/>
      <c r="Y10" s="90"/>
      <c r="Z10" s="90"/>
      <c r="AA10" s="90"/>
    </row>
    <row r="11" ht="18.75" customHeight="1">
      <c r="A11" s="14" t="s">
        <v>387</v>
      </c>
      <c r="B11" s="8">
        <v>45531.0</v>
      </c>
      <c r="C11" s="9">
        <v>0.43680555555555556</v>
      </c>
      <c r="D11" s="8">
        <v>45531.0</v>
      </c>
      <c r="E11" s="269">
        <v>0.6305555555555555</v>
      </c>
      <c r="F11" s="221">
        <v>980.5</v>
      </c>
      <c r="G11" s="271">
        <v>45551.0</v>
      </c>
      <c r="H11" s="269">
        <v>0.49930555555555556</v>
      </c>
      <c r="I11" s="221">
        <v>8.0</v>
      </c>
      <c r="J11" s="16">
        <v>1.0</v>
      </c>
      <c r="K11" s="265">
        <v>0.022</v>
      </c>
      <c r="L11" s="265">
        <v>0.022</v>
      </c>
      <c r="M11" s="265">
        <v>0.016</v>
      </c>
      <c r="N11" s="265">
        <v>0.011</v>
      </c>
      <c r="O11" s="265">
        <v>0.011</v>
      </c>
      <c r="P11" s="265">
        <v>0.008</v>
      </c>
      <c r="Q11" s="272">
        <f t="shared" si="1"/>
        <v>0.6535441101</v>
      </c>
      <c r="R11" s="7"/>
      <c r="S11" s="273" t="s">
        <v>13</v>
      </c>
      <c r="T11" s="207"/>
      <c r="U11" s="278"/>
      <c r="V11" s="208"/>
      <c r="W11" s="208"/>
      <c r="X11" s="208"/>
      <c r="Y11" s="208"/>
      <c r="Z11" s="208"/>
      <c r="AA11" s="208"/>
    </row>
    <row r="12" ht="15.75" customHeight="1">
      <c r="A12" s="279" t="s">
        <v>388</v>
      </c>
      <c r="B12" s="8">
        <v>45532.0</v>
      </c>
      <c r="C12" s="9">
        <v>0.2847222222222222</v>
      </c>
      <c r="D12" s="8">
        <v>45532.0</v>
      </c>
      <c r="E12" s="269">
        <v>0.2847222222222222</v>
      </c>
      <c r="F12" s="270">
        <v>1008.0</v>
      </c>
      <c r="G12" s="271">
        <v>45551.0</v>
      </c>
      <c r="H12" s="269">
        <v>0.5388888888888889</v>
      </c>
      <c r="I12" s="270">
        <v>7.5</v>
      </c>
      <c r="J12" s="16">
        <v>1.0</v>
      </c>
      <c r="K12" s="242">
        <v>0.005</v>
      </c>
      <c r="L12" s="242">
        <v>0.005</v>
      </c>
      <c r="M12" s="242">
        <v>0.002</v>
      </c>
      <c r="N12" s="265">
        <v>0.002</v>
      </c>
      <c r="O12" s="265">
        <v>0.002</v>
      </c>
      <c r="P12" s="265">
        <v>0.001</v>
      </c>
      <c r="Q12" s="272">
        <f t="shared" si="1"/>
        <v>0.3973214286</v>
      </c>
      <c r="R12" s="256"/>
      <c r="S12" s="273" t="s">
        <v>13</v>
      </c>
      <c r="T12" s="268"/>
      <c r="U12" s="90"/>
      <c r="V12" s="90"/>
      <c r="W12" s="90"/>
      <c r="X12" s="90"/>
      <c r="Y12" s="90"/>
      <c r="Z12" s="90"/>
      <c r="AA12" s="90"/>
    </row>
    <row r="13" ht="27.0" customHeight="1">
      <c r="A13" s="209" t="s">
        <v>378</v>
      </c>
      <c r="B13" s="258" t="s">
        <v>70</v>
      </c>
      <c r="C13" s="259" t="s">
        <v>70</v>
      </c>
      <c r="D13" s="258" t="s">
        <v>70</v>
      </c>
      <c r="E13" s="259" t="s">
        <v>70</v>
      </c>
      <c r="F13" s="258" t="s">
        <v>70</v>
      </c>
      <c r="G13" s="258" t="s">
        <v>70</v>
      </c>
      <c r="H13" s="259" t="s">
        <v>70</v>
      </c>
      <c r="I13" s="258" t="s">
        <v>70</v>
      </c>
      <c r="J13" s="7">
        <v>1.0</v>
      </c>
      <c r="K13" s="260">
        <v>0.005</v>
      </c>
      <c r="L13" s="260">
        <v>0.004</v>
      </c>
      <c r="M13" s="260">
        <v>0.002</v>
      </c>
      <c r="N13" s="260">
        <v>0.003</v>
      </c>
      <c r="O13" s="260">
        <v>0.003</v>
      </c>
      <c r="P13" s="260">
        <v>0.001</v>
      </c>
      <c r="Q13" s="261">
        <f t="shared" ref="Q13:Q14" si="2">((26.7*((K13-M13)-(O13-P13))*1000))</f>
        <v>26.7</v>
      </c>
      <c r="R13" s="262"/>
      <c r="S13" s="273" t="s">
        <v>13</v>
      </c>
      <c r="T13" s="268"/>
      <c r="U13" s="90"/>
      <c r="V13" s="90"/>
      <c r="W13" s="90"/>
      <c r="X13" s="90"/>
      <c r="Y13" s="90"/>
      <c r="Z13" s="90"/>
      <c r="AA13" s="90"/>
    </row>
    <row r="14" ht="31.5" customHeight="1">
      <c r="A14" s="209" t="s">
        <v>379</v>
      </c>
      <c r="B14" s="258" t="s">
        <v>70</v>
      </c>
      <c r="C14" s="259" t="s">
        <v>70</v>
      </c>
      <c r="D14" s="258" t="s">
        <v>70</v>
      </c>
      <c r="E14" s="259" t="s">
        <v>70</v>
      </c>
      <c r="F14" s="258" t="s">
        <v>70</v>
      </c>
      <c r="G14" s="258" t="s">
        <v>70</v>
      </c>
      <c r="H14" s="259" t="s">
        <v>70</v>
      </c>
      <c r="I14" s="258" t="s">
        <v>70</v>
      </c>
      <c r="J14" s="16">
        <v>1.0</v>
      </c>
      <c r="K14" s="265">
        <v>0.004</v>
      </c>
      <c r="L14" s="265">
        <v>0.003</v>
      </c>
      <c r="M14" s="265">
        <v>0.01</v>
      </c>
      <c r="N14" s="265">
        <v>0.003</v>
      </c>
      <c r="O14" s="265">
        <v>0.003</v>
      </c>
      <c r="P14" s="265">
        <v>0.01</v>
      </c>
      <c r="Q14" s="261">
        <f t="shared" si="2"/>
        <v>26.7</v>
      </c>
      <c r="R14" s="266"/>
      <c r="S14" s="273" t="s">
        <v>13</v>
      </c>
      <c r="T14" s="268"/>
      <c r="U14" s="90"/>
      <c r="V14" s="90"/>
      <c r="W14" s="90"/>
      <c r="X14" s="90"/>
      <c r="Y14" s="90"/>
      <c r="Z14" s="90"/>
      <c r="AA14" s="90"/>
    </row>
    <row r="15" ht="15.75" customHeight="1">
      <c r="A15" s="280" t="s">
        <v>389</v>
      </c>
      <c r="B15" s="8">
        <v>45532.0</v>
      </c>
      <c r="C15" s="9">
        <v>0.2986111111111111</v>
      </c>
      <c r="D15" s="8">
        <v>45532.0</v>
      </c>
      <c r="E15" s="269">
        <v>0.2986111111111111</v>
      </c>
      <c r="F15" s="270">
        <v>1060.0</v>
      </c>
      <c r="G15" s="271">
        <v>45551.0</v>
      </c>
      <c r="H15" s="269">
        <v>0.5409722222222222</v>
      </c>
      <c r="I15" s="270">
        <v>6.8</v>
      </c>
      <c r="J15" s="16">
        <v>1.0</v>
      </c>
      <c r="K15" s="265">
        <v>0.014</v>
      </c>
      <c r="L15" s="265">
        <v>0.014</v>
      </c>
      <c r="M15" s="265">
        <v>0.011</v>
      </c>
      <c r="N15" s="265">
        <v>0.007</v>
      </c>
      <c r="O15" s="265">
        <v>0.007</v>
      </c>
      <c r="P15" s="265">
        <v>0.006</v>
      </c>
      <c r="Q15" s="272">
        <f t="shared" ref="Q15:Q30" si="3">((26.7*((K15-M15)-(O15-P15))*I15)/(F15*J15))*1000</f>
        <v>0.3425660377</v>
      </c>
      <c r="R15" s="256"/>
      <c r="S15" s="273" t="s">
        <v>13</v>
      </c>
      <c r="T15" s="268"/>
      <c r="U15" s="90"/>
      <c r="V15" s="90"/>
      <c r="W15" s="90"/>
      <c r="X15" s="90"/>
      <c r="Y15" s="90"/>
      <c r="Z15" s="90"/>
      <c r="AA15" s="90"/>
    </row>
    <row r="16" ht="15.75" customHeight="1">
      <c r="A16" s="280" t="s">
        <v>390</v>
      </c>
      <c r="B16" s="8">
        <v>45532.0</v>
      </c>
      <c r="C16" s="17">
        <v>0.3229166666666667</v>
      </c>
      <c r="D16" s="8">
        <v>45532.0</v>
      </c>
      <c r="E16" s="269">
        <v>0.3229166666666667</v>
      </c>
      <c r="F16" s="270">
        <v>1052.0</v>
      </c>
      <c r="G16" s="271">
        <v>45551.0</v>
      </c>
      <c r="H16" s="269">
        <v>0.54375</v>
      </c>
      <c r="I16" s="270">
        <v>7.5</v>
      </c>
      <c r="J16" s="16">
        <v>1.0</v>
      </c>
      <c r="K16" s="265">
        <v>0.003</v>
      </c>
      <c r="L16" s="265">
        <v>0.002</v>
      </c>
      <c r="M16" s="265">
        <v>0.002</v>
      </c>
      <c r="N16" s="265">
        <v>0.0</v>
      </c>
      <c r="O16" s="265">
        <v>0.0</v>
      </c>
      <c r="P16" s="265">
        <v>0.001</v>
      </c>
      <c r="Q16" s="272">
        <f t="shared" si="3"/>
        <v>0.3807034221</v>
      </c>
      <c r="R16" s="256"/>
      <c r="S16" s="273" t="s">
        <v>13</v>
      </c>
      <c r="T16" s="268"/>
      <c r="U16" s="90"/>
      <c r="V16" s="90"/>
      <c r="W16" s="90"/>
      <c r="X16" s="90"/>
      <c r="Y16" s="90"/>
      <c r="Z16" s="90"/>
      <c r="AA16" s="90"/>
    </row>
    <row r="17" ht="15.75" customHeight="1">
      <c r="A17" s="280" t="s">
        <v>391</v>
      </c>
      <c r="B17" s="8">
        <v>45532.0</v>
      </c>
      <c r="C17" s="17">
        <v>0.3326388888888889</v>
      </c>
      <c r="D17" s="8">
        <v>45532.0</v>
      </c>
      <c r="E17" s="269">
        <v>0.3326388888888889</v>
      </c>
      <c r="F17" s="270">
        <v>1054.0</v>
      </c>
      <c r="G17" s="271">
        <v>45551.0</v>
      </c>
      <c r="H17" s="269">
        <v>0.5458333333333333</v>
      </c>
      <c r="I17" s="270">
        <v>5.5</v>
      </c>
      <c r="J17" s="16">
        <v>1.0</v>
      </c>
      <c r="K17" s="265">
        <v>0.006</v>
      </c>
      <c r="L17" s="265">
        <v>0.006</v>
      </c>
      <c r="M17" s="265">
        <v>0.005</v>
      </c>
      <c r="N17" s="265">
        <v>0.003</v>
      </c>
      <c r="O17" s="265">
        <v>0.003</v>
      </c>
      <c r="P17" s="265">
        <v>0.004</v>
      </c>
      <c r="Q17" s="272">
        <f t="shared" si="3"/>
        <v>0.2786527514</v>
      </c>
      <c r="R17" s="256"/>
      <c r="S17" s="273" t="s">
        <v>13</v>
      </c>
      <c r="T17" s="268"/>
      <c r="U17" s="90"/>
      <c r="V17" s="90"/>
      <c r="W17" s="90"/>
      <c r="X17" s="90"/>
      <c r="Y17" s="90"/>
      <c r="Z17" s="90"/>
      <c r="AA17" s="90"/>
    </row>
    <row r="18" ht="15.75" customHeight="1">
      <c r="A18" s="280" t="s">
        <v>392</v>
      </c>
      <c r="B18" s="8">
        <v>45532.0</v>
      </c>
      <c r="C18" s="9">
        <v>0.34930555555555554</v>
      </c>
      <c r="D18" s="8">
        <v>45532.0</v>
      </c>
      <c r="E18" s="269">
        <v>0.34930555555555554</v>
      </c>
      <c r="F18" s="270">
        <v>1000.0</v>
      </c>
      <c r="G18" s="271">
        <v>45551.0</v>
      </c>
      <c r="H18" s="269">
        <v>0.5486111111111112</v>
      </c>
      <c r="I18" s="270">
        <v>7.0</v>
      </c>
      <c r="J18" s="16">
        <v>1.0</v>
      </c>
      <c r="K18" s="265">
        <v>0.007</v>
      </c>
      <c r="L18" s="265">
        <v>0.005</v>
      </c>
      <c r="M18" s="265">
        <v>0.005</v>
      </c>
      <c r="N18" s="265">
        <v>0.004</v>
      </c>
      <c r="O18" s="265">
        <v>0.004</v>
      </c>
      <c r="P18" s="265">
        <v>0.004</v>
      </c>
      <c r="Q18" s="272">
        <f t="shared" si="3"/>
        <v>0.3738</v>
      </c>
      <c r="R18" s="256"/>
      <c r="S18" s="273" t="s">
        <v>13</v>
      </c>
      <c r="T18" s="268"/>
      <c r="U18" s="90"/>
      <c r="V18" s="90"/>
      <c r="W18" s="90"/>
      <c r="X18" s="90"/>
      <c r="Y18" s="90"/>
      <c r="Z18" s="90"/>
      <c r="AA18" s="90"/>
    </row>
    <row r="19" ht="15.75" customHeight="1">
      <c r="A19" s="280" t="s">
        <v>393</v>
      </c>
      <c r="B19" s="8">
        <v>45532.0</v>
      </c>
      <c r="C19" s="18">
        <v>0.3597222222222222</v>
      </c>
      <c r="D19" s="8">
        <v>45532.0</v>
      </c>
      <c r="E19" s="269">
        <v>0.3597222222222222</v>
      </c>
      <c r="F19" s="270">
        <v>1040.0</v>
      </c>
      <c r="G19" s="271">
        <v>45551.0</v>
      </c>
      <c r="H19" s="269">
        <v>0.5590277777777778</v>
      </c>
      <c r="I19" s="270">
        <v>7.7</v>
      </c>
      <c r="J19" s="16">
        <v>1.0</v>
      </c>
      <c r="K19" s="265">
        <v>0.006</v>
      </c>
      <c r="L19" s="265">
        <v>0.006</v>
      </c>
      <c r="M19" s="265">
        <v>0.005</v>
      </c>
      <c r="N19" s="265">
        <v>0.002</v>
      </c>
      <c r="O19" s="265">
        <v>0.002</v>
      </c>
      <c r="P19" s="265">
        <v>0.002</v>
      </c>
      <c r="Q19" s="272">
        <f t="shared" si="3"/>
        <v>0.1976826923</v>
      </c>
      <c r="R19" s="256"/>
      <c r="S19" s="273" t="s">
        <v>13</v>
      </c>
      <c r="T19" s="268"/>
      <c r="U19" s="90"/>
      <c r="V19" s="90"/>
      <c r="W19" s="90"/>
      <c r="X19" s="90"/>
      <c r="Y19" s="90"/>
      <c r="Z19" s="90"/>
      <c r="AA19" s="90"/>
    </row>
    <row r="20" ht="15.75" customHeight="1">
      <c r="A20" s="280" t="s">
        <v>394</v>
      </c>
      <c r="B20" s="8">
        <v>45532.0</v>
      </c>
      <c r="C20" s="9">
        <v>0.37777777777777777</v>
      </c>
      <c r="D20" s="8">
        <v>45532.0</v>
      </c>
      <c r="E20" s="269">
        <v>0.37777777777777777</v>
      </c>
      <c r="F20" s="270">
        <v>1000.0</v>
      </c>
      <c r="G20" s="271">
        <v>45551.0</v>
      </c>
      <c r="H20" s="269">
        <v>0.5611111111111111</v>
      </c>
      <c r="I20" s="221">
        <v>7.3</v>
      </c>
      <c r="J20" s="16">
        <v>1.0</v>
      </c>
      <c r="K20" s="265">
        <v>0.014</v>
      </c>
      <c r="L20" s="265">
        <v>0.014</v>
      </c>
      <c r="M20" s="265">
        <v>0.01</v>
      </c>
      <c r="N20" s="265">
        <v>0.01</v>
      </c>
      <c r="O20" s="265">
        <v>0.01</v>
      </c>
      <c r="P20" s="265">
        <v>0.009</v>
      </c>
      <c r="Q20" s="272">
        <f t="shared" si="3"/>
        <v>0.58473</v>
      </c>
      <c r="R20" s="256"/>
      <c r="S20" s="273" t="s">
        <v>13</v>
      </c>
      <c r="T20" s="268"/>
      <c r="U20" s="90"/>
      <c r="V20" s="90"/>
      <c r="W20" s="90"/>
      <c r="X20" s="90"/>
      <c r="Y20" s="90"/>
      <c r="Z20" s="90"/>
      <c r="AA20" s="90"/>
    </row>
    <row r="21" ht="15.75" customHeight="1">
      <c r="A21" s="280" t="s">
        <v>395</v>
      </c>
      <c r="B21" s="8">
        <v>45532.0</v>
      </c>
      <c r="C21" s="19">
        <v>0.3888888888888889</v>
      </c>
      <c r="D21" s="8">
        <v>45532.0</v>
      </c>
      <c r="E21" s="281">
        <v>0.3888888888888889</v>
      </c>
      <c r="F21" s="282">
        <v>1068.0</v>
      </c>
      <c r="G21" s="271">
        <v>45551.0</v>
      </c>
      <c r="H21" s="281">
        <v>0.5631944444444444</v>
      </c>
      <c r="I21" s="282">
        <v>7.5</v>
      </c>
      <c r="J21" s="16">
        <v>1.0</v>
      </c>
      <c r="K21" s="265">
        <v>0.01</v>
      </c>
      <c r="L21" s="265">
        <v>0.009</v>
      </c>
      <c r="M21" s="265">
        <v>0.008</v>
      </c>
      <c r="N21" s="265">
        <v>0.003</v>
      </c>
      <c r="O21" s="265">
        <v>0.003</v>
      </c>
      <c r="P21" s="265">
        <v>0.002</v>
      </c>
      <c r="Q21" s="272">
        <f t="shared" si="3"/>
        <v>0.1875</v>
      </c>
      <c r="R21" s="256"/>
      <c r="S21" s="273" t="s">
        <v>13</v>
      </c>
      <c r="T21" s="283"/>
      <c r="U21" s="90"/>
      <c r="V21" s="90"/>
      <c r="W21" s="90"/>
      <c r="X21" s="90"/>
      <c r="Y21" s="90"/>
      <c r="Z21" s="90"/>
      <c r="AA21" s="90"/>
    </row>
    <row r="22" ht="15.75" customHeight="1">
      <c r="A22" s="280" t="s">
        <v>396</v>
      </c>
      <c r="B22" s="8">
        <v>45542.0</v>
      </c>
      <c r="C22" s="9">
        <v>0.4409722222222222</v>
      </c>
      <c r="D22" s="8">
        <v>45542.0</v>
      </c>
      <c r="E22" s="284">
        <v>0.4409722222222222</v>
      </c>
      <c r="F22" s="285">
        <v>1050.0</v>
      </c>
      <c r="G22" s="8">
        <v>45552.0</v>
      </c>
      <c r="H22" s="284">
        <v>0.3854166666666667</v>
      </c>
      <c r="I22" s="285">
        <v>7.5</v>
      </c>
      <c r="J22" s="16">
        <v>1.0</v>
      </c>
      <c r="K22" s="260">
        <v>0.029</v>
      </c>
      <c r="L22" s="260">
        <v>0.029</v>
      </c>
      <c r="M22" s="260">
        <v>0.026</v>
      </c>
      <c r="N22" s="260">
        <v>0.01</v>
      </c>
      <c r="O22" s="260">
        <v>0.01</v>
      </c>
      <c r="P22" s="260">
        <v>0.009</v>
      </c>
      <c r="Q22" s="272">
        <f t="shared" si="3"/>
        <v>0.3814285714</v>
      </c>
      <c r="R22" s="256"/>
      <c r="S22" s="273" t="s">
        <v>13</v>
      </c>
      <c r="T22" s="61"/>
      <c r="U22" s="90"/>
      <c r="V22" s="90"/>
      <c r="W22" s="90"/>
      <c r="X22" s="90"/>
      <c r="Y22" s="90"/>
      <c r="Z22" s="90"/>
      <c r="AA22" s="90"/>
    </row>
    <row r="23" ht="15.75" customHeight="1">
      <c r="A23" s="280" t="s">
        <v>397</v>
      </c>
      <c r="B23" s="8">
        <v>45542.0</v>
      </c>
      <c r="C23" s="22">
        <v>0.48125</v>
      </c>
      <c r="D23" s="8">
        <v>45542.0</v>
      </c>
      <c r="E23" s="269">
        <v>0.48125</v>
      </c>
      <c r="F23" s="270">
        <v>1040.0</v>
      </c>
      <c r="G23" s="8">
        <v>45552.0</v>
      </c>
      <c r="H23" s="269">
        <v>0.38263888888888886</v>
      </c>
      <c r="I23" s="221">
        <v>9.0</v>
      </c>
      <c r="J23" s="16">
        <v>1.0</v>
      </c>
      <c r="K23" s="265">
        <v>0.018</v>
      </c>
      <c r="L23" s="265">
        <v>0.018</v>
      </c>
      <c r="M23" s="265">
        <v>0.016</v>
      </c>
      <c r="N23" s="286">
        <v>0.009</v>
      </c>
      <c r="O23" s="286">
        <v>0.009</v>
      </c>
      <c r="P23" s="286">
        <v>0.008</v>
      </c>
      <c r="Q23" s="272">
        <f t="shared" si="3"/>
        <v>0.2310576923</v>
      </c>
      <c r="R23" s="256"/>
      <c r="S23" s="273" t="s">
        <v>13</v>
      </c>
      <c r="T23" s="12"/>
      <c r="U23" s="90"/>
      <c r="V23" s="90"/>
      <c r="W23" s="90"/>
      <c r="X23" s="90"/>
      <c r="Y23" s="90"/>
      <c r="Z23" s="90"/>
      <c r="AA23" s="90"/>
    </row>
    <row r="24" ht="15.75" customHeight="1">
      <c r="A24" s="280" t="s">
        <v>398</v>
      </c>
      <c r="B24" s="8">
        <v>45542.0</v>
      </c>
      <c r="C24" s="22">
        <v>0.5472222222222223</v>
      </c>
      <c r="D24" s="8">
        <v>45542.0</v>
      </c>
      <c r="E24" s="269">
        <v>0.5472222222222223</v>
      </c>
      <c r="F24" s="270">
        <v>995.0</v>
      </c>
      <c r="G24" s="8">
        <v>45552.0</v>
      </c>
      <c r="H24" s="269">
        <v>0.3798611111111111</v>
      </c>
      <c r="I24" s="221">
        <v>7.5</v>
      </c>
      <c r="J24" s="16">
        <v>1.0</v>
      </c>
      <c r="K24" s="265">
        <v>0.024</v>
      </c>
      <c r="L24" s="265">
        <v>0.025</v>
      </c>
      <c r="M24" s="265">
        <v>0.022</v>
      </c>
      <c r="N24" s="265">
        <v>0.011</v>
      </c>
      <c r="O24" s="265">
        <v>0.011</v>
      </c>
      <c r="P24" s="265">
        <v>0.011</v>
      </c>
      <c r="Q24" s="272">
        <f t="shared" si="3"/>
        <v>0.4025125628</v>
      </c>
      <c r="R24" s="256"/>
      <c r="S24" s="273" t="s">
        <v>13</v>
      </c>
      <c r="T24" s="12"/>
      <c r="U24" s="90"/>
      <c r="V24" s="90"/>
      <c r="W24" s="90"/>
      <c r="X24" s="90"/>
      <c r="Y24" s="90"/>
      <c r="Z24" s="90"/>
      <c r="AA24" s="90"/>
    </row>
    <row r="25" ht="15.75" customHeight="1">
      <c r="A25" s="280" t="s">
        <v>399</v>
      </c>
      <c r="B25" s="8">
        <v>45543.0</v>
      </c>
      <c r="C25" s="22">
        <v>0.29444444444444445</v>
      </c>
      <c r="D25" s="8">
        <v>45544.0</v>
      </c>
      <c r="E25" s="269">
        <v>0.3284722222222222</v>
      </c>
      <c r="F25" s="270">
        <v>1048.0</v>
      </c>
      <c r="G25" s="8">
        <v>45552.0</v>
      </c>
      <c r="H25" s="269">
        <v>0.4215277777777778</v>
      </c>
      <c r="I25" s="221">
        <v>7.5</v>
      </c>
      <c r="J25" s="16">
        <v>1.0</v>
      </c>
      <c r="K25" s="265">
        <v>0.007</v>
      </c>
      <c r="L25" s="265">
        <v>0.008</v>
      </c>
      <c r="M25" s="265">
        <v>0.005</v>
      </c>
      <c r="N25" s="265">
        <v>0.004</v>
      </c>
      <c r="O25" s="265">
        <v>0.004</v>
      </c>
      <c r="P25" s="265">
        <v>0.003</v>
      </c>
      <c r="Q25" s="272">
        <f t="shared" si="3"/>
        <v>0.1910782443</v>
      </c>
      <c r="R25" s="256"/>
      <c r="S25" s="273" t="s">
        <v>13</v>
      </c>
      <c r="T25" s="12"/>
      <c r="U25" s="90"/>
      <c r="V25" s="90"/>
      <c r="W25" s="90"/>
      <c r="X25" s="90"/>
      <c r="Y25" s="90"/>
      <c r="Z25" s="90"/>
      <c r="AA25" s="90"/>
    </row>
    <row r="26" ht="15.75" customHeight="1">
      <c r="A26" s="280" t="s">
        <v>400</v>
      </c>
      <c r="B26" s="8">
        <v>45543.0</v>
      </c>
      <c r="C26" s="9">
        <v>0.3145833333333333</v>
      </c>
      <c r="D26" s="8">
        <v>45544.0</v>
      </c>
      <c r="E26" s="269">
        <v>0.3333333333333333</v>
      </c>
      <c r="F26" s="270">
        <v>1072.0</v>
      </c>
      <c r="G26" s="8">
        <v>45552.0</v>
      </c>
      <c r="H26" s="269">
        <v>0.4326388888888889</v>
      </c>
      <c r="I26" s="221">
        <v>7.5</v>
      </c>
      <c r="J26" s="16">
        <v>1.0</v>
      </c>
      <c r="K26" s="265">
        <v>0.003</v>
      </c>
      <c r="L26" s="265">
        <v>0.003</v>
      </c>
      <c r="M26" s="265">
        <v>0.002</v>
      </c>
      <c r="N26" s="265">
        <v>0.003</v>
      </c>
      <c r="O26" s="265">
        <v>0.003</v>
      </c>
      <c r="P26" s="265">
        <v>0.003</v>
      </c>
      <c r="Q26" s="272">
        <f t="shared" si="3"/>
        <v>0.1868003731</v>
      </c>
      <c r="R26" s="256"/>
      <c r="S26" s="273" t="s">
        <v>13</v>
      </c>
      <c r="T26" s="12"/>
      <c r="U26" s="90"/>
      <c r="V26" s="90"/>
      <c r="W26" s="90"/>
      <c r="X26" s="90"/>
      <c r="Y26" s="90"/>
      <c r="Z26" s="90"/>
      <c r="AA26" s="90"/>
    </row>
    <row r="27" ht="15.75" customHeight="1">
      <c r="A27" s="280" t="s">
        <v>401</v>
      </c>
      <c r="B27" s="8">
        <v>45543.0</v>
      </c>
      <c r="C27" s="22">
        <v>0.3326388888888889</v>
      </c>
      <c r="D27" s="8">
        <v>45544.0</v>
      </c>
      <c r="E27" s="269">
        <v>0.34305555555555556</v>
      </c>
      <c r="F27" s="270">
        <v>1010.0</v>
      </c>
      <c r="G27" s="8">
        <v>45552.0</v>
      </c>
      <c r="H27" s="269">
        <v>0.4354166666666667</v>
      </c>
      <c r="I27" s="221">
        <v>6.0</v>
      </c>
      <c r="J27" s="16">
        <v>1.0</v>
      </c>
      <c r="K27" s="286">
        <v>0.017</v>
      </c>
      <c r="L27" s="286">
        <v>0.019</v>
      </c>
      <c r="M27" s="265">
        <v>0.016</v>
      </c>
      <c r="N27" s="265">
        <v>0.011</v>
      </c>
      <c r="O27" s="265">
        <v>0.011</v>
      </c>
      <c r="P27" s="265">
        <v>0.011</v>
      </c>
      <c r="Q27" s="272">
        <f t="shared" si="3"/>
        <v>0.1586138614</v>
      </c>
      <c r="R27" s="256"/>
      <c r="S27" s="273" t="s">
        <v>13</v>
      </c>
      <c r="T27" s="12"/>
      <c r="U27" s="90"/>
      <c r="V27" s="90"/>
      <c r="W27" s="90"/>
      <c r="X27" s="90"/>
      <c r="Y27" s="90"/>
      <c r="Z27" s="90"/>
      <c r="AA27" s="90"/>
    </row>
    <row r="28" ht="15.75" customHeight="1">
      <c r="A28" s="280" t="s">
        <v>402</v>
      </c>
      <c r="B28" s="8">
        <v>45543.0</v>
      </c>
      <c r="C28" s="22">
        <v>0.3472222222222222</v>
      </c>
      <c r="D28" s="8">
        <v>45544.0</v>
      </c>
      <c r="E28" s="269">
        <v>0.44305555555555554</v>
      </c>
      <c r="F28" s="270">
        <v>1058.0</v>
      </c>
      <c r="G28" s="8">
        <v>45552.0</v>
      </c>
      <c r="H28" s="269">
        <v>0.4236111111111111</v>
      </c>
      <c r="I28" s="221">
        <v>7.3</v>
      </c>
      <c r="J28" s="16">
        <v>1.0</v>
      </c>
      <c r="K28" s="286">
        <v>0.012</v>
      </c>
      <c r="L28" s="286">
        <v>0.012</v>
      </c>
      <c r="M28" s="286">
        <v>0.009</v>
      </c>
      <c r="N28" s="286">
        <v>0.012</v>
      </c>
      <c r="O28" s="286">
        <v>0.011</v>
      </c>
      <c r="P28" s="286">
        <v>0.01</v>
      </c>
      <c r="Q28" s="272">
        <f t="shared" si="3"/>
        <v>0.3684499055</v>
      </c>
      <c r="R28" s="256"/>
      <c r="S28" s="273" t="s">
        <v>13</v>
      </c>
      <c r="T28" s="12"/>
      <c r="U28" s="90"/>
      <c r="V28" s="90"/>
      <c r="W28" s="90"/>
      <c r="X28" s="90"/>
      <c r="Y28" s="90"/>
      <c r="Z28" s="90"/>
      <c r="AA28" s="90"/>
    </row>
    <row r="29" ht="15.75" customHeight="1">
      <c r="A29" s="280" t="s">
        <v>403</v>
      </c>
      <c r="B29" s="8">
        <v>45543.0</v>
      </c>
      <c r="C29" s="22">
        <v>0.4597222222222222</v>
      </c>
      <c r="D29" s="8">
        <v>45544.0</v>
      </c>
      <c r="E29" s="269">
        <v>0.4597222222222222</v>
      </c>
      <c r="F29" s="270">
        <v>1006.0</v>
      </c>
      <c r="G29" s="8">
        <v>45552.0</v>
      </c>
      <c r="H29" s="269">
        <v>0.42986111111111114</v>
      </c>
      <c r="I29" s="221">
        <v>5.5</v>
      </c>
      <c r="J29" s="16">
        <v>1.0</v>
      </c>
      <c r="K29" s="265">
        <v>0.025</v>
      </c>
      <c r="L29" s="265">
        <v>0.025</v>
      </c>
      <c r="M29" s="286">
        <v>0.021</v>
      </c>
      <c r="N29" s="265">
        <v>0.017</v>
      </c>
      <c r="O29" s="265">
        <v>0.016</v>
      </c>
      <c r="P29" s="265">
        <v>0.014</v>
      </c>
      <c r="Q29" s="272">
        <f t="shared" si="3"/>
        <v>0.2919483101</v>
      </c>
      <c r="R29" s="256"/>
      <c r="S29" s="273" t="s">
        <v>13</v>
      </c>
      <c r="T29" s="12"/>
      <c r="U29" s="90"/>
      <c r="V29" s="90"/>
      <c r="W29" s="90"/>
      <c r="X29" s="90"/>
      <c r="Y29" s="90"/>
      <c r="Z29" s="90"/>
      <c r="AA29" s="90"/>
    </row>
    <row r="30" ht="15.75" customHeight="1">
      <c r="A30" s="280" t="s">
        <v>404</v>
      </c>
      <c r="B30" s="8">
        <v>45543.0</v>
      </c>
      <c r="C30" s="22">
        <v>0.4895833333333333</v>
      </c>
      <c r="D30" s="8">
        <v>45544.0</v>
      </c>
      <c r="E30" s="269">
        <v>0.4895833333333333</v>
      </c>
      <c r="F30" s="270">
        <v>1100.0</v>
      </c>
      <c r="G30" s="8">
        <v>45552.0</v>
      </c>
      <c r="H30" s="269">
        <v>0.4270833333333333</v>
      </c>
      <c r="I30" s="221">
        <v>6.5</v>
      </c>
      <c r="J30" s="16">
        <v>1.0</v>
      </c>
      <c r="K30" s="286">
        <v>0.026</v>
      </c>
      <c r="L30" s="286">
        <v>0.025</v>
      </c>
      <c r="M30" s="265">
        <v>0.019</v>
      </c>
      <c r="N30" s="286">
        <v>0.024</v>
      </c>
      <c r="O30" s="286">
        <v>0.023</v>
      </c>
      <c r="P30" s="265">
        <v>0.019</v>
      </c>
      <c r="Q30" s="272">
        <f t="shared" si="3"/>
        <v>0.4733181818</v>
      </c>
      <c r="R30" s="256"/>
      <c r="S30" s="273" t="s">
        <v>13</v>
      </c>
      <c r="T30" s="12"/>
      <c r="U30" s="90"/>
      <c r="V30" s="90"/>
      <c r="W30" s="90"/>
      <c r="X30" s="90"/>
      <c r="Y30" s="90"/>
      <c r="Z30" s="90"/>
      <c r="AA30" s="90"/>
    </row>
    <row r="31" ht="32.25" customHeight="1">
      <c r="A31" s="209" t="s">
        <v>379</v>
      </c>
      <c r="B31" s="258" t="s">
        <v>70</v>
      </c>
      <c r="C31" s="259" t="s">
        <v>70</v>
      </c>
      <c r="D31" s="258" t="s">
        <v>70</v>
      </c>
      <c r="E31" s="259" t="s">
        <v>70</v>
      </c>
      <c r="F31" s="258" t="s">
        <v>70</v>
      </c>
      <c r="G31" s="271">
        <v>45553.0</v>
      </c>
      <c r="H31" s="287">
        <v>0.4013888888888889</v>
      </c>
      <c r="I31" s="258" t="s">
        <v>70</v>
      </c>
      <c r="J31" s="16">
        <v>1.0</v>
      </c>
      <c r="K31" s="265">
        <v>0.007</v>
      </c>
      <c r="L31" s="265">
        <v>0.007</v>
      </c>
      <c r="M31" s="265">
        <v>0.014</v>
      </c>
      <c r="N31" s="265">
        <v>0.008</v>
      </c>
      <c r="O31" s="265">
        <v>0.007</v>
      </c>
      <c r="P31" s="265">
        <v>0.015</v>
      </c>
      <c r="Q31" s="261">
        <f>((26.7*((K31-M31)-(O31-P31))*1000))</f>
        <v>26.7</v>
      </c>
      <c r="R31" s="266"/>
      <c r="S31" s="273" t="s">
        <v>13</v>
      </c>
      <c r="T31" s="268"/>
      <c r="U31" s="90"/>
      <c r="V31" s="90"/>
      <c r="W31" s="90"/>
      <c r="X31" s="90"/>
      <c r="Y31" s="90"/>
      <c r="Z31" s="90"/>
      <c r="AA31" s="90"/>
    </row>
    <row r="32" ht="15.75" customHeight="1">
      <c r="A32" s="280" t="s">
        <v>405</v>
      </c>
      <c r="B32" s="8">
        <v>45545.0</v>
      </c>
      <c r="C32" s="22">
        <v>0.29444444444444445</v>
      </c>
      <c r="D32" s="8">
        <v>45545.0</v>
      </c>
      <c r="E32" s="269">
        <v>0.625</v>
      </c>
      <c r="F32" s="221">
        <v>1058.0</v>
      </c>
      <c r="G32" s="271">
        <v>45553.0</v>
      </c>
      <c r="H32" s="269">
        <v>0.40347222222222223</v>
      </c>
      <c r="I32" s="221">
        <v>8.8</v>
      </c>
      <c r="J32" s="16">
        <v>1.0</v>
      </c>
      <c r="K32" s="265">
        <v>0.013</v>
      </c>
      <c r="L32" s="265">
        <v>0.013</v>
      </c>
      <c r="M32" s="265">
        <v>0.008</v>
      </c>
      <c r="N32" s="286">
        <v>0.005</v>
      </c>
      <c r="O32" s="286">
        <v>0.005</v>
      </c>
      <c r="P32" s="265">
        <v>0.002</v>
      </c>
      <c r="Q32" s="272">
        <f t="shared" ref="Q32:Q52" si="4">((26.7*((K32-M32)-(O32-P32))*I32)/(F32*J32))*1000</f>
        <v>0.4441587902</v>
      </c>
      <c r="R32" s="256"/>
      <c r="S32" s="273" t="s">
        <v>13</v>
      </c>
      <c r="T32" s="283"/>
      <c r="U32" s="90"/>
      <c r="V32" s="90"/>
      <c r="W32" s="90"/>
      <c r="X32" s="90"/>
      <c r="Y32" s="90"/>
      <c r="Z32" s="90"/>
      <c r="AA32" s="90"/>
    </row>
    <row r="33" ht="17.25" customHeight="1">
      <c r="A33" s="280" t="s">
        <v>406</v>
      </c>
      <c r="B33" s="8">
        <v>45545.0</v>
      </c>
      <c r="C33" s="284">
        <v>0.3145833333333333</v>
      </c>
      <c r="D33" s="8">
        <v>45545.0</v>
      </c>
      <c r="E33" s="269">
        <v>0.6333333333333333</v>
      </c>
      <c r="F33" s="285">
        <v>1060.0</v>
      </c>
      <c r="G33" s="271">
        <v>45553.0</v>
      </c>
      <c r="H33" s="284">
        <v>0.40694444444444444</v>
      </c>
      <c r="I33" s="285">
        <v>8.8</v>
      </c>
      <c r="J33" s="16">
        <v>1.0</v>
      </c>
      <c r="K33" s="286">
        <v>0.003</v>
      </c>
      <c r="L33" s="286">
        <v>0.002</v>
      </c>
      <c r="M33" s="286">
        <v>-0.001</v>
      </c>
      <c r="N33" s="260">
        <v>0.004</v>
      </c>
      <c r="O33" s="260">
        <v>0.004</v>
      </c>
      <c r="P33" s="260">
        <v>0.002</v>
      </c>
      <c r="Q33" s="272">
        <f t="shared" si="4"/>
        <v>0.4433207547</v>
      </c>
      <c r="R33" s="256"/>
      <c r="S33" s="273" t="s">
        <v>13</v>
      </c>
      <c r="T33" s="58"/>
      <c r="U33" s="90"/>
      <c r="V33" s="90"/>
      <c r="W33" s="90"/>
      <c r="X33" s="90"/>
      <c r="Y33" s="90"/>
      <c r="Z33" s="90"/>
      <c r="AA33" s="90"/>
    </row>
    <row r="34" ht="15.75" customHeight="1">
      <c r="A34" s="280" t="s">
        <v>407</v>
      </c>
      <c r="B34" s="8">
        <v>45545.0</v>
      </c>
      <c r="C34" s="25">
        <v>0.3326388888888889</v>
      </c>
      <c r="D34" s="8">
        <v>45545.0</v>
      </c>
      <c r="E34" s="269">
        <v>0.6395833333333333</v>
      </c>
      <c r="F34" s="221">
        <v>1055.0</v>
      </c>
      <c r="G34" s="271">
        <v>45553.0</v>
      </c>
      <c r="H34" s="22">
        <v>0.4097222222222222</v>
      </c>
      <c r="I34" s="221">
        <v>6.5</v>
      </c>
      <c r="J34" s="16">
        <v>1.0</v>
      </c>
      <c r="K34" s="16">
        <v>0.006</v>
      </c>
      <c r="L34" s="265">
        <v>0.006</v>
      </c>
      <c r="M34" s="265">
        <v>0.001</v>
      </c>
      <c r="N34" s="265">
        <v>0.005</v>
      </c>
      <c r="O34" s="265">
        <v>0.005</v>
      </c>
      <c r="P34" s="265">
        <v>0.0</v>
      </c>
      <c r="Q34" s="272">
        <f t="shared" si="4"/>
        <v>0</v>
      </c>
      <c r="R34" s="256"/>
      <c r="S34" s="273" t="s">
        <v>13</v>
      </c>
      <c r="T34" s="61"/>
      <c r="U34" s="90"/>
      <c r="V34" s="90"/>
      <c r="W34" s="90"/>
      <c r="X34" s="90"/>
      <c r="Y34" s="90"/>
      <c r="Z34" s="90"/>
      <c r="AA34" s="90"/>
    </row>
    <row r="35" ht="15.75" customHeight="1">
      <c r="A35" s="20" t="s">
        <v>408</v>
      </c>
      <c r="B35" s="8">
        <v>45545.0</v>
      </c>
      <c r="C35" s="25">
        <v>0.3472222222222222</v>
      </c>
      <c r="D35" s="8">
        <v>45545.0</v>
      </c>
      <c r="E35" s="269">
        <v>0.6451388888888889</v>
      </c>
      <c r="F35" s="288">
        <v>1065.0</v>
      </c>
      <c r="G35" s="271">
        <v>45553.0</v>
      </c>
      <c r="H35" s="22">
        <v>0.4166666666666667</v>
      </c>
      <c r="I35" s="270">
        <v>5.8</v>
      </c>
      <c r="J35" s="16">
        <v>1.0</v>
      </c>
      <c r="K35" s="265">
        <v>0.009</v>
      </c>
      <c r="L35" s="265">
        <v>0.009</v>
      </c>
      <c r="M35" s="265">
        <v>0.005</v>
      </c>
      <c r="N35" s="265">
        <v>0.004</v>
      </c>
      <c r="O35" s="265">
        <v>0.004</v>
      </c>
      <c r="P35" s="265">
        <v>0.003</v>
      </c>
      <c r="Q35" s="272">
        <f t="shared" si="4"/>
        <v>0.4362253521</v>
      </c>
      <c r="R35" s="256"/>
      <c r="S35" s="273" t="s">
        <v>13</v>
      </c>
      <c r="T35" s="12"/>
      <c r="U35" s="90"/>
      <c r="V35" s="90"/>
      <c r="W35" s="90"/>
      <c r="X35" s="90"/>
      <c r="Y35" s="90"/>
      <c r="Z35" s="90"/>
      <c r="AA35" s="90"/>
    </row>
    <row r="36" ht="15.75" customHeight="1">
      <c r="A36" s="20" t="s">
        <v>409</v>
      </c>
      <c r="B36" s="8">
        <v>45545.0</v>
      </c>
      <c r="C36" s="25">
        <v>0.36736111111111114</v>
      </c>
      <c r="D36" s="8">
        <v>45545.0</v>
      </c>
      <c r="E36" s="269">
        <v>0.6631944444444444</v>
      </c>
      <c r="F36" s="221">
        <v>1080.0</v>
      </c>
      <c r="G36" s="271">
        <v>45553.0</v>
      </c>
      <c r="H36" s="22">
        <v>0.42083333333333334</v>
      </c>
      <c r="I36" s="270">
        <v>5.5</v>
      </c>
      <c r="J36" s="16">
        <v>1.0</v>
      </c>
      <c r="K36" s="265">
        <v>0.004</v>
      </c>
      <c r="L36" s="265">
        <v>0.004</v>
      </c>
      <c r="M36" s="265">
        <v>0.0</v>
      </c>
      <c r="N36" s="265">
        <v>0.002</v>
      </c>
      <c r="O36" s="265">
        <v>0.002</v>
      </c>
      <c r="P36" s="265">
        <v>0.0</v>
      </c>
      <c r="Q36" s="272">
        <f t="shared" si="4"/>
        <v>0.2719444444</v>
      </c>
      <c r="R36" s="256"/>
      <c r="S36" s="273" t="s">
        <v>13</v>
      </c>
      <c r="T36" s="12"/>
      <c r="U36" s="90"/>
      <c r="V36" s="90"/>
      <c r="W36" s="90"/>
      <c r="X36" s="90"/>
      <c r="Y36" s="90"/>
      <c r="Z36" s="90"/>
      <c r="AA36" s="90"/>
    </row>
    <row r="37" ht="15.75" customHeight="1">
      <c r="A37" s="20" t="s">
        <v>410</v>
      </c>
      <c r="B37" s="8">
        <v>45545.0</v>
      </c>
      <c r="C37" s="25">
        <v>0.38055555555555554</v>
      </c>
      <c r="D37" s="8">
        <v>45545.0</v>
      </c>
      <c r="E37" s="269">
        <v>0.6479166666666667</v>
      </c>
      <c r="F37" s="221">
        <v>1075.0</v>
      </c>
      <c r="G37" s="271">
        <v>45553.0</v>
      </c>
      <c r="H37" s="22">
        <v>0.42430555555555555</v>
      </c>
      <c r="I37" s="221">
        <v>5.7</v>
      </c>
      <c r="J37" s="16">
        <v>1.0</v>
      </c>
      <c r="K37" s="265">
        <v>0.004</v>
      </c>
      <c r="L37" s="265">
        <v>0.003</v>
      </c>
      <c r="M37" s="265">
        <v>0.0</v>
      </c>
      <c r="N37" s="286">
        <v>0.002</v>
      </c>
      <c r="O37" s="286">
        <v>0.002</v>
      </c>
      <c r="P37" s="265">
        <v>0.0</v>
      </c>
      <c r="Q37" s="272">
        <f t="shared" si="4"/>
        <v>0.283144186</v>
      </c>
      <c r="R37" s="256"/>
      <c r="S37" s="273" t="s">
        <v>13</v>
      </c>
      <c r="T37" s="12"/>
      <c r="U37" s="90"/>
      <c r="V37" s="90"/>
      <c r="W37" s="90"/>
      <c r="X37" s="90"/>
      <c r="Y37" s="90"/>
      <c r="Z37" s="90"/>
      <c r="AA37" s="90"/>
    </row>
    <row r="38" ht="18.75" customHeight="1">
      <c r="A38" s="20" t="s">
        <v>411</v>
      </c>
      <c r="B38" s="8">
        <v>45545.0</v>
      </c>
      <c r="C38" s="9">
        <v>0.4013888888888889</v>
      </c>
      <c r="D38" s="8">
        <v>45545.0</v>
      </c>
      <c r="E38" s="269">
        <v>0.6527777777777778</v>
      </c>
      <c r="F38" s="282">
        <v>1062.0</v>
      </c>
      <c r="G38" s="271">
        <v>45553.0</v>
      </c>
      <c r="H38" s="281">
        <v>0.4305555555555556</v>
      </c>
      <c r="I38" s="282">
        <v>5.0</v>
      </c>
      <c r="J38" s="16">
        <v>1.0</v>
      </c>
      <c r="K38" s="265">
        <v>0.026</v>
      </c>
      <c r="L38" s="265">
        <v>0.026</v>
      </c>
      <c r="M38" s="265">
        <v>0.017</v>
      </c>
      <c r="N38" s="265">
        <v>0.02</v>
      </c>
      <c r="O38" s="265">
        <v>0.02</v>
      </c>
      <c r="P38" s="265">
        <v>0.012</v>
      </c>
      <c r="Q38" s="272">
        <f t="shared" si="4"/>
        <v>0.1257062147</v>
      </c>
      <c r="R38" s="256"/>
      <c r="S38" s="273" t="s">
        <v>13</v>
      </c>
      <c r="T38" s="207"/>
      <c r="U38" s="208"/>
      <c r="V38" s="208"/>
      <c r="W38" s="208"/>
      <c r="X38" s="208"/>
      <c r="Y38" s="208"/>
      <c r="Z38" s="208"/>
      <c r="AA38" s="208"/>
    </row>
    <row r="39" ht="15.75" customHeight="1">
      <c r="A39" s="20" t="s">
        <v>412</v>
      </c>
      <c r="B39" s="8">
        <v>45545.0</v>
      </c>
      <c r="C39" s="9">
        <v>0.4395833333333333</v>
      </c>
      <c r="D39" s="8">
        <v>45545.0</v>
      </c>
      <c r="E39" s="269">
        <v>0.6569444444444444</v>
      </c>
      <c r="F39" s="221">
        <v>990.0</v>
      </c>
      <c r="G39" s="271">
        <v>45553.0</v>
      </c>
      <c r="H39" s="22">
        <v>0.4340277777777778</v>
      </c>
      <c r="I39" s="221">
        <v>7.2</v>
      </c>
      <c r="J39" s="16">
        <v>1.0</v>
      </c>
      <c r="K39" s="265">
        <v>0.01</v>
      </c>
      <c r="L39" s="265">
        <v>0.01</v>
      </c>
      <c r="M39" s="265">
        <v>0.005</v>
      </c>
      <c r="N39" s="265">
        <v>0.002</v>
      </c>
      <c r="O39" s="265">
        <v>0.002</v>
      </c>
      <c r="P39" s="265">
        <v>0.001</v>
      </c>
      <c r="Q39" s="272">
        <f t="shared" si="4"/>
        <v>0.7767272727</v>
      </c>
      <c r="R39" s="256"/>
      <c r="S39" s="273" t="s">
        <v>13</v>
      </c>
      <c r="T39" s="12"/>
      <c r="U39" s="90"/>
      <c r="V39" s="90"/>
      <c r="W39" s="90"/>
      <c r="X39" s="90"/>
      <c r="Y39" s="90"/>
      <c r="Z39" s="90"/>
      <c r="AA39" s="90"/>
    </row>
    <row r="40" ht="15.75" customHeight="1">
      <c r="A40" s="280" t="s">
        <v>413</v>
      </c>
      <c r="B40" s="8">
        <v>45545.0</v>
      </c>
      <c r="C40" s="9">
        <v>0.46597222222222223</v>
      </c>
      <c r="D40" s="8">
        <v>45545.0</v>
      </c>
      <c r="E40" s="269">
        <v>0.6597222222222222</v>
      </c>
      <c r="F40" s="221">
        <v>1040.0</v>
      </c>
      <c r="G40" s="271">
        <v>45553.0</v>
      </c>
      <c r="H40" s="22">
        <v>0.4375</v>
      </c>
      <c r="I40" s="221">
        <v>7.5</v>
      </c>
      <c r="J40" s="16">
        <v>1.0</v>
      </c>
      <c r="K40" s="286">
        <v>0.013</v>
      </c>
      <c r="L40" s="286">
        <v>0.012</v>
      </c>
      <c r="M40" s="286">
        <v>0.007</v>
      </c>
      <c r="N40" s="265">
        <v>0.006</v>
      </c>
      <c r="O40" s="265">
        <v>0.006</v>
      </c>
      <c r="P40" s="265">
        <v>0.003</v>
      </c>
      <c r="Q40" s="272">
        <f t="shared" si="4"/>
        <v>0.5776442308</v>
      </c>
      <c r="R40" s="256"/>
      <c r="S40" s="273" t="s">
        <v>13</v>
      </c>
      <c r="T40" s="12"/>
      <c r="U40" s="90"/>
      <c r="V40" s="90"/>
      <c r="W40" s="90"/>
      <c r="X40" s="90"/>
      <c r="Y40" s="90"/>
      <c r="Z40" s="90"/>
      <c r="AA40" s="90"/>
    </row>
    <row r="41" ht="15.75" customHeight="1">
      <c r="A41" s="280" t="s">
        <v>414</v>
      </c>
      <c r="B41" s="27">
        <v>45547.0</v>
      </c>
      <c r="C41" s="9">
        <v>0.34791666666666665</v>
      </c>
      <c r="D41" s="27">
        <v>45547.0</v>
      </c>
      <c r="E41" s="9">
        <v>0.6145833333333334</v>
      </c>
      <c r="F41" s="221">
        <v>1054.0</v>
      </c>
      <c r="G41" s="271">
        <v>45553.0</v>
      </c>
      <c r="H41" s="22">
        <v>0.4409722222222222</v>
      </c>
      <c r="I41" s="221">
        <v>7.4</v>
      </c>
      <c r="J41" s="16">
        <v>1.0</v>
      </c>
      <c r="K41" s="286">
        <v>0.01</v>
      </c>
      <c r="L41" s="286">
        <v>0.01</v>
      </c>
      <c r="M41" s="286">
        <v>0.006</v>
      </c>
      <c r="N41" s="265">
        <v>0.003</v>
      </c>
      <c r="O41" s="265">
        <v>0.004</v>
      </c>
      <c r="P41" s="265">
        <v>0.001</v>
      </c>
      <c r="Q41" s="272">
        <f t="shared" si="4"/>
        <v>0.1874573055</v>
      </c>
      <c r="R41" s="256"/>
      <c r="S41" s="273" t="s">
        <v>13</v>
      </c>
      <c r="T41" s="12"/>
      <c r="U41" s="90"/>
      <c r="V41" s="90"/>
      <c r="W41" s="90"/>
      <c r="X41" s="90"/>
      <c r="Y41" s="90"/>
      <c r="Z41" s="90"/>
      <c r="AA41" s="90"/>
    </row>
    <row r="42" ht="17.25" customHeight="1">
      <c r="A42" s="280" t="s">
        <v>415</v>
      </c>
      <c r="B42" s="27">
        <v>45547.0</v>
      </c>
      <c r="C42" s="9">
        <v>0.36319444444444443</v>
      </c>
      <c r="D42" s="27">
        <v>45547.0</v>
      </c>
      <c r="E42" s="9">
        <v>0.6083333333333333</v>
      </c>
      <c r="F42" s="285">
        <v>1054.0</v>
      </c>
      <c r="G42" s="8">
        <v>45552.0</v>
      </c>
      <c r="H42" s="284">
        <v>0.39652777777777776</v>
      </c>
      <c r="I42" s="285">
        <v>7.2</v>
      </c>
      <c r="J42" s="16">
        <v>1.0</v>
      </c>
      <c r="K42" s="260">
        <v>0.01</v>
      </c>
      <c r="L42" s="260">
        <v>0.01</v>
      </c>
      <c r="M42" s="260">
        <v>0.005</v>
      </c>
      <c r="N42" s="260">
        <v>0.006</v>
      </c>
      <c r="O42" s="260">
        <v>0.006</v>
      </c>
      <c r="P42" s="260">
        <v>0.004</v>
      </c>
      <c r="Q42" s="272">
        <f t="shared" si="4"/>
        <v>0.5471726755</v>
      </c>
      <c r="R42" s="256"/>
      <c r="S42" s="273" t="s">
        <v>13</v>
      </c>
      <c r="T42" s="7"/>
      <c r="U42" s="264"/>
      <c r="V42" s="264"/>
      <c r="W42" s="264"/>
      <c r="X42" s="264"/>
      <c r="Y42" s="264"/>
      <c r="Z42" s="264"/>
      <c r="AA42" s="264"/>
    </row>
    <row r="43" ht="15.75" customHeight="1">
      <c r="A43" s="280" t="s">
        <v>416</v>
      </c>
      <c r="B43" s="27">
        <v>45547.0</v>
      </c>
      <c r="C43" s="9">
        <v>0.4041666666666667</v>
      </c>
      <c r="D43" s="27">
        <v>45547.0</v>
      </c>
      <c r="E43" s="9">
        <v>0.6069444444444444</v>
      </c>
      <c r="F43" s="221">
        <v>900.0</v>
      </c>
      <c r="G43" s="8">
        <v>45552.0</v>
      </c>
      <c r="H43" s="22">
        <v>0.39305555555555555</v>
      </c>
      <c r="I43" s="221">
        <v>8.8</v>
      </c>
      <c r="J43" s="16">
        <v>1.0</v>
      </c>
      <c r="K43" s="286">
        <v>0.007</v>
      </c>
      <c r="L43" s="286">
        <v>0.007</v>
      </c>
      <c r="M43" s="286">
        <v>0.004</v>
      </c>
      <c r="N43" s="286">
        <v>0.003</v>
      </c>
      <c r="O43" s="286">
        <v>0.003</v>
      </c>
      <c r="P43" s="286">
        <v>0.001</v>
      </c>
      <c r="Q43" s="272">
        <f t="shared" si="4"/>
        <v>0.2610666667</v>
      </c>
      <c r="R43" s="256"/>
      <c r="S43" s="273" t="s">
        <v>13</v>
      </c>
      <c r="T43" s="12"/>
      <c r="U43" s="90"/>
      <c r="V43" s="90"/>
      <c r="W43" s="90"/>
      <c r="X43" s="90"/>
      <c r="Y43" s="90"/>
      <c r="Z43" s="90"/>
      <c r="AA43" s="90"/>
    </row>
    <row r="44" ht="15.75" customHeight="1">
      <c r="A44" s="280" t="s">
        <v>417</v>
      </c>
      <c r="B44" s="27">
        <v>45547.0</v>
      </c>
      <c r="C44" s="9">
        <v>0.4270833333333333</v>
      </c>
      <c r="D44" s="27">
        <v>45547.0</v>
      </c>
      <c r="E44" s="9">
        <v>0.6201388888888889</v>
      </c>
      <c r="F44" s="221">
        <v>1054.0</v>
      </c>
      <c r="G44" s="271">
        <v>45553.0</v>
      </c>
      <c r="H44" s="284">
        <v>0.44375</v>
      </c>
      <c r="I44" s="221">
        <v>5.9</v>
      </c>
      <c r="J44" s="16">
        <v>1.0</v>
      </c>
      <c r="K44" s="265">
        <v>0.01</v>
      </c>
      <c r="L44" s="265">
        <v>0.009</v>
      </c>
      <c r="M44" s="265">
        <v>0.005</v>
      </c>
      <c r="N44" s="286">
        <v>0.003</v>
      </c>
      <c r="O44" s="286">
        <v>0.002</v>
      </c>
      <c r="P44" s="286">
        <v>0.001</v>
      </c>
      <c r="Q44" s="272">
        <f t="shared" si="4"/>
        <v>0.5978368121</v>
      </c>
      <c r="R44" s="256"/>
      <c r="S44" s="273" t="s">
        <v>13</v>
      </c>
      <c r="T44" s="12"/>
      <c r="U44" s="90"/>
      <c r="V44" s="90"/>
      <c r="W44" s="90"/>
      <c r="X44" s="90"/>
      <c r="Y44" s="90"/>
      <c r="Z44" s="90"/>
      <c r="AA44" s="90"/>
    </row>
    <row r="45" ht="15.75" customHeight="1">
      <c r="A45" s="280" t="s">
        <v>418</v>
      </c>
      <c r="B45" s="27">
        <v>45547.0</v>
      </c>
      <c r="C45" s="9">
        <v>0.45694444444444443</v>
      </c>
      <c r="D45" s="27">
        <v>45547.0</v>
      </c>
      <c r="E45" s="9">
        <v>0.6347222222222222</v>
      </c>
      <c r="F45" s="221">
        <v>1052.0</v>
      </c>
      <c r="G45" s="8">
        <v>45552.0</v>
      </c>
      <c r="H45" s="25">
        <v>0.3902777777777778</v>
      </c>
      <c r="I45" s="230">
        <v>7.5</v>
      </c>
      <c r="J45" s="16">
        <v>1.0</v>
      </c>
      <c r="K45" s="265">
        <v>0.023</v>
      </c>
      <c r="L45" s="265">
        <v>0.023</v>
      </c>
      <c r="M45" s="286">
        <v>0.019</v>
      </c>
      <c r="N45" s="286">
        <v>0.009</v>
      </c>
      <c r="O45" s="286">
        <v>0.009</v>
      </c>
      <c r="P45" s="265">
        <v>0.007</v>
      </c>
      <c r="Q45" s="272">
        <f t="shared" si="4"/>
        <v>0.3807034221</v>
      </c>
      <c r="R45" s="256"/>
      <c r="S45" s="273" t="s">
        <v>13</v>
      </c>
      <c r="T45" s="12"/>
      <c r="U45" s="90"/>
      <c r="V45" s="90"/>
      <c r="W45" s="90"/>
      <c r="X45" s="90"/>
      <c r="Y45" s="90"/>
      <c r="Z45" s="90"/>
      <c r="AA45" s="90"/>
    </row>
    <row r="46" ht="15.75" customHeight="1">
      <c r="A46" s="280" t="s">
        <v>419</v>
      </c>
      <c r="B46" s="27">
        <v>45547.0</v>
      </c>
      <c r="C46" s="284">
        <v>0.4673611111111111</v>
      </c>
      <c r="D46" s="27">
        <v>45547.0</v>
      </c>
      <c r="E46" s="284">
        <v>0.6256944444444444</v>
      </c>
      <c r="F46" s="285">
        <v>880.0</v>
      </c>
      <c r="G46" s="271">
        <v>45553.0</v>
      </c>
      <c r="H46" s="284">
        <v>0.44722222222222224</v>
      </c>
      <c r="I46" s="285">
        <v>7.3</v>
      </c>
      <c r="J46" s="16">
        <v>1.0</v>
      </c>
      <c r="K46" s="265">
        <v>0.01</v>
      </c>
      <c r="L46" s="265">
        <v>0.01</v>
      </c>
      <c r="M46" s="286">
        <v>0.007</v>
      </c>
      <c r="N46" s="286">
        <v>0.003</v>
      </c>
      <c r="O46" s="286">
        <v>0.003</v>
      </c>
      <c r="P46" s="265">
        <v>0.001</v>
      </c>
      <c r="Q46" s="272">
        <f t="shared" si="4"/>
        <v>0.2214886364</v>
      </c>
      <c r="R46" s="256"/>
      <c r="S46" s="273" t="s">
        <v>13</v>
      </c>
      <c r="T46" s="289"/>
      <c r="U46" s="90"/>
      <c r="V46" s="90"/>
      <c r="W46" s="90"/>
      <c r="X46" s="90"/>
      <c r="Y46" s="90"/>
      <c r="Z46" s="90"/>
      <c r="AA46" s="90"/>
    </row>
    <row r="47" ht="15.75" customHeight="1">
      <c r="A47" s="280" t="s">
        <v>420</v>
      </c>
      <c r="B47" s="27">
        <v>45547.0</v>
      </c>
      <c r="C47" s="9">
        <v>0.4791666666666667</v>
      </c>
      <c r="D47" s="27">
        <v>45547.0</v>
      </c>
      <c r="E47" s="9">
        <v>0.6298611111111111</v>
      </c>
      <c r="F47" s="221">
        <v>1060.0</v>
      </c>
      <c r="G47" s="271">
        <v>45553.0</v>
      </c>
      <c r="H47" s="284">
        <v>0.45</v>
      </c>
      <c r="I47" s="230">
        <v>7.4</v>
      </c>
      <c r="J47" s="16">
        <v>1.0</v>
      </c>
      <c r="K47" s="290">
        <v>0.006</v>
      </c>
      <c r="L47" s="290">
        <v>0.007</v>
      </c>
      <c r="M47" s="290">
        <v>0.003</v>
      </c>
      <c r="N47" s="290">
        <v>0.001</v>
      </c>
      <c r="O47" s="290">
        <v>0.001</v>
      </c>
      <c r="P47" s="290">
        <v>0.0</v>
      </c>
      <c r="Q47" s="272">
        <f t="shared" si="4"/>
        <v>0.3727924528</v>
      </c>
      <c r="R47" s="256"/>
      <c r="S47" s="273" t="s">
        <v>13</v>
      </c>
      <c r="T47" s="12"/>
      <c r="U47" s="90"/>
      <c r="V47" s="90"/>
      <c r="W47" s="90"/>
      <c r="X47" s="90"/>
      <c r="Y47" s="90"/>
      <c r="Z47" s="90"/>
      <c r="AA47" s="90"/>
    </row>
    <row r="48" ht="15.75" customHeight="1">
      <c r="A48" s="280" t="s">
        <v>421</v>
      </c>
      <c r="B48" s="27">
        <v>45547.0</v>
      </c>
      <c r="C48" s="29">
        <v>0.4895833333333333</v>
      </c>
      <c r="D48" s="27">
        <v>45547.0</v>
      </c>
      <c r="E48" s="9">
        <v>0.6166666666666667</v>
      </c>
      <c r="F48" s="270">
        <v>1054.0</v>
      </c>
      <c r="G48" s="271">
        <v>45553.0</v>
      </c>
      <c r="H48" s="284">
        <v>0.45208333333333334</v>
      </c>
      <c r="I48" s="221">
        <v>7.3</v>
      </c>
      <c r="J48" s="16">
        <v>1.0</v>
      </c>
      <c r="K48" s="265">
        <v>0.008</v>
      </c>
      <c r="L48" s="265">
        <v>0.008</v>
      </c>
      <c r="M48" s="265">
        <v>0.004</v>
      </c>
      <c r="N48" s="265">
        <v>0.004</v>
      </c>
      <c r="O48" s="265">
        <v>0.004</v>
      </c>
      <c r="P48" s="265">
        <v>0.002</v>
      </c>
      <c r="Q48" s="272">
        <f t="shared" si="4"/>
        <v>0.3698481973</v>
      </c>
      <c r="R48" s="256"/>
      <c r="S48" s="273" t="s">
        <v>13</v>
      </c>
      <c r="T48" s="12"/>
      <c r="U48" s="90"/>
      <c r="V48" s="90"/>
      <c r="W48" s="90"/>
      <c r="X48" s="90"/>
      <c r="Y48" s="90"/>
      <c r="Z48" s="90"/>
      <c r="AA48" s="90"/>
    </row>
    <row r="49" ht="15.75" customHeight="1">
      <c r="A49" s="280" t="s">
        <v>422</v>
      </c>
      <c r="B49" s="8">
        <v>45551.0</v>
      </c>
      <c r="C49" s="9">
        <v>0.2638888888888889</v>
      </c>
      <c r="D49" s="8">
        <v>45551.0</v>
      </c>
      <c r="E49" s="25">
        <v>0.5972222222222222</v>
      </c>
      <c r="F49" s="230">
        <v>1060.0</v>
      </c>
      <c r="G49" s="8">
        <v>45552.0</v>
      </c>
      <c r="H49" s="25">
        <v>0.41180555555555554</v>
      </c>
      <c r="I49" s="230">
        <v>6.5</v>
      </c>
      <c r="J49" s="16">
        <v>1.0</v>
      </c>
      <c r="K49" s="265">
        <v>0.009</v>
      </c>
      <c r="L49" s="265">
        <v>0.009</v>
      </c>
      <c r="M49" s="265">
        <v>0.005</v>
      </c>
      <c r="N49" s="265">
        <v>0.004</v>
      </c>
      <c r="O49" s="265">
        <v>0.003</v>
      </c>
      <c r="P49" s="265">
        <v>0.002</v>
      </c>
      <c r="Q49" s="272">
        <f t="shared" si="4"/>
        <v>0.4911792453</v>
      </c>
      <c r="R49" s="256"/>
      <c r="S49" s="273" t="s">
        <v>13</v>
      </c>
      <c r="T49" s="12"/>
      <c r="U49" s="90"/>
      <c r="V49" s="90"/>
      <c r="W49" s="90"/>
      <c r="X49" s="90"/>
      <c r="Y49" s="90"/>
      <c r="Z49" s="90"/>
      <c r="AA49" s="90"/>
    </row>
    <row r="50" ht="15.75" customHeight="1">
      <c r="A50" s="280" t="s">
        <v>423</v>
      </c>
      <c r="B50" s="8">
        <v>45551.0</v>
      </c>
      <c r="C50" s="9">
        <v>0.2708333333333333</v>
      </c>
      <c r="D50" s="8">
        <v>45551.0</v>
      </c>
      <c r="E50" s="25">
        <v>0.6006944444444444</v>
      </c>
      <c r="F50" s="230">
        <v>1076.0</v>
      </c>
      <c r="G50" s="8">
        <v>45552.0</v>
      </c>
      <c r="H50" s="25">
        <v>0.40902777777777777</v>
      </c>
      <c r="I50" s="230">
        <v>6.5</v>
      </c>
      <c r="J50" s="16">
        <v>1.0</v>
      </c>
      <c r="K50" s="291">
        <v>0.007</v>
      </c>
      <c r="L50" s="291">
        <v>0.007</v>
      </c>
      <c r="M50" s="291">
        <v>0.003</v>
      </c>
      <c r="N50" s="291">
        <v>0.006</v>
      </c>
      <c r="O50" s="291">
        <v>0.006</v>
      </c>
      <c r="P50" s="291">
        <v>0.003</v>
      </c>
      <c r="Q50" s="272">
        <f t="shared" si="4"/>
        <v>0.1612918216</v>
      </c>
      <c r="R50" s="256"/>
      <c r="S50" s="273" t="s">
        <v>13</v>
      </c>
      <c r="T50" s="12"/>
      <c r="U50" s="90"/>
      <c r="V50" s="90"/>
      <c r="W50" s="90"/>
      <c r="X50" s="90"/>
      <c r="Y50" s="90"/>
      <c r="Z50" s="90"/>
      <c r="AA50" s="90"/>
    </row>
    <row r="51" ht="15.75" customHeight="1">
      <c r="A51" s="280" t="s">
        <v>424</v>
      </c>
      <c r="B51" s="8">
        <v>45551.0</v>
      </c>
      <c r="C51" s="9">
        <v>0.3854166666666667</v>
      </c>
      <c r="D51" s="8">
        <v>45551.0</v>
      </c>
      <c r="E51" s="25">
        <v>0.6041666666666666</v>
      </c>
      <c r="F51" s="230">
        <v>1064.0</v>
      </c>
      <c r="G51" s="8">
        <v>45552.0</v>
      </c>
      <c r="H51" s="18">
        <v>0.40555555555555556</v>
      </c>
      <c r="I51" s="230">
        <v>7.3</v>
      </c>
      <c r="J51" s="16">
        <v>1.0</v>
      </c>
      <c r="K51" s="291">
        <v>0.003</v>
      </c>
      <c r="L51" s="291">
        <v>0.002</v>
      </c>
      <c r="M51" s="291">
        <v>-0.001</v>
      </c>
      <c r="N51" s="291">
        <v>0.003</v>
      </c>
      <c r="O51" s="291">
        <v>0.003</v>
      </c>
      <c r="P51" s="291">
        <v>0.001</v>
      </c>
      <c r="Q51" s="272">
        <f t="shared" si="4"/>
        <v>0.3663721805</v>
      </c>
      <c r="R51" s="256"/>
      <c r="S51" s="273" t="s">
        <v>13</v>
      </c>
      <c r="T51" s="12"/>
      <c r="U51" s="90"/>
      <c r="V51" s="90"/>
      <c r="W51" s="90"/>
      <c r="X51" s="90"/>
      <c r="Y51" s="90"/>
      <c r="Z51" s="90"/>
      <c r="AA51" s="90"/>
    </row>
    <row r="52" ht="15.75" customHeight="1">
      <c r="A52" s="280" t="s">
        <v>425</v>
      </c>
      <c r="B52" s="8">
        <v>45551.0</v>
      </c>
      <c r="C52" s="9">
        <v>0.39444444444444443</v>
      </c>
      <c r="D52" s="8">
        <v>45551.0</v>
      </c>
      <c r="E52" s="25">
        <v>0.6069444444444444</v>
      </c>
      <c r="F52" s="230">
        <v>1054.0</v>
      </c>
      <c r="G52" s="8">
        <v>45552.0</v>
      </c>
      <c r="H52" s="25">
        <v>0.4013888888888889</v>
      </c>
      <c r="I52" s="230">
        <v>8.0</v>
      </c>
      <c r="J52" s="16">
        <v>1.0</v>
      </c>
      <c r="K52" s="291">
        <v>0.006</v>
      </c>
      <c r="L52" s="291">
        <v>0.005</v>
      </c>
      <c r="M52" s="291">
        <v>0.001</v>
      </c>
      <c r="N52" s="291">
        <v>0.003</v>
      </c>
      <c r="O52" s="291">
        <v>0.003</v>
      </c>
      <c r="P52" s="291">
        <v>0.0</v>
      </c>
      <c r="Q52" s="272">
        <f t="shared" si="4"/>
        <v>0.405313093</v>
      </c>
      <c r="R52" s="256"/>
      <c r="S52" s="273" t="s">
        <v>13</v>
      </c>
      <c r="T52" s="12"/>
      <c r="U52" s="90"/>
      <c r="V52" s="90"/>
      <c r="W52" s="90"/>
      <c r="X52" s="90"/>
      <c r="Y52" s="90"/>
      <c r="Z52" s="90"/>
      <c r="AA52" s="90"/>
    </row>
    <row r="53" ht="15.75" customHeight="1">
      <c r="A53" s="90"/>
      <c r="B53" s="292"/>
      <c r="C53" s="293"/>
      <c r="D53" s="90"/>
      <c r="E53" s="293"/>
      <c r="F53" s="294"/>
      <c r="G53" s="292"/>
      <c r="H53" s="295"/>
      <c r="I53" s="294"/>
      <c r="J53" s="90"/>
      <c r="K53" s="296"/>
      <c r="L53" s="296"/>
      <c r="M53" s="296"/>
      <c r="N53" s="296"/>
      <c r="O53" s="296"/>
      <c r="P53" s="296"/>
      <c r="Q53" s="297"/>
      <c r="R53" s="90"/>
      <c r="S53" s="90"/>
      <c r="T53" s="264"/>
      <c r="U53" s="90"/>
      <c r="V53" s="90"/>
      <c r="W53" s="90"/>
      <c r="X53" s="90"/>
      <c r="Y53" s="90"/>
      <c r="Z53" s="90"/>
      <c r="AA53" s="90"/>
    </row>
    <row r="54" ht="15.75" customHeight="1">
      <c r="A54" s="90"/>
      <c r="B54" s="292"/>
      <c r="C54" s="293"/>
      <c r="D54" s="90"/>
      <c r="E54" s="293"/>
      <c r="F54" s="294"/>
      <c r="G54" s="292"/>
      <c r="H54" s="293"/>
      <c r="I54" s="294"/>
      <c r="J54" s="90"/>
      <c r="K54" s="296"/>
      <c r="L54" s="296"/>
      <c r="M54" s="296"/>
      <c r="N54" s="296"/>
      <c r="O54" s="296"/>
      <c r="P54" s="296"/>
      <c r="Q54" s="297"/>
      <c r="R54" s="90"/>
      <c r="S54" s="90"/>
      <c r="T54" s="264"/>
      <c r="U54" s="90"/>
      <c r="V54" s="90"/>
      <c r="W54" s="90"/>
      <c r="X54" s="90"/>
      <c r="Y54" s="90"/>
      <c r="Z54" s="90"/>
      <c r="AA54" s="90"/>
    </row>
    <row r="55" ht="15.75" customHeight="1">
      <c r="A55" s="90"/>
      <c r="B55" s="292"/>
      <c r="C55" s="293"/>
      <c r="D55" s="90"/>
      <c r="E55" s="293"/>
      <c r="F55" s="294"/>
      <c r="G55" s="292"/>
      <c r="H55" s="293"/>
      <c r="I55" s="294"/>
      <c r="J55" s="90"/>
      <c r="K55" s="296"/>
      <c r="L55" s="296"/>
      <c r="M55" s="296"/>
      <c r="N55" s="296"/>
      <c r="O55" s="296"/>
      <c r="P55" s="296"/>
      <c r="Q55" s="297"/>
      <c r="R55" s="90"/>
      <c r="S55" s="90"/>
      <c r="T55" s="264"/>
      <c r="U55" s="90"/>
      <c r="V55" s="90"/>
      <c r="W55" s="90"/>
      <c r="X55" s="90"/>
      <c r="Y55" s="90"/>
      <c r="Z55" s="90"/>
      <c r="AA55" s="90"/>
    </row>
    <row r="56" ht="15.75" customHeight="1">
      <c r="A56" s="90"/>
      <c r="B56" s="292"/>
      <c r="C56" s="293"/>
      <c r="D56" s="90"/>
      <c r="E56" s="293"/>
      <c r="F56" s="294"/>
      <c r="G56" s="292"/>
      <c r="H56" s="293"/>
      <c r="I56" s="294"/>
      <c r="J56" s="90"/>
      <c r="K56" s="296"/>
      <c r="L56" s="296"/>
      <c r="M56" s="296"/>
      <c r="N56" s="296"/>
      <c r="O56" s="296"/>
      <c r="P56" s="296"/>
      <c r="Q56" s="297"/>
      <c r="R56" s="90"/>
      <c r="S56" s="90"/>
      <c r="T56" s="264"/>
      <c r="U56" s="90"/>
      <c r="V56" s="90"/>
      <c r="W56" s="90"/>
      <c r="X56" s="90"/>
      <c r="Y56" s="90"/>
      <c r="Z56" s="90"/>
      <c r="AA56" s="90"/>
    </row>
    <row r="57" ht="15.75" customHeight="1">
      <c r="A57" s="90"/>
      <c r="B57" s="292"/>
      <c r="C57" s="293"/>
      <c r="D57" s="90"/>
      <c r="E57" s="293"/>
      <c r="F57" s="294"/>
      <c r="G57" s="292"/>
      <c r="H57" s="293"/>
      <c r="I57" s="294"/>
      <c r="J57" s="90"/>
      <c r="K57" s="296"/>
      <c r="L57" s="296"/>
      <c r="M57" s="296"/>
      <c r="N57" s="296"/>
      <c r="O57" s="296"/>
      <c r="P57" s="296"/>
      <c r="Q57" s="297"/>
      <c r="R57" s="90"/>
      <c r="S57" s="90"/>
      <c r="T57" s="264"/>
      <c r="U57" s="90"/>
      <c r="V57" s="90"/>
      <c r="W57" s="90"/>
      <c r="X57" s="90"/>
      <c r="Y57" s="90"/>
      <c r="Z57" s="90"/>
      <c r="AA57" s="90"/>
    </row>
    <row r="58" ht="15.75" customHeight="1">
      <c r="A58" s="90"/>
      <c r="B58" s="292"/>
      <c r="C58" s="293"/>
      <c r="D58" s="90"/>
      <c r="E58" s="293"/>
      <c r="F58" s="294"/>
      <c r="G58" s="292"/>
      <c r="H58" s="293"/>
      <c r="I58" s="294"/>
      <c r="J58" s="90"/>
      <c r="K58" s="296"/>
      <c r="L58" s="296"/>
      <c r="M58" s="296"/>
      <c r="N58" s="296"/>
      <c r="O58" s="296"/>
      <c r="P58" s="296"/>
      <c r="Q58" s="297"/>
      <c r="R58" s="90"/>
      <c r="S58" s="90"/>
      <c r="T58" s="264"/>
      <c r="U58" s="90"/>
      <c r="V58" s="90"/>
      <c r="W58" s="90"/>
      <c r="X58" s="90"/>
      <c r="Y58" s="90"/>
      <c r="Z58" s="90"/>
      <c r="AA58" s="90"/>
    </row>
    <row r="59" ht="15.75" customHeight="1">
      <c r="A59" s="90"/>
      <c r="B59" s="292"/>
      <c r="C59" s="293"/>
      <c r="D59" s="90"/>
      <c r="E59" s="293"/>
      <c r="F59" s="294"/>
      <c r="G59" s="292"/>
      <c r="H59" s="293"/>
      <c r="I59" s="294"/>
      <c r="J59" s="90"/>
      <c r="K59" s="296"/>
      <c r="L59" s="296"/>
      <c r="M59" s="296"/>
      <c r="N59" s="296"/>
      <c r="O59" s="296"/>
      <c r="P59" s="296"/>
      <c r="Q59" s="297"/>
      <c r="R59" s="90"/>
      <c r="S59" s="90"/>
      <c r="T59" s="264"/>
      <c r="U59" s="90"/>
      <c r="V59" s="90"/>
      <c r="W59" s="90"/>
      <c r="X59" s="90"/>
      <c r="Y59" s="90"/>
      <c r="Z59" s="90"/>
      <c r="AA59" s="90"/>
    </row>
    <row r="60" ht="15.75" customHeight="1">
      <c r="A60" s="90"/>
      <c r="B60" s="292"/>
      <c r="C60" s="293"/>
      <c r="D60" s="90"/>
      <c r="E60" s="293"/>
      <c r="F60" s="294"/>
      <c r="G60" s="292"/>
      <c r="H60" s="293"/>
      <c r="I60" s="294"/>
      <c r="J60" s="90"/>
      <c r="K60" s="296"/>
      <c r="L60" s="296"/>
      <c r="M60" s="296"/>
      <c r="N60" s="296"/>
      <c r="O60" s="296"/>
      <c r="P60" s="296"/>
      <c r="Q60" s="297"/>
      <c r="R60" s="90"/>
      <c r="S60" s="90"/>
      <c r="T60" s="264"/>
      <c r="U60" s="90"/>
      <c r="V60" s="90"/>
      <c r="W60" s="90"/>
      <c r="X60" s="90"/>
      <c r="Y60" s="90"/>
      <c r="Z60" s="90"/>
      <c r="AA60" s="90"/>
    </row>
    <row r="61" ht="15.75" customHeight="1">
      <c r="A61" s="90"/>
      <c r="B61" s="292"/>
      <c r="C61" s="293"/>
      <c r="D61" s="90"/>
      <c r="E61" s="293"/>
      <c r="F61" s="294"/>
      <c r="G61" s="292"/>
      <c r="H61" s="293"/>
      <c r="I61" s="294"/>
      <c r="J61" s="90"/>
      <c r="K61" s="296"/>
      <c r="L61" s="296"/>
      <c r="M61" s="296"/>
      <c r="N61" s="296"/>
      <c r="O61" s="296"/>
      <c r="P61" s="296"/>
      <c r="Q61" s="297"/>
      <c r="R61" s="90"/>
      <c r="S61" s="90"/>
      <c r="T61" s="264"/>
      <c r="U61" s="90"/>
      <c r="V61" s="90"/>
      <c r="W61" s="90"/>
      <c r="X61" s="90"/>
      <c r="Y61" s="90"/>
      <c r="Z61" s="90"/>
      <c r="AA61" s="90"/>
    </row>
    <row r="62" ht="15.75" customHeight="1">
      <c r="A62" s="90"/>
      <c r="B62" s="292"/>
      <c r="C62" s="293"/>
      <c r="D62" s="90"/>
      <c r="E62" s="293"/>
      <c r="F62" s="294"/>
      <c r="G62" s="292"/>
      <c r="H62" s="293"/>
      <c r="I62" s="294"/>
      <c r="J62" s="90"/>
      <c r="K62" s="296"/>
      <c r="L62" s="296"/>
      <c r="M62" s="296"/>
      <c r="N62" s="296"/>
      <c r="O62" s="296"/>
      <c r="P62" s="296"/>
      <c r="Q62" s="297"/>
      <c r="R62" s="90"/>
      <c r="S62" s="90"/>
      <c r="T62" s="264"/>
      <c r="U62" s="90"/>
      <c r="V62" s="90"/>
      <c r="W62" s="90"/>
      <c r="X62" s="90"/>
      <c r="Y62" s="90"/>
      <c r="Z62" s="90"/>
      <c r="AA62" s="90"/>
    </row>
    <row r="63" ht="15.75" customHeight="1">
      <c r="A63" s="90"/>
      <c r="B63" s="292"/>
      <c r="C63" s="293"/>
      <c r="D63" s="90"/>
      <c r="E63" s="293"/>
      <c r="F63" s="294"/>
      <c r="G63" s="292"/>
      <c r="H63" s="293"/>
      <c r="I63" s="294"/>
      <c r="J63" s="90"/>
      <c r="K63" s="296"/>
      <c r="L63" s="296"/>
      <c r="M63" s="296"/>
      <c r="N63" s="296"/>
      <c r="O63" s="296"/>
      <c r="P63" s="296"/>
      <c r="Q63" s="297"/>
      <c r="R63" s="90"/>
      <c r="S63" s="90"/>
      <c r="T63" s="264"/>
      <c r="U63" s="90"/>
      <c r="V63" s="90"/>
      <c r="W63" s="90"/>
      <c r="X63" s="90"/>
      <c r="Y63" s="90"/>
      <c r="Z63" s="90"/>
      <c r="AA63" s="90"/>
    </row>
    <row r="64" ht="15.75" customHeight="1">
      <c r="A64" s="90"/>
      <c r="B64" s="292"/>
      <c r="C64" s="293"/>
      <c r="D64" s="90"/>
      <c r="E64" s="293"/>
      <c r="F64" s="294"/>
      <c r="G64" s="292"/>
      <c r="H64" s="293"/>
      <c r="I64" s="294"/>
      <c r="J64" s="90"/>
      <c r="K64" s="296"/>
      <c r="L64" s="296"/>
      <c r="M64" s="296"/>
      <c r="N64" s="296"/>
      <c r="O64" s="296"/>
      <c r="P64" s="296"/>
      <c r="Q64" s="297"/>
      <c r="R64" s="90"/>
      <c r="S64" s="90"/>
      <c r="T64" s="264"/>
      <c r="U64" s="90"/>
      <c r="V64" s="90"/>
      <c r="W64" s="90"/>
      <c r="X64" s="90"/>
      <c r="Y64" s="90"/>
      <c r="Z64" s="90"/>
      <c r="AA64" s="90"/>
    </row>
    <row r="65" ht="15.75" customHeight="1">
      <c r="A65" s="90"/>
      <c r="B65" s="292"/>
      <c r="C65" s="293"/>
      <c r="D65" s="90"/>
      <c r="E65" s="293"/>
      <c r="F65" s="294"/>
      <c r="G65" s="292"/>
      <c r="H65" s="293"/>
      <c r="I65" s="294"/>
      <c r="J65" s="90"/>
      <c r="K65" s="296"/>
      <c r="L65" s="296"/>
      <c r="M65" s="296"/>
      <c r="N65" s="296"/>
      <c r="O65" s="296"/>
      <c r="P65" s="296"/>
      <c r="Q65" s="297"/>
      <c r="R65" s="90"/>
      <c r="S65" s="90"/>
      <c r="T65" s="264"/>
      <c r="U65" s="90"/>
      <c r="V65" s="90"/>
      <c r="W65" s="90"/>
      <c r="X65" s="90"/>
      <c r="Y65" s="90"/>
      <c r="Z65" s="90"/>
      <c r="AA65" s="90"/>
    </row>
    <row r="66" ht="15.75" customHeight="1">
      <c r="A66" s="90"/>
      <c r="B66" s="292"/>
      <c r="C66" s="293"/>
      <c r="D66" s="90"/>
      <c r="E66" s="293"/>
      <c r="F66" s="294"/>
      <c r="G66" s="292"/>
      <c r="H66" s="293"/>
      <c r="I66" s="294"/>
      <c r="J66" s="90"/>
      <c r="K66" s="296"/>
      <c r="L66" s="296"/>
      <c r="M66" s="296"/>
      <c r="N66" s="296"/>
      <c r="O66" s="296"/>
      <c r="P66" s="296"/>
      <c r="Q66" s="297"/>
      <c r="R66" s="90"/>
      <c r="S66" s="90"/>
      <c r="T66" s="264"/>
      <c r="U66" s="90"/>
      <c r="V66" s="90"/>
      <c r="W66" s="90"/>
      <c r="X66" s="90"/>
      <c r="Y66" s="90"/>
      <c r="Z66" s="90"/>
      <c r="AA66" s="90"/>
    </row>
    <row r="67" ht="15.75" customHeight="1">
      <c r="A67" s="90"/>
      <c r="B67" s="292"/>
      <c r="C67" s="293"/>
      <c r="D67" s="90"/>
      <c r="E67" s="293"/>
      <c r="F67" s="294"/>
      <c r="G67" s="292"/>
      <c r="H67" s="293"/>
      <c r="I67" s="294"/>
      <c r="J67" s="90"/>
      <c r="K67" s="296"/>
      <c r="L67" s="296"/>
      <c r="M67" s="296"/>
      <c r="N67" s="296"/>
      <c r="O67" s="296"/>
      <c r="P67" s="296"/>
      <c r="Q67" s="297"/>
      <c r="R67" s="90"/>
      <c r="S67" s="90"/>
      <c r="T67" s="264"/>
      <c r="U67" s="90"/>
      <c r="V67" s="90"/>
      <c r="W67" s="90"/>
      <c r="X67" s="90"/>
      <c r="Y67" s="90"/>
      <c r="Z67" s="90"/>
      <c r="AA67" s="90"/>
    </row>
    <row r="68" ht="15.75" customHeight="1">
      <c r="A68" s="90"/>
      <c r="B68" s="292"/>
      <c r="C68" s="293"/>
      <c r="D68" s="90"/>
      <c r="E68" s="293"/>
      <c r="F68" s="294"/>
      <c r="G68" s="292"/>
      <c r="H68" s="293"/>
      <c r="I68" s="294"/>
      <c r="J68" s="90"/>
      <c r="K68" s="296"/>
      <c r="L68" s="296"/>
      <c r="M68" s="296"/>
      <c r="N68" s="296"/>
      <c r="O68" s="296"/>
      <c r="P68" s="296"/>
      <c r="Q68" s="297"/>
      <c r="R68" s="90"/>
      <c r="S68" s="90"/>
      <c r="T68" s="264"/>
      <c r="U68" s="90"/>
      <c r="V68" s="90"/>
      <c r="W68" s="90"/>
      <c r="X68" s="90"/>
      <c r="Y68" s="90"/>
      <c r="Z68" s="90"/>
      <c r="AA68" s="90"/>
    </row>
    <row r="69" ht="15.75" customHeight="1">
      <c r="A69" s="90"/>
      <c r="B69" s="292"/>
      <c r="C69" s="293"/>
      <c r="D69" s="90"/>
      <c r="E69" s="293"/>
      <c r="F69" s="294"/>
      <c r="G69" s="292"/>
      <c r="H69" s="293"/>
      <c r="I69" s="294"/>
      <c r="J69" s="90"/>
      <c r="K69" s="296"/>
      <c r="L69" s="296"/>
      <c r="M69" s="296"/>
      <c r="N69" s="296"/>
      <c r="O69" s="296"/>
      <c r="P69" s="296"/>
      <c r="Q69" s="297"/>
      <c r="R69" s="90"/>
      <c r="S69" s="90"/>
      <c r="T69" s="264"/>
      <c r="U69" s="90"/>
      <c r="V69" s="90"/>
      <c r="W69" s="90"/>
      <c r="X69" s="90"/>
      <c r="Y69" s="90"/>
      <c r="Z69" s="90"/>
      <c r="AA69" s="90"/>
    </row>
    <row r="70" ht="15.75" customHeight="1">
      <c r="A70" s="90"/>
      <c r="B70" s="292"/>
      <c r="C70" s="293"/>
      <c r="D70" s="90"/>
      <c r="E70" s="293"/>
      <c r="F70" s="294"/>
      <c r="G70" s="292"/>
      <c r="H70" s="293"/>
      <c r="I70" s="294"/>
      <c r="J70" s="90"/>
      <c r="K70" s="296"/>
      <c r="L70" s="296"/>
      <c r="M70" s="296"/>
      <c r="N70" s="296"/>
      <c r="O70" s="296"/>
      <c r="P70" s="296"/>
      <c r="Q70" s="297"/>
      <c r="R70" s="90"/>
      <c r="S70" s="90"/>
      <c r="T70" s="264"/>
      <c r="U70" s="90"/>
      <c r="V70" s="90"/>
      <c r="W70" s="90"/>
      <c r="X70" s="90"/>
      <c r="Y70" s="90"/>
      <c r="Z70" s="90"/>
      <c r="AA70" s="90"/>
    </row>
    <row r="71" ht="15.75" customHeight="1">
      <c r="A71" s="90"/>
      <c r="B71" s="292"/>
      <c r="C71" s="293"/>
      <c r="D71" s="90"/>
      <c r="E71" s="293"/>
      <c r="F71" s="294"/>
      <c r="G71" s="292"/>
      <c r="H71" s="293"/>
      <c r="I71" s="294"/>
      <c r="J71" s="90"/>
      <c r="K71" s="296"/>
      <c r="L71" s="296"/>
      <c r="M71" s="296"/>
      <c r="N71" s="296"/>
      <c r="O71" s="296"/>
      <c r="P71" s="296"/>
      <c r="Q71" s="297"/>
      <c r="R71" s="90"/>
      <c r="S71" s="90"/>
      <c r="T71" s="264"/>
      <c r="U71" s="90"/>
      <c r="V71" s="90"/>
      <c r="W71" s="90"/>
      <c r="X71" s="90"/>
      <c r="Y71" s="90"/>
      <c r="Z71" s="90"/>
      <c r="AA71" s="90"/>
    </row>
    <row r="72" ht="15.75" customHeight="1">
      <c r="A72" s="90"/>
      <c r="B72" s="292"/>
      <c r="C72" s="293"/>
      <c r="D72" s="90"/>
      <c r="E72" s="293"/>
      <c r="F72" s="294"/>
      <c r="G72" s="292"/>
      <c r="H72" s="293"/>
      <c r="I72" s="294"/>
      <c r="J72" s="90"/>
      <c r="K72" s="296"/>
      <c r="L72" s="296"/>
      <c r="M72" s="296"/>
      <c r="N72" s="296"/>
      <c r="O72" s="296"/>
      <c r="P72" s="296"/>
      <c r="Q72" s="297"/>
      <c r="R72" s="90"/>
      <c r="S72" s="90"/>
      <c r="T72" s="264"/>
      <c r="U72" s="90"/>
      <c r="V72" s="90"/>
      <c r="W72" s="90"/>
      <c r="X72" s="90"/>
      <c r="Y72" s="90"/>
      <c r="Z72" s="90"/>
      <c r="AA72" s="90"/>
    </row>
    <row r="73" ht="15.75" customHeight="1">
      <c r="A73" s="90"/>
      <c r="B73" s="292"/>
      <c r="C73" s="293"/>
      <c r="D73" s="90"/>
      <c r="E73" s="293"/>
      <c r="F73" s="294"/>
      <c r="G73" s="292"/>
      <c r="H73" s="293"/>
      <c r="I73" s="294"/>
      <c r="J73" s="90"/>
      <c r="K73" s="296"/>
      <c r="L73" s="296"/>
      <c r="M73" s="296"/>
      <c r="N73" s="296"/>
      <c r="O73" s="296"/>
      <c r="P73" s="296"/>
      <c r="Q73" s="297"/>
      <c r="R73" s="90"/>
      <c r="S73" s="90"/>
      <c r="T73" s="264"/>
      <c r="U73" s="90"/>
      <c r="V73" s="90"/>
      <c r="W73" s="90"/>
      <c r="X73" s="90"/>
      <c r="Y73" s="90"/>
      <c r="Z73" s="90"/>
      <c r="AA73" s="90"/>
    </row>
    <row r="74" ht="15.75" customHeight="1">
      <c r="A74" s="90"/>
      <c r="B74" s="292"/>
      <c r="C74" s="293"/>
      <c r="D74" s="90"/>
      <c r="E74" s="293"/>
      <c r="F74" s="294"/>
      <c r="G74" s="292"/>
      <c r="H74" s="293"/>
      <c r="I74" s="294"/>
      <c r="J74" s="90"/>
      <c r="K74" s="296"/>
      <c r="L74" s="296"/>
      <c r="M74" s="296"/>
      <c r="N74" s="296"/>
      <c r="O74" s="296"/>
      <c r="P74" s="296"/>
      <c r="Q74" s="297"/>
      <c r="R74" s="90"/>
      <c r="S74" s="90"/>
      <c r="T74" s="264"/>
      <c r="U74" s="90"/>
      <c r="V74" s="90"/>
      <c r="W74" s="90"/>
      <c r="X74" s="90"/>
      <c r="Y74" s="90"/>
      <c r="Z74" s="90"/>
      <c r="AA74" s="90"/>
    </row>
    <row r="75" ht="15.75" customHeight="1">
      <c r="A75" s="90"/>
      <c r="B75" s="292"/>
      <c r="C75" s="293"/>
      <c r="D75" s="90"/>
      <c r="E75" s="293"/>
      <c r="F75" s="294"/>
      <c r="G75" s="292"/>
      <c r="H75" s="293"/>
      <c r="I75" s="294"/>
      <c r="J75" s="90"/>
      <c r="K75" s="296"/>
      <c r="L75" s="296"/>
      <c r="M75" s="296"/>
      <c r="N75" s="296"/>
      <c r="O75" s="296"/>
      <c r="P75" s="296"/>
      <c r="Q75" s="297"/>
      <c r="R75" s="90"/>
      <c r="S75" s="90"/>
      <c r="T75" s="264"/>
      <c r="U75" s="90"/>
      <c r="V75" s="90"/>
      <c r="W75" s="90"/>
      <c r="X75" s="90"/>
      <c r="Y75" s="90"/>
      <c r="Z75" s="90"/>
      <c r="AA75" s="90"/>
    </row>
    <row r="76" ht="15.75" customHeight="1">
      <c r="A76" s="90"/>
      <c r="B76" s="292"/>
      <c r="C76" s="293"/>
      <c r="D76" s="90"/>
      <c r="E76" s="293"/>
      <c r="F76" s="294"/>
      <c r="G76" s="292"/>
      <c r="H76" s="293"/>
      <c r="I76" s="294"/>
      <c r="J76" s="90"/>
      <c r="K76" s="296"/>
      <c r="L76" s="296"/>
      <c r="M76" s="296"/>
      <c r="N76" s="296"/>
      <c r="O76" s="296"/>
      <c r="P76" s="296"/>
      <c r="Q76" s="297"/>
      <c r="R76" s="90"/>
      <c r="S76" s="90"/>
      <c r="T76" s="264"/>
      <c r="U76" s="90"/>
      <c r="V76" s="90"/>
      <c r="W76" s="90"/>
      <c r="X76" s="90"/>
      <c r="Y76" s="90"/>
      <c r="Z76" s="90"/>
      <c r="AA76" s="90"/>
    </row>
    <row r="77" ht="15.75" customHeight="1">
      <c r="A77" s="90"/>
      <c r="B77" s="292"/>
      <c r="C77" s="293"/>
      <c r="D77" s="90"/>
      <c r="E77" s="293"/>
      <c r="F77" s="294"/>
      <c r="G77" s="292"/>
      <c r="H77" s="293"/>
      <c r="I77" s="294"/>
      <c r="J77" s="90"/>
      <c r="K77" s="296"/>
      <c r="L77" s="296"/>
      <c r="M77" s="296"/>
      <c r="N77" s="296"/>
      <c r="O77" s="296"/>
      <c r="P77" s="296"/>
      <c r="Q77" s="297"/>
      <c r="R77" s="90"/>
      <c r="S77" s="90"/>
      <c r="T77" s="264"/>
      <c r="U77" s="90"/>
      <c r="V77" s="90"/>
      <c r="W77" s="90"/>
      <c r="X77" s="90"/>
      <c r="Y77" s="90"/>
      <c r="Z77" s="90"/>
      <c r="AA77" s="90"/>
    </row>
    <row r="78" ht="15.75" customHeight="1">
      <c r="A78" s="90"/>
      <c r="B78" s="292"/>
      <c r="C78" s="293"/>
      <c r="D78" s="90"/>
      <c r="E78" s="293"/>
      <c r="F78" s="294"/>
      <c r="G78" s="292"/>
      <c r="H78" s="293"/>
      <c r="I78" s="294"/>
      <c r="J78" s="90"/>
      <c r="K78" s="296"/>
      <c r="L78" s="296"/>
      <c r="M78" s="296"/>
      <c r="N78" s="296"/>
      <c r="O78" s="296"/>
      <c r="P78" s="296"/>
      <c r="Q78" s="297"/>
      <c r="R78" s="90"/>
      <c r="S78" s="90"/>
      <c r="T78" s="264"/>
      <c r="U78" s="90"/>
      <c r="V78" s="90"/>
      <c r="W78" s="90"/>
      <c r="X78" s="90"/>
      <c r="Y78" s="90"/>
      <c r="Z78" s="90"/>
      <c r="AA78" s="90"/>
    </row>
    <row r="79" ht="15.75" customHeight="1">
      <c r="A79" s="90"/>
      <c r="B79" s="292"/>
      <c r="C79" s="293"/>
      <c r="D79" s="90"/>
      <c r="E79" s="293"/>
      <c r="F79" s="294"/>
      <c r="G79" s="292"/>
      <c r="H79" s="293"/>
      <c r="I79" s="294"/>
      <c r="J79" s="90"/>
      <c r="K79" s="296"/>
      <c r="L79" s="296"/>
      <c r="M79" s="296"/>
      <c r="N79" s="296"/>
      <c r="O79" s="296"/>
      <c r="P79" s="296"/>
      <c r="Q79" s="297"/>
      <c r="R79" s="90"/>
      <c r="S79" s="90"/>
      <c r="T79" s="264"/>
      <c r="U79" s="90"/>
      <c r="V79" s="90"/>
      <c r="W79" s="90"/>
      <c r="X79" s="90"/>
      <c r="Y79" s="90"/>
      <c r="Z79" s="90"/>
      <c r="AA79" s="90"/>
    </row>
    <row r="80" ht="15.75" customHeight="1">
      <c r="A80" s="90"/>
      <c r="B80" s="292"/>
      <c r="C80" s="293"/>
      <c r="D80" s="90"/>
      <c r="E80" s="293"/>
      <c r="F80" s="294"/>
      <c r="G80" s="292"/>
      <c r="H80" s="293"/>
      <c r="I80" s="294"/>
      <c r="J80" s="90"/>
      <c r="K80" s="296"/>
      <c r="L80" s="296"/>
      <c r="M80" s="296"/>
      <c r="N80" s="296"/>
      <c r="O80" s="296"/>
      <c r="P80" s="296"/>
      <c r="Q80" s="297"/>
      <c r="R80" s="90"/>
      <c r="S80" s="90"/>
      <c r="T80" s="264"/>
      <c r="U80" s="90"/>
      <c r="V80" s="90"/>
      <c r="W80" s="90"/>
      <c r="X80" s="90"/>
      <c r="Y80" s="90"/>
      <c r="Z80" s="90"/>
      <c r="AA80" s="90"/>
    </row>
    <row r="81" ht="15.75" customHeight="1">
      <c r="A81" s="90"/>
      <c r="B81" s="292"/>
      <c r="C81" s="293"/>
      <c r="D81" s="90"/>
      <c r="E81" s="293"/>
      <c r="F81" s="294"/>
      <c r="G81" s="292"/>
      <c r="H81" s="293"/>
      <c r="I81" s="294"/>
      <c r="J81" s="90"/>
      <c r="K81" s="296"/>
      <c r="L81" s="296"/>
      <c r="M81" s="296"/>
      <c r="N81" s="296"/>
      <c r="O81" s="296"/>
      <c r="P81" s="296"/>
      <c r="Q81" s="297"/>
      <c r="R81" s="90"/>
      <c r="S81" s="90"/>
      <c r="T81" s="264"/>
      <c r="U81" s="90"/>
      <c r="V81" s="90"/>
      <c r="W81" s="90"/>
      <c r="X81" s="90"/>
      <c r="Y81" s="90"/>
      <c r="Z81" s="90"/>
      <c r="AA81" s="90"/>
    </row>
    <row r="82" ht="15.75" customHeight="1">
      <c r="A82" s="90"/>
      <c r="B82" s="292"/>
      <c r="C82" s="293"/>
      <c r="D82" s="90"/>
      <c r="E82" s="293"/>
      <c r="F82" s="294"/>
      <c r="G82" s="292"/>
      <c r="H82" s="293"/>
      <c r="I82" s="294"/>
      <c r="J82" s="90"/>
      <c r="K82" s="296"/>
      <c r="L82" s="296"/>
      <c r="M82" s="296"/>
      <c r="N82" s="296"/>
      <c r="O82" s="296"/>
      <c r="P82" s="296"/>
      <c r="Q82" s="297"/>
      <c r="R82" s="90"/>
      <c r="S82" s="90"/>
      <c r="T82" s="264"/>
      <c r="U82" s="90"/>
      <c r="V82" s="90"/>
      <c r="W82" s="90"/>
      <c r="X82" s="90"/>
      <c r="Y82" s="90"/>
      <c r="Z82" s="90"/>
      <c r="AA82" s="90"/>
    </row>
    <row r="83" ht="15.75" customHeight="1">
      <c r="A83" s="90"/>
      <c r="B83" s="292"/>
      <c r="C83" s="293"/>
      <c r="D83" s="90"/>
      <c r="E83" s="293"/>
      <c r="F83" s="294"/>
      <c r="G83" s="292"/>
      <c r="H83" s="293"/>
      <c r="I83" s="294"/>
      <c r="J83" s="90"/>
      <c r="K83" s="296"/>
      <c r="L83" s="296"/>
      <c r="M83" s="296"/>
      <c r="N83" s="296"/>
      <c r="O83" s="296"/>
      <c r="P83" s="296"/>
      <c r="Q83" s="297"/>
      <c r="R83" s="90"/>
      <c r="S83" s="90"/>
      <c r="T83" s="264"/>
      <c r="U83" s="90"/>
      <c r="V83" s="90"/>
      <c r="W83" s="90"/>
      <c r="X83" s="90"/>
      <c r="Y83" s="90"/>
      <c r="Z83" s="90"/>
      <c r="AA83" s="90"/>
    </row>
    <row r="84" ht="15.75" customHeight="1">
      <c r="A84" s="90"/>
      <c r="B84" s="292"/>
      <c r="C84" s="293"/>
      <c r="D84" s="90"/>
      <c r="E84" s="293"/>
      <c r="F84" s="294"/>
      <c r="G84" s="292"/>
      <c r="H84" s="293"/>
      <c r="I84" s="294"/>
      <c r="J84" s="90"/>
      <c r="K84" s="296"/>
      <c r="L84" s="296"/>
      <c r="M84" s="296"/>
      <c r="N84" s="296"/>
      <c r="O84" s="296"/>
      <c r="P84" s="296"/>
      <c r="Q84" s="297"/>
      <c r="R84" s="90"/>
      <c r="S84" s="90"/>
      <c r="T84" s="264"/>
      <c r="U84" s="90"/>
      <c r="V84" s="90"/>
      <c r="W84" s="90"/>
      <c r="X84" s="90"/>
      <c r="Y84" s="90"/>
      <c r="Z84" s="90"/>
      <c r="AA84" s="90"/>
    </row>
    <row r="85" ht="15.75" customHeight="1">
      <c r="A85" s="90"/>
      <c r="B85" s="292"/>
      <c r="C85" s="293"/>
      <c r="D85" s="90"/>
      <c r="E85" s="293"/>
      <c r="F85" s="294"/>
      <c r="G85" s="292"/>
      <c r="H85" s="293"/>
      <c r="I85" s="294"/>
      <c r="J85" s="90"/>
      <c r="K85" s="296"/>
      <c r="L85" s="296"/>
      <c r="M85" s="296"/>
      <c r="N85" s="296"/>
      <c r="O85" s="296"/>
      <c r="P85" s="296"/>
      <c r="Q85" s="297"/>
      <c r="R85" s="90"/>
      <c r="S85" s="90"/>
      <c r="T85" s="264"/>
      <c r="U85" s="90"/>
      <c r="V85" s="90"/>
      <c r="W85" s="90"/>
      <c r="X85" s="90"/>
      <c r="Y85" s="90"/>
      <c r="Z85" s="90"/>
      <c r="AA85" s="90"/>
    </row>
    <row r="86" ht="15.75" customHeight="1">
      <c r="A86" s="90"/>
      <c r="B86" s="292"/>
      <c r="C86" s="293"/>
      <c r="D86" s="90"/>
      <c r="E86" s="293"/>
      <c r="F86" s="294"/>
      <c r="G86" s="292"/>
      <c r="H86" s="293"/>
      <c r="I86" s="294"/>
      <c r="J86" s="90"/>
      <c r="K86" s="296"/>
      <c r="L86" s="296"/>
      <c r="M86" s="296"/>
      <c r="N86" s="296"/>
      <c r="O86" s="296"/>
      <c r="P86" s="296"/>
      <c r="Q86" s="297"/>
      <c r="R86" s="90"/>
      <c r="S86" s="90"/>
      <c r="T86" s="264"/>
      <c r="U86" s="90"/>
      <c r="V86" s="90"/>
      <c r="W86" s="90"/>
      <c r="X86" s="90"/>
      <c r="Y86" s="90"/>
      <c r="Z86" s="90"/>
      <c r="AA86" s="90"/>
    </row>
    <row r="87" ht="15.75" customHeight="1">
      <c r="A87" s="90"/>
      <c r="B87" s="292"/>
      <c r="C87" s="293"/>
      <c r="D87" s="90"/>
      <c r="E87" s="293"/>
      <c r="F87" s="294"/>
      <c r="G87" s="292"/>
      <c r="H87" s="293"/>
      <c r="I87" s="294"/>
      <c r="J87" s="90"/>
      <c r="K87" s="296"/>
      <c r="L87" s="296"/>
      <c r="M87" s="296"/>
      <c r="N87" s="296"/>
      <c r="O87" s="296"/>
      <c r="P87" s="296"/>
      <c r="Q87" s="297"/>
      <c r="R87" s="90"/>
      <c r="S87" s="90"/>
      <c r="T87" s="264"/>
      <c r="U87" s="90"/>
      <c r="V87" s="90"/>
      <c r="W87" s="90"/>
      <c r="X87" s="90"/>
      <c r="Y87" s="90"/>
      <c r="Z87" s="90"/>
      <c r="AA87" s="90"/>
    </row>
    <row r="88" ht="15.75" customHeight="1">
      <c r="A88" s="90"/>
      <c r="B88" s="292"/>
      <c r="C88" s="293"/>
      <c r="D88" s="90"/>
      <c r="E88" s="293"/>
      <c r="F88" s="294"/>
      <c r="G88" s="292"/>
      <c r="H88" s="293"/>
      <c r="I88" s="294"/>
      <c r="J88" s="90"/>
      <c r="K88" s="296"/>
      <c r="L88" s="296"/>
      <c r="M88" s="296"/>
      <c r="N88" s="296"/>
      <c r="O88" s="296"/>
      <c r="P88" s="296"/>
      <c r="Q88" s="297"/>
      <c r="R88" s="90"/>
      <c r="S88" s="90"/>
      <c r="T88" s="264"/>
      <c r="U88" s="90"/>
      <c r="V88" s="90"/>
      <c r="W88" s="90"/>
      <c r="X88" s="90"/>
      <c r="Y88" s="90"/>
      <c r="Z88" s="90"/>
      <c r="AA88" s="90"/>
    </row>
    <row r="89" ht="15.75" customHeight="1">
      <c r="A89" s="90"/>
      <c r="B89" s="292"/>
      <c r="C89" s="293"/>
      <c r="D89" s="90"/>
      <c r="E89" s="293"/>
      <c r="F89" s="294"/>
      <c r="G89" s="292"/>
      <c r="H89" s="293"/>
      <c r="I89" s="294"/>
      <c r="J89" s="90"/>
      <c r="K89" s="296"/>
      <c r="L89" s="296"/>
      <c r="M89" s="296"/>
      <c r="N89" s="296"/>
      <c r="O89" s="296"/>
      <c r="P89" s="296"/>
      <c r="Q89" s="297"/>
      <c r="R89" s="90"/>
      <c r="S89" s="90"/>
      <c r="T89" s="264"/>
      <c r="U89" s="90"/>
      <c r="V89" s="90"/>
      <c r="W89" s="90"/>
      <c r="X89" s="90"/>
      <c r="Y89" s="90"/>
      <c r="Z89" s="90"/>
      <c r="AA89" s="90"/>
    </row>
    <row r="90" ht="15.75" customHeight="1">
      <c r="A90" s="90"/>
      <c r="B90" s="292"/>
      <c r="C90" s="293"/>
      <c r="D90" s="90"/>
      <c r="E90" s="293"/>
      <c r="F90" s="294"/>
      <c r="G90" s="292"/>
      <c r="H90" s="293"/>
      <c r="I90" s="294"/>
      <c r="J90" s="90"/>
      <c r="K90" s="296"/>
      <c r="L90" s="296"/>
      <c r="M90" s="296"/>
      <c r="N90" s="296"/>
      <c r="O90" s="296"/>
      <c r="P90" s="296"/>
      <c r="Q90" s="297"/>
      <c r="R90" s="90"/>
      <c r="S90" s="90"/>
      <c r="T90" s="264"/>
      <c r="U90" s="90"/>
      <c r="V90" s="90"/>
      <c r="W90" s="90"/>
      <c r="X90" s="90"/>
      <c r="Y90" s="90"/>
      <c r="Z90" s="90"/>
      <c r="AA90" s="90"/>
    </row>
    <row r="91" ht="15.75" customHeight="1">
      <c r="A91" s="90"/>
      <c r="B91" s="292"/>
      <c r="C91" s="293"/>
      <c r="D91" s="90"/>
      <c r="E91" s="293"/>
      <c r="F91" s="294"/>
      <c r="G91" s="292"/>
      <c r="H91" s="293"/>
      <c r="I91" s="294"/>
      <c r="J91" s="90"/>
      <c r="K91" s="296"/>
      <c r="L91" s="296"/>
      <c r="M91" s="296"/>
      <c r="N91" s="296"/>
      <c r="O91" s="296"/>
      <c r="P91" s="296"/>
      <c r="Q91" s="297"/>
      <c r="R91" s="90"/>
      <c r="S91" s="90"/>
      <c r="T91" s="264"/>
      <c r="U91" s="90"/>
      <c r="V91" s="90"/>
      <c r="W91" s="90"/>
      <c r="X91" s="90"/>
      <c r="Y91" s="90"/>
      <c r="Z91" s="90"/>
      <c r="AA91" s="90"/>
    </row>
    <row r="92" ht="15.75" customHeight="1">
      <c r="A92" s="90"/>
      <c r="B92" s="292"/>
      <c r="C92" s="293"/>
      <c r="D92" s="90"/>
      <c r="E92" s="293"/>
      <c r="F92" s="294"/>
      <c r="G92" s="292"/>
      <c r="H92" s="293"/>
      <c r="I92" s="294"/>
      <c r="J92" s="90"/>
      <c r="K92" s="296"/>
      <c r="L92" s="296"/>
      <c r="M92" s="296"/>
      <c r="N92" s="296"/>
      <c r="O92" s="296"/>
      <c r="P92" s="296"/>
      <c r="Q92" s="297"/>
      <c r="R92" s="90"/>
      <c r="S92" s="90"/>
      <c r="T92" s="264"/>
      <c r="U92" s="90"/>
      <c r="V92" s="90"/>
      <c r="W92" s="90"/>
      <c r="X92" s="90"/>
      <c r="Y92" s="90"/>
      <c r="Z92" s="90"/>
      <c r="AA92" s="90"/>
    </row>
    <row r="93" ht="15.75" customHeight="1">
      <c r="A93" s="90"/>
      <c r="B93" s="292"/>
      <c r="C93" s="293"/>
      <c r="D93" s="90"/>
      <c r="E93" s="293"/>
      <c r="F93" s="294"/>
      <c r="G93" s="292"/>
      <c r="H93" s="293"/>
      <c r="I93" s="294"/>
      <c r="J93" s="90"/>
      <c r="K93" s="296"/>
      <c r="L93" s="296"/>
      <c r="M93" s="296"/>
      <c r="N93" s="296"/>
      <c r="O93" s="296"/>
      <c r="P93" s="296"/>
      <c r="Q93" s="297"/>
      <c r="R93" s="90"/>
      <c r="S93" s="90"/>
      <c r="T93" s="264"/>
      <c r="U93" s="90"/>
      <c r="V93" s="90"/>
      <c r="W93" s="90"/>
      <c r="X93" s="90"/>
      <c r="Y93" s="90"/>
      <c r="Z93" s="90"/>
      <c r="AA93" s="90"/>
    </row>
    <row r="94" ht="15.75" customHeight="1">
      <c r="A94" s="90"/>
      <c r="B94" s="292"/>
      <c r="C94" s="293"/>
      <c r="D94" s="90"/>
      <c r="E94" s="293"/>
      <c r="F94" s="294"/>
      <c r="G94" s="292"/>
      <c r="H94" s="293"/>
      <c r="I94" s="294"/>
      <c r="J94" s="90"/>
      <c r="K94" s="296"/>
      <c r="L94" s="296"/>
      <c r="M94" s="296"/>
      <c r="N94" s="296"/>
      <c r="O94" s="296"/>
      <c r="P94" s="296"/>
      <c r="Q94" s="297"/>
      <c r="R94" s="90"/>
      <c r="S94" s="90"/>
      <c r="T94" s="264"/>
      <c r="U94" s="90"/>
      <c r="V94" s="90"/>
      <c r="W94" s="90"/>
      <c r="X94" s="90"/>
      <c r="Y94" s="90"/>
      <c r="Z94" s="90"/>
      <c r="AA94" s="90"/>
    </row>
    <row r="95" ht="15.75" customHeight="1">
      <c r="A95" s="90"/>
      <c r="B95" s="292"/>
      <c r="C95" s="293"/>
      <c r="D95" s="90"/>
      <c r="E95" s="293"/>
      <c r="F95" s="294"/>
      <c r="G95" s="292"/>
      <c r="H95" s="293"/>
      <c r="I95" s="294"/>
      <c r="J95" s="90"/>
      <c r="K95" s="296"/>
      <c r="L95" s="296"/>
      <c r="M95" s="296"/>
      <c r="N95" s="296"/>
      <c r="O95" s="296"/>
      <c r="P95" s="296"/>
      <c r="Q95" s="297"/>
      <c r="R95" s="90"/>
      <c r="S95" s="90"/>
      <c r="T95" s="264"/>
      <c r="U95" s="90"/>
      <c r="V95" s="90"/>
      <c r="W95" s="90"/>
      <c r="X95" s="90"/>
      <c r="Y95" s="90"/>
      <c r="Z95" s="90"/>
      <c r="AA95" s="90"/>
    </row>
    <row r="96" ht="15.75" customHeight="1">
      <c r="A96" s="90"/>
      <c r="B96" s="292"/>
      <c r="C96" s="293"/>
      <c r="D96" s="90"/>
      <c r="E96" s="293"/>
      <c r="F96" s="294"/>
      <c r="G96" s="292"/>
      <c r="H96" s="293"/>
      <c r="I96" s="294"/>
      <c r="J96" s="90"/>
      <c r="K96" s="296"/>
      <c r="L96" s="296"/>
      <c r="M96" s="296"/>
      <c r="N96" s="296"/>
      <c r="O96" s="296"/>
      <c r="P96" s="296"/>
      <c r="Q96" s="297"/>
      <c r="R96" s="90"/>
      <c r="S96" s="90"/>
      <c r="T96" s="264"/>
      <c r="U96" s="90"/>
      <c r="V96" s="90"/>
      <c r="W96" s="90"/>
      <c r="X96" s="90"/>
      <c r="Y96" s="90"/>
      <c r="Z96" s="90"/>
      <c r="AA96" s="90"/>
    </row>
    <row r="97" ht="15.75" customHeight="1">
      <c r="A97" s="90"/>
      <c r="B97" s="292"/>
      <c r="C97" s="293"/>
      <c r="D97" s="90"/>
      <c r="E97" s="293"/>
      <c r="F97" s="294"/>
      <c r="G97" s="292"/>
      <c r="H97" s="293"/>
      <c r="I97" s="294"/>
      <c r="J97" s="90"/>
      <c r="K97" s="296"/>
      <c r="L97" s="296"/>
      <c r="M97" s="296"/>
      <c r="N97" s="296"/>
      <c r="O97" s="296"/>
      <c r="P97" s="296"/>
      <c r="Q97" s="297"/>
      <c r="R97" s="90"/>
      <c r="S97" s="90"/>
      <c r="T97" s="264"/>
      <c r="U97" s="90"/>
      <c r="V97" s="90"/>
      <c r="W97" s="90"/>
      <c r="X97" s="90"/>
      <c r="Y97" s="90"/>
      <c r="Z97" s="90"/>
      <c r="AA97" s="90"/>
    </row>
    <row r="98" ht="15.75" customHeight="1">
      <c r="A98" s="90"/>
      <c r="B98" s="292"/>
      <c r="C98" s="293"/>
      <c r="D98" s="90"/>
      <c r="E98" s="293"/>
      <c r="F98" s="294"/>
      <c r="G98" s="292"/>
      <c r="H98" s="293"/>
      <c r="I98" s="294"/>
      <c r="J98" s="90"/>
      <c r="K98" s="296"/>
      <c r="L98" s="296"/>
      <c r="M98" s="296"/>
      <c r="N98" s="296"/>
      <c r="O98" s="296"/>
      <c r="P98" s="296"/>
      <c r="Q98" s="297"/>
      <c r="R98" s="90"/>
      <c r="S98" s="90"/>
      <c r="T98" s="264"/>
      <c r="U98" s="90"/>
      <c r="V98" s="90"/>
      <c r="W98" s="90"/>
      <c r="X98" s="90"/>
      <c r="Y98" s="90"/>
      <c r="Z98" s="90"/>
      <c r="AA98" s="90"/>
    </row>
    <row r="99" ht="15.75" customHeight="1">
      <c r="A99" s="90"/>
      <c r="B99" s="292"/>
      <c r="C99" s="293"/>
      <c r="D99" s="90"/>
      <c r="E99" s="293"/>
      <c r="F99" s="294"/>
      <c r="G99" s="292"/>
      <c r="H99" s="293"/>
      <c r="I99" s="294"/>
      <c r="J99" s="90"/>
      <c r="K99" s="296"/>
      <c r="L99" s="296"/>
      <c r="M99" s="296"/>
      <c r="N99" s="296"/>
      <c r="O99" s="296"/>
      <c r="P99" s="296"/>
      <c r="Q99" s="297"/>
      <c r="R99" s="90"/>
      <c r="S99" s="90"/>
      <c r="T99" s="264"/>
      <c r="U99" s="90"/>
      <c r="V99" s="90"/>
      <c r="W99" s="90"/>
      <c r="X99" s="90"/>
      <c r="Y99" s="90"/>
      <c r="Z99" s="90"/>
      <c r="AA99" s="90"/>
    </row>
    <row r="100" ht="15.75" customHeight="1">
      <c r="A100" s="90"/>
      <c r="B100" s="292"/>
      <c r="C100" s="293"/>
      <c r="D100" s="90"/>
      <c r="E100" s="293"/>
      <c r="F100" s="294"/>
      <c r="G100" s="292"/>
      <c r="H100" s="293"/>
      <c r="I100" s="294"/>
      <c r="J100" s="90"/>
      <c r="K100" s="296"/>
      <c r="L100" s="296"/>
      <c r="M100" s="296"/>
      <c r="N100" s="296"/>
      <c r="O100" s="296"/>
      <c r="P100" s="296"/>
      <c r="Q100" s="297"/>
      <c r="R100" s="90"/>
      <c r="S100" s="90"/>
      <c r="T100" s="264"/>
      <c r="U100" s="90"/>
      <c r="V100" s="90"/>
      <c r="W100" s="90"/>
      <c r="X100" s="90"/>
      <c r="Y100" s="90"/>
      <c r="Z100" s="90"/>
      <c r="AA100" s="90"/>
    </row>
    <row r="101" ht="15.75" customHeight="1">
      <c r="A101" s="90"/>
      <c r="B101" s="292"/>
      <c r="C101" s="293"/>
      <c r="D101" s="90"/>
      <c r="E101" s="293"/>
      <c r="F101" s="294"/>
      <c r="G101" s="292"/>
      <c r="H101" s="293"/>
      <c r="I101" s="294"/>
      <c r="J101" s="90"/>
      <c r="K101" s="296"/>
      <c r="L101" s="296"/>
      <c r="M101" s="296"/>
      <c r="N101" s="296"/>
      <c r="O101" s="296"/>
      <c r="P101" s="296"/>
      <c r="Q101" s="297"/>
      <c r="R101" s="90"/>
      <c r="S101" s="90"/>
      <c r="T101" s="264"/>
      <c r="U101" s="90"/>
      <c r="V101" s="90"/>
      <c r="W101" s="90"/>
      <c r="X101" s="90"/>
      <c r="Y101" s="90"/>
      <c r="Z101" s="90"/>
      <c r="AA101" s="90"/>
    </row>
    <row r="102" ht="15.75" customHeight="1">
      <c r="A102" s="90"/>
      <c r="B102" s="292"/>
      <c r="C102" s="293"/>
      <c r="D102" s="90"/>
      <c r="E102" s="293"/>
      <c r="F102" s="294"/>
      <c r="G102" s="292"/>
      <c r="H102" s="293"/>
      <c r="I102" s="294"/>
      <c r="J102" s="90"/>
      <c r="K102" s="296"/>
      <c r="L102" s="296"/>
      <c r="M102" s="296"/>
      <c r="N102" s="296"/>
      <c r="O102" s="296"/>
      <c r="P102" s="296"/>
      <c r="Q102" s="297"/>
      <c r="R102" s="90"/>
      <c r="S102" s="90"/>
      <c r="T102" s="264"/>
      <c r="U102" s="90"/>
      <c r="V102" s="90"/>
      <c r="W102" s="90"/>
      <c r="X102" s="90"/>
      <c r="Y102" s="90"/>
      <c r="Z102" s="90"/>
      <c r="AA102" s="90"/>
    </row>
    <row r="103" ht="15.75" customHeight="1">
      <c r="A103" s="90"/>
      <c r="B103" s="292"/>
      <c r="C103" s="293"/>
      <c r="D103" s="90"/>
      <c r="E103" s="293"/>
      <c r="F103" s="294"/>
      <c r="G103" s="292"/>
      <c r="H103" s="293"/>
      <c r="I103" s="294"/>
      <c r="J103" s="90"/>
      <c r="K103" s="296"/>
      <c r="L103" s="296"/>
      <c r="M103" s="296"/>
      <c r="N103" s="296"/>
      <c r="O103" s="296"/>
      <c r="P103" s="296"/>
      <c r="Q103" s="297"/>
      <c r="R103" s="90"/>
      <c r="S103" s="90"/>
      <c r="T103" s="264"/>
      <c r="U103" s="90"/>
      <c r="V103" s="90"/>
      <c r="W103" s="90"/>
      <c r="X103" s="90"/>
      <c r="Y103" s="90"/>
      <c r="Z103" s="90"/>
      <c r="AA103" s="90"/>
    </row>
    <row r="104" ht="15.75" customHeight="1">
      <c r="A104" s="90"/>
      <c r="B104" s="292"/>
      <c r="C104" s="293"/>
      <c r="D104" s="90"/>
      <c r="E104" s="293"/>
      <c r="F104" s="294"/>
      <c r="G104" s="292"/>
      <c r="H104" s="293"/>
      <c r="I104" s="294"/>
      <c r="J104" s="90"/>
      <c r="K104" s="296"/>
      <c r="L104" s="296"/>
      <c r="M104" s="296"/>
      <c r="N104" s="296"/>
      <c r="O104" s="296"/>
      <c r="P104" s="296"/>
      <c r="Q104" s="297"/>
      <c r="R104" s="90"/>
      <c r="S104" s="90"/>
      <c r="T104" s="264"/>
      <c r="U104" s="90"/>
      <c r="V104" s="90"/>
      <c r="W104" s="90"/>
      <c r="X104" s="90"/>
      <c r="Y104" s="90"/>
      <c r="Z104" s="90"/>
      <c r="AA104" s="90"/>
    </row>
    <row r="105" ht="15.75" customHeight="1">
      <c r="A105" s="90"/>
      <c r="B105" s="292"/>
      <c r="C105" s="293"/>
      <c r="D105" s="90"/>
      <c r="E105" s="293"/>
      <c r="F105" s="294"/>
      <c r="G105" s="292"/>
      <c r="H105" s="293"/>
      <c r="I105" s="294"/>
      <c r="J105" s="90"/>
      <c r="K105" s="296"/>
      <c r="L105" s="296"/>
      <c r="M105" s="296"/>
      <c r="N105" s="296"/>
      <c r="O105" s="296"/>
      <c r="P105" s="296"/>
      <c r="Q105" s="297"/>
      <c r="R105" s="90"/>
      <c r="S105" s="90"/>
      <c r="T105" s="264"/>
      <c r="U105" s="90"/>
      <c r="V105" s="90"/>
      <c r="W105" s="90"/>
      <c r="X105" s="90"/>
      <c r="Y105" s="90"/>
      <c r="Z105" s="90"/>
      <c r="AA105" s="90"/>
    </row>
    <row r="106" ht="15.75" customHeight="1">
      <c r="A106" s="90"/>
      <c r="B106" s="292"/>
      <c r="C106" s="293"/>
      <c r="D106" s="90"/>
      <c r="E106" s="293"/>
      <c r="F106" s="294"/>
      <c r="G106" s="292"/>
      <c r="H106" s="293"/>
      <c r="I106" s="294"/>
      <c r="J106" s="90"/>
      <c r="K106" s="296"/>
      <c r="L106" s="296"/>
      <c r="M106" s="296"/>
      <c r="N106" s="296"/>
      <c r="O106" s="296"/>
      <c r="P106" s="296"/>
      <c r="Q106" s="297"/>
      <c r="R106" s="90"/>
      <c r="S106" s="90"/>
      <c r="T106" s="264"/>
      <c r="U106" s="90"/>
      <c r="V106" s="90"/>
      <c r="W106" s="90"/>
      <c r="X106" s="90"/>
      <c r="Y106" s="90"/>
      <c r="Z106" s="90"/>
      <c r="AA106" s="90"/>
    </row>
    <row r="107" ht="15.75" customHeight="1">
      <c r="A107" s="90"/>
      <c r="B107" s="292"/>
      <c r="C107" s="293"/>
      <c r="D107" s="90"/>
      <c r="E107" s="293"/>
      <c r="F107" s="294"/>
      <c r="G107" s="292"/>
      <c r="H107" s="293"/>
      <c r="I107" s="294"/>
      <c r="J107" s="90"/>
      <c r="K107" s="296"/>
      <c r="L107" s="296"/>
      <c r="M107" s="296"/>
      <c r="N107" s="296"/>
      <c r="O107" s="296"/>
      <c r="P107" s="296"/>
      <c r="Q107" s="297"/>
      <c r="R107" s="90"/>
      <c r="S107" s="90"/>
      <c r="T107" s="264"/>
      <c r="U107" s="90"/>
      <c r="V107" s="90"/>
      <c r="W107" s="90"/>
      <c r="X107" s="90"/>
      <c r="Y107" s="90"/>
      <c r="Z107" s="90"/>
      <c r="AA107" s="90"/>
    </row>
    <row r="108" ht="15.75" customHeight="1">
      <c r="A108" s="90"/>
      <c r="B108" s="292"/>
      <c r="C108" s="293"/>
      <c r="D108" s="90"/>
      <c r="E108" s="293"/>
      <c r="F108" s="294"/>
      <c r="G108" s="292"/>
      <c r="H108" s="293"/>
      <c r="I108" s="294"/>
      <c r="J108" s="90"/>
      <c r="K108" s="296"/>
      <c r="L108" s="296"/>
      <c r="M108" s="296"/>
      <c r="N108" s="296"/>
      <c r="O108" s="296"/>
      <c r="P108" s="296"/>
      <c r="Q108" s="297"/>
      <c r="R108" s="90"/>
      <c r="S108" s="90"/>
      <c r="T108" s="264"/>
      <c r="U108" s="90"/>
      <c r="V108" s="90"/>
      <c r="W108" s="90"/>
      <c r="X108" s="90"/>
      <c r="Y108" s="90"/>
      <c r="Z108" s="90"/>
      <c r="AA108" s="90"/>
    </row>
    <row r="109" ht="15.75" customHeight="1">
      <c r="A109" s="90"/>
      <c r="B109" s="292"/>
      <c r="C109" s="293"/>
      <c r="D109" s="90"/>
      <c r="E109" s="293"/>
      <c r="F109" s="294"/>
      <c r="G109" s="292"/>
      <c r="H109" s="293"/>
      <c r="I109" s="294"/>
      <c r="J109" s="90"/>
      <c r="K109" s="296"/>
      <c r="L109" s="296"/>
      <c r="M109" s="296"/>
      <c r="N109" s="296"/>
      <c r="O109" s="296"/>
      <c r="P109" s="296"/>
      <c r="Q109" s="297"/>
      <c r="R109" s="90"/>
      <c r="S109" s="90"/>
      <c r="T109" s="264"/>
      <c r="U109" s="90"/>
      <c r="V109" s="90"/>
      <c r="W109" s="90"/>
      <c r="X109" s="90"/>
      <c r="Y109" s="90"/>
      <c r="Z109" s="90"/>
      <c r="AA109" s="90"/>
    </row>
    <row r="110" ht="15.75" customHeight="1">
      <c r="A110" s="90"/>
      <c r="B110" s="292"/>
      <c r="C110" s="293"/>
      <c r="D110" s="90"/>
      <c r="E110" s="293"/>
      <c r="F110" s="294"/>
      <c r="G110" s="292"/>
      <c r="H110" s="293"/>
      <c r="I110" s="294"/>
      <c r="J110" s="90"/>
      <c r="K110" s="296"/>
      <c r="L110" s="296"/>
      <c r="M110" s="296"/>
      <c r="N110" s="296"/>
      <c r="O110" s="296"/>
      <c r="P110" s="296"/>
      <c r="Q110" s="297"/>
      <c r="R110" s="90"/>
      <c r="S110" s="90"/>
      <c r="T110" s="264"/>
      <c r="U110" s="90"/>
      <c r="V110" s="90"/>
      <c r="W110" s="90"/>
      <c r="X110" s="90"/>
      <c r="Y110" s="90"/>
      <c r="Z110" s="90"/>
      <c r="AA110" s="90"/>
    </row>
    <row r="111" ht="15.75" customHeight="1">
      <c r="A111" s="90"/>
      <c r="B111" s="292"/>
      <c r="C111" s="293"/>
      <c r="D111" s="90"/>
      <c r="E111" s="293"/>
      <c r="F111" s="294"/>
      <c r="G111" s="292"/>
      <c r="H111" s="293"/>
      <c r="I111" s="294"/>
      <c r="J111" s="90"/>
      <c r="K111" s="296"/>
      <c r="L111" s="296"/>
      <c r="M111" s="296"/>
      <c r="N111" s="296"/>
      <c r="O111" s="296"/>
      <c r="P111" s="296"/>
      <c r="Q111" s="297"/>
      <c r="R111" s="90"/>
      <c r="S111" s="90"/>
      <c r="T111" s="264"/>
      <c r="U111" s="90"/>
      <c r="V111" s="90"/>
      <c r="W111" s="90"/>
      <c r="X111" s="90"/>
      <c r="Y111" s="90"/>
      <c r="Z111" s="90"/>
      <c r="AA111" s="90"/>
    </row>
    <row r="112" ht="15.75" customHeight="1">
      <c r="A112" s="90"/>
      <c r="B112" s="292"/>
      <c r="C112" s="293"/>
      <c r="D112" s="90"/>
      <c r="E112" s="293"/>
      <c r="F112" s="294"/>
      <c r="G112" s="292"/>
      <c r="H112" s="293"/>
      <c r="I112" s="294"/>
      <c r="J112" s="90"/>
      <c r="K112" s="296"/>
      <c r="L112" s="296"/>
      <c r="M112" s="296"/>
      <c r="N112" s="296"/>
      <c r="O112" s="296"/>
      <c r="P112" s="296"/>
      <c r="Q112" s="297"/>
      <c r="R112" s="90"/>
      <c r="S112" s="90"/>
      <c r="T112" s="264"/>
      <c r="U112" s="90"/>
      <c r="V112" s="90"/>
      <c r="W112" s="90"/>
      <c r="X112" s="90"/>
      <c r="Y112" s="90"/>
      <c r="Z112" s="90"/>
      <c r="AA112" s="90"/>
    </row>
    <row r="113" ht="15.75" customHeight="1">
      <c r="A113" s="90"/>
      <c r="B113" s="292"/>
      <c r="C113" s="293"/>
      <c r="D113" s="90"/>
      <c r="E113" s="293"/>
      <c r="F113" s="294"/>
      <c r="G113" s="292"/>
      <c r="H113" s="293"/>
      <c r="I113" s="294"/>
      <c r="J113" s="90"/>
      <c r="K113" s="296"/>
      <c r="L113" s="296"/>
      <c r="M113" s="296"/>
      <c r="N113" s="296"/>
      <c r="O113" s="296"/>
      <c r="P113" s="296"/>
      <c r="Q113" s="297"/>
      <c r="R113" s="90"/>
      <c r="S113" s="90"/>
      <c r="T113" s="264"/>
      <c r="U113" s="90"/>
      <c r="V113" s="90"/>
      <c r="W113" s="90"/>
      <c r="X113" s="90"/>
      <c r="Y113" s="90"/>
      <c r="Z113" s="90"/>
      <c r="AA113" s="90"/>
    </row>
    <row r="114" ht="15.75" customHeight="1">
      <c r="A114" s="90"/>
      <c r="B114" s="292"/>
      <c r="C114" s="293"/>
      <c r="D114" s="90"/>
      <c r="E114" s="293"/>
      <c r="F114" s="294"/>
      <c r="G114" s="292"/>
      <c r="H114" s="293"/>
      <c r="I114" s="294"/>
      <c r="J114" s="90"/>
      <c r="K114" s="296"/>
      <c r="L114" s="296"/>
      <c r="M114" s="296"/>
      <c r="N114" s="296"/>
      <c r="O114" s="296"/>
      <c r="P114" s="296"/>
      <c r="Q114" s="297"/>
      <c r="R114" s="90"/>
      <c r="S114" s="90"/>
      <c r="T114" s="264"/>
      <c r="U114" s="90"/>
      <c r="V114" s="90"/>
      <c r="W114" s="90"/>
      <c r="X114" s="90"/>
      <c r="Y114" s="90"/>
      <c r="Z114" s="90"/>
      <c r="AA114" s="90"/>
    </row>
    <row r="115" ht="15.75" customHeight="1">
      <c r="A115" s="90"/>
      <c r="B115" s="292"/>
      <c r="C115" s="293"/>
      <c r="D115" s="90"/>
      <c r="E115" s="293"/>
      <c r="F115" s="294"/>
      <c r="G115" s="292"/>
      <c r="H115" s="293"/>
      <c r="I115" s="294"/>
      <c r="J115" s="90"/>
      <c r="K115" s="296"/>
      <c r="L115" s="296"/>
      <c r="M115" s="296"/>
      <c r="N115" s="296"/>
      <c r="O115" s="296"/>
      <c r="P115" s="296"/>
      <c r="Q115" s="297"/>
      <c r="R115" s="90"/>
      <c r="S115" s="90"/>
      <c r="T115" s="264"/>
      <c r="U115" s="90"/>
      <c r="V115" s="90"/>
      <c r="W115" s="90"/>
      <c r="X115" s="90"/>
      <c r="Y115" s="90"/>
      <c r="Z115" s="90"/>
      <c r="AA115" s="90"/>
    </row>
    <row r="116" ht="15.75" customHeight="1">
      <c r="A116" s="90"/>
      <c r="B116" s="292"/>
      <c r="C116" s="293"/>
      <c r="D116" s="90"/>
      <c r="E116" s="293"/>
      <c r="F116" s="294"/>
      <c r="G116" s="292"/>
      <c r="H116" s="293"/>
      <c r="I116" s="294"/>
      <c r="J116" s="90"/>
      <c r="K116" s="296"/>
      <c r="L116" s="296"/>
      <c r="M116" s="296"/>
      <c r="N116" s="296"/>
      <c r="O116" s="296"/>
      <c r="P116" s="296"/>
      <c r="Q116" s="297"/>
      <c r="R116" s="90"/>
      <c r="S116" s="90"/>
      <c r="T116" s="264"/>
      <c r="U116" s="90"/>
      <c r="V116" s="90"/>
      <c r="W116" s="90"/>
      <c r="X116" s="90"/>
      <c r="Y116" s="90"/>
      <c r="Z116" s="90"/>
      <c r="AA116" s="90"/>
    </row>
    <row r="117" ht="15.75" customHeight="1">
      <c r="A117" s="90"/>
      <c r="B117" s="292"/>
      <c r="C117" s="293"/>
      <c r="D117" s="90"/>
      <c r="E117" s="293"/>
      <c r="F117" s="294"/>
      <c r="G117" s="292"/>
      <c r="H117" s="293"/>
      <c r="I117" s="294"/>
      <c r="J117" s="90"/>
      <c r="K117" s="296"/>
      <c r="L117" s="296"/>
      <c r="M117" s="296"/>
      <c r="N117" s="296"/>
      <c r="O117" s="296"/>
      <c r="P117" s="296"/>
      <c r="Q117" s="297"/>
      <c r="R117" s="90"/>
      <c r="S117" s="90"/>
      <c r="T117" s="264"/>
      <c r="U117" s="90"/>
      <c r="V117" s="90"/>
      <c r="W117" s="90"/>
      <c r="X117" s="90"/>
      <c r="Y117" s="90"/>
      <c r="Z117" s="90"/>
      <c r="AA117" s="90"/>
    </row>
    <row r="118" ht="15.75" customHeight="1">
      <c r="A118" s="90"/>
      <c r="B118" s="292"/>
      <c r="C118" s="293"/>
      <c r="D118" s="90"/>
      <c r="E118" s="293"/>
      <c r="F118" s="294"/>
      <c r="G118" s="292"/>
      <c r="H118" s="293"/>
      <c r="I118" s="294"/>
      <c r="J118" s="90"/>
      <c r="K118" s="296"/>
      <c r="L118" s="296"/>
      <c r="M118" s="296"/>
      <c r="N118" s="296"/>
      <c r="O118" s="296"/>
      <c r="P118" s="296"/>
      <c r="Q118" s="297"/>
      <c r="R118" s="90"/>
      <c r="S118" s="90"/>
      <c r="T118" s="264"/>
      <c r="U118" s="90"/>
      <c r="V118" s="90"/>
      <c r="W118" s="90"/>
      <c r="X118" s="90"/>
      <c r="Y118" s="90"/>
      <c r="Z118" s="90"/>
      <c r="AA118" s="90"/>
    </row>
    <row r="119" ht="15.75" customHeight="1">
      <c r="A119" s="90"/>
      <c r="B119" s="292"/>
      <c r="C119" s="293"/>
      <c r="D119" s="90"/>
      <c r="E119" s="293"/>
      <c r="F119" s="294"/>
      <c r="G119" s="292"/>
      <c r="H119" s="293"/>
      <c r="I119" s="294"/>
      <c r="J119" s="90"/>
      <c r="K119" s="296"/>
      <c r="L119" s="296"/>
      <c r="M119" s="296"/>
      <c r="N119" s="296"/>
      <c r="O119" s="296"/>
      <c r="P119" s="296"/>
      <c r="Q119" s="297"/>
      <c r="R119" s="90"/>
      <c r="S119" s="90"/>
      <c r="T119" s="264"/>
      <c r="U119" s="90"/>
      <c r="V119" s="90"/>
      <c r="W119" s="90"/>
      <c r="X119" s="90"/>
      <c r="Y119" s="90"/>
      <c r="Z119" s="90"/>
      <c r="AA119" s="90"/>
    </row>
    <row r="120" ht="15.75" customHeight="1">
      <c r="A120" s="90"/>
      <c r="B120" s="292"/>
      <c r="C120" s="293"/>
      <c r="D120" s="90"/>
      <c r="E120" s="293"/>
      <c r="F120" s="294"/>
      <c r="G120" s="292"/>
      <c r="H120" s="293"/>
      <c r="I120" s="294"/>
      <c r="J120" s="90"/>
      <c r="K120" s="296"/>
      <c r="L120" s="296"/>
      <c r="M120" s="296"/>
      <c r="N120" s="296"/>
      <c r="O120" s="296"/>
      <c r="P120" s="296"/>
      <c r="Q120" s="297"/>
      <c r="R120" s="90"/>
      <c r="S120" s="90"/>
      <c r="T120" s="264"/>
      <c r="U120" s="90"/>
      <c r="V120" s="90"/>
      <c r="W120" s="90"/>
      <c r="X120" s="90"/>
      <c r="Y120" s="90"/>
      <c r="Z120" s="90"/>
      <c r="AA120" s="90"/>
    </row>
    <row r="121" ht="15.75" customHeight="1">
      <c r="A121" s="90"/>
      <c r="B121" s="292"/>
      <c r="C121" s="293"/>
      <c r="D121" s="90"/>
      <c r="E121" s="293"/>
      <c r="F121" s="294"/>
      <c r="G121" s="292"/>
      <c r="H121" s="293"/>
      <c r="I121" s="294"/>
      <c r="J121" s="90"/>
      <c r="K121" s="296"/>
      <c r="L121" s="296"/>
      <c r="M121" s="296"/>
      <c r="N121" s="296"/>
      <c r="O121" s="296"/>
      <c r="P121" s="296"/>
      <c r="Q121" s="297"/>
      <c r="R121" s="90"/>
      <c r="S121" s="90"/>
      <c r="T121" s="264"/>
      <c r="U121" s="90"/>
      <c r="V121" s="90"/>
      <c r="W121" s="90"/>
      <c r="X121" s="90"/>
      <c r="Y121" s="90"/>
      <c r="Z121" s="90"/>
      <c r="AA121" s="90"/>
    </row>
    <row r="122" ht="15.75" customHeight="1">
      <c r="A122" s="90"/>
      <c r="B122" s="292"/>
      <c r="C122" s="293"/>
      <c r="D122" s="90"/>
      <c r="E122" s="293"/>
      <c r="F122" s="294"/>
      <c r="G122" s="292"/>
      <c r="H122" s="293"/>
      <c r="I122" s="294"/>
      <c r="J122" s="90"/>
      <c r="K122" s="296"/>
      <c r="L122" s="296"/>
      <c r="M122" s="296"/>
      <c r="N122" s="296"/>
      <c r="O122" s="296"/>
      <c r="P122" s="296"/>
      <c r="Q122" s="297"/>
      <c r="R122" s="90"/>
      <c r="S122" s="90"/>
      <c r="T122" s="264"/>
      <c r="U122" s="90"/>
      <c r="V122" s="90"/>
      <c r="W122" s="90"/>
      <c r="X122" s="90"/>
      <c r="Y122" s="90"/>
      <c r="Z122" s="90"/>
      <c r="AA122" s="90"/>
    </row>
    <row r="123" ht="15.75" customHeight="1">
      <c r="A123" s="90"/>
      <c r="B123" s="292"/>
      <c r="C123" s="293"/>
      <c r="D123" s="90"/>
      <c r="E123" s="293"/>
      <c r="F123" s="294"/>
      <c r="G123" s="292"/>
      <c r="H123" s="293"/>
      <c r="I123" s="294"/>
      <c r="J123" s="90"/>
      <c r="K123" s="296"/>
      <c r="L123" s="296"/>
      <c r="M123" s="296"/>
      <c r="N123" s="296"/>
      <c r="O123" s="296"/>
      <c r="P123" s="296"/>
      <c r="Q123" s="297"/>
      <c r="R123" s="90"/>
      <c r="S123" s="90"/>
      <c r="T123" s="264"/>
      <c r="U123" s="90"/>
      <c r="V123" s="90"/>
      <c r="W123" s="90"/>
      <c r="X123" s="90"/>
      <c r="Y123" s="90"/>
      <c r="Z123" s="90"/>
      <c r="AA123" s="90"/>
    </row>
    <row r="124" ht="15.75" customHeight="1">
      <c r="A124" s="90"/>
      <c r="B124" s="292"/>
      <c r="C124" s="293"/>
      <c r="D124" s="90"/>
      <c r="E124" s="293"/>
      <c r="F124" s="294"/>
      <c r="G124" s="292"/>
      <c r="H124" s="293"/>
      <c r="I124" s="294"/>
      <c r="J124" s="90"/>
      <c r="K124" s="296"/>
      <c r="L124" s="296"/>
      <c r="M124" s="296"/>
      <c r="N124" s="296"/>
      <c r="O124" s="296"/>
      <c r="P124" s="296"/>
      <c r="Q124" s="297"/>
      <c r="R124" s="90"/>
      <c r="S124" s="90"/>
      <c r="T124" s="264"/>
      <c r="U124" s="90"/>
      <c r="V124" s="90"/>
      <c r="W124" s="90"/>
      <c r="X124" s="90"/>
      <c r="Y124" s="90"/>
      <c r="Z124" s="90"/>
      <c r="AA124" s="90"/>
    </row>
    <row r="125" ht="15.75" customHeight="1">
      <c r="A125" s="90"/>
      <c r="B125" s="292"/>
      <c r="C125" s="293"/>
      <c r="D125" s="90"/>
      <c r="E125" s="293"/>
      <c r="F125" s="294"/>
      <c r="G125" s="292"/>
      <c r="H125" s="293"/>
      <c r="I125" s="294"/>
      <c r="J125" s="90"/>
      <c r="K125" s="296"/>
      <c r="L125" s="296"/>
      <c r="M125" s="296"/>
      <c r="N125" s="296"/>
      <c r="O125" s="296"/>
      <c r="P125" s="296"/>
      <c r="Q125" s="297"/>
      <c r="R125" s="90"/>
      <c r="S125" s="90"/>
      <c r="T125" s="264"/>
      <c r="U125" s="90"/>
      <c r="V125" s="90"/>
      <c r="W125" s="90"/>
      <c r="X125" s="90"/>
      <c r="Y125" s="90"/>
      <c r="Z125" s="90"/>
      <c r="AA125" s="90"/>
    </row>
    <row r="126" ht="15.75" customHeight="1">
      <c r="A126" s="90"/>
      <c r="B126" s="292"/>
      <c r="C126" s="293"/>
      <c r="D126" s="90"/>
      <c r="E126" s="293"/>
      <c r="F126" s="294"/>
      <c r="G126" s="292"/>
      <c r="H126" s="293"/>
      <c r="I126" s="294"/>
      <c r="J126" s="90"/>
      <c r="K126" s="296"/>
      <c r="L126" s="296"/>
      <c r="M126" s="296"/>
      <c r="N126" s="296"/>
      <c r="O126" s="296"/>
      <c r="P126" s="296"/>
      <c r="Q126" s="297"/>
      <c r="R126" s="90"/>
      <c r="S126" s="90"/>
      <c r="T126" s="264"/>
      <c r="U126" s="90"/>
      <c r="V126" s="90"/>
      <c r="W126" s="90"/>
      <c r="X126" s="90"/>
      <c r="Y126" s="90"/>
      <c r="Z126" s="90"/>
      <c r="AA126" s="90"/>
    </row>
    <row r="127" ht="15.75" customHeight="1">
      <c r="A127" s="90"/>
      <c r="B127" s="292"/>
      <c r="C127" s="293"/>
      <c r="D127" s="90"/>
      <c r="E127" s="293"/>
      <c r="F127" s="294"/>
      <c r="G127" s="292"/>
      <c r="H127" s="293"/>
      <c r="I127" s="294"/>
      <c r="J127" s="90"/>
      <c r="K127" s="296"/>
      <c r="L127" s="296"/>
      <c r="M127" s="296"/>
      <c r="N127" s="296"/>
      <c r="O127" s="296"/>
      <c r="P127" s="296"/>
      <c r="Q127" s="297"/>
      <c r="R127" s="90"/>
      <c r="S127" s="90"/>
      <c r="T127" s="264"/>
      <c r="U127" s="90"/>
      <c r="V127" s="90"/>
      <c r="W127" s="90"/>
      <c r="X127" s="90"/>
      <c r="Y127" s="90"/>
      <c r="Z127" s="90"/>
      <c r="AA127" s="90"/>
    </row>
    <row r="128" ht="15.75" customHeight="1">
      <c r="A128" s="90"/>
      <c r="B128" s="292"/>
      <c r="C128" s="293"/>
      <c r="D128" s="90"/>
      <c r="E128" s="293"/>
      <c r="F128" s="294"/>
      <c r="G128" s="292"/>
      <c r="H128" s="293"/>
      <c r="I128" s="294"/>
      <c r="J128" s="90"/>
      <c r="K128" s="296"/>
      <c r="L128" s="296"/>
      <c r="M128" s="296"/>
      <c r="N128" s="296"/>
      <c r="O128" s="296"/>
      <c r="P128" s="296"/>
      <c r="Q128" s="297"/>
      <c r="R128" s="90"/>
      <c r="S128" s="90"/>
      <c r="T128" s="264"/>
      <c r="U128" s="90"/>
      <c r="V128" s="90"/>
      <c r="W128" s="90"/>
      <c r="X128" s="90"/>
      <c r="Y128" s="90"/>
      <c r="Z128" s="90"/>
      <c r="AA128" s="90"/>
    </row>
    <row r="129" ht="15.75" customHeight="1">
      <c r="A129" s="90"/>
      <c r="B129" s="292"/>
      <c r="C129" s="293"/>
      <c r="D129" s="90"/>
      <c r="E129" s="293"/>
      <c r="F129" s="294"/>
      <c r="G129" s="292"/>
      <c r="H129" s="293"/>
      <c r="I129" s="294"/>
      <c r="J129" s="90"/>
      <c r="K129" s="296"/>
      <c r="L129" s="296"/>
      <c r="M129" s="296"/>
      <c r="N129" s="296"/>
      <c r="O129" s="296"/>
      <c r="P129" s="296"/>
      <c r="Q129" s="297"/>
      <c r="R129" s="90"/>
      <c r="S129" s="90"/>
      <c r="T129" s="264"/>
      <c r="U129" s="90"/>
      <c r="V129" s="90"/>
      <c r="W129" s="90"/>
      <c r="X129" s="90"/>
      <c r="Y129" s="90"/>
      <c r="Z129" s="90"/>
      <c r="AA129" s="90"/>
    </row>
    <row r="130" ht="15.75" customHeight="1">
      <c r="A130" s="90"/>
      <c r="B130" s="292"/>
      <c r="C130" s="293"/>
      <c r="D130" s="90"/>
      <c r="E130" s="293"/>
      <c r="F130" s="294"/>
      <c r="G130" s="292"/>
      <c r="H130" s="293"/>
      <c r="I130" s="294"/>
      <c r="J130" s="90"/>
      <c r="K130" s="296"/>
      <c r="L130" s="296"/>
      <c r="M130" s="296"/>
      <c r="N130" s="296"/>
      <c r="O130" s="296"/>
      <c r="P130" s="296"/>
      <c r="Q130" s="297"/>
      <c r="R130" s="90"/>
      <c r="S130" s="90"/>
      <c r="T130" s="264"/>
      <c r="U130" s="90"/>
      <c r="V130" s="90"/>
      <c r="W130" s="90"/>
      <c r="X130" s="90"/>
      <c r="Y130" s="90"/>
      <c r="Z130" s="90"/>
      <c r="AA130" s="90"/>
    </row>
    <row r="131" ht="15.75" customHeight="1">
      <c r="A131" s="90"/>
      <c r="B131" s="292"/>
      <c r="C131" s="293"/>
      <c r="D131" s="90"/>
      <c r="E131" s="293"/>
      <c r="F131" s="294"/>
      <c r="G131" s="292"/>
      <c r="H131" s="293"/>
      <c r="I131" s="294"/>
      <c r="J131" s="90"/>
      <c r="K131" s="296"/>
      <c r="L131" s="296"/>
      <c r="M131" s="296"/>
      <c r="N131" s="296"/>
      <c r="O131" s="296"/>
      <c r="P131" s="296"/>
      <c r="Q131" s="297"/>
      <c r="R131" s="90"/>
      <c r="S131" s="90"/>
      <c r="T131" s="264"/>
      <c r="U131" s="90"/>
      <c r="V131" s="90"/>
      <c r="W131" s="90"/>
      <c r="X131" s="90"/>
      <c r="Y131" s="90"/>
      <c r="Z131" s="90"/>
      <c r="AA131" s="90"/>
    </row>
    <row r="132" ht="15.75" customHeight="1">
      <c r="A132" s="90"/>
      <c r="B132" s="292"/>
      <c r="C132" s="293"/>
      <c r="D132" s="90"/>
      <c r="E132" s="293"/>
      <c r="F132" s="294"/>
      <c r="G132" s="292"/>
      <c r="H132" s="293"/>
      <c r="I132" s="294"/>
      <c r="J132" s="90"/>
      <c r="K132" s="296"/>
      <c r="L132" s="296"/>
      <c r="M132" s="296"/>
      <c r="N132" s="296"/>
      <c r="O132" s="296"/>
      <c r="P132" s="296"/>
      <c r="Q132" s="297"/>
      <c r="R132" s="90"/>
      <c r="S132" s="90"/>
      <c r="T132" s="264"/>
      <c r="U132" s="90"/>
      <c r="V132" s="90"/>
      <c r="W132" s="90"/>
      <c r="X132" s="90"/>
      <c r="Y132" s="90"/>
      <c r="Z132" s="90"/>
      <c r="AA132" s="90"/>
    </row>
    <row r="133" ht="15.75" customHeight="1">
      <c r="A133" s="90"/>
      <c r="B133" s="292"/>
      <c r="C133" s="293"/>
      <c r="D133" s="90"/>
      <c r="E133" s="293"/>
      <c r="F133" s="294"/>
      <c r="G133" s="292"/>
      <c r="H133" s="293"/>
      <c r="I133" s="294"/>
      <c r="J133" s="90"/>
      <c r="K133" s="296"/>
      <c r="L133" s="296"/>
      <c r="M133" s="296"/>
      <c r="N133" s="296"/>
      <c r="O133" s="296"/>
      <c r="P133" s="296"/>
      <c r="Q133" s="297"/>
      <c r="R133" s="90"/>
      <c r="S133" s="90"/>
      <c r="T133" s="264"/>
      <c r="U133" s="90"/>
      <c r="V133" s="90"/>
      <c r="W133" s="90"/>
      <c r="X133" s="90"/>
      <c r="Y133" s="90"/>
      <c r="Z133" s="90"/>
      <c r="AA133" s="90"/>
    </row>
    <row r="134" ht="15.75" customHeight="1">
      <c r="A134" s="90"/>
      <c r="B134" s="292"/>
      <c r="C134" s="293"/>
      <c r="D134" s="90"/>
      <c r="E134" s="293"/>
      <c r="F134" s="294"/>
      <c r="G134" s="292"/>
      <c r="H134" s="293"/>
      <c r="I134" s="294"/>
      <c r="J134" s="90"/>
      <c r="K134" s="296"/>
      <c r="L134" s="296"/>
      <c r="M134" s="296"/>
      <c r="N134" s="296"/>
      <c r="O134" s="296"/>
      <c r="P134" s="296"/>
      <c r="Q134" s="297"/>
      <c r="R134" s="90"/>
      <c r="S134" s="90"/>
      <c r="T134" s="264"/>
      <c r="U134" s="90"/>
      <c r="V134" s="90"/>
      <c r="W134" s="90"/>
      <c r="X134" s="90"/>
      <c r="Y134" s="90"/>
      <c r="Z134" s="90"/>
      <c r="AA134" s="90"/>
    </row>
    <row r="135" ht="15.75" customHeight="1">
      <c r="A135" s="90"/>
      <c r="B135" s="292"/>
      <c r="C135" s="293"/>
      <c r="D135" s="90"/>
      <c r="E135" s="293"/>
      <c r="F135" s="294"/>
      <c r="G135" s="292"/>
      <c r="H135" s="293"/>
      <c r="I135" s="294"/>
      <c r="J135" s="90"/>
      <c r="K135" s="296"/>
      <c r="L135" s="296"/>
      <c r="M135" s="296"/>
      <c r="N135" s="296"/>
      <c r="O135" s="296"/>
      <c r="P135" s="296"/>
      <c r="Q135" s="297"/>
      <c r="R135" s="90"/>
      <c r="S135" s="90"/>
      <c r="T135" s="264"/>
      <c r="U135" s="90"/>
      <c r="V135" s="90"/>
      <c r="W135" s="90"/>
      <c r="X135" s="90"/>
      <c r="Y135" s="90"/>
      <c r="Z135" s="90"/>
      <c r="AA135" s="90"/>
    </row>
    <row r="136" ht="15.75" customHeight="1">
      <c r="A136" s="90"/>
      <c r="B136" s="292"/>
      <c r="C136" s="293"/>
      <c r="D136" s="90"/>
      <c r="E136" s="293"/>
      <c r="F136" s="294"/>
      <c r="G136" s="292"/>
      <c r="H136" s="293"/>
      <c r="I136" s="294"/>
      <c r="J136" s="90"/>
      <c r="K136" s="296"/>
      <c r="L136" s="296"/>
      <c r="M136" s="296"/>
      <c r="N136" s="296"/>
      <c r="O136" s="296"/>
      <c r="P136" s="296"/>
      <c r="Q136" s="297"/>
      <c r="R136" s="90"/>
      <c r="S136" s="90"/>
      <c r="T136" s="264"/>
      <c r="U136" s="90"/>
      <c r="V136" s="90"/>
      <c r="W136" s="90"/>
      <c r="X136" s="90"/>
      <c r="Y136" s="90"/>
      <c r="Z136" s="90"/>
      <c r="AA136" s="90"/>
    </row>
    <row r="137" ht="15.75" customHeight="1">
      <c r="A137" s="90"/>
      <c r="B137" s="292"/>
      <c r="C137" s="293"/>
      <c r="D137" s="90"/>
      <c r="E137" s="293"/>
      <c r="F137" s="294"/>
      <c r="G137" s="292"/>
      <c r="H137" s="293"/>
      <c r="I137" s="294"/>
      <c r="J137" s="90"/>
      <c r="K137" s="296"/>
      <c r="L137" s="296"/>
      <c r="M137" s="296"/>
      <c r="N137" s="296"/>
      <c r="O137" s="296"/>
      <c r="P137" s="296"/>
      <c r="Q137" s="297"/>
      <c r="R137" s="90"/>
      <c r="S137" s="90"/>
      <c r="T137" s="264"/>
      <c r="U137" s="90"/>
      <c r="V137" s="90"/>
      <c r="W137" s="90"/>
      <c r="X137" s="90"/>
      <c r="Y137" s="90"/>
      <c r="Z137" s="90"/>
      <c r="AA137" s="90"/>
    </row>
    <row r="138" ht="15.75" customHeight="1">
      <c r="A138" s="90"/>
      <c r="B138" s="292"/>
      <c r="C138" s="293"/>
      <c r="D138" s="90"/>
      <c r="E138" s="293"/>
      <c r="F138" s="294"/>
      <c r="G138" s="292"/>
      <c r="H138" s="293"/>
      <c r="I138" s="294"/>
      <c r="J138" s="90"/>
      <c r="K138" s="296"/>
      <c r="L138" s="296"/>
      <c r="M138" s="296"/>
      <c r="N138" s="296"/>
      <c r="O138" s="296"/>
      <c r="P138" s="296"/>
      <c r="Q138" s="297"/>
      <c r="R138" s="90"/>
      <c r="S138" s="90"/>
      <c r="T138" s="264"/>
      <c r="U138" s="90"/>
      <c r="V138" s="90"/>
      <c r="W138" s="90"/>
      <c r="X138" s="90"/>
      <c r="Y138" s="90"/>
      <c r="Z138" s="90"/>
      <c r="AA138" s="90"/>
    </row>
    <row r="139" ht="15.75" customHeight="1">
      <c r="A139" s="90"/>
      <c r="B139" s="292"/>
      <c r="C139" s="293"/>
      <c r="D139" s="90"/>
      <c r="E139" s="293"/>
      <c r="F139" s="294"/>
      <c r="G139" s="292"/>
      <c r="H139" s="293"/>
      <c r="I139" s="294"/>
      <c r="J139" s="90"/>
      <c r="K139" s="296"/>
      <c r="L139" s="296"/>
      <c r="M139" s="296"/>
      <c r="N139" s="296"/>
      <c r="O139" s="296"/>
      <c r="P139" s="296"/>
      <c r="Q139" s="297"/>
      <c r="R139" s="90"/>
      <c r="S139" s="90"/>
      <c r="T139" s="264"/>
      <c r="U139" s="90"/>
      <c r="V139" s="90"/>
      <c r="W139" s="90"/>
      <c r="X139" s="90"/>
      <c r="Y139" s="90"/>
      <c r="Z139" s="90"/>
      <c r="AA139" s="90"/>
    </row>
    <row r="140" ht="15.75" customHeight="1">
      <c r="A140" s="90"/>
      <c r="B140" s="292"/>
      <c r="C140" s="293"/>
      <c r="D140" s="90"/>
      <c r="E140" s="293"/>
      <c r="F140" s="294"/>
      <c r="G140" s="292"/>
      <c r="H140" s="293"/>
      <c r="I140" s="294"/>
      <c r="J140" s="90"/>
      <c r="K140" s="296"/>
      <c r="L140" s="296"/>
      <c r="M140" s="296"/>
      <c r="N140" s="296"/>
      <c r="O140" s="296"/>
      <c r="P140" s="296"/>
      <c r="Q140" s="297"/>
      <c r="R140" s="90"/>
      <c r="S140" s="90"/>
      <c r="T140" s="264"/>
      <c r="U140" s="90"/>
      <c r="V140" s="90"/>
      <c r="W140" s="90"/>
      <c r="X140" s="90"/>
      <c r="Y140" s="90"/>
      <c r="Z140" s="90"/>
      <c r="AA140" s="90"/>
    </row>
    <row r="141" ht="15.75" customHeight="1">
      <c r="A141" s="90"/>
      <c r="B141" s="292"/>
      <c r="C141" s="293"/>
      <c r="D141" s="90"/>
      <c r="E141" s="293"/>
      <c r="F141" s="294"/>
      <c r="G141" s="292"/>
      <c r="H141" s="293"/>
      <c r="I141" s="294"/>
      <c r="J141" s="90"/>
      <c r="K141" s="296"/>
      <c r="L141" s="296"/>
      <c r="M141" s="296"/>
      <c r="N141" s="296"/>
      <c r="O141" s="296"/>
      <c r="P141" s="296"/>
      <c r="Q141" s="297"/>
      <c r="R141" s="90"/>
      <c r="S141" s="90"/>
      <c r="T141" s="264"/>
      <c r="U141" s="90"/>
      <c r="V141" s="90"/>
      <c r="W141" s="90"/>
      <c r="X141" s="90"/>
      <c r="Y141" s="90"/>
      <c r="Z141" s="90"/>
      <c r="AA141" s="90"/>
    </row>
    <row r="142" ht="15.75" customHeight="1">
      <c r="A142" s="90"/>
      <c r="B142" s="292"/>
      <c r="C142" s="293"/>
      <c r="D142" s="90"/>
      <c r="E142" s="293"/>
      <c r="F142" s="294"/>
      <c r="G142" s="292"/>
      <c r="H142" s="293"/>
      <c r="I142" s="294"/>
      <c r="J142" s="90"/>
      <c r="K142" s="296"/>
      <c r="L142" s="296"/>
      <c r="M142" s="296"/>
      <c r="N142" s="296"/>
      <c r="O142" s="296"/>
      <c r="P142" s="296"/>
      <c r="Q142" s="297"/>
      <c r="R142" s="90"/>
      <c r="S142" s="90"/>
      <c r="T142" s="264"/>
      <c r="U142" s="90"/>
      <c r="V142" s="90"/>
      <c r="W142" s="90"/>
      <c r="X142" s="90"/>
      <c r="Y142" s="90"/>
      <c r="Z142" s="90"/>
      <c r="AA142" s="90"/>
    </row>
    <row r="143" ht="15.75" customHeight="1">
      <c r="A143" s="90"/>
      <c r="B143" s="292"/>
      <c r="C143" s="293"/>
      <c r="D143" s="90"/>
      <c r="E143" s="293"/>
      <c r="F143" s="294"/>
      <c r="G143" s="292"/>
      <c r="H143" s="293"/>
      <c r="I143" s="294"/>
      <c r="J143" s="90"/>
      <c r="K143" s="296"/>
      <c r="L143" s="296"/>
      <c r="M143" s="296"/>
      <c r="N143" s="296"/>
      <c r="O143" s="296"/>
      <c r="P143" s="296"/>
      <c r="Q143" s="297"/>
      <c r="R143" s="90"/>
      <c r="S143" s="90"/>
      <c r="T143" s="264"/>
      <c r="U143" s="90"/>
      <c r="V143" s="90"/>
      <c r="W143" s="90"/>
      <c r="X143" s="90"/>
      <c r="Y143" s="90"/>
      <c r="Z143" s="90"/>
      <c r="AA143" s="90"/>
    </row>
    <row r="144" ht="15.75" customHeight="1">
      <c r="A144" s="90"/>
      <c r="B144" s="292"/>
      <c r="C144" s="293"/>
      <c r="D144" s="90"/>
      <c r="E144" s="293"/>
      <c r="F144" s="294"/>
      <c r="G144" s="292"/>
      <c r="H144" s="293"/>
      <c r="I144" s="294"/>
      <c r="J144" s="90"/>
      <c r="K144" s="296"/>
      <c r="L144" s="296"/>
      <c r="M144" s="296"/>
      <c r="N144" s="296"/>
      <c r="O144" s="296"/>
      <c r="P144" s="296"/>
      <c r="Q144" s="297"/>
      <c r="R144" s="90"/>
      <c r="S144" s="90"/>
      <c r="T144" s="264"/>
      <c r="U144" s="90"/>
      <c r="V144" s="90"/>
      <c r="W144" s="90"/>
      <c r="X144" s="90"/>
      <c r="Y144" s="90"/>
      <c r="Z144" s="90"/>
      <c r="AA144" s="90"/>
    </row>
    <row r="145" ht="15.75" customHeight="1">
      <c r="A145" s="90"/>
      <c r="B145" s="292"/>
      <c r="C145" s="293"/>
      <c r="D145" s="90"/>
      <c r="E145" s="293"/>
      <c r="F145" s="294"/>
      <c r="G145" s="292"/>
      <c r="H145" s="293"/>
      <c r="I145" s="294"/>
      <c r="J145" s="90"/>
      <c r="K145" s="296"/>
      <c r="L145" s="296"/>
      <c r="M145" s="296"/>
      <c r="N145" s="296"/>
      <c r="O145" s="296"/>
      <c r="P145" s="296"/>
      <c r="Q145" s="297"/>
      <c r="R145" s="90"/>
      <c r="S145" s="90"/>
      <c r="T145" s="264"/>
      <c r="U145" s="90"/>
      <c r="V145" s="90"/>
      <c r="W145" s="90"/>
      <c r="X145" s="90"/>
      <c r="Y145" s="90"/>
      <c r="Z145" s="90"/>
      <c r="AA145" s="90"/>
    </row>
    <row r="146" ht="15.75" customHeight="1">
      <c r="A146" s="90"/>
      <c r="B146" s="292"/>
      <c r="C146" s="293"/>
      <c r="D146" s="90"/>
      <c r="E146" s="293"/>
      <c r="F146" s="294"/>
      <c r="G146" s="292"/>
      <c r="H146" s="293"/>
      <c r="I146" s="294"/>
      <c r="J146" s="90"/>
      <c r="K146" s="296"/>
      <c r="L146" s="296"/>
      <c r="M146" s="296"/>
      <c r="N146" s="296"/>
      <c r="O146" s="296"/>
      <c r="P146" s="296"/>
      <c r="Q146" s="297"/>
      <c r="R146" s="90"/>
      <c r="S146" s="90"/>
      <c r="T146" s="264"/>
      <c r="U146" s="90"/>
      <c r="V146" s="90"/>
      <c r="W146" s="90"/>
      <c r="X146" s="90"/>
      <c r="Y146" s="90"/>
      <c r="Z146" s="90"/>
      <c r="AA146" s="90"/>
    </row>
    <row r="147" ht="15.75" customHeight="1">
      <c r="A147" s="90"/>
      <c r="B147" s="292"/>
      <c r="C147" s="293"/>
      <c r="D147" s="90"/>
      <c r="E147" s="293"/>
      <c r="F147" s="294"/>
      <c r="G147" s="292"/>
      <c r="H147" s="293"/>
      <c r="I147" s="294"/>
      <c r="J147" s="90"/>
      <c r="K147" s="296"/>
      <c r="L147" s="296"/>
      <c r="M147" s="296"/>
      <c r="N147" s="296"/>
      <c r="O147" s="296"/>
      <c r="P147" s="296"/>
      <c r="Q147" s="297"/>
      <c r="R147" s="90"/>
      <c r="S147" s="90"/>
      <c r="T147" s="264"/>
      <c r="U147" s="90"/>
      <c r="V147" s="90"/>
      <c r="W147" s="90"/>
      <c r="X147" s="90"/>
      <c r="Y147" s="90"/>
      <c r="Z147" s="90"/>
      <c r="AA147" s="90"/>
    </row>
    <row r="148" ht="15.75" customHeight="1">
      <c r="A148" s="90"/>
      <c r="B148" s="292"/>
      <c r="C148" s="293"/>
      <c r="D148" s="90"/>
      <c r="E148" s="293"/>
      <c r="F148" s="294"/>
      <c r="G148" s="292"/>
      <c r="H148" s="293"/>
      <c r="I148" s="294"/>
      <c r="J148" s="90"/>
      <c r="K148" s="296"/>
      <c r="L148" s="296"/>
      <c r="M148" s="296"/>
      <c r="N148" s="296"/>
      <c r="O148" s="296"/>
      <c r="P148" s="296"/>
      <c r="Q148" s="297"/>
      <c r="R148" s="90"/>
      <c r="S148" s="90"/>
      <c r="T148" s="264"/>
      <c r="U148" s="90"/>
      <c r="V148" s="90"/>
      <c r="W148" s="90"/>
      <c r="X148" s="90"/>
      <c r="Y148" s="90"/>
      <c r="Z148" s="90"/>
      <c r="AA148" s="90"/>
    </row>
    <row r="149" ht="15.75" customHeight="1">
      <c r="A149" s="90"/>
      <c r="B149" s="292"/>
      <c r="C149" s="293"/>
      <c r="D149" s="90"/>
      <c r="E149" s="293"/>
      <c r="F149" s="294"/>
      <c r="G149" s="292"/>
      <c r="H149" s="293"/>
      <c r="I149" s="294"/>
      <c r="J149" s="90"/>
      <c r="K149" s="296"/>
      <c r="L149" s="296"/>
      <c r="M149" s="296"/>
      <c r="N149" s="296"/>
      <c r="O149" s="296"/>
      <c r="P149" s="296"/>
      <c r="Q149" s="297"/>
      <c r="R149" s="90"/>
      <c r="S149" s="90"/>
      <c r="T149" s="264"/>
      <c r="U149" s="90"/>
      <c r="V149" s="90"/>
      <c r="W149" s="90"/>
      <c r="X149" s="90"/>
      <c r="Y149" s="90"/>
      <c r="Z149" s="90"/>
      <c r="AA149" s="90"/>
    </row>
    <row r="150" ht="15.75" customHeight="1">
      <c r="A150" s="90"/>
      <c r="B150" s="292"/>
      <c r="C150" s="293"/>
      <c r="D150" s="90"/>
      <c r="E150" s="293"/>
      <c r="F150" s="294"/>
      <c r="G150" s="292"/>
      <c r="H150" s="293"/>
      <c r="I150" s="294"/>
      <c r="J150" s="90"/>
      <c r="K150" s="296"/>
      <c r="L150" s="296"/>
      <c r="M150" s="296"/>
      <c r="N150" s="296"/>
      <c r="O150" s="296"/>
      <c r="P150" s="296"/>
      <c r="Q150" s="297"/>
      <c r="R150" s="90"/>
      <c r="S150" s="90"/>
      <c r="T150" s="264"/>
      <c r="U150" s="90"/>
      <c r="V150" s="90"/>
      <c r="W150" s="90"/>
      <c r="X150" s="90"/>
      <c r="Y150" s="90"/>
      <c r="Z150" s="90"/>
      <c r="AA150" s="90"/>
    </row>
    <row r="151" ht="15.75" customHeight="1">
      <c r="A151" s="90"/>
      <c r="B151" s="292"/>
      <c r="C151" s="293"/>
      <c r="D151" s="90"/>
      <c r="E151" s="293"/>
      <c r="F151" s="294"/>
      <c r="G151" s="292"/>
      <c r="H151" s="293"/>
      <c r="I151" s="294"/>
      <c r="J151" s="90"/>
      <c r="K151" s="296"/>
      <c r="L151" s="296"/>
      <c r="M151" s="296"/>
      <c r="N151" s="296"/>
      <c r="O151" s="296"/>
      <c r="P151" s="296"/>
      <c r="Q151" s="297"/>
      <c r="R151" s="90"/>
      <c r="S151" s="90"/>
      <c r="T151" s="264"/>
      <c r="U151" s="90"/>
      <c r="V151" s="90"/>
      <c r="W151" s="90"/>
      <c r="X151" s="90"/>
      <c r="Y151" s="90"/>
      <c r="Z151" s="90"/>
      <c r="AA151" s="90"/>
    </row>
    <row r="152" ht="15.75" customHeight="1">
      <c r="A152" s="90"/>
      <c r="B152" s="292"/>
      <c r="C152" s="293"/>
      <c r="D152" s="90"/>
      <c r="E152" s="293"/>
      <c r="F152" s="294"/>
      <c r="G152" s="292"/>
      <c r="H152" s="293"/>
      <c r="I152" s="294"/>
      <c r="J152" s="90"/>
      <c r="K152" s="296"/>
      <c r="L152" s="296"/>
      <c r="M152" s="296"/>
      <c r="N152" s="296"/>
      <c r="O152" s="296"/>
      <c r="P152" s="296"/>
      <c r="Q152" s="297"/>
      <c r="R152" s="90"/>
      <c r="S152" s="90"/>
      <c r="T152" s="264"/>
      <c r="U152" s="90"/>
      <c r="V152" s="90"/>
      <c r="W152" s="90"/>
      <c r="X152" s="90"/>
      <c r="Y152" s="90"/>
      <c r="Z152" s="90"/>
      <c r="AA152" s="90"/>
    </row>
    <row r="153" ht="15.75" customHeight="1">
      <c r="A153" s="90"/>
      <c r="B153" s="292"/>
      <c r="C153" s="293"/>
      <c r="D153" s="90"/>
      <c r="E153" s="293"/>
      <c r="F153" s="294"/>
      <c r="G153" s="292"/>
      <c r="H153" s="293"/>
      <c r="I153" s="294"/>
      <c r="J153" s="90"/>
      <c r="K153" s="296"/>
      <c r="L153" s="296"/>
      <c r="M153" s="296"/>
      <c r="N153" s="296"/>
      <c r="O153" s="296"/>
      <c r="P153" s="296"/>
      <c r="Q153" s="297"/>
      <c r="R153" s="90"/>
      <c r="S153" s="90"/>
      <c r="T153" s="264"/>
      <c r="U153" s="90"/>
      <c r="V153" s="90"/>
      <c r="W153" s="90"/>
      <c r="X153" s="90"/>
      <c r="Y153" s="90"/>
      <c r="Z153" s="90"/>
      <c r="AA153" s="90"/>
    </row>
    <row r="154" ht="15.75" customHeight="1">
      <c r="A154" s="90"/>
      <c r="B154" s="292"/>
      <c r="C154" s="293"/>
      <c r="D154" s="90"/>
      <c r="E154" s="293"/>
      <c r="F154" s="294"/>
      <c r="G154" s="292"/>
      <c r="H154" s="293"/>
      <c r="I154" s="294"/>
      <c r="J154" s="90"/>
      <c r="K154" s="296"/>
      <c r="L154" s="296"/>
      <c r="M154" s="296"/>
      <c r="N154" s="296"/>
      <c r="O154" s="296"/>
      <c r="P154" s="296"/>
      <c r="Q154" s="297"/>
      <c r="R154" s="90"/>
      <c r="S154" s="90"/>
      <c r="T154" s="264"/>
      <c r="U154" s="90"/>
      <c r="V154" s="90"/>
      <c r="W154" s="90"/>
      <c r="X154" s="90"/>
      <c r="Y154" s="90"/>
      <c r="Z154" s="90"/>
      <c r="AA154" s="90"/>
    </row>
    <row r="155" ht="15.75" customHeight="1">
      <c r="A155" s="90"/>
      <c r="B155" s="292"/>
      <c r="C155" s="293"/>
      <c r="D155" s="90"/>
      <c r="E155" s="293"/>
      <c r="F155" s="294"/>
      <c r="G155" s="292"/>
      <c r="H155" s="293"/>
      <c r="I155" s="294"/>
      <c r="J155" s="90"/>
      <c r="K155" s="296"/>
      <c r="L155" s="296"/>
      <c r="M155" s="296"/>
      <c r="N155" s="296"/>
      <c r="O155" s="296"/>
      <c r="P155" s="296"/>
      <c r="Q155" s="297"/>
      <c r="R155" s="90"/>
      <c r="S155" s="90"/>
      <c r="T155" s="264"/>
      <c r="U155" s="90"/>
      <c r="V155" s="90"/>
      <c r="W155" s="90"/>
      <c r="X155" s="90"/>
      <c r="Y155" s="90"/>
      <c r="Z155" s="90"/>
      <c r="AA155" s="90"/>
    </row>
    <row r="156" ht="15.75" customHeight="1">
      <c r="A156" s="90"/>
      <c r="B156" s="292"/>
      <c r="C156" s="293"/>
      <c r="D156" s="90"/>
      <c r="E156" s="293"/>
      <c r="F156" s="294"/>
      <c r="G156" s="292"/>
      <c r="H156" s="293"/>
      <c r="I156" s="294"/>
      <c r="J156" s="90"/>
      <c r="K156" s="296"/>
      <c r="L156" s="296"/>
      <c r="M156" s="296"/>
      <c r="N156" s="296"/>
      <c r="O156" s="296"/>
      <c r="P156" s="296"/>
      <c r="Q156" s="297"/>
      <c r="R156" s="90"/>
      <c r="S156" s="90"/>
      <c r="T156" s="264"/>
      <c r="U156" s="90"/>
      <c r="V156" s="90"/>
      <c r="W156" s="90"/>
      <c r="X156" s="90"/>
      <c r="Y156" s="90"/>
      <c r="Z156" s="90"/>
      <c r="AA156" s="90"/>
    </row>
    <row r="157" ht="15.75" customHeight="1">
      <c r="A157" s="90"/>
      <c r="B157" s="292"/>
      <c r="C157" s="293"/>
      <c r="D157" s="90"/>
      <c r="E157" s="293"/>
      <c r="F157" s="294"/>
      <c r="G157" s="292"/>
      <c r="H157" s="293"/>
      <c r="I157" s="294"/>
      <c r="J157" s="90"/>
      <c r="K157" s="296"/>
      <c r="L157" s="296"/>
      <c r="M157" s="296"/>
      <c r="N157" s="296"/>
      <c r="O157" s="296"/>
      <c r="P157" s="296"/>
      <c r="Q157" s="297"/>
      <c r="R157" s="90"/>
      <c r="S157" s="90"/>
      <c r="T157" s="264"/>
      <c r="U157" s="90"/>
      <c r="V157" s="90"/>
      <c r="W157" s="90"/>
      <c r="X157" s="90"/>
      <c r="Y157" s="90"/>
      <c r="Z157" s="90"/>
      <c r="AA157" s="90"/>
    </row>
    <row r="158" ht="15.75" customHeight="1">
      <c r="A158" s="90"/>
      <c r="B158" s="292"/>
      <c r="C158" s="293"/>
      <c r="D158" s="90"/>
      <c r="E158" s="293"/>
      <c r="F158" s="294"/>
      <c r="G158" s="292"/>
      <c r="H158" s="293"/>
      <c r="I158" s="294"/>
      <c r="J158" s="90"/>
      <c r="K158" s="296"/>
      <c r="L158" s="296"/>
      <c r="M158" s="296"/>
      <c r="N158" s="296"/>
      <c r="O158" s="296"/>
      <c r="P158" s="296"/>
      <c r="Q158" s="297"/>
      <c r="R158" s="90"/>
      <c r="S158" s="90"/>
      <c r="T158" s="264"/>
      <c r="U158" s="90"/>
      <c r="V158" s="90"/>
      <c r="W158" s="90"/>
      <c r="X158" s="90"/>
      <c r="Y158" s="90"/>
      <c r="Z158" s="90"/>
      <c r="AA158" s="90"/>
    </row>
    <row r="159" ht="15.75" customHeight="1">
      <c r="A159" s="90"/>
      <c r="B159" s="292"/>
      <c r="C159" s="293"/>
      <c r="D159" s="90"/>
      <c r="E159" s="293"/>
      <c r="F159" s="294"/>
      <c r="G159" s="292"/>
      <c r="H159" s="293"/>
      <c r="I159" s="294"/>
      <c r="J159" s="90"/>
      <c r="K159" s="296"/>
      <c r="L159" s="296"/>
      <c r="M159" s="296"/>
      <c r="N159" s="296"/>
      <c r="O159" s="296"/>
      <c r="P159" s="296"/>
      <c r="Q159" s="297"/>
      <c r="R159" s="90"/>
      <c r="S159" s="90"/>
      <c r="T159" s="264"/>
      <c r="U159" s="90"/>
      <c r="V159" s="90"/>
      <c r="W159" s="90"/>
      <c r="X159" s="90"/>
      <c r="Y159" s="90"/>
      <c r="Z159" s="90"/>
      <c r="AA159" s="90"/>
    </row>
    <row r="160" ht="15.75" customHeight="1">
      <c r="A160" s="90"/>
      <c r="B160" s="292"/>
      <c r="C160" s="293"/>
      <c r="D160" s="90"/>
      <c r="E160" s="293"/>
      <c r="F160" s="294"/>
      <c r="G160" s="292"/>
      <c r="H160" s="293"/>
      <c r="I160" s="294"/>
      <c r="J160" s="90"/>
      <c r="K160" s="296"/>
      <c r="L160" s="296"/>
      <c r="M160" s="296"/>
      <c r="N160" s="296"/>
      <c r="O160" s="296"/>
      <c r="P160" s="296"/>
      <c r="Q160" s="297"/>
      <c r="R160" s="90"/>
      <c r="S160" s="90"/>
      <c r="T160" s="264"/>
      <c r="U160" s="90"/>
      <c r="V160" s="90"/>
      <c r="W160" s="90"/>
      <c r="X160" s="90"/>
      <c r="Y160" s="90"/>
      <c r="Z160" s="90"/>
      <c r="AA160" s="90"/>
    </row>
    <row r="161" ht="15.75" customHeight="1">
      <c r="A161" s="90"/>
      <c r="B161" s="292"/>
      <c r="C161" s="293"/>
      <c r="D161" s="90"/>
      <c r="E161" s="293"/>
      <c r="F161" s="294"/>
      <c r="G161" s="292"/>
      <c r="H161" s="293"/>
      <c r="I161" s="294"/>
      <c r="J161" s="90"/>
      <c r="K161" s="296"/>
      <c r="L161" s="296"/>
      <c r="M161" s="296"/>
      <c r="N161" s="296"/>
      <c r="O161" s="296"/>
      <c r="P161" s="296"/>
      <c r="Q161" s="297"/>
      <c r="R161" s="90"/>
      <c r="S161" s="90"/>
      <c r="T161" s="264"/>
      <c r="U161" s="90"/>
      <c r="V161" s="90"/>
      <c r="W161" s="90"/>
      <c r="X161" s="90"/>
      <c r="Y161" s="90"/>
      <c r="Z161" s="90"/>
      <c r="AA161" s="90"/>
    </row>
    <row r="162" ht="15.75" customHeight="1">
      <c r="A162" s="90"/>
      <c r="B162" s="292"/>
      <c r="C162" s="293"/>
      <c r="D162" s="90"/>
      <c r="E162" s="293"/>
      <c r="F162" s="294"/>
      <c r="G162" s="292"/>
      <c r="H162" s="293"/>
      <c r="I162" s="294"/>
      <c r="J162" s="90"/>
      <c r="K162" s="296"/>
      <c r="L162" s="296"/>
      <c r="M162" s="296"/>
      <c r="N162" s="296"/>
      <c r="O162" s="296"/>
      <c r="P162" s="296"/>
      <c r="Q162" s="297"/>
      <c r="R162" s="90"/>
      <c r="S162" s="90"/>
      <c r="T162" s="264"/>
      <c r="U162" s="90"/>
      <c r="V162" s="90"/>
      <c r="W162" s="90"/>
      <c r="X162" s="90"/>
      <c r="Y162" s="90"/>
      <c r="Z162" s="90"/>
      <c r="AA162" s="90"/>
    </row>
    <row r="163" ht="15.75" customHeight="1">
      <c r="A163" s="90"/>
      <c r="B163" s="292"/>
      <c r="C163" s="293"/>
      <c r="D163" s="90"/>
      <c r="E163" s="293"/>
      <c r="F163" s="294"/>
      <c r="G163" s="292"/>
      <c r="H163" s="293"/>
      <c r="I163" s="294"/>
      <c r="J163" s="90"/>
      <c r="K163" s="296"/>
      <c r="L163" s="296"/>
      <c r="M163" s="296"/>
      <c r="N163" s="296"/>
      <c r="O163" s="296"/>
      <c r="P163" s="296"/>
      <c r="Q163" s="297"/>
      <c r="R163" s="90"/>
      <c r="S163" s="90"/>
      <c r="T163" s="264"/>
      <c r="U163" s="90"/>
      <c r="V163" s="90"/>
      <c r="W163" s="90"/>
      <c r="X163" s="90"/>
      <c r="Y163" s="90"/>
      <c r="Z163" s="90"/>
      <c r="AA163" s="90"/>
    </row>
    <row r="164" ht="15.75" customHeight="1">
      <c r="A164" s="90"/>
      <c r="B164" s="292"/>
      <c r="C164" s="293"/>
      <c r="D164" s="90"/>
      <c r="E164" s="293"/>
      <c r="F164" s="294"/>
      <c r="G164" s="292"/>
      <c r="H164" s="293"/>
      <c r="I164" s="294"/>
      <c r="J164" s="90"/>
      <c r="K164" s="296"/>
      <c r="L164" s="296"/>
      <c r="M164" s="296"/>
      <c r="N164" s="296"/>
      <c r="O164" s="296"/>
      <c r="P164" s="296"/>
      <c r="Q164" s="297"/>
      <c r="R164" s="90"/>
      <c r="S164" s="90"/>
      <c r="T164" s="264"/>
      <c r="U164" s="90"/>
      <c r="V164" s="90"/>
      <c r="W164" s="90"/>
      <c r="X164" s="90"/>
      <c r="Y164" s="90"/>
      <c r="Z164" s="90"/>
      <c r="AA164" s="90"/>
    </row>
    <row r="165" ht="15.75" customHeight="1">
      <c r="A165" s="90"/>
      <c r="B165" s="292"/>
      <c r="C165" s="293"/>
      <c r="D165" s="90"/>
      <c r="E165" s="293"/>
      <c r="F165" s="294"/>
      <c r="G165" s="292"/>
      <c r="H165" s="293"/>
      <c r="I165" s="294"/>
      <c r="J165" s="90"/>
      <c r="K165" s="296"/>
      <c r="L165" s="296"/>
      <c r="M165" s="296"/>
      <c r="N165" s="296"/>
      <c r="O165" s="296"/>
      <c r="P165" s="296"/>
      <c r="Q165" s="297"/>
      <c r="R165" s="90"/>
      <c r="S165" s="90"/>
      <c r="T165" s="264"/>
      <c r="U165" s="90"/>
      <c r="V165" s="90"/>
      <c r="W165" s="90"/>
      <c r="X165" s="90"/>
      <c r="Y165" s="90"/>
      <c r="Z165" s="90"/>
      <c r="AA165" s="90"/>
    </row>
    <row r="166" ht="15.75" customHeight="1">
      <c r="A166" s="90"/>
      <c r="B166" s="292"/>
      <c r="C166" s="293"/>
      <c r="D166" s="90"/>
      <c r="E166" s="293"/>
      <c r="F166" s="294"/>
      <c r="G166" s="292"/>
      <c r="H166" s="293"/>
      <c r="I166" s="294"/>
      <c r="J166" s="90"/>
      <c r="K166" s="296"/>
      <c r="L166" s="296"/>
      <c r="M166" s="296"/>
      <c r="N166" s="296"/>
      <c r="O166" s="296"/>
      <c r="P166" s="296"/>
      <c r="Q166" s="297"/>
      <c r="R166" s="90"/>
      <c r="S166" s="90"/>
      <c r="T166" s="264"/>
      <c r="U166" s="90"/>
      <c r="V166" s="90"/>
      <c r="W166" s="90"/>
      <c r="X166" s="90"/>
      <c r="Y166" s="90"/>
      <c r="Z166" s="90"/>
      <c r="AA166" s="90"/>
    </row>
    <row r="167" ht="15.75" customHeight="1">
      <c r="A167" s="90"/>
      <c r="B167" s="292"/>
      <c r="C167" s="293"/>
      <c r="D167" s="90"/>
      <c r="E167" s="293"/>
      <c r="F167" s="294"/>
      <c r="G167" s="292"/>
      <c r="H167" s="293"/>
      <c r="I167" s="294"/>
      <c r="J167" s="90"/>
      <c r="K167" s="296"/>
      <c r="L167" s="296"/>
      <c r="M167" s="296"/>
      <c r="N167" s="296"/>
      <c r="O167" s="296"/>
      <c r="P167" s="296"/>
      <c r="Q167" s="297"/>
      <c r="R167" s="90"/>
      <c r="S167" s="90"/>
      <c r="T167" s="264"/>
      <c r="U167" s="90"/>
      <c r="V167" s="90"/>
      <c r="W167" s="90"/>
      <c r="X167" s="90"/>
      <c r="Y167" s="90"/>
      <c r="Z167" s="90"/>
      <c r="AA167" s="90"/>
    </row>
    <row r="168" ht="15.75" customHeight="1">
      <c r="A168" s="90"/>
      <c r="B168" s="292"/>
      <c r="C168" s="293"/>
      <c r="D168" s="90"/>
      <c r="E168" s="293"/>
      <c r="F168" s="294"/>
      <c r="G168" s="292"/>
      <c r="H168" s="293"/>
      <c r="I168" s="294"/>
      <c r="J168" s="90"/>
      <c r="K168" s="296"/>
      <c r="L168" s="296"/>
      <c r="M168" s="296"/>
      <c r="N168" s="296"/>
      <c r="O168" s="296"/>
      <c r="P168" s="296"/>
      <c r="Q168" s="297"/>
      <c r="R168" s="90"/>
      <c r="S168" s="90"/>
      <c r="T168" s="264"/>
      <c r="U168" s="90"/>
      <c r="V168" s="90"/>
      <c r="W168" s="90"/>
      <c r="X168" s="90"/>
      <c r="Y168" s="90"/>
      <c r="Z168" s="90"/>
      <c r="AA168" s="90"/>
    </row>
    <row r="169" ht="15.75" customHeight="1">
      <c r="A169" s="90"/>
      <c r="B169" s="292"/>
      <c r="C169" s="293"/>
      <c r="D169" s="90"/>
      <c r="E169" s="293"/>
      <c r="F169" s="294"/>
      <c r="G169" s="292"/>
      <c r="H169" s="293"/>
      <c r="I169" s="294"/>
      <c r="J169" s="90"/>
      <c r="K169" s="296"/>
      <c r="L169" s="296"/>
      <c r="M169" s="296"/>
      <c r="N169" s="296"/>
      <c r="O169" s="296"/>
      <c r="P169" s="296"/>
      <c r="Q169" s="297"/>
      <c r="R169" s="90"/>
      <c r="S169" s="90"/>
      <c r="T169" s="264"/>
      <c r="U169" s="90"/>
      <c r="V169" s="90"/>
      <c r="W169" s="90"/>
      <c r="X169" s="90"/>
      <c r="Y169" s="90"/>
      <c r="Z169" s="90"/>
      <c r="AA169" s="90"/>
    </row>
    <row r="170" ht="15.75" customHeight="1">
      <c r="A170" s="90"/>
      <c r="B170" s="292"/>
      <c r="C170" s="293"/>
      <c r="D170" s="90"/>
      <c r="E170" s="293"/>
      <c r="F170" s="294"/>
      <c r="G170" s="292"/>
      <c r="H170" s="293"/>
      <c r="I170" s="294"/>
      <c r="J170" s="90"/>
      <c r="K170" s="296"/>
      <c r="L170" s="296"/>
      <c r="M170" s="296"/>
      <c r="N170" s="296"/>
      <c r="O170" s="296"/>
      <c r="P170" s="296"/>
      <c r="Q170" s="297"/>
      <c r="R170" s="90"/>
      <c r="S170" s="90"/>
      <c r="T170" s="264"/>
      <c r="U170" s="90"/>
      <c r="V170" s="90"/>
      <c r="W170" s="90"/>
      <c r="X170" s="90"/>
      <c r="Y170" s="90"/>
      <c r="Z170" s="90"/>
      <c r="AA170" s="90"/>
    </row>
    <row r="171" ht="15.75" customHeight="1">
      <c r="A171" s="90"/>
      <c r="B171" s="292"/>
      <c r="C171" s="293"/>
      <c r="D171" s="90"/>
      <c r="E171" s="293"/>
      <c r="F171" s="294"/>
      <c r="G171" s="292"/>
      <c r="H171" s="293"/>
      <c r="I171" s="294"/>
      <c r="J171" s="90"/>
      <c r="K171" s="296"/>
      <c r="L171" s="296"/>
      <c r="M171" s="296"/>
      <c r="N171" s="296"/>
      <c r="O171" s="296"/>
      <c r="P171" s="296"/>
      <c r="Q171" s="297"/>
      <c r="R171" s="90"/>
      <c r="S171" s="90"/>
      <c r="T171" s="264"/>
      <c r="U171" s="90"/>
      <c r="V171" s="90"/>
      <c r="W171" s="90"/>
      <c r="X171" s="90"/>
      <c r="Y171" s="90"/>
      <c r="Z171" s="90"/>
      <c r="AA171" s="90"/>
    </row>
    <row r="172" ht="15.75" customHeight="1">
      <c r="A172" s="90"/>
      <c r="B172" s="292"/>
      <c r="C172" s="293"/>
      <c r="D172" s="90"/>
      <c r="E172" s="293"/>
      <c r="F172" s="294"/>
      <c r="G172" s="292"/>
      <c r="H172" s="293"/>
      <c r="I172" s="294"/>
      <c r="J172" s="90"/>
      <c r="K172" s="296"/>
      <c r="L172" s="296"/>
      <c r="M172" s="296"/>
      <c r="N172" s="296"/>
      <c r="O172" s="296"/>
      <c r="P172" s="296"/>
      <c r="Q172" s="297"/>
      <c r="R172" s="90"/>
      <c r="S172" s="90"/>
      <c r="T172" s="264"/>
      <c r="U172" s="90"/>
      <c r="V172" s="90"/>
      <c r="W172" s="90"/>
      <c r="X172" s="90"/>
      <c r="Y172" s="90"/>
      <c r="Z172" s="90"/>
      <c r="AA172" s="90"/>
    </row>
    <row r="173" ht="15.75" customHeight="1">
      <c r="A173" s="90"/>
      <c r="B173" s="292"/>
      <c r="C173" s="293"/>
      <c r="D173" s="90"/>
      <c r="E173" s="293"/>
      <c r="F173" s="294"/>
      <c r="G173" s="292"/>
      <c r="H173" s="293"/>
      <c r="I173" s="294"/>
      <c r="J173" s="90"/>
      <c r="K173" s="296"/>
      <c r="L173" s="296"/>
      <c r="M173" s="296"/>
      <c r="N173" s="296"/>
      <c r="O173" s="296"/>
      <c r="P173" s="296"/>
      <c r="Q173" s="297"/>
      <c r="R173" s="90"/>
      <c r="S173" s="90"/>
      <c r="T173" s="264"/>
      <c r="U173" s="90"/>
      <c r="V173" s="90"/>
      <c r="W173" s="90"/>
      <c r="X173" s="90"/>
      <c r="Y173" s="90"/>
      <c r="Z173" s="90"/>
      <c r="AA173" s="90"/>
    </row>
    <row r="174" ht="15.75" customHeight="1">
      <c r="A174" s="90"/>
      <c r="B174" s="292"/>
      <c r="C174" s="293"/>
      <c r="D174" s="90"/>
      <c r="E174" s="293"/>
      <c r="F174" s="294"/>
      <c r="G174" s="292"/>
      <c r="H174" s="293"/>
      <c r="I174" s="294"/>
      <c r="J174" s="90"/>
      <c r="K174" s="296"/>
      <c r="L174" s="296"/>
      <c r="M174" s="296"/>
      <c r="N174" s="296"/>
      <c r="O174" s="296"/>
      <c r="P174" s="296"/>
      <c r="Q174" s="297"/>
      <c r="R174" s="90"/>
      <c r="S174" s="90"/>
      <c r="T174" s="264"/>
      <c r="U174" s="90"/>
      <c r="V174" s="90"/>
      <c r="W174" s="90"/>
      <c r="X174" s="90"/>
      <c r="Y174" s="90"/>
      <c r="Z174" s="90"/>
      <c r="AA174" s="90"/>
    </row>
    <row r="175" ht="15.75" customHeight="1">
      <c r="A175" s="90"/>
      <c r="B175" s="292"/>
      <c r="C175" s="293"/>
      <c r="D175" s="90"/>
      <c r="E175" s="293"/>
      <c r="F175" s="294"/>
      <c r="G175" s="292"/>
      <c r="H175" s="293"/>
      <c r="I175" s="294"/>
      <c r="J175" s="90"/>
      <c r="K175" s="296"/>
      <c r="L175" s="296"/>
      <c r="M175" s="296"/>
      <c r="N175" s="296"/>
      <c r="O175" s="296"/>
      <c r="P175" s="296"/>
      <c r="Q175" s="297"/>
      <c r="R175" s="90"/>
      <c r="S175" s="90"/>
      <c r="T175" s="264"/>
      <c r="U175" s="90"/>
      <c r="V175" s="90"/>
      <c r="W175" s="90"/>
      <c r="X175" s="90"/>
      <c r="Y175" s="90"/>
      <c r="Z175" s="90"/>
      <c r="AA175" s="90"/>
    </row>
    <row r="176" ht="15.75" customHeight="1">
      <c r="A176" s="90"/>
      <c r="B176" s="292"/>
      <c r="C176" s="293"/>
      <c r="D176" s="90"/>
      <c r="E176" s="293"/>
      <c r="F176" s="294"/>
      <c r="G176" s="292"/>
      <c r="H176" s="293"/>
      <c r="I176" s="294"/>
      <c r="J176" s="90"/>
      <c r="K176" s="296"/>
      <c r="L176" s="296"/>
      <c r="M176" s="296"/>
      <c r="N176" s="296"/>
      <c r="O176" s="296"/>
      <c r="P176" s="296"/>
      <c r="Q176" s="297"/>
      <c r="R176" s="90"/>
      <c r="S176" s="90"/>
      <c r="T176" s="264"/>
      <c r="U176" s="90"/>
      <c r="V176" s="90"/>
      <c r="W176" s="90"/>
      <c r="X176" s="90"/>
      <c r="Y176" s="90"/>
      <c r="Z176" s="90"/>
      <c r="AA176" s="90"/>
    </row>
    <row r="177" ht="15.75" customHeight="1">
      <c r="A177" s="90"/>
      <c r="B177" s="292"/>
      <c r="C177" s="293"/>
      <c r="D177" s="90"/>
      <c r="E177" s="293"/>
      <c r="F177" s="294"/>
      <c r="G177" s="292"/>
      <c r="H177" s="293"/>
      <c r="I177" s="294"/>
      <c r="J177" s="90"/>
      <c r="K177" s="296"/>
      <c r="L177" s="296"/>
      <c r="M177" s="296"/>
      <c r="N177" s="296"/>
      <c r="O177" s="296"/>
      <c r="P177" s="296"/>
      <c r="Q177" s="297"/>
      <c r="R177" s="90"/>
      <c r="S177" s="90"/>
      <c r="T177" s="264"/>
      <c r="U177" s="90"/>
      <c r="V177" s="90"/>
      <c r="W177" s="90"/>
      <c r="X177" s="90"/>
      <c r="Y177" s="90"/>
      <c r="Z177" s="90"/>
      <c r="AA177" s="90"/>
    </row>
    <row r="178" ht="15.75" customHeight="1">
      <c r="A178" s="90"/>
      <c r="B178" s="292"/>
      <c r="C178" s="293"/>
      <c r="D178" s="90"/>
      <c r="E178" s="293"/>
      <c r="F178" s="294"/>
      <c r="G178" s="292"/>
      <c r="H178" s="293"/>
      <c r="I178" s="294"/>
      <c r="J178" s="90"/>
      <c r="K178" s="296"/>
      <c r="L178" s="296"/>
      <c r="M178" s="296"/>
      <c r="N178" s="296"/>
      <c r="O178" s="296"/>
      <c r="P178" s="296"/>
      <c r="Q178" s="297"/>
      <c r="R178" s="90"/>
      <c r="S178" s="90"/>
      <c r="T178" s="264"/>
      <c r="U178" s="90"/>
      <c r="V178" s="90"/>
      <c r="W178" s="90"/>
      <c r="X178" s="90"/>
      <c r="Y178" s="90"/>
      <c r="Z178" s="90"/>
      <c r="AA178" s="90"/>
    </row>
    <row r="179" ht="15.75" customHeight="1">
      <c r="A179" s="90"/>
      <c r="B179" s="292"/>
      <c r="C179" s="293"/>
      <c r="D179" s="90"/>
      <c r="E179" s="293"/>
      <c r="F179" s="294"/>
      <c r="G179" s="292"/>
      <c r="H179" s="293"/>
      <c r="I179" s="294"/>
      <c r="J179" s="90"/>
      <c r="K179" s="296"/>
      <c r="L179" s="296"/>
      <c r="M179" s="296"/>
      <c r="N179" s="296"/>
      <c r="O179" s="296"/>
      <c r="P179" s="296"/>
      <c r="Q179" s="297"/>
      <c r="R179" s="90"/>
      <c r="S179" s="90"/>
      <c r="T179" s="264"/>
      <c r="U179" s="90"/>
      <c r="V179" s="90"/>
      <c r="W179" s="90"/>
      <c r="X179" s="90"/>
      <c r="Y179" s="90"/>
      <c r="Z179" s="90"/>
      <c r="AA179" s="90"/>
    </row>
    <row r="180" ht="15.75" customHeight="1">
      <c r="A180" s="90"/>
      <c r="B180" s="292"/>
      <c r="C180" s="293"/>
      <c r="D180" s="90"/>
      <c r="E180" s="293"/>
      <c r="F180" s="294"/>
      <c r="G180" s="292"/>
      <c r="H180" s="293"/>
      <c r="I180" s="294"/>
      <c r="J180" s="90"/>
      <c r="K180" s="296"/>
      <c r="L180" s="296"/>
      <c r="M180" s="296"/>
      <c r="N180" s="296"/>
      <c r="O180" s="296"/>
      <c r="P180" s="296"/>
      <c r="Q180" s="297"/>
      <c r="R180" s="90"/>
      <c r="S180" s="90"/>
      <c r="T180" s="264"/>
      <c r="U180" s="90"/>
      <c r="V180" s="90"/>
      <c r="W180" s="90"/>
      <c r="X180" s="90"/>
      <c r="Y180" s="90"/>
      <c r="Z180" s="90"/>
      <c r="AA180" s="90"/>
    </row>
    <row r="181" ht="15.75" customHeight="1">
      <c r="A181" s="90"/>
      <c r="B181" s="292"/>
      <c r="C181" s="293"/>
      <c r="D181" s="90"/>
      <c r="E181" s="293"/>
      <c r="F181" s="294"/>
      <c r="G181" s="292"/>
      <c r="H181" s="293"/>
      <c r="I181" s="294"/>
      <c r="J181" s="90"/>
      <c r="K181" s="296"/>
      <c r="L181" s="296"/>
      <c r="M181" s="296"/>
      <c r="N181" s="296"/>
      <c r="O181" s="296"/>
      <c r="P181" s="296"/>
      <c r="Q181" s="297"/>
      <c r="R181" s="90"/>
      <c r="S181" s="90"/>
      <c r="T181" s="264"/>
      <c r="U181" s="90"/>
      <c r="V181" s="90"/>
      <c r="W181" s="90"/>
      <c r="X181" s="90"/>
      <c r="Y181" s="90"/>
      <c r="Z181" s="90"/>
      <c r="AA181" s="90"/>
    </row>
    <row r="182" ht="15.75" customHeight="1">
      <c r="A182" s="90"/>
      <c r="B182" s="292"/>
      <c r="C182" s="293"/>
      <c r="D182" s="90"/>
      <c r="E182" s="293"/>
      <c r="F182" s="294"/>
      <c r="G182" s="292"/>
      <c r="H182" s="293"/>
      <c r="I182" s="294"/>
      <c r="J182" s="90"/>
      <c r="K182" s="296"/>
      <c r="L182" s="296"/>
      <c r="M182" s="296"/>
      <c r="N182" s="296"/>
      <c r="O182" s="296"/>
      <c r="P182" s="296"/>
      <c r="Q182" s="297"/>
      <c r="R182" s="90"/>
      <c r="S182" s="90"/>
      <c r="T182" s="264"/>
      <c r="U182" s="90"/>
      <c r="V182" s="90"/>
      <c r="W182" s="90"/>
      <c r="X182" s="90"/>
      <c r="Y182" s="90"/>
      <c r="Z182" s="90"/>
      <c r="AA182" s="90"/>
    </row>
    <row r="183" ht="15.75" customHeight="1">
      <c r="A183" s="90"/>
      <c r="B183" s="292"/>
      <c r="C183" s="293"/>
      <c r="D183" s="90"/>
      <c r="E183" s="293"/>
      <c r="F183" s="294"/>
      <c r="G183" s="292"/>
      <c r="H183" s="293"/>
      <c r="I183" s="294"/>
      <c r="J183" s="90"/>
      <c r="K183" s="296"/>
      <c r="L183" s="296"/>
      <c r="M183" s="296"/>
      <c r="N183" s="296"/>
      <c r="O183" s="296"/>
      <c r="P183" s="296"/>
      <c r="Q183" s="297"/>
      <c r="R183" s="90"/>
      <c r="S183" s="90"/>
      <c r="T183" s="264"/>
      <c r="U183" s="90"/>
      <c r="V183" s="90"/>
      <c r="W183" s="90"/>
      <c r="X183" s="90"/>
      <c r="Y183" s="90"/>
      <c r="Z183" s="90"/>
      <c r="AA183" s="90"/>
    </row>
    <row r="184" ht="15.75" customHeight="1">
      <c r="A184" s="90"/>
      <c r="B184" s="292"/>
      <c r="C184" s="293"/>
      <c r="D184" s="90"/>
      <c r="E184" s="293"/>
      <c r="F184" s="294"/>
      <c r="G184" s="292"/>
      <c r="H184" s="293"/>
      <c r="I184" s="294"/>
      <c r="J184" s="90"/>
      <c r="K184" s="296"/>
      <c r="L184" s="296"/>
      <c r="M184" s="296"/>
      <c r="N184" s="296"/>
      <c r="O184" s="296"/>
      <c r="P184" s="296"/>
      <c r="Q184" s="297"/>
      <c r="R184" s="90"/>
      <c r="S184" s="90"/>
      <c r="T184" s="264"/>
      <c r="U184" s="90"/>
      <c r="V184" s="90"/>
      <c r="W184" s="90"/>
      <c r="X184" s="90"/>
      <c r="Y184" s="90"/>
      <c r="Z184" s="90"/>
      <c r="AA184" s="90"/>
    </row>
    <row r="185" ht="15.75" customHeight="1">
      <c r="A185" s="90"/>
      <c r="B185" s="292"/>
      <c r="C185" s="293"/>
      <c r="D185" s="90"/>
      <c r="E185" s="293"/>
      <c r="F185" s="294"/>
      <c r="G185" s="292"/>
      <c r="H185" s="293"/>
      <c r="I185" s="294"/>
      <c r="J185" s="90"/>
      <c r="K185" s="296"/>
      <c r="L185" s="296"/>
      <c r="M185" s="296"/>
      <c r="N185" s="296"/>
      <c r="O185" s="296"/>
      <c r="P185" s="296"/>
      <c r="Q185" s="297"/>
      <c r="R185" s="90"/>
      <c r="S185" s="90"/>
      <c r="T185" s="264"/>
      <c r="U185" s="90"/>
      <c r="V185" s="90"/>
      <c r="W185" s="90"/>
      <c r="X185" s="90"/>
      <c r="Y185" s="90"/>
      <c r="Z185" s="90"/>
      <c r="AA185" s="90"/>
    </row>
    <row r="186" ht="15.75" customHeight="1">
      <c r="A186" s="90"/>
      <c r="B186" s="292"/>
      <c r="C186" s="293"/>
      <c r="D186" s="90"/>
      <c r="E186" s="293"/>
      <c r="F186" s="294"/>
      <c r="G186" s="292"/>
      <c r="H186" s="293"/>
      <c r="I186" s="294"/>
      <c r="J186" s="90"/>
      <c r="K186" s="296"/>
      <c r="L186" s="296"/>
      <c r="M186" s="296"/>
      <c r="N186" s="296"/>
      <c r="O186" s="296"/>
      <c r="P186" s="296"/>
      <c r="Q186" s="297"/>
      <c r="R186" s="90"/>
      <c r="S186" s="90"/>
      <c r="T186" s="264"/>
      <c r="U186" s="90"/>
      <c r="V186" s="90"/>
      <c r="W186" s="90"/>
      <c r="X186" s="90"/>
      <c r="Y186" s="90"/>
      <c r="Z186" s="90"/>
      <c r="AA186" s="90"/>
    </row>
    <row r="187" ht="15.75" customHeight="1">
      <c r="A187" s="90"/>
      <c r="B187" s="292"/>
      <c r="C187" s="293"/>
      <c r="D187" s="90"/>
      <c r="E187" s="293"/>
      <c r="F187" s="294"/>
      <c r="G187" s="292"/>
      <c r="H187" s="293"/>
      <c r="I187" s="294"/>
      <c r="J187" s="90"/>
      <c r="K187" s="296"/>
      <c r="L187" s="296"/>
      <c r="M187" s="296"/>
      <c r="N187" s="296"/>
      <c r="O187" s="296"/>
      <c r="P187" s="296"/>
      <c r="Q187" s="297"/>
      <c r="R187" s="90"/>
      <c r="S187" s="90"/>
      <c r="T187" s="264"/>
      <c r="U187" s="90"/>
      <c r="V187" s="90"/>
      <c r="W187" s="90"/>
      <c r="X187" s="90"/>
      <c r="Y187" s="90"/>
      <c r="Z187" s="90"/>
      <c r="AA187" s="90"/>
    </row>
    <row r="188" ht="15.75" customHeight="1">
      <c r="A188" s="90"/>
      <c r="B188" s="292"/>
      <c r="C188" s="293"/>
      <c r="D188" s="90"/>
      <c r="E188" s="293"/>
      <c r="F188" s="294"/>
      <c r="G188" s="292"/>
      <c r="H188" s="293"/>
      <c r="I188" s="294"/>
      <c r="J188" s="90"/>
      <c r="K188" s="296"/>
      <c r="L188" s="296"/>
      <c r="M188" s="296"/>
      <c r="N188" s="296"/>
      <c r="O188" s="296"/>
      <c r="P188" s="296"/>
      <c r="Q188" s="297"/>
      <c r="R188" s="90"/>
      <c r="S188" s="90"/>
      <c r="T188" s="264"/>
      <c r="U188" s="90"/>
      <c r="V188" s="90"/>
      <c r="W188" s="90"/>
      <c r="X188" s="90"/>
      <c r="Y188" s="90"/>
      <c r="Z188" s="90"/>
      <c r="AA188" s="90"/>
    </row>
    <row r="189" ht="15.75" customHeight="1">
      <c r="A189" s="90"/>
      <c r="B189" s="292"/>
      <c r="C189" s="293"/>
      <c r="D189" s="90"/>
      <c r="E189" s="293"/>
      <c r="F189" s="294"/>
      <c r="G189" s="292"/>
      <c r="H189" s="293"/>
      <c r="I189" s="294"/>
      <c r="J189" s="90"/>
      <c r="K189" s="296"/>
      <c r="L189" s="296"/>
      <c r="M189" s="296"/>
      <c r="N189" s="296"/>
      <c r="O189" s="296"/>
      <c r="P189" s="296"/>
      <c r="Q189" s="297"/>
      <c r="R189" s="90"/>
      <c r="S189" s="90"/>
      <c r="T189" s="264"/>
      <c r="U189" s="90"/>
      <c r="V189" s="90"/>
      <c r="W189" s="90"/>
      <c r="X189" s="90"/>
      <c r="Y189" s="90"/>
      <c r="Z189" s="90"/>
      <c r="AA189" s="90"/>
    </row>
    <row r="190" ht="15.75" customHeight="1">
      <c r="A190" s="90"/>
      <c r="B190" s="292"/>
      <c r="C190" s="293"/>
      <c r="D190" s="90"/>
      <c r="E190" s="293"/>
      <c r="F190" s="294"/>
      <c r="G190" s="292"/>
      <c r="H190" s="293"/>
      <c r="I190" s="294"/>
      <c r="J190" s="90"/>
      <c r="K190" s="296"/>
      <c r="L190" s="296"/>
      <c r="M190" s="296"/>
      <c r="N190" s="296"/>
      <c r="O190" s="296"/>
      <c r="P190" s="296"/>
      <c r="Q190" s="297"/>
      <c r="R190" s="90"/>
      <c r="S190" s="90"/>
      <c r="T190" s="264"/>
      <c r="U190" s="90"/>
      <c r="V190" s="90"/>
      <c r="W190" s="90"/>
      <c r="X190" s="90"/>
      <c r="Y190" s="90"/>
      <c r="Z190" s="90"/>
      <c r="AA190" s="90"/>
    </row>
    <row r="191" ht="15.75" customHeight="1">
      <c r="A191" s="90"/>
      <c r="B191" s="292"/>
      <c r="C191" s="293"/>
      <c r="D191" s="90"/>
      <c r="E191" s="293"/>
      <c r="F191" s="294"/>
      <c r="G191" s="292"/>
      <c r="H191" s="293"/>
      <c r="I191" s="294"/>
      <c r="J191" s="90"/>
      <c r="K191" s="296"/>
      <c r="L191" s="296"/>
      <c r="M191" s="296"/>
      <c r="N191" s="296"/>
      <c r="O191" s="296"/>
      <c r="P191" s="296"/>
      <c r="Q191" s="297"/>
      <c r="R191" s="90"/>
      <c r="S191" s="90"/>
      <c r="T191" s="264"/>
      <c r="U191" s="90"/>
      <c r="V191" s="90"/>
      <c r="W191" s="90"/>
      <c r="X191" s="90"/>
      <c r="Y191" s="90"/>
      <c r="Z191" s="90"/>
      <c r="AA191" s="90"/>
    </row>
    <row r="192" ht="15.75" customHeight="1">
      <c r="A192" s="90"/>
      <c r="B192" s="292"/>
      <c r="C192" s="293"/>
      <c r="D192" s="90"/>
      <c r="E192" s="293"/>
      <c r="F192" s="294"/>
      <c r="G192" s="292"/>
      <c r="H192" s="293"/>
      <c r="I192" s="294"/>
      <c r="J192" s="90"/>
      <c r="K192" s="296"/>
      <c r="L192" s="296"/>
      <c r="M192" s="296"/>
      <c r="N192" s="296"/>
      <c r="O192" s="296"/>
      <c r="P192" s="296"/>
      <c r="Q192" s="297"/>
      <c r="R192" s="90"/>
      <c r="S192" s="90"/>
      <c r="T192" s="264"/>
      <c r="U192" s="90"/>
      <c r="V192" s="90"/>
      <c r="W192" s="90"/>
      <c r="X192" s="90"/>
      <c r="Y192" s="90"/>
      <c r="Z192" s="90"/>
      <c r="AA192" s="90"/>
    </row>
    <row r="193" ht="15.75" customHeight="1">
      <c r="A193" s="90"/>
      <c r="B193" s="292"/>
      <c r="C193" s="293"/>
      <c r="D193" s="90"/>
      <c r="E193" s="293"/>
      <c r="F193" s="294"/>
      <c r="G193" s="292"/>
      <c r="H193" s="293"/>
      <c r="I193" s="294"/>
      <c r="J193" s="90"/>
      <c r="K193" s="296"/>
      <c r="L193" s="296"/>
      <c r="M193" s="296"/>
      <c r="N193" s="296"/>
      <c r="O193" s="296"/>
      <c r="P193" s="296"/>
      <c r="Q193" s="297"/>
      <c r="R193" s="90"/>
      <c r="S193" s="90"/>
      <c r="T193" s="264"/>
      <c r="U193" s="90"/>
      <c r="V193" s="90"/>
      <c r="W193" s="90"/>
      <c r="X193" s="90"/>
      <c r="Y193" s="90"/>
      <c r="Z193" s="90"/>
      <c r="AA193" s="90"/>
    </row>
    <row r="194" ht="15.75" customHeight="1">
      <c r="A194" s="90"/>
      <c r="B194" s="292"/>
      <c r="C194" s="293"/>
      <c r="D194" s="90"/>
      <c r="E194" s="293"/>
      <c r="F194" s="294"/>
      <c r="G194" s="292"/>
      <c r="H194" s="293"/>
      <c r="I194" s="294"/>
      <c r="J194" s="90"/>
      <c r="K194" s="296"/>
      <c r="L194" s="296"/>
      <c r="M194" s="296"/>
      <c r="N194" s="296"/>
      <c r="O194" s="296"/>
      <c r="P194" s="296"/>
      <c r="Q194" s="297"/>
      <c r="R194" s="90"/>
      <c r="S194" s="90"/>
      <c r="T194" s="264"/>
      <c r="U194" s="90"/>
      <c r="V194" s="90"/>
      <c r="W194" s="90"/>
      <c r="X194" s="90"/>
      <c r="Y194" s="90"/>
      <c r="Z194" s="90"/>
      <c r="AA194" s="90"/>
    </row>
    <row r="195" ht="15.75" customHeight="1">
      <c r="A195" s="90"/>
      <c r="B195" s="292"/>
      <c r="C195" s="293"/>
      <c r="D195" s="90"/>
      <c r="E195" s="293"/>
      <c r="F195" s="294"/>
      <c r="G195" s="292"/>
      <c r="H195" s="293"/>
      <c r="I195" s="294"/>
      <c r="J195" s="90"/>
      <c r="K195" s="296"/>
      <c r="L195" s="296"/>
      <c r="M195" s="296"/>
      <c r="N195" s="296"/>
      <c r="O195" s="296"/>
      <c r="P195" s="296"/>
      <c r="Q195" s="297"/>
      <c r="R195" s="90"/>
      <c r="S195" s="90"/>
      <c r="T195" s="264"/>
      <c r="U195" s="90"/>
      <c r="V195" s="90"/>
      <c r="W195" s="90"/>
      <c r="X195" s="90"/>
      <c r="Y195" s="90"/>
      <c r="Z195" s="90"/>
      <c r="AA195" s="90"/>
    </row>
    <row r="196" ht="15.75" customHeight="1">
      <c r="A196" s="90"/>
      <c r="B196" s="292"/>
      <c r="C196" s="293"/>
      <c r="D196" s="90"/>
      <c r="E196" s="293"/>
      <c r="F196" s="294"/>
      <c r="G196" s="292"/>
      <c r="H196" s="293"/>
      <c r="I196" s="294"/>
      <c r="J196" s="90"/>
      <c r="K196" s="296"/>
      <c r="L196" s="296"/>
      <c r="M196" s="296"/>
      <c r="N196" s="296"/>
      <c r="O196" s="296"/>
      <c r="P196" s="296"/>
      <c r="Q196" s="297"/>
      <c r="R196" s="90"/>
      <c r="S196" s="90"/>
      <c r="T196" s="264"/>
      <c r="U196" s="90"/>
      <c r="V196" s="90"/>
      <c r="W196" s="90"/>
      <c r="X196" s="90"/>
      <c r="Y196" s="90"/>
      <c r="Z196" s="90"/>
      <c r="AA196" s="90"/>
    </row>
    <row r="197" ht="15.75" customHeight="1">
      <c r="A197" s="90"/>
      <c r="B197" s="292"/>
      <c r="C197" s="293"/>
      <c r="D197" s="90"/>
      <c r="E197" s="293"/>
      <c r="F197" s="294"/>
      <c r="G197" s="292"/>
      <c r="H197" s="293"/>
      <c r="I197" s="294"/>
      <c r="J197" s="90"/>
      <c r="K197" s="296"/>
      <c r="L197" s="296"/>
      <c r="M197" s="296"/>
      <c r="N197" s="296"/>
      <c r="O197" s="296"/>
      <c r="P197" s="296"/>
      <c r="Q197" s="297"/>
      <c r="R197" s="90"/>
      <c r="S197" s="90"/>
      <c r="T197" s="264"/>
      <c r="U197" s="90"/>
      <c r="V197" s="90"/>
      <c r="W197" s="90"/>
      <c r="X197" s="90"/>
      <c r="Y197" s="90"/>
      <c r="Z197" s="90"/>
      <c r="AA197" s="90"/>
    </row>
    <row r="198" ht="15.75" customHeight="1">
      <c r="A198" s="90"/>
      <c r="B198" s="292"/>
      <c r="C198" s="293"/>
      <c r="D198" s="90"/>
      <c r="E198" s="293"/>
      <c r="F198" s="294"/>
      <c r="G198" s="292"/>
      <c r="H198" s="293"/>
      <c r="I198" s="294"/>
      <c r="J198" s="90"/>
      <c r="K198" s="296"/>
      <c r="L198" s="296"/>
      <c r="M198" s="296"/>
      <c r="N198" s="296"/>
      <c r="O198" s="296"/>
      <c r="P198" s="296"/>
      <c r="Q198" s="297"/>
      <c r="R198" s="90"/>
      <c r="S198" s="90"/>
      <c r="T198" s="264"/>
      <c r="U198" s="90"/>
      <c r="V198" s="90"/>
      <c r="W198" s="90"/>
      <c r="X198" s="90"/>
      <c r="Y198" s="90"/>
      <c r="Z198" s="90"/>
      <c r="AA198" s="90"/>
    </row>
    <row r="199" ht="15.75" customHeight="1">
      <c r="A199" s="90"/>
      <c r="B199" s="292"/>
      <c r="C199" s="293"/>
      <c r="D199" s="90"/>
      <c r="E199" s="293"/>
      <c r="F199" s="294"/>
      <c r="G199" s="292"/>
      <c r="H199" s="293"/>
      <c r="I199" s="294"/>
      <c r="J199" s="90"/>
      <c r="K199" s="296"/>
      <c r="L199" s="296"/>
      <c r="M199" s="296"/>
      <c r="N199" s="296"/>
      <c r="O199" s="296"/>
      <c r="P199" s="296"/>
      <c r="Q199" s="297"/>
      <c r="R199" s="90"/>
      <c r="S199" s="90"/>
      <c r="T199" s="264"/>
      <c r="U199" s="90"/>
      <c r="V199" s="90"/>
      <c r="W199" s="90"/>
      <c r="X199" s="90"/>
      <c r="Y199" s="90"/>
      <c r="Z199" s="90"/>
      <c r="AA199" s="90"/>
    </row>
    <row r="200" ht="15.75" customHeight="1">
      <c r="A200" s="90"/>
      <c r="B200" s="292"/>
      <c r="C200" s="293"/>
      <c r="D200" s="90"/>
      <c r="E200" s="293"/>
      <c r="F200" s="294"/>
      <c r="G200" s="292"/>
      <c r="H200" s="293"/>
      <c r="I200" s="294"/>
      <c r="J200" s="90"/>
      <c r="K200" s="296"/>
      <c r="L200" s="296"/>
      <c r="M200" s="296"/>
      <c r="N200" s="296"/>
      <c r="O200" s="296"/>
      <c r="P200" s="296"/>
      <c r="Q200" s="297"/>
      <c r="R200" s="90"/>
      <c r="S200" s="90"/>
      <c r="T200" s="264"/>
      <c r="U200" s="90"/>
      <c r="V200" s="90"/>
      <c r="W200" s="90"/>
      <c r="X200" s="90"/>
      <c r="Y200" s="90"/>
      <c r="Z200" s="90"/>
      <c r="AA200" s="90"/>
    </row>
    <row r="201" ht="15.75" customHeight="1">
      <c r="A201" s="90"/>
      <c r="B201" s="292"/>
      <c r="C201" s="293"/>
      <c r="D201" s="90"/>
      <c r="E201" s="293"/>
      <c r="F201" s="294"/>
      <c r="G201" s="292"/>
      <c r="H201" s="293"/>
      <c r="I201" s="294"/>
      <c r="J201" s="90"/>
      <c r="K201" s="296"/>
      <c r="L201" s="296"/>
      <c r="M201" s="296"/>
      <c r="N201" s="296"/>
      <c r="O201" s="296"/>
      <c r="P201" s="296"/>
      <c r="Q201" s="297"/>
      <c r="R201" s="90"/>
      <c r="S201" s="90"/>
      <c r="T201" s="264"/>
      <c r="U201" s="90"/>
      <c r="V201" s="90"/>
      <c r="W201" s="90"/>
      <c r="X201" s="90"/>
      <c r="Y201" s="90"/>
      <c r="Z201" s="90"/>
      <c r="AA201" s="90"/>
    </row>
    <row r="202" ht="15.75" customHeight="1">
      <c r="A202" s="90"/>
      <c r="B202" s="292"/>
      <c r="C202" s="293"/>
      <c r="D202" s="90"/>
      <c r="E202" s="293"/>
      <c r="F202" s="294"/>
      <c r="G202" s="292"/>
      <c r="H202" s="293"/>
      <c r="I202" s="294"/>
      <c r="J202" s="90"/>
      <c r="K202" s="296"/>
      <c r="L202" s="296"/>
      <c r="M202" s="296"/>
      <c r="N202" s="296"/>
      <c r="O202" s="296"/>
      <c r="P202" s="296"/>
      <c r="Q202" s="297"/>
      <c r="R202" s="90"/>
      <c r="S202" s="90"/>
      <c r="T202" s="264"/>
      <c r="U202" s="90"/>
      <c r="V202" s="90"/>
      <c r="W202" s="90"/>
      <c r="X202" s="90"/>
      <c r="Y202" s="90"/>
      <c r="Z202" s="90"/>
      <c r="AA202" s="90"/>
    </row>
    <row r="203" ht="15.75" customHeight="1">
      <c r="A203" s="90"/>
      <c r="B203" s="292"/>
      <c r="C203" s="293"/>
      <c r="D203" s="90"/>
      <c r="E203" s="293"/>
      <c r="F203" s="294"/>
      <c r="G203" s="292"/>
      <c r="H203" s="293"/>
      <c r="I203" s="294"/>
      <c r="J203" s="90"/>
      <c r="K203" s="296"/>
      <c r="L203" s="296"/>
      <c r="M203" s="296"/>
      <c r="N203" s="296"/>
      <c r="O203" s="296"/>
      <c r="P203" s="296"/>
      <c r="Q203" s="297"/>
      <c r="R203" s="90"/>
      <c r="S203" s="90"/>
      <c r="T203" s="264"/>
      <c r="U203" s="90"/>
      <c r="V203" s="90"/>
      <c r="W203" s="90"/>
      <c r="X203" s="90"/>
      <c r="Y203" s="90"/>
      <c r="Z203" s="90"/>
      <c r="AA203" s="90"/>
    </row>
    <row r="204" ht="15.75" customHeight="1">
      <c r="A204" s="90"/>
      <c r="B204" s="292"/>
      <c r="C204" s="293"/>
      <c r="D204" s="90"/>
      <c r="E204" s="293"/>
      <c r="F204" s="294"/>
      <c r="G204" s="292"/>
      <c r="H204" s="293"/>
      <c r="I204" s="294"/>
      <c r="J204" s="90"/>
      <c r="K204" s="296"/>
      <c r="L204" s="296"/>
      <c r="M204" s="296"/>
      <c r="N204" s="296"/>
      <c r="O204" s="296"/>
      <c r="P204" s="296"/>
      <c r="Q204" s="297"/>
      <c r="R204" s="90"/>
      <c r="S204" s="90"/>
      <c r="T204" s="264"/>
      <c r="U204" s="90"/>
      <c r="V204" s="90"/>
      <c r="W204" s="90"/>
      <c r="X204" s="90"/>
      <c r="Y204" s="90"/>
      <c r="Z204" s="90"/>
      <c r="AA204" s="90"/>
    </row>
    <row r="205" ht="15.75" customHeight="1">
      <c r="A205" s="90"/>
      <c r="B205" s="292"/>
      <c r="C205" s="293"/>
      <c r="D205" s="90"/>
      <c r="E205" s="293"/>
      <c r="F205" s="294"/>
      <c r="G205" s="292"/>
      <c r="H205" s="293"/>
      <c r="I205" s="294"/>
      <c r="J205" s="90"/>
      <c r="K205" s="296"/>
      <c r="L205" s="296"/>
      <c r="M205" s="296"/>
      <c r="N205" s="296"/>
      <c r="O205" s="296"/>
      <c r="P205" s="296"/>
      <c r="Q205" s="297"/>
      <c r="R205" s="90"/>
      <c r="S205" s="90"/>
      <c r="T205" s="264"/>
      <c r="U205" s="90"/>
      <c r="V205" s="90"/>
      <c r="W205" s="90"/>
      <c r="X205" s="90"/>
      <c r="Y205" s="90"/>
      <c r="Z205" s="90"/>
      <c r="AA205" s="90"/>
    </row>
    <row r="206" ht="15.75" customHeight="1">
      <c r="A206" s="90"/>
      <c r="B206" s="292"/>
      <c r="C206" s="293"/>
      <c r="D206" s="90"/>
      <c r="E206" s="293"/>
      <c r="F206" s="294"/>
      <c r="G206" s="292"/>
      <c r="H206" s="293"/>
      <c r="I206" s="294"/>
      <c r="J206" s="90"/>
      <c r="K206" s="296"/>
      <c r="L206" s="296"/>
      <c r="M206" s="296"/>
      <c r="N206" s="296"/>
      <c r="O206" s="296"/>
      <c r="P206" s="296"/>
      <c r="Q206" s="297"/>
      <c r="R206" s="90"/>
      <c r="S206" s="90"/>
      <c r="T206" s="264"/>
      <c r="U206" s="90"/>
      <c r="V206" s="90"/>
      <c r="W206" s="90"/>
      <c r="X206" s="90"/>
      <c r="Y206" s="90"/>
      <c r="Z206" s="90"/>
      <c r="AA206" s="90"/>
    </row>
    <row r="207" ht="15.75" customHeight="1">
      <c r="A207" s="90"/>
      <c r="B207" s="292"/>
      <c r="C207" s="293"/>
      <c r="D207" s="90"/>
      <c r="E207" s="293"/>
      <c r="F207" s="294"/>
      <c r="G207" s="292"/>
      <c r="H207" s="293"/>
      <c r="I207" s="294"/>
      <c r="J207" s="90"/>
      <c r="K207" s="296"/>
      <c r="L207" s="296"/>
      <c r="M207" s="296"/>
      <c r="N207" s="296"/>
      <c r="O207" s="296"/>
      <c r="P207" s="296"/>
      <c r="Q207" s="297"/>
      <c r="R207" s="90"/>
      <c r="S207" s="90"/>
      <c r="T207" s="264"/>
      <c r="U207" s="90"/>
      <c r="V207" s="90"/>
      <c r="W207" s="90"/>
      <c r="X207" s="90"/>
      <c r="Y207" s="90"/>
      <c r="Z207" s="90"/>
      <c r="AA207" s="90"/>
    </row>
    <row r="208" ht="15.75" customHeight="1">
      <c r="A208" s="90"/>
      <c r="B208" s="292"/>
      <c r="C208" s="293"/>
      <c r="D208" s="90"/>
      <c r="E208" s="293"/>
      <c r="F208" s="294"/>
      <c r="G208" s="292"/>
      <c r="H208" s="293"/>
      <c r="I208" s="294"/>
      <c r="J208" s="90"/>
      <c r="K208" s="296"/>
      <c r="L208" s="296"/>
      <c r="M208" s="296"/>
      <c r="N208" s="296"/>
      <c r="O208" s="296"/>
      <c r="P208" s="296"/>
      <c r="Q208" s="297"/>
      <c r="R208" s="90"/>
      <c r="S208" s="90"/>
      <c r="T208" s="264"/>
      <c r="U208" s="90"/>
      <c r="V208" s="90"/>
      <c r="W208" s="90"/>
      <c r="X208" s="90"/>
      <c r="Y208" s="90"/>
      <c r="Z208" s="90"/>
      <c r="AA208" s="90"/>
    </row>
    <row r="209" ht="15.75" customHeight="1">
      <c r="A209" s="90"/>
      <c r="B209" s="292"/>
      <c r="C209" s="293"/>
      <c r="D209" s="90"/>
      <c r="E209" s="293"/>
      <c r="F209" s="294"/>
      <c r="G209" s="292"/>
      <c r="H209" s="293"/>
      <c r="I209" s="294"/>
      <c r="J209" s="90"/>
      <c r="K209" s="296"/>
      <c r="L209" s="296"/>
      <c r="M209" s="296"/>
      <c r="N209" s="296"/>
      <c r="O209" s="296"/>
      <c r="P209" s="296"/>
      <c r="Q209" s="297"/>
      <c r="R209" s="90"/>
      <c r="S209" s="90"/>
      <c r="T209" s="264"/>
      <c r="U209" s="90"/>
      <c r="V209" s="90"/>
      <c r="W209" s="90"/>
      <c r="X209" s="90"/>
      <c r="Y209" s="90"/>
      <c r="Z209" s="90"/>
      <c r="AA209" s="90"/>
    </row>
    <row r="210" ht="15.75" customHeight="1">
      <c r="A210" s="90"/>
      <c r="B210" s="292"/>
      <c r="C210" s="293"/>
      <c r="D210" s="90"/>
      <c r="E210" s="293"/>
      <c r="F210" s="294"/>
      <c r="G210" s="292"/>
      <c r="H210" s="293"/>
      <c r="I210" s="294"/>
      <c r="J210" s="90"/>
      <c r="K210" s="296"/>
      <c r="L210" s="296"/>
      <c r="M210" s="296"/>
      <c r="N210" s="296"/>
      <c r="O210" s="296"/>
      <c r="P210" s="296"/>
      <c r="Q210" s="297"/>
      <c r="R210" s="90"/>
      <c r="S210" s="90"/>
      <c r="T210" s="264"/>
      <c r="U210" s="90"/>
      <c r="V210" s="90"/>
      <c r="W210" s="90"/>
      <c r="X210" s="90"/>
      <c r="Y210" s="90"/>
      <c r="Z210" s="90"/>
      <c r="AA210" s="90"/>
    </row>
    <row r="211" ht="15.75" customHeight="1">
      <c r="A211" s="90"/>
      <c r="B211" s="292"/>
      <c r="C211" s="293"/>
      <c r="D211" s="90"/>
      <c r="E211" s="293"/>
      <c r="F211" s="294"/>
      <c r="G211" s="292"/>
      <c r="H211" s="293"/>
      <c r="I211" s="294"/>
      <c r="J211" s="90"/>
      <c r="K211" s="296"/>
      <c r="L211" s="296"/>
      <c r="M211" s="296"/>
      <c r="N211" s="296"/>
      <c r="O211" s="296"/>
      <c r="P211" s="296"/>
      <c r="Q211" s="297"/>
      <c r="R211" s="90"/>
      <c r="S211" s="90"/>
      <c r="T211" s="264"/>
      <c r="U211" s="90"/>
      <c r="V211" s="90"/>
      <c r="W211" s="90"/>
      <c r="X211" s="90"/>
      <c r="Y211" s="90"/>
      <c r="Z211" s="90"/>
      <c r="AA211" s="90"/>
    </row>
    <row r="212" ht="15.75" customHeight="1">
      <c r="A212" s="90"/>
      <c r="B212" s="292"/>
      <c r="C212" s="293"/>
      <c r="D212" s="90"/>
      <c r="E212" s="293"/>
      <c r="F212" s="294"/>
      <c r="G212" s="292"/>
      <c r="H212" s="293"/>
      <c r="I212" s="294"/>
      <c r="J212" s="90"/>
      <c r="K212" s="296"/>
      <c r="L212" s="296"/>
      <c r="M212" s="296"/>
      <c r="N212" s="296"/>
      <c r="O212" s="296"/>
      <c r="P212" s="296"/>
      <c r="Q212" s="297"/>
      <c r="R212" s="90"/>
      <c r="S212" s="90"/>
      <c r="T212" s="264"/>
      <c r="U212" s="90"/>
      <c r="V212" s="90"/>
      <c r="W212" s="90"/>
      <c r="X212" s="90"/>
      <c r="Y212" s="90"/>
      <c r="Z212" s="90"/>
      <c r="AA212" s="90"/>
    </row>
    <row r="213" ht="15.75" customHeight="1">
      <c r="A213" s="90"/>
      <c r="B213" s="292"/>
      <c r="C213" s="293"/>
      <c r="D213" s="90"/>
      <c r="E213" s="293"/>
      <c r="F213" s="294"/>
      <c r="G213" s="292"/>
      <c r="H213" s="293"/>
      <c r="I213" s="294"/>
      <c r="J213" s="90"/>
      <c r="K213" s="296"/>
      <c r="L213" s="296"/>
      <c r="M213" s="296"/>
      <c r="N213" s="296"/>
      <c r="O213" s="296"/>
      <c r="P213" s="296"/>
      <c r="Q213" s="297"/>
      <c r="R213" s="90"/>
      <c r="S213" s="90"/>
      <c r="T213" s="264"/>
      <c r="U213" s="90"/>
      <c r="V213" s="90"/>
      <c r="W213" s="90"/>
      <c r="X213" s="90"/>
      <c r="Y213" s="90"/>
      <c r="Z213" s="90"/>
      <c r="AA213" s="90"/>
    </row>
    <row r="214" ht="15.75" customHeight="1">
      <c r="A214" s="90"/>
      <c r="B214" s="292"/>
      <c r="C214" s="293"/>
      <c r="D214" s="90"/>
      <c r="E214" s="293"/>
      <c r="F214" s="294"/>
      <c r="G214" s="292"/>
      <c r="H214" s="293"/>
      <c r="I214" s="294"/>
      <c r="J214" s="90"/>
      <c r="K214" s="296"/>
      <c r="L214" s="296"/>
      <c r="M214" s="296"/>
      <c r="N214" s="296"/>
      <c r="O214" s="296"/>
      <c r="P214" s="296"/>
      <c r="Q214" s="297"/>
      <c r="R214" s="90"/>
      <c r="S214" s="90"/>
      <c r="T214" s="264"/>
      <c r="U214" s="90"/>
      <c r="V214" s="90"/>
      <c r="W214" s="90"/>
      <c r="X214" s="90"/>
      <c r="Y214" s="90"/>
      <c r="Z214" s="90"/>
      <c r="AA214" s="90"/>
    </row>
    <row r="215" ht="15.75" customHeight="1">
      <c r="A215" s="90"/>
      <c r="B215" s="292"/>
      <c r="C215" s="293"/>
      <c r="D215" s="90"/>
      <c r="E215" s="293"/>
      <c r="F215" s="294"/>
      <c r="G215" s="292"/>
      <c r="H215" s="293"/>
      <c r="I215" s="294"/>
      <c r="J215" s="90"/>
      <c r="K215" s="296"/>
      <c r="L215" s="296"/>
      <c r="M215" s="296"/>
      <c r="N215" s="296"/>
      <c r="O215" s="296"/>
      <c r="P215" s="296"/>
      <c r="Q215" s="297"/>
      <c r="R215" s="90"/>
      <c r="S215" s="90"/>
      <c r="T215" s="264"/>
      <c r="U215" s="90"/>
      <c r="V215" s="90"/>
      <c r="W215" s="90"/>
      <c r="X215" s="90"/>
      <c r="Y215" s="90"/>
      <c r="Z215" s="90"/>
      <c r="AA215" s="90"/>
    </row>
    <row r="216" ht="15.75" customHeight="1">
      <c r="A216" s="90"/>
      <c r="B216" s="292"/>
      <c r="C216" s="293"/>
      <c r="D216" s="90"/>
      <c r="E216" s="293"/>
      <c r="F216" s="294"/>
      <c r="G216" s="292"/>
      <c r="H216" s="293"/>
      <c r="I216" s="294"/>
      <c r="J216" s="90"/>
      <c r="K216" s="296"/>
      <c r="L216" s="296"/>
      <c r="M216" s="296"/>
      <c r="N216" s="296"/>
      <c r="O216" s="296"/>
      <c r="P216" s="296"/>
      <c r="Q216" s="297"/>
      <c r="R216" s="90"/>
      <c r="S216" s="90"/>
      <c r="T216" s="264"/>
      <c r="U216" s="90"/>
      <c r="V216" s="90"/>
      <c r="W216" s="90"/>
      <c r="X216" s="90"/>
      <c r="Y216" s="90"/>
      <c r="Z216" s="90"/>
      <c r="AA216" s="90"/>
    </row>
    <row r="217" ht="15.75" customHeight="1">
      <c r="A217" s="90"/>
      <c r="B217" s="292"/>
      <c r="C217" s="293"/>
      <c r="D217" s="90"/>
      <c r="E217" s="293"/>
      <c r="F217" s="294"/>
      <c r="G217" s="292"/>
      <c r="H217" s="293"/>
      <c r="I217" s="294"/>
      <c r="J217" s="90"/>
      <c r="K217" s="296"/>
      <c r="L217" s="296"/>
      <c r="M217" s="296"/>
      <c r="N217" s="296"/>
      <c r="O217" s="296"/>
      <c r="P217" s="296"/>
      <c r="Q217" s="297"/>
      <c r="R217" s="90"/>
      <c r="S217" s="90"/>
      <c r="T217" s="264"/>
      <c r="U217" s="90"/>
      <c r="V217" s="90"/>
      <c r="W217" s="90"/>
      <c r="X217" s="90"/>
      <c r="Y217" s="90"/>
      <c r="Z217" s="90"/>
      <c r="AA217" s="90"/>
    </row>
    <row r="218" ht="15.75" customHeight="1">
      <c r="A218" s="90"/>
      <c r="B218" s="292"/>
      <c r="C218" s="293"/>
      <c r="D218" s="90"/>
      <c r="E218" s="293"/>
      <c r="F218" s="294"/>
      <c r="G218" s="292"/>
      <c r="H218" s="293"/>
      <c r="I218" s="294"/>
      <c r="J218" s="90"/>
      <c r="K218" s="296"/>
      <c r="L218" s="296"/>
      <c r="M218" s="296"/>
      <c r="N218" s="296"/>
      <c r="O218" s="296"/>
      <c r="P218" s="296"/>
      <c r="Q218" s="297"/>
      <c r="R218" s="90"/>
      <c r="S218" s="90"/>
      <c r="T218" s="264"/>
      <c r="U218" s="90"/>
      <c r="V218" s="90"/>
      <c r="W218" s="90"/>
      <c r="X218" s="90"/>
      <c r="Y218" s="90"/>
      <c r="Z218" s="90"/>
      <c r="AA218" s="90"/>
    </row>
    <row r="219" ht="15.75" customHeight="1">
      <c r="A219" s="90"/>
      <c r="B219" s="292"/>
      <c r="C219" s="293"/>
      <c r="D219" s="90"/>
      <c r="E219" s="293"/>
      <c r="F219" s="294"/>
      <c r="G219" s="292"/>
      <c r="H219" s="293"/>
      <c r="I219" s="294"/>
      <c r="J219" s="90"/>
      <c r="K219" s="296"/>
      <c r="L219" s="296"/>
      <c r="M219" s="296"/>
      <c r="N219" s="296"/>
      <c r="O219" s="296"/>
      <c r="P219" s="296"/>
      <c r="Q219" s="297"/>
      <c r="R219" s="90"/>
      <c r="S219" s="90"/>
      <c r="T219" s="264"/>
      <c r="U219" s="90"/>
      <c r="V219" s="90"/>
      <c r="W219" s="90"/>
      <c r="X219" s="90"/>
      <c r="Y219" s="90"/>
      <c r="Z219" s="90"/>
      <c r="AA219" s="90"/>
    </row>
    <row r="220" ht="15.75" customHeight="1">
      <c r="A220" s="90"/>
      <c r="B220" s="292"/>
      <c r="C220" s="293"/>
      <c r="D220" s="90"/>
      <c r="E220" s="293"/>
      <c r="F220" s="294"/>
      <c r="G220" s="292"/>
      <c r="H220" s="293"/>
      <c r="I220" s="294"/>
      <c r="J220" s="90"/>
      <c r="K220" s="296"/>
      <c r="L220" s="296"/>
      <c r="M220" s="296"/>
      <c r="N220" s="296"/>
      <c r="O220" s="296"/>
      <c r="P220" s="296"/>
      <c r="Q220" s="297"/>
      <c r="R220" s="90"/>
      <c r="S220" s="90"/>
      <c r="T220" s="264"/>
      <c r="U220" s="90"/>
      <c r="V220" s="90"/>
      <c r="W220" s="90"/>
      <c r="X220" s="90"/>
      <c r="Y220" s="90"/>
      <c r="Z220" s="90"/>
      <c r="AA220" s="90"/>
    </row>
    <row r="221" ht="15.75" customHeight="1">
      <c r="A221" s="90"/>
      <c r="B221" s="292"/>
      <c r="C221" s="293"/>
      <c r="D221" s="90"/>
      <c r="E221" s="293"/>
      <c r="F221" s="294"/>
      <c r="G221" s="292"/>
      <c r="H221" s="293"/>
      <c r="I221" s="294"/>
      <c r="J221" s="90"/>
      <c r="K221" s="296"/>
      <c r="L221" s="296"/>
      <c r="M221" s="296"/>
      <c r="N221" s="296"/>
      <c r="O221" s="296"/>
      <c r="P221" s="296"/>
      <c r="Q221" s="297"/>
      <c r="R221" s="90"/>
      <c r="S221" s="90"/>
      <c r="T221" s="264"/>
      <c r="U221" s="90"/>
      <c r="V221" s="90"/>
      <c r="W221" s="90"/>
      <c r="X221" s="90"/>
      <c r="Y221" s="90"/>
      <c r="Z221" s="90"/>
      <c r="AA221" s="90"/>
    </row>
    <row r="222" ht="15.75" customHeight="1">
      <c r="A222" s="90"/>
      <c r="B222" s="292"/>
      <c r="C222" s="293"/>
      <c r="D222" s="90"/>
      <c r="E222" s="293"/>
      <c r="F222" s="294"/>
      <c r="G222" s="292"/>
      <c r="H222" s="293"/>
      <c r="I222" s="294"/>
      <c r="J222" s="90"/>
      <c r="K222" s="296"/>
      <c r="L222" s="296"/>
      <c r="M222" s="296"/>
      <c r="N222" s="296"/>
      <c r="O222" s="296"/>
      <c r="P222" s="296"/>
      <c r="Q222" s="297"/>
      <c r="R222" s="90"/>
      <c r="S222" s="90"/>
      <c r="T222" s="264"/>
      <c r="U222" s="90"/>
      <c r="V222" s="90"/>
      <c r="W222" s="90"/>
      <c r="X222" s="90"/>
      <c r="Y222" s="90"/>
      <c r="Z222" s="90"/>
      <c r="AA222" s="90"/>
    </row>
    <row r="223" ht="15.75" customHeight="1">
      <c r="A223" s="90"/>
      <c r="B223" s="292"/>
      <c r="C223" s="293"/>
      <c r="D223" s="90"/>
      <c r="E223" s="293"/>
      <c r="F223" s="294"/>
      <c r="G223" s="292"/>
      <c r="H223" s="293"/>
      <c r="I223" s="294"/>
      <c r="J223" s="90"/>
      <c r="K223" s="296"/>
      <c r="L223" s="296"/>
      <c r="M223" s="296"/>
      <c r="N223" s="296"/>
      <c r="O223" s="296"/>
      <c r="P223" s="296"/>
      <c r="Q223" s="297"/>
      <c r="R223" s="90"/>
      <c r="S223" s="90"/>
      <c r="T223" s="264"/>
      <c r="U223" s="90"/>
      <c r="V223" s="90"/>
      <c r="W223" s="90"/>
      <c r="X223" s="90"/>
      <c r="Y223" s="90"/>
      <c r="Z223" s="90"/>
      <c r="AA223" s="90"/>
    </row>
    <row r="224" ht="15.75" customHeight="1">
      <c r="A224" s="90"/>
      <c r="B224" s="292"/>
      <c r="C224" s="293"/>
      <c r="D224" s="90"/>
      <c r="E224" s="293"/>
      <c r="F224" s="294"/>
      <c r="G224" s="292"/>
      <c r="H224" s="293"/>
      <c r="I224" s="294"/>
      <c r="J224" s="90"/>
      <c r="K224" s="296"/>
      <c r="L224" s="296"/>
      <c r="M224" s="296"/>
      <c r="N224" s="296"/>
      <c r="O224" s="296"/>
      <c r="P224" s="296"/>
      <c r="Q224" s="297"/>
      <c r="R224" s="90"/>
      <c r="S224" s="90"/>
      <c r="T224" s="264"/>
      <c r="U224" s="90"/>
      <c r="V224" s="90"/>
      <c r="W224" s="90"/>
      <c r="X224" s="90"/>
      <c r="Y224" s="90"/>
      <c r="Z224" s="90"/>
      <c r="AA224" s="90"/>
    </row>
    <row r="225" ht="15.75" customHeight="1">
      <c r="A225" s="90"/>
      <c r="B225" s="292"/>
      <c r="C225" s="293"/>
      <c r="D225" s="90"/>
      <c r="E225" s="293"/>
      <c r="F225" s="294"/>
      <c r="G225" s="292"/>
      <c r="H225" s="293"/>
      <c r="I225" s="294"/>
      <c r="J225" s="90"/>
      <c r="K225" s="296"/>
      <c r="L225" s="296"/>
      <c r="M225" s="296"/>
      <c r="N225" s="296"/>
      <c r="O225" s="296"/>
      <c r="P225" s="296"/>
      <c r="Q225" s="297"/>
      <c r="R225" s="90"/>
      <c r="S225" s="90"/>
      <c r="T225" s="264"/>
      <c r="U225" s="90"/>
      <c r="V225" s="90"/>
      <c r="W225" s="90"/>
      <c r="X225" s="90"/>
      <c r="Y225" s="90"/>
      <c r="Z225" s="90"/>
      <c r="AA225" s="90"/>
    </row>
    <row r="226" ht="15.75" customHeight="1">
      <c r="A226" s="90"/>
      <c r="B226" s="292"/>
      <c r="C226" s="293"/>
      <c r="D226" s="90"/>
      <c r="E226" s="293"/>
      <c r="F226" s="294"/>
      <c r="G226" s="292"/>
      <c r="H226" s="293"/>
      <c r="I226" s="294"/>
      <c r="J226" s="90"/>
      <c r="K226" s="296"/>
      <c r="L226" s="296"/>
      <c r="M226" s="296"/>
      <c r="N226" s="296"/>
      <c r="O226" s="296"/>
      <c r="P226" s="296"/>
      <c r="Q226" s="297"/>
      <c r="R226" s="90"/>
      <c r="S226" s="90"/>
      <c r="T226" s="264"/>
      <c r="U226" s="90"/>
      <c r="V226" s="90"/>
      <c r="W226" s="90"/>
      <c r="X226" s="90"/>
      <c r="Y226" s="90"/>
      <c r="Z226" s="90"/>
      <c r="AA226" s="90"/>
    </row>
    <row r="227" ht="15.75" customHeight="1">
      <c r="A227" s="90"/>
      <c r="B227" s="292"/>
      <c r="C227" s="293"/>
      <c r="D227" s="90"/>
      <c r="E227" s="293"/>
      <c r="F227" s="294"/>
      <c r="G227" s="292"/>
      <c r="H227" s="293"/>
      <c r="I227" s="294"/>
      <c r="J227" s="90"/>
      <c r="K227" s="296"/>
      <c r="L227" s="296"/>
      <c r="M227" s="296"/>
      <c r="N227" s="296"/>
      <c r="O227" s="296"/>
      <c r="P227" s="296"/>
      <c r="Q227" s="297"/>
      <c r="R227" s="90"/>
      <c r="S227" s="90"/>
      <c r="T227" s="264"/>
      <c r="U227" s="90"/>
      <c r="V227" s="90"/>
      <c r="W227" s="90"/>
      <c r="X227" s="90"/>
      <c r="Y227" s="90"/>
      <c r="Z227" s="90"/>
      <c r="AA227" s="90"/>
    </row>
    <row r="228" ht="15.75" customHeight="1">
      <c r="A228" s="90"/>
      <c r="B228" s="292"/>
      <c r="C228" s="293"/>
      <c r="D228" s="90"/>
      <c r="E228" s="293"/>
      <c r="F228" s="294"/>
      <c r="G228" s="292"/>
      <c r="H228" s="293"/>
      <c r="I228" s="294"/>
      <c r="J228" s="90"/>
      <c r="K228" s="296"/>
      <c r="L228" s="296"/>
      <c r="M228" s="296"/>
      <c r="N228" s="296"/>
      <c r="O228" s="296"/>
      <c r="P228" s="296"/>
      <c r="Q228" s="297"/>
      <c r="R228" s="90"/>
      <c r="S228" s="90"/>
      <c r="T228" s="264"/>
      <c r="U228" s="90"/>
      <c r="V228" s="90"/>
      <c r="W228" s="90"/>
      <c r="X228" s="90"/>
      <c r="Y228" s="90"/>
      <c r="Z228" s="90"/>
      <c r="AA228" s="90"/>
    </row>
    <row r="229" ht="15.75" customHeight="1">
      <c r="A229" s="90"/>
      <c r="B229" s="292"/>
      <c r="C229" s="293"/>
      <c r="D229" s="90"/>
      <c r="E229" s="293"/>
      <c r="F229" s="294"/>
      <c r="G229" s="292"/>
      <c r="H229" s="293"/>
      <c r="I229" s="294"/>
      <c r="J229" s="90"/>
      <c r="K229" s="296"/>
      <c r="L229" s="296"/>
      <c r="M229" s="296"/>
      <c r="N229" s="296"/>
      <c r="O229" s="296"/>
      <c r="P229" s="296"/>
      <c r="Q229" s="297"/>
      <c r="R229" s="90"/>
      <c r="S229" s="90"/>
      <c r="T229" s="264"/>
      <c r="U229" s="90"/>
      <c r="V229" s="90"/>
      <c r="W229" s="90"/>
      <c r="X229" s="90"/>
      <c r="Y229" s="90"/>
      <c r="Z229" s="90"/>
      <c r="AA229" s="90"/>
    </row>
    <row r="230" ht="15.75" customHeight="1">
      <c r="A230" s="90"/>
      <c r="B230" s="292"/>
      <c r="C230" s="293"/>
      <c r="D230" s="90"/>
      <c r="E230" s="293"/>
      <c r="F230" s="294"/>
      <c r="G230" s="292"/>
      <c r="H230" s="293"/>
      <c r="I230" s="294"/>
      <c r="J230" s="90"/>
      <c r="K230" s="296"/>
      <c r="L230" s="296"/>
      <c r="M230" s="296"/>
      <c r="N230" s="296"/>
      <c r="O230" s="296"/>
      <c r="P230" s="296"/>
      <c r="Q230" s="297"/>
      <c r="R230" s="90"/>
      <c r="S230" s="90"/>
      <c r="T230" s="264"/>
      <c r="U230" s="90"/>
      <c r="V230" s="90"/>
      <c r="W230" s="90"/>
      <c r="X230" s="90"/>
      <c r="Y230" s="90"/>
      <c r="Z230" s="90"/>
      <c r="AA230" s="90"/>
    </row>
    <row r="231" ht="15.75" customHeight="1">
      <c r="A231" s="90"/>
      <c r="B231" s="292"/>
      <c r="C231" s="293"/>
      <c r="D231" s="90"/>
      <c r="E231" s="293"/>
      <c r="F231" s="294"/>
      <c r="G231" s="292"/>
      <c r="H231" s="293"/>
      <c r="I231" s="294"/>
      <c r="J231" s="90"/>
      <c r="K231" s="296"/>
      <c r="L231" s="296"/>
      <c r="M231" s="296"/>
      <c r="N231" s="296"/>
      <c r="O231" s="296"/>
      <c r="P231" s="296"/>
      <c r="Q231" s="297"/>
      <c r="R231" s="90"/>
      <c r="S231" s="90"/>
      <c r="T231" s="264"/>
      <c r="U231" s="90"/>
      <c r="V231" s="90"/>
      <c r="W231" s="90"/>
      <c r="X231" s="90"/>
      <c r="Y231" s="90"/>
      <c r="Z231" s="90"/>
      <c r="AA231" s="90"/>
    </row>
    <row r="232" ht="15.75" customHeight="1">
      <c r="A232" s="90"/>
      <c r="B232" s="292"/>
      <c r="C232" s="293"/>
      <c r="D232" s="90"/>
      <c r="E232" s="293"/>
      <c r="F232" s="294"/>
      <c r="G232" s="292"/>
      <c r="H232" s="293"/>
      <c r="I232" s="294"/>
      <c r="J232" s="90"/>
      <c r="K232" s="296"/>
      <c r="L232" s="296"/>
      <c r="M232" s="296"/>
      <c r="N232" s="296"/>
      <c r="O232" s="296"/>
      <c r="P232" s="296"/>
      <c r="Q232" s="297"/>
      <c r="R232" s="90"/>
      <c r="S232" s="90"/>
      <c r="T232" s="264"/>
      <c r="U232" s="90"/>
      <c r="V232" s="90"/>
      <c r="W232" s="90"/>
      <c r="X232" s="90"/>
      <c r="Y232" s="90"/>
      <c r="Z232" s="90"/>
      <c r="AA232" s="90"/>
    </row>
    <row r="233" ht="15.75" customHeight="1">
      <c r="A233" s="90"/>
      <c r="B233" s="292"/>
      <c r="C233" s="293"/>
      <c r="D233" s="90"/>
      <c r="E233" s="293"/>
      <c r="F233" s="294"/>
      <c r="G233" s="292"/>
      <c r="H233" s="293"/>
      <c r="I233" s="294"/>
      <c r="J233" s="90"/>
      <c r="K233" s="296"/>
      <c r="L233" s="296"/>
      <c r="M233" s="296"/>
      <c r="N233" s="296"/>
      <c r="O233" s="296"/>
      <c r="P233" s="296"/>
      <c r="Q233" s="297"/>
      <c r="R233" s="90"/>
      <c r="S233" s="90"/>
      <c r="T233" s="264"/>
      <c r="U233" s="90"/>
      <c r="V233" s="90"/>
      <c r="W233" s="90"/>
      <c r="X233" s="90"/>
      <c r="Y233" s="90"/>
      <c r="Z233" s="90"/>
      <c r="AA233" s="90"/>
    </row>
    <row r="234" ht="15.75" customHeight="1">
      <c r="A234" s="90"/>
      <c r="B234" s="292"/>
      <c r="C234" s="293"/>
      <c r="D234" s="90"/>
      <c r="E234" s="293"/>
      <c r="F234" s="294"/>
      <c r="G234" s="292"/>
      <c r="H234" s="293"/>
      <c r="I234" s="294"/>
      <c r="J234" s="90"/>
      <c r="K234" s="296"/>
      <c r="L234" s="296"/>
      <c r="M234" s="296"/>
      <c r="N234" s="296"/>
      <c r="O234" s="296"/>
      <c r="P234" s="296"/>
      <c r="Q234" s="297"/>
      <c r="R234" s="90"/>
      <c r="S234" s="90"/>
      <c r="T234" s="264"/>
      <c r="U234" s="90"/>
      <c r="V234" s="90"/>
      <c r="W234" s="90"/>
      <c r="X234" s="90"/>
      <c r="Y234" s="90"/>
      <c r="Z234" s="90"/>
      <c r="AA234" s="90"/>
    </row>
    <row r="235" ht="15.75" customHeight="1">
      <c r="A235" s="90"/>
      <c r="B235" s="292"/>
      <c r="C235" s="293"/>
      <c r="D235" s="90"/>
      <c r="E235" s="293"/>
      <c r="F235" s="294"/>
      <c r="G235" s="292"/>
      <c r="H235" s="293"/>
      <c r="I235" s="294"/>
      <c r="J235" s="90"/>
      <c r="K235" s="296"/>
      <c r="L235" s="296"/>
      <c r="M235" s="296"/>
      <c r="N235" s="296"/>
      <c r="O235" s="296"/>
      <c r="P235" s="296"/>
      <c r="Q235" s="297"/>
      <c r="R235" s="90"/>
      <c r="S235" s="90"/>
      <c r="T235" s="264"/>
      <c r="U235" s="90"/>
      <c r="V235" s="90"/>
      <c r="W235" s="90"/>
      <c r="X235" s="90"/>
      <c r="Y235" s="90"/>
      <c r="Z235" s="90"/>
      <c r="AA235" s="90"/>
    </row>
    <row r="236" ht="15.75" customHeight="1">
      <c r="A236" s="90"/>
      <c r="B236" s="292"/>
      <c r="C236" s="293"/>
      <c r="D236" s="90"/>
      <c r="E236" s="293"/>
      <c r="F236" s="294"/>
      <c r="G236" s="292"/>
      <c r="H236" s="293"/>
      <c r="I236" s="294"/>
      <c r="J236" s="90"/>
      <c r="K236" s="296"/>
      <c r="L236" s="296"/>
      <c r="M236" s="296"/>
      <c r="N236" s="296"/>
      <c r="O236" s="296"/>
      <c r="P236" s="296"/>
      <c r="Q236" s="297"/>
      <c r="R236" s="90"/>
      <c r="S236" s="90"/>
      <c r="T236" s="264"/>
      <c r="U236" s="90"/>
      <c r="V236" s="90"/>
      <c r="W236" s="90"/>
      <c r="X236" s="90"/>
      <c r="Y236" s="90"/>
      <c r="Z236" s="90"/>
      <c r="AA236" s="90"/>
    </row>
    <row r="237" ht="15.75" customHeight="1">
      <c r="A237" s="90"/>
      <c r="B237" s="292"/>
      <c r="C237" s="293"/>
      <c r="D237" s="90"/>
      <c r="E237" s="293"/>
      <c r="F237" s="294"/>
      <c r="G237" s="292"/>
      <c r="H237" s="293"/>
      <c r="I237" s="294"/>
      <c r="J237" s="90"/>
      <c r="K237" s="296"/>
      <c r="L237" s="296"/>
      <c r="M237" s="296"/>
      <c r="N237" s="296"/>
      <c r="O237" s="296"/>
      <c r="P237" s="296"/>
      <c r="Q237" s="297"/>
      <c r="R237" s="90"/>
      <c r="S237" s="90"/>
      <c r="T237" s="264"/>
      <c r="U237" s="90"/>
      <c r="V237" s="90"/>
      <c r="W237" s="90"/>
      <c r="X237" s="90"/>
      <c r="Y237" s="90"/>
      <c r="Z237" s="90"/>
      <c r="AA237" s="90"/>
    </row>
    <row r="238" ht="15.75" customHeight="1">
      <c r="A238" s="90"/>
      <c r="B238" s="292"/>
      <c r="C238" s="293"/>
      <c r="D238" s="90"/>
      <c r="E238" s="293"/>
      <c r="F238" s="294"/>
      <c r="G238" s="292"/>
      <c r="H238" s="293"/>
      <c r="I238" s="294"/>
      <c r="J238" s="90"/>
      <c r="K238" s="296"/>
      <c r="L238" s="296"/>
      <c r="M238" s="296"/>
      <c r="N238" s="296"/>
      <c r="O238" s="296"/>
      <c r="P238" s="296"/>
      <c r="Q238" s="297"/>
      <c r="R238" s="90"/>
      <c r="S238" s="90"/>
      <c r="T238" s="264"/>
      <c r="U238" s="90"/>
      <c r="V238" s="90"/>
      <c r="W238" s="90"/>
      <c r="X238" s="90"/>
      <c r="Y238" s="90"/>
      <c r="Z238" s="90"/>
      <c r="AA238" s="90"/>
    </row>
    <row r="239" ht="15.75" customHeight="1">
      <c r="A239" s="90"/>
      <c r="B239" s="292"/>
      <c r="C239" s="293"/>
      <c r="D239" s="90"/>
      <c r="E239" s="293"/>
      <c r="F239" s="294"/>
      <c r="G239" s="292"/>
      <c r="H239" s="293"/>
      <c r="I239" s="294"/>
      <c r="J239" s="90"/>
      <c r="K239" s="296"/>
      <c r="L239" s="296"/>
      <c r="M239" s="296"/>
      <c r="N239" s="296"/>
      <c r="O239" s="296"/>
      <c r="P239" s="296"/>
      <c r="Q239" s="297"/>
      <c r="R239" s="90"/>
      <c r="S239" s="90"/>
      <c r="T239" s="264"/>
      <c r="U239" s="90"/>
      <c r="V239" s="90"/>
      <c r="W239" s="90"/>
      <c r="X239" s="90"/>
      <c r="Y239" s="90"/>
      <c r="Z239" s="90"/>
      <c r="AA239" s="90"/>
    </row>
    <row r="240" ht="15.75" customHeight="1">
      <c r="A240" s="90"/>
      <c r="B240" s="292"/>
      <c r="C240" s="293"/>
      <c r="D240" s="90"/>
      <c r="E240" s="293"/>
      <c r="F240" s="294"/>
      <c r="G240" s="292"/>
      <c r="H240" s="293"/>
      <c r="I240" s="294"/>
      <c r="J240" s="90"/>
      <c r="K240" s="296"/>
      <c r="L240" s="296"/>
      <c r="M240" s="296"/>
      <c r="N240" s="296"/>
      <c r="O240" s="296"/>
      <c r="P240" s="296"/>
      <c r="Q240" s="297"/>
      <c r="R240" s="90"/>
      <c r="S240" s="90"/>
      <c r="T240" s="264"/>
      <c r="U240" s="90"/>
      <c r="V240" s="90"/>
      <c r="W240" s="90"/>
      <c r="X240" s="90"/>
      <c r="Y240" s="90"/>
      <c r="Z240" s="90"/>
      <c r="AA240" s="90"/>
    </row>
    <row r="241" ht="15.75" customHeight="1">
      <c r="A241" s="90"/>
      <c r="B241" s="292"/>
      <c r="C241" s="293"/>
      <c r="D241" s="90"/>
      <c r="E241" s="293"/>
      <c r="F241" s="294"/>
      <c r="G241" s="292"/>
      <c r="H241" s="293"/>
      <c r="I241" s="294"/>
      <c r="J241" s="90"/>
      <c r="K241" s="296"/>
      <c r="L241" s="296"/>
      <c r="M241" s="296"/>
      <c r="N241" s="296"/>
      <c r="O241" s="296"/>
      <c r="P241" s="296"/>
      <c r="Q241" s="297"/>
      <c r="R241" s="90"/>
      <c r="S241" s="90"/>
      <c r="T241" s="264"/>
      <c r="U241" s="90"/>
      <c r="V241" s="90"/>
      <c r="W241" s="90"/>
      <c r="X241" s="90"/>
      <c r="Y241" s="90"/>
      <c r="Z241" s="90"/>
      <c r="AA241" s="90"/>
    </row>
    <row r="242" ht="15.75" customHeight="1">
      <c r="A242" s="90"/>
      <c r="B242" s="292"/>
      <c r="C242" s="293"/>
      <c r="D242" s="90"/>
      <c r="E242" s="293"/>
      <c r="F242" s="294"/>
      <c r="G242" s="292"/>
      <c r="H242" s="293"/>
      <c r="I242" s="294"/>
      <c r="J242" s="90"/>
      <c r="K242" s="296"/>
      <c r="L242" s="296"/>
      <c r="M242" s="296"/>
      <c r="N242" s="296"/>
      <c r="O242" s="296"/>
      <c r="P242" s="296"/>
      <c r="Q242" s="297"/>
      <c r="R242" s="90"/>
      <c r="S242" s="90"/>
      <c r="T242" s="264"/>
      <c r="U242" s="90"/>
      <c r="V242" s="90"/>
      <c r="W242" s="90"/>
      <c r="X242" s="90"/>
      <c r="Y242" s="90"/>
      <c r="Z242" s="90"/>
      <c r="AA242" s="90"/>
    </row>
    <row r="243" ht="15.75" customHeight="1">
      <c r="A243" s="90"/>
      <c r="B243" s="292"/>
      <c r="C243" s="293"/>
      <c r="D243" s="90"/>
      <c r="E243" s="293"/>
      <c r="F243" s="294"/>
      <c r="G243" s="292"/>
      <c r="H243" s="293"/>
      <c r="I243" s="294"/>
      <c r="J243" s="90"/>
      <c r="K243" s="296"/>
      <c r="L243" s="296"/>
      <c r="M243" s="296"/>
      <c r="N243" s="296"/>
      <c r="O243" s="296"/>
      <c r="P243" s="296"/>
      <c r="Q243" s="297"/>
      <c r="R243" s="90"/>
      <c r="S243" s="90"/>
      <c r="T243" s="264"/>
      <c r="U243" s="90"/>
      <c r="V243" s="90"/>
      <c r="W243" s="90"/>
      <c r="X243" s="90"/>
      <c r="Y243" s="90"/>
      <c r="Z243" s="90"/>
      <c r="AA243" s="90"/>
    </row>
    <row r="244" ht="15.75" customHeight="1">
      <c r="A244" s="90"/>
      <c r="B244" s="292"/>
      <c r="C244" s="293"/>
      <c r="D244" s="90"/>
      <c r="E244" s="293"/>
      <c r="F244" s="294"/>
      <c r="G244" s="292"/>
      <c r="H244" s="293"/>
      <c r="I244" s="294"/>
      <c r="J244" s="90"/>
      <c r="K244" s="296"/>
      <c r="L244" s="296"/>
      <c r="M244" s="296"/>
      <c r="N244" s="296"/>
      <c r="O244" s="296"/>
      <c r="P244" s="296"/>
      <c r="Q244" s="297"/>
      <c r="R244" s="90"/>
      <c r="S244" s="90"/>
      <c r="T244" s="264"/>
      <c r="U244" s="90"/>
      <c r="V244" s="90"/>
      <c r="W244" s="90"/>
      <c r="X244" s="90"/>
      <c r="Y244" s="90"/>
      <c r="Z244" s="90"/>
      <c r="AA244" s="90"/>
    </row>
    <row r="245" ht="15.75" customHeight="1">
      <c r="A245" s="90"/>
      <c r="B245" s="292"/>
      <c r="C245" s="293"/>
      <c r="D245" s="90"/>
      <c r="E245" s="293"/>
      <c r="F245" s="294"/>
      <c r="G245" s="292"/>
      <c r="H245" s="293"/>
      <c r="I245" s="294"/>
      <c r="J245" s="90"/>
      <c r="K245" s="296"/>
      <c r="L245" s="296"/>
      <c r="M245" s="296"/>
      <c r="N245" s="296"/>
      <c r="O245" s="296"/>
      <c r="P245" s="296"/>
      <c r="Q245" s="297"/>
      <c r="R245" s="90"/>
      <c r="S245" s="90"/>
      <c r="T245" s="264"/>
      <c r="U245" s="90"/>
      <c r="V245" s="90"/>
      <c r="W245" s="90"/>
      <c r="X245" s="90"/>
      <c r="Y245" s="90"/>
      <c r="Z245" s="90"/>
      <c r="AA245" s="90"/>
    </row>
    <row r="246" ht="15.75" customHeight="1">
      <c r="A246" s="90"/>
      <c r="B246" s="292"/>
      <c r="C246" s="293"/>
      <c r="D246" s="90"/>
      <c r="E246" s="293"/>
      <c r="F246" s="294"/>
      <c r="G246" s="292"/>
      <c r="H246" s="293"/>
      <c r="I246" s="294"/>
      <c r="J246" s="90"/>
      <c r="K246" s="296"/>
      <c r="L246" s="296"/>
      <c r="M246" s="296"/>
      <c r="N246" s="296"/>
      <c r="O246" s="296"/>
      <c r="P246" s="296"/>
      <c r="Q246" s="297"/>
      <c r="R246" s="90"/>
      <c r="S246" s="90"/>
      <c r="T246" s="264"/>
      <c r="U246" s="90"/>
      <c r="V246" s="90"/>
      <c r="W246" s="90"/>
      <c r="X246" s="90"/>
      <c r="Y246" s="90"/>
      <c r="Z246" s="90"/>
      <c r="AA246" s="90"/>
    </row>
    <row r="247" ht="15.75" customHeight="1">
      <c r="A247" s="90"/>
      <c r="B247" s="292"/>
      <c r="C247" s="293"/>
      <c r="D247" s="90"/>
      <c r="E247" s="293"/>
      <c r="F247" s="294"/>
      <c r="G247" s="292"/>
      <c r="H247" s="293"/>
      <c r="I247" s="294"/>
      <c r="J247" s="90"/>
      <c r="K247" s="296"/>
      <c r="L247" s="296"/>
      <c r="M247" s="296"/>
      <c r="N247" s="296"/>
      <c r="O247" s="296"/>
      <c r="P247" s="296"/>
      <c r="Q247" s="297"/>
      <c r="R247" s="90"/>
      <c r="S247" s="90"/>
      <c r="T247" s="264"/>
      <c r="U247" s="90"/>
      <c r="V247" s="90"/>
      <c r="W247" s="90"/>
      <c r="X247" s="90"/>
      <c r="Y247" s="90"/>
      <c r="Z247" s="90"/>
      <c r="AA247" s="90"/>
    </row>
    <row r="248" ht="15.75" customHeight="1">
      <c r="A248" s="90"/>
      <c r="B248" s="292"/>
      <c r="C248" s="293"/>
      <c r="D248" s="90"/>
      <c r="E248" s="293"/>
      <c r="F248" s="294"/>
      <c r="G248" s="292"/>
      <c r="H248" s="293"/>
      <c r="I248" s="294"/>
      <c r="J248" s="90"/>
      <c r="K248" s="296"/>
      <c r="L248" s="296"/>
      <c r="M248" s="296"/>
      <c r="N248" s="296"/>
      <c r="O248" s="296"/>
      <c r="P248" s="296"/>
      <c r="Q248" s="297"/>
      <c r="R248" s="90"/>
      <c r="S248" s="90"/>
      <c r="T248" s="264"/>
      <c r="U248" s="90"/>
      <c r="V248" s="90"/>
      <c r="W248" s="90"/>
      <c r="X248" s="90"/>
      <c r="Y248" s="90"/>
      <c r="Z248" s="90"/>
      <c r="AA248" s="90"/>
    </row>
    <row r="249" ht="15.75" customHeight="1">
      <c r="A249" s="90"/>
      <c r="B249" s="292"/>
      <c r="C249" s="293"/>
      <c r="D249" s="90"/>
      <c r="E249" s="293"/>
      <c r="F249" s="294"/>
      <c r="G249" s="292"/>
      <c r="H249" s="293"/>
      <c r="I249" s="294"/>
      <c r="J249" s="90"/>
      <c r="K249" s="296"/>
      <c r="L249" s="296"/>
      <c r="M249" s="296"/>
      <c r="N249" s="296"/>
      <c r="O249" s="296"/>
      <c r="P249" s="296"/>
      <c r="Q249" s="297"/>
      <c r="R249" s="90"/>
      <c r="S249" s="90"/>
      <c r="T249" s="264"/>
      <c r="U249" s="90"/>
      <c r="V249" s="90"/>
      <c r="W249" s="90"/>
      <c r="X249" s="90"/>
      <c r="Y249" s="90"/>
      <c r="Z249" s="90"/>
      <c r="AA249" s="90"/>
    </row>
    <row r="250" ht="15.75" customHeight="1">
      <c r="A250" s="90"/>
      <c r="B250" s="292"/>
      <c r="C250" s="293"/>
      <c r="D250" s="90"/>
      <c r="E250" s="293"/>
      <c r="F250" s="294"/>
      <c r="G250" s="292"/>
      <c r="H250" s="293"/>
      <c r="I250" s="294"/>
      <c r="J250" s="90"/>
      <c r="K250" s="296"/>
      <c r="L250" s="296"/>
      <c r="M250" s="296"/>
      <c r="N250" s="296"/>
      <c r="O250" s="296"/>
      <c r="P250" s="296"/>
      <c r="Q250" s="297"/>
      <c r="R250" s="90"/>
      <c r="S250" s="90"/>
      <c r="T250" s="264"/>
      <c r="U250" s="90"/>
      <c r="V250" s="90"/>
      <c r="W250" s="90"/>
      <c r="X250" s="90"/>
      <c r="Y250" s="90"/>
      <c r="Z250" s="90"/>
      <c r="AA250" s="90"/>
    </row>
    <row r="251" ht="15.75" customHeight="1">
      <c r="A251" s="90"/>
      <c r="B251" s="292"/>
      <c r="C251" s="293"/>
      <c r="D251" s="90"/>
      <c r="E251" s="293"/>
      <c r="F251" s="294"/>
      <c r="G251" s="292"/>
      <c r="H251" s="293"/>
      <c r="I251" s="294"/>
      <c r="J251" s="90"/>
      <c r="K251" s="296"/>
      <c r="L251" s="296"/>
      <c r="M251" s="296"/>
      <c r="N251" s="296"/>
      <c r="O251" s="296"/>
      <c r="P251" s="296"/>
      <c r="Q251" s="297"/>
      <c r="R251" s="90"/>
      <c r="S251" s="90"/>
      <c r="T251" s="264"/>
      <c r="U251" s="90"/>
      <c r="V251" s="90"/>
      <c r="W251" s="90"/>
      <c r="X251" s="90"/>
      <c r="Y251" s="90"/>
      <c r="Z251" s="90"/>
      <c r="AA251" s="90"/>
    </row>
    <row r="252" ht="15.75" customHeight="1">
      <c r="A252" s="90"/>
      <c r="B252" s="292"/>
      <c r="C252" s="293"/>
      <c r="D252" s="90"/>
      <c r="E252" s="293"/>
      <c r="F252" s="294"/>
      <c r="G252" s="292"/>
      <c r="H252" s="293"/>
      <c r="I252" s="294"/>
      <c r="J252" s="90"/>
      <c r="K252" s="296"/>
      <c r="L252" s="296"/>
      <c r="M252" s="296"/>
      <c r="N252" s="296"/>
      <c r="O252" s="296"/>
      <c r="P252" s="296"/>
      <c r="Q252" s="297"/>
      <c r="R252" s="90"/>
      <c r="S252" s="90"/>
      <c r="T252" s="264"/>
      <c r="U252" s="90"/>
      <c r="V252" s="90"/>
      <c r="W252" s="90"/>
      <c r="X252" s="90"/>
      <c r="Y252" s="90"/>
      <c r="Z252" s="90"/>
      <c r="AA252" s="90"/>
    </row>
    <row r="253" ht="15.75" customHeight="1">
      <c r="A253" s="90"/>
      <c r="B253" s="292"/>
      <c r="C253" s="293"/>
      <c r="D253" s="90"/>
      <c r="E253" s="293"/>
      <c r="F253" s="294"/>
      <c r="G253" s="292"/>
      <c r="H253" s="293"/>
      <c r="I253" s="294"/>
      <c r="J253" s="90"/>
      <c r="K253" s="296"/>
      <c r="L253" s="296"/>
      <c r="M253" s="296"/>
      <c r="N253" s="296"/>
      <c r="O253" s="296"/>
      <c r="P253" s="296"/>
      <c r="Q253" s="297"/>
      <c r="R253" s="90"/>
      <c r="S253" s="90"/>
      <c r="T253" s="264"/>
      <c r="U253" s="90"/>
      <c r="V253" s="90"/>
      <c r="W253" s="90"/>
      <c r="X253" s="90"/>
      <c r="Y253" s="90"/>
      <c r="Z253" s="90"/>
      <c r="AA253" s="90"/>
    </row>
    <row r="254" ht="15.75" customHeight="1">
      <c r="A254" s="90"/>
      <c r="B254" s="292"/>
      <c r="C254" s="293"/>
      <c r="D254" s="90"/>
      <c r="E254" s="293"/>
      <c r="F254" s="294"/>
      <c r="G254" s="292"/>
      <c r="H254" s="293"/>
      <c r="I254" s="294"/>
      <c r="J254" s="90"/>
      <c r="K254" s="296"/>
      <c r="L254" s="296"/>
      <c r="M254" s="296"/>
      <c r="N254" s="296"/>
      <c r="O254" s="296"/>
      <c r="P254" s="296"/>
      <c r="Q254" s="297"/>
      <c r="R254" s="90"/>
      <c r="S254" s="90"/>
      <c r="T254" s="264"/>
      <c r="U254" s="90"/>
      <c r="V254" s="90"/>
      <c r="W254" s="90"/>
      <c r="X254" s="90"/>
      <c r="Y254" s="90"/>
      <c r="Z254" s="90"/>
      <c r="AA254" s="90"/>
    </row>
    <row r="255" ht="15.75" customHeight="1">
      <c r="A255" s="90"/>
      <c r="B255" s="292"/>
      <c r="C255" s="293"/>
      <c r="D255" s="90"/>
      <c r="E255" s="293"/>
      <c r="F255" s="294"/>
      <c r="G255" s="292"/>
      <c r="H255" s="293"/>
      <c r="I255" s="294"/>
      <c r="J255" s="90"/>
      <c r="K255" s="296"/>
      <c r="L255" s="296"/>
      <c r="M255" s="296"/>
      <c r="N255" s="296"/>
      <c r="O255" s="296"/>
      <c r="P255" s="296"/>
      <c r="Q255" s="297"/>
      <c r="R255" s="90"/>
      <c r="S255" s="90"/>
      <c r="T255" s="264"/>
      <c r="U255" s="90"/>
      <c r="V255" s="90"/>
      <c r="W255" s="90"/>
      <c r="X255" s="90"/>
      <c r="Y255" s="90"/>
      <c r="Z255" s="90"/>
      <c r="AA255" s="90"/>
    </row>
    <row r="256" ht="15.75" customHeight="1">
      <c r="A256" s="90"/>
      <c r="B256" s="292"/>
      <c r="C256" s="293"/>
      <c r="D256" s="90"/>
      <c r="E256" s="293"/>
      <c r="F256" s="294"/>
      <c r="G256" s="292"/>
      <c r="H256" s="293"/>
      <c r="I256" s="294"/>
      <c r="J256" s="90"/>
      <c r="K256" s="296"/>
      <c r="L256" s="296"/>
      <c r="M256" s="296"/>
      <c r="N256" s="296"/>
      <c r="O256" s="296"/>
      <c r="P256" s="296"/>
      <c r="Q256" s="297"/>
      <c r="R256" s="90"/>
      <c r="S256" s="90"/>
      <c r="T256" s="264"/>
      <c r="U256" s="90"/>
      <c r="V256" s="90"/>
      <c r="W256" s="90"/>
      <c r="X256" s="90"/>
      <c r="Y256" s="90"/>
      <c r="Z256" s="90"/>
      <c r="AA256" s="90"/>
    </row>
    <row r="257" ht="15.75" customHeight="1">
      <c r="A257" s="90"/>
      <c r="B257" s="292"/>
      <c r="C257" s="293"/>
      <c r="D257" s="90"/>
      <c r="E257" s="293"/>
      <c r="F257" s="294"/>
      <c r="G257" s="292"/>
      <c r="H257" s="293"/>
      <c r="I257" s="294"/>
      <c r="J257" s="90"/>
      <c r="K257" s="296"/>
      <c r="L257" s="296"/>
      <c r="M257" s="296"/>
      <c r="N257" s="296"/>
      <c r="O257" s="296"/>
      <c r="P257" s="296"/>
      <c r="Q257" s="297"/>
      <c r="R257" s="90"/>
      <c r="S257" s="90"/>
      <c r="T257" s="264"/>
      <c r="U257" s="90"/>
      <c r="V257" s="90"/>
      <c r="W257" s="90"/>
      <c r="X257" s="90"/>
      <c r="Y257" s="90"/>
      <c r="Z257" s="90"/>
      <c r="AA257" s="90"/>
    </row>
    <row r="258" ht="15.75" customHeight="1">
      <c r="A258" s="90"/>
      <c r="B258" s="292"/>
      <c r="C258" s="293"/>
      <c r="D258" s="90"/>
      <c r="E258" s="293"/>
      <c r="F258" s="294"/>
      <c r="G258" s="292"/>
      <c r="H258" s="293"/>
      <c r="I258" s="294"/>
      <c r="J258" s="90"/>
      <c r="K258" s="296"/>
      <c r="L258" s="296"/>
      <c r="M258" s="296"/>
      <c r="N258" s="296"/>
      <c r="O258" s="296"/>
      <c r="P258" s="296"/>
      <c r="Q258" s="297"/>
      <c r="R258" s="90"/>
      <c r="S258" s="90"/>
      <c r="T258" s="264"/>
      <c r="U258" s="90"/>
      <c r="V258" s="90"/>
      <c r="W258" s="90"/>
      <c r="X258" s="90"/>
      <c r="Y258" s="90"/>
      <c r="Z258" s="90"/>
      <c r="AA258" s="90"/>
    </row>
    <row r="259" ht="15.75" customHeight="1">
      <c r="A259" s="90"/>
      <c r="B259" s="292"/>
      <c r="C259" s="293"/>
      <c r="D259" s="90"/>
      <c r="E259" s="293"/>
      <c r="F259" s="294"/>
      <c r="G259" s="292"/>
      <c r="H259" s="293"/>
      <c r="I259" s="294"/>
      <c r="J259" s="90"/>
      <c r="K259" s="296"/>
      <c r="L259" s="296"/>
      <c r="M259" s="296"/>
      <c r="N259" s="296"/>
      <c r="O259" s="296"/>
      <c r="P259" s="296"/>
      <c r="Q259" s="297"/>
      <c r="R259" s="90"/>
      <c r="S259" s="90"/>
      <c r="T259" s="264"/>
      <c r="U259" s="90"/>
      <c r="V259" s="90"/>
      <c r="W259" s="90"/>
      <c r="X259" s="90"/>
      <c r="Y259" s="90"/>
      <c r="Z259" s="90"/>
      <c r="AA259" s="90"/>
    </row>
    <row r="260" ht="15.75" customHeight="1">
      <c r="A260" s="90"/>
      <c r="B260" s="292"/>
      <c r="C260" s="293"/>
      <c r="D260" s="90"/>
      <c r="E260" s="293"/>
      <c r="F260" s="294"/>
      <c r="G260" s="292"/>
      <c r="H260" s="293"/>
      <c r="I260" s="294"/>
      <c r="J260" s="90"/>
      <c r="K260" s="296"/>
      <c r="L260" s="296"/>
      <c r="M260" s="296"/>
      <c r="N260" s="296"/>
      <c r="O260" s="296"/>
      <c r="P260" s="296"/>
      <c r="Q260" s="297"/>
      <c r="R260" s="90"/>
      <c r="S260" s="90"/>
      <c r="T260" s="264"/>
      <c r="U260" s="90"/>
      <c r="V260" s="90"/>
      <c r="W260" s="90"/>
      <c r="X260" s="90"/>
      <c r="Y260" s="90"/>
      <c r="Z260" s="90"/>
      <c r="AA260" s="90"/>
    </row>
    <row r="261" ht="15.75" customHeight="1">
      <c r="A261" s="90"/>
      <c r="B261" s="292"/>
      <c r="C261" s="293"/>
      <c r="D261" s="90"/>
      <c r="E261" s="293"/>
      <c r="F261" s="294"/>
      <c r="G261" s="292"/>
      <c r="H261" s="293"/>
      <c r="I261" s="294"/>
      <c r="J261" s="90"/>
      <c r="K261" s="296"/>
      <c r="L261" s="296"/>
      <c r="M261" s="296"/>
      <c r="N261" s="296"/>
      <c r="O261" s="296"/>
      <c r="P261" s="296"/>
      <c r="Q261" s="297"/>
      <c r="R261" s="90"/>
      <c r="S261" s="90"/>
      <c r="T261" s="264"/>
      <c r="U261" s="90"/>
      <c r="V261" s="90"/>
      <c r="W261" s="90"/>
      <c r="X261" s="90"/>
      <c r="Y261" s="90"/>
      <c r="Z261" s="90"/>
      <c r="AA261" s="90"/>
    </row>
    <row r="262" ht="15.75" customHeight="1">
      <c r="A262" s="90"/>
      <c r="B262" s="292"/>
      <c r="C262" s="293"/>
      <c r="D262" s="90"/>
      <c r="E262" s="293"/>
      <c r="F262" s="294"/>
      <c r="G262" s="292"/>
      <c r="H262" s="293"/>
      <c r="I262" s="294"/>
      <c r="J262" s="90"/>
      <c r="K262" s="296"/>
      <c r="L262" s="296"/>
      <c r="M262" s="296"/>
      <c r="N262" s="296"/>
      <c r="O262" s="296"/>
      <c r="P262" s="296"/>
      <c r="Q262" s="297"/>
      <c r="R262" s="90"/>
      <c r="S262" s="90"/>
      <c r="T262" s="264"/>
      <c r="U262" s="90"/>
      <c r="V262" s="90"/>
      <c r="W262" s="90"/>
      <c r="X262" s="90"/>
      <c r="Y262" s="90"/>
      <c r="Z262" s="90"/>
      <c r="AA262" s="90"/>
    </row>
    <row r="263" ht="15.75" customHeight="1">
      <c r="A263" s="90"/>
      <c r="B263" s="292"/>
      <c r="C263" s="293"/>
      <c r="D263" s="90"/>
      <c r="E263" s="293"/>
      <c r="F263" s="294"/>
      <c r="G263" s="292"/>
      <c r="H263" s="293"/>
      <c r="I263" s="294"/>
      <c r="J263" s="90"/>
      <c r="K263" s="296"/>
      <c r="L263" s="296"/>
      <c r="M263" s="296"/>
      <c r="N263" s="296"/>
      <c r="O263" s="296"/>
      <c r="P263" s="296"/>
      <c r="Q263" s="297"/>
      <c r="R263" s="90"/>
      <c r="S263" s="90"/>
      <c r="T263" s="264"/>
      <c r="U263" s="90"/>
      <c r="V263" s="90"/>
      <c r="W263" s="90"/>
      <c r="X263" s="90"/>
      <c r="Y263" s="90"/>
      <c r="Z263" s="90"/>
      <c r="AA263" s="90"/>
    </row>
    <row r="264" ht="15.75" customHeight="1">
      <c r="A264" s="90"/>
      <c r="B264" s="292"/>
      <c r="C264" s="293"/>
      <c r="D264" s="90"/>
      <c r="E264" s="293"/>
      <c r="F264" s="294"/>
      <c r="G264" s="292"/>
      <c r="H264" s="293"/>
      <c r="I264" s="294"/>
      <c r="J264" s="90"/>
      <c r="K264" s="296"/>
      <c r="L264" s="296"/>
      <c r="M264" s="296"/>
      <c r="N264" s="296"/>
      <c r="O264" s="296"/>
      <c r="P264" s="296"/>
      <c r="Q264" s="297"/>
      <c r="R264" s="90"/>
      <c r="S264" s="90"/>
      <c r="T264" s="264"/>
      <c r="U264" s="90"/>
      <c r="V264" s="90"/>
      <c r="W264" s="90"/>
      <c r="X264" s="90"/>
      <c r="Y264" s="90"/>
      <c r="Z264" s="90"/>
      <c r="AA264" s="90"/>
    </row>
    <row r="265" ht="15.75" customHeight="1">
      <c r="A265" s="90"/>
      <c r="B265" s="292"/>
      <c r="C265" s="293"/>
      <c r="D265" s="90"/>
      <c r="E265" s="293"/>
      <c r="F265" s="294"/>
      <c r="G265" s="292"/>
      <c r="H265" s="293"/>
      <c r="I265" s="294"/>
      <c r="J265" s="90"/>
      <c r="K265" s="296"/>
      <c r="L265" s="296"/>
      <c r="M265" s="296"/>
      <c r="N265" s="296"/>
      <c r="O265" s="296"/>
      <c r="P265" s="296"/>
      <c r="Q265" s="297"/>
      <c r="R265" s="90"/>
      <c r="S265" s="90"/>
      <c r="T265" s="264"/>
      <c r="U265" s="90"/>
      <c r="V265" s="90"/>
      <c r="W265" s="90"/>
      <c r="X265" s="90"/>
      <c r="Y265" s="90"/>
      <c r="Z265" s="90"/>
      <c r="AA265" s="90"/>
    </row>
    <row r="266" ht="15.75" customHeight="1">
      <c r="A266" s="90"/>
      <c r="B266" s="292"/>
      <c r="C266" s="293"/>
      <c r="D266" s="90"/>
      <c r="E266" s="293"/>
      <c r="F266" s="294"/>
      <c r="G266" s="292"/>
      <c r="H266" s="293"/>
      <c r="I266" s="294"/>
      <c r="J266" s="90"/>
      <c r="K266" s="296"/>
      <c r="L266" s="296"/>
      <c r="M266" s="296"/>
      <c r="N266" s="296"/>
      <c r="O266" s="296"/>
      <c r="P266" s="296"/>
      <c r="Q266" s="297"/>
      <c r="R266" s="90"/>
      <c r="S266" s="90"/>
      <c r="T266" s="264"/>
      <c r="U266" s="90"/>
      <c r="V266" s="90"/>
      <c r="W266" s="90"/>
      <c r="X266" s="90"/>
      <c r="Y266" s="90"/>
      <c r="Z266" s="90"/>
      <c r="AA266" s="90"/>
    </row>
    <row r="267" ht="15.75" customHeight="1">
      <c r="A267" s="90"/>
      <c r="B267" s="292"/>
      <c r="C267" s="293"/>
      <c r="D267" s="90"/>
      <c r="E267" s="293"/>
      <c r="F267" s="294"/>
      <c r="G267" s="292"/>
      <c r="H267" s="293"/>
      <c r="I267" s="294"/>
      <c r="J267" s="90"/>
      <c r="K267" s="296"/>
      <c r="L267" s="296"/>
      <c r="M267" s="296"/>
      <c r="N267" s="296"/>
      <c r="O267" s="296"/>
      <c r="P267" s="296"/>
      <c r="Q267" s="297"/>
      <c r="R267" s="90"/>
      <c r="S267" s="90"/>
      <c r="T267" s="264"/>
      <c r="U267" s="90"/>
      <c r="V267" s="90"/>
      <c r="W267" s="90"/>
      <c r="X267" s="90"/>
      <c r="Y267" s="90"/>
      <c r="Z267" s="90"/>
      <c r="AA267" s="90"/>
    </row>
    <row r="268" ht="15.75" customHeight="1">
      <c r="A268" s="90"/>
      <c r="B268" s="292"/>
      <c r="C268" s="293"/>
      <c r="D268" s="90"/>
      <c r="E268" s="293"/>
      <c r="F268" s="294"/>
      <c r="G268" s="292"/>
      <c r="H268" s="293"/>
      <c r="I268" s="294"/>
      <c r="J268" s="90"/>
      <c r="K268" s="296"/>
      <c r="L268" s="296"/>
      <c r="M268" s="296"/>
      <c r="N268" s="296"/>
      <c r="O268" s="296"/>
      <c r="P268" s="296"/>
      <c r="Q268" s="297"/>
      <c r="R268" s="90"/>
      <c r="S268" s="90"/>
      <c r="T268" s="264"/>
      <c r="U268" s="90"/>
      <c r="V268" s="90"/>
      <c r="W268" s="90"/>
      <c r="X268" s="90"/>
      <c r="Y268" s="90"/>
      <c r="Z268" s="90"/>
      <c r="AA268" s="90"/>
    </row>
    <row r="269" ht="15.75" customHeight="1">
      <c r="A269" s="90"/>
      <c r="B269" s="292"/>
      <c r="C269" s="293"/>
      <c r="D269" s="90"/>
      <c r="E269" s="293"/>
      <c r="F269" s="294"/>
      <c r="G269" s="292"/>
      <c r="H269" s="293"/>
      <c r="I269" s="294"/>
      <c r="J269" s="90"/>
      <c r="K269" s="296"/>
      <c r="L269" s="296"/>
      <c r="M269" s="296"/>
      <c r="N269" s="296"/>
      <c r="O269" s="296"/>
      <c r="P269" s="296"/>
      <c r="Q269" s="297"/>
      <c r="R269" s="90"/>
      <c r="S269" s="90"/>
      <c r="T269" s="264"/>
      <c r="U269" s="90"/>
      <c r="V269" s="90"/>
      <c r="W269" s="90"/>
      <c r="X269" s="90"/>
      <c r="Y269" s="90"/>
      <c r="Z269" s="90"/>
      <c r="AA269" s="90"/>
    </row>
    <row r="270" ht="15.75" customHeight="1">
      <c r="A270" s="90"/>
      <c r="B270" s="292"/>
      <c r="C270" s="293"/>
      <c r="D270" s="90"/>
      <c r="E270" s="293"/>
      <c r="F270" s="294"/>
      <c r="G270" s="292"/>
      <c r="H270" s="293"/>
      <c r="I270" s="294"/>
      <c r="J270" s="90"/>
      <c r="K270" s="296"/>
      <c r="L270" s="296"/>
      <c r="M270" s="296"/>
      <c r="N270" s="296"/>
      <c r="O270" s="296"/>
      <c r="P270" s="296"/>
      <c r="Q270" s="297"/>
      <c r="R270" s="90"/>
      <c r="S270" s="90"/>
      <c r="T270" s="264"/>
      <c r="U270" s="90"/>
      <c r="V270" s="90"/>
      <c r="W270" s="90"/>
      <c r="X270" s="90"/>
      <c r="Y270" s="90"/>
      <c r="Z270" s="90"/>
      <c r="AA270" s="90"/>
    </row>
    <row r="271" ht="15.75" customHeight="1">
      <c r="A271" s="90"/>
      <c r="B271" s="292"/>
      <c r="C271" s="293"/>
      <c r="D271" s="90"/>
      <c r="E271" s="293"/>
      <c r="F271" s="294"/>
      <c r="G271" s="292"/>
      <c r="H271" s="293"/>
      <c r="I271" s="294"/>
      <c r="J271" s="90"/>
      <c r="K271" s="296"/>
      <c r="L271" s="296"/>
      <c r="M271" s="296"/>
      <c r="N271" s="296"/>
      <c r="O271" s="296"/>
      <c r="P271" s="296"/>
      <c r="Q271" s="297"/>
      <c r="R271" s="90"/>
      <c r="S271" s="90"/>
      <c r="T271" s="264"/>
      <c r="U271" s="90"/>
      <c r="V271" s="90"/>
      <c r="W271" s="90"/>
      <c r="X271" s="90"/>
      <c r="Y271" s="90"/>
      <c r="Z271" s="90"/>
      <c r="AA271" s="90"/>
    </row>
    <row r="272" ht="15.75" customHeight="1">
      <c r="A272" s="90"/>
      <c r="B272" s="292"/>
      <c r="C272" s="293"/>
      <c r="D272" s="90"/>
      <c r="E272" s="293"/>
      <c r="F272" s="294"/>
      <c r="G272" s="292"/>
      <c r="H272" s="293"/>
      <c r="I272" s="294"/>
      <c r="J272" s="90"/>
      <c r="K272" s="296"/>
      <c r="L272" s="296"/>
      <c r="M272" s="296"/>
      <c r="N272" s="296"/>
      <c r="O272" s="296"/>
      <c r="P272" s="296"/>
      <c r="Q272" s="297"/>
      <c r="R272" s="90"/>
      <c r="S272" s="90"/>
      <c r="T272" s="264"/>
      <c r="U272" s="90"/>
      <c r="V272" s="90"/>
      <c r="W272" s="90"/>
      <c r="X272" s="90"/>
      <c r="Y272" s="90"/>
      <c r="Z272" s="90"/>
      <c r="AA272" s="90"/>
    </row>
    <row r="273" ht="15.75" customHeight="1">
      <c r="A273" s="90"/>
      <c r="B273" s="292"/>
      <c r="C273" s="293"/>
      <c r="D273" s="90"/>
      <c r="E273" s="293"/>
      <c r="F273" s="294"/>
      <c r="G273" s="292"/>
      <c r="H273" s="293"/>
      <c r="I273" s="294"/>
      <c r="J273" s="90"/>
      <c r="K273" s="296"/>
      <c r="L273" s="296"/>
      <c r="M273" s="296"/>
      <c r="N273" s="296"/>
      <c r="O273" s="296"/>
      <c r="P273" s="296"/>
      <c r="Q273" s="297"/>
      <c r="R273" s="90"/>
      <c r="S273" s="90"/>
      <c r="T273" s="264"/>
      <c r="U273" s="90"/>
      <c r="V273" s="90"/>
      <c r="W273" s="90"/>
      <c r="X273" s="90"/>
      <c r="Y273" s="90"/>
      <c r="Z273" s="90"/>
      <c r="AA273" s="90"/>
    </row>
    <row r="274" ht="15.75" customHeight="1">
      <c r="A274" s="90"/>
      <c r="B274" s="292"/>
      <c r="C274" s="293"/>
      <c r="D274" s="90"/>
      <c r="E274" s="293"/>
      <c r="F274" s="294"/>
      <c r="G274" s="292"/>
      <c r="H274" s="293"/>
      <c r="I274" s="294"/>
      <c r="J274" s="90"/>
      <c r="K274" s="296"/>
      <c r="L274" s="296"/>
      <c r="M274" s="296"/>
      <c r="N274" s="296"/>
      <c r="O274" s="296"/>
      <c r="P274" s="296"/>
      <c r="Q274" s="297"/>
      <c r="R274" s="90"/>
      <c r="S274" s="90"/>
      <c r="T274" s="264"/>
      <c r="U274" s="90"/>
      <c r="V274" s="90"/>
      <c r="W274" s="90"/>
      <c r="X274" s="90"/>
      <c r="Y274" s="90"/>
      <c r="Z274" s="90"/>
      <c r="AA274" s="90"/>
    </row>
    <row r="275" ht="15.75" customHeight="1">
      <c r="A275" s="90"/>
      <c r="B275" s="292"/>
      <c r="C275" s="293"/>
      <c r="D275" s="90"/>
      <c r="E275" s="293"/>
      <c r="F275" s="294"/>
      <c r="G275" s="292"/>
      <c r="H275" s="293"/>
      <c r="I275" s="294"/>
      <c r="J275" s="90"/>
      <c r="K275" s="296"/>
      <c r="L275" s="296"/>
      <c r="M275" s="296"/>
      <c r="N275" s="296"/>
      <c r="O275" s="296"/>
      <c r="P275" s="296"/>
      <c r="Q275" s="297"/>
      <c r="R275" s="90"/>
      <c r="S275" s="90"/>
      <c r="T275" s="264"/>
      <c r="U275" s="90"/>
      <c r="V275" s="90"/>
      <c r="W275" s="90"/>
      <c r="X275" s="90"/>
      <c r="Y275" s="90"/>
      <c r="Z275" s="90"/>
      <c r="AA275" s="90"/>
    </row>
    <row r="276" ht="15.75" customHeight="1">
      <c r="A276" s="90"/>
      <c r="B276" s="292"/>
      <c r="C276" s="293"/>
      <c r="D276" s="90"/>
      <c r="E276" s="293"/>
      <c r="F276" s="294"/>
      <c r="G276" s="292"/>
      <c r="H276" s="293"/>
      <c r="I276" s="294"/>
      <c r="J276" s="90"/>
      <c r="K276" s="296"/>
      <c r="L276" s="296"/>
      <c r="M276" s="296"/>
      <c r="N276" s="296"/>
      <c r="O276" s="296"/>
      <c r="P276" s="296"/>
      <c r="Q276" s="297"/>
      <c r="R276" s="90"/>
      <c r="S276" s="90"/>
      <c r="T276" s="264"/>
      <c r="U276" s="90"/>
      <c r="V276" s="90"/>
      <c r="W276" s="90"/>
      <c r="X276" s="90"/>
      <c r="Y276" s="90"/>
      <c r="Z276" s="90"/>
      <c r="AA276" s="90"/>
    </row>
    <row r="277" ht="15.75" customHeight="1">
      <c r="A277" s="90"/>
      <c r="B277" s="292"/>
      <c r="C277" s="293"/>
      <c r="D277" s="90"/>
      <c r="E277" s="293"/>
      <c r="F277" s="294"/>
      <c r="G277" s="292"/>
      <c r="H277" s="293"/>
      <c r="I277" s="294"/>
      <c r="J277" s="90"/>
      <c r="K277" s="296"/>
      <c r="L277" s="296"/>
      <c r="M277" s="296"/>
      <c r="N277" s="296"/>
      <c r="O277" s="296"/>
      <c r="P277" s="296"/>
      <c r="Q277" s="297"/>
      <c r="R277" s="90"/>
      <c r="S277" s="90"/>
      <c r="T277" s="264"/>
      <c r="U277" s="90"/>
      <c r="V277" s="90"/>
      <c r="W277" s="90"/>
      <c r="X277" s="90"/>
      <c r="Y277" s="90"/>
      <c r="Z277" s="90"/>
      <c r="AA277" s="90"/>
    </row>
    <row r="278" ht="15.75" customHeight="1">
      <c r="A278" s="90"/>
      <c r="B278" s="292"/>
      <c r="C278" s="293"/>
      <c r="D278" s="90"/>
      <c r="E278" s="293"/>
      <c r="F278" s="294"/>
      <c r="G278" s="292"/>
      <c r="H278" s="293"/>
      <c r="I278" s="294"/>
      <c r="J278" s="90"/>
      <c r="K278" s="296"/>
      <c r="L278" s="296"/>
      <c r="M278" s="296"/>
      <c r="N278" s="296"/>
      <c r="O278" s="296"/>
      <c r="P278" s="296"/>
      <c r="Q278" s="297"/>
      <c r="R278" s="90"/>
      <c r="S278" s="90"/>
      <c r="T278" s="264"/>
      <c r="U278" s="90"/>
      <c r="V278" s="90"/>
      <c r="W278" s="90"/>
      <c r="X278" s="90"/>
      <c r="Y278" s="90"/>
      <c r="Z278" s="90"/>
      <c r="AA278" s="90"/>
    </row>
    <row r="279" ht="15.75" customHeight="1">
      <c r="A279" s="90"/>
      <c r="B279" s="292"/>
      <c r="C279" s="293"/>
      <c r="D279" s="90"/>
      <c r="E279" s="293"/>
      <c r="F279" s="294"/>
      <c r="G279" s="292"/>
      <c r="H279" s="293"/>
      <c r="I279" s="294"/>
      <c r="J279" s="90"/>
      <c r="K279" s="296"/>
      <c r="L279" s="296"/>
      <c r="M279" s="296"/>
      <c r="N279" s="296"/>
      <c r="O279" s="296"/>
      <c r="P279" s="296"/>
      <c r="Q279" s="297"/>
      <c r="R279" s="90"/>
      <c r="S279" s="90"/>
      <c r="T279" s="264"/>
      <c r="U279" s="90"/>
      <c r="V279" s="90"/>
      <c r="W279" s="90"/>
      <c r="X279" s="90"/>
      <c r="Y279" s="90"/>
      <c r="Z279" s="90"/>
      <c r="AA279" s="90"/>
    </row>
    <row r="280" ht="15.75" customHeight="1">
      <c r="A280" s="90"/>
      <c r="B280" s="292"/>
      <c r="C280" s="293"/>
      <c r="D280" s="90"/>
      <c r="E280" s="293"/>
      <c r="F280" s="294"/>
      <c r="G280" s="292"/>
      <c r="H280" s="293"/>
      <c r="I280" s="294"/>
      <c r="J280" s="90"/>
      <c r="K280" s="296"/>
      <c r="L280" s="296"/>
      <c r="M280" s="296"/>
      <c r="N280" s="296"/>
      <c r="O280" s="296"/>
      <c r="P280" s="296"/>
      <c r="Q280" s="297"/>
      <c r="R280" s="90"/>
      <c r="S280" s="90"/>
      <c r="T280" s="264"/>
      <c r="U280" s="90"/>
      <c r="V280" s="90"/>
      <c r="W280" s="90"/>
      <c r="X280" s="90"/>
      <c r="Y280" s="90"/>
      <c r="Z280" s="90"/>
      <c r="AA280" s="90"/>
    </row>
    <row r="281" ht="15.75" customHeight="1">
      <c r="A281" s="90"/>
      <c r="B281" s="292"/>
      <c r="C281" s="293"/>
      <c r="D281" s="90"/>
      <c r="E281" s="293"/>
      <c r="F281" s="294"/>
      <c r="G281" s="292"/>
      <c r="H281" s="293"/>
      <c r="I281" s="294"/>
      <c r="J281" s="90"/>
      <c r="K281" s="296"/>
      <c r="L281" s="296"/>
      <c r="M281" s="296"/>
      <c r="N281" s="296"/>
      <c r="O281" s="296"/>
      <c r="P281" s="296"/>
      <c r="Q281" s="297"/>
      <c r="R281" s="90"/>
      <c r="S281" s="90"/>
      <c r="T281" s="264"/>
      <c r="U281" s="90"/>
      <c r="V281" s="90"/>
      <c r="W281" s="90"/>
      <c r="X281" s="90"/>
      <c r="Y281" s="90"/>
      <c r="Z281" s="90"/>
      <c r="AA281" s="90"/>
    </row>
    <row r="282" ht="15.75" customHeight="1">
      <c r="A282" s="90"/>
      <c r="B282" s="292"/>
      <c r="C282" s="293"/>
      <c r="D282" s="90"/>
      <c r="E282" s="293"/>
      <c r="F282" s="294"/>
      <c r="G282" s="292"/>
      <c r="H282" s="293"/>
      <c r="I282" s="294"/>
      <c r="J282" s="90"/>
      <c r="K282" s="296"/>
      <c r="L282" s="296"/>
      <c r="M282" s="296"/>
      <c r="N282" s="296"/>
      <c r="O282" s="296"/>
      <c r="P282" s="296"/>
      <c r="Q282" s="297"/>
      <c r="R282" s="90"/>
      <c r="S282" s="90"/>
      <c r="T282" s="264"/>
      <c r="U282" s="90"/>
      <c r="V282" s="90"/>
      <c r="W282" s="90"/>
      <c r="X282" s="90"/>
      <c r="Y282" s="90"/>
      <c r="Z282" s="90"/>
      <c r="AA282" s="90"/>
    </row>
    <row r="283" ht="15.75" customHeight="1">
      <c r="A283" s="90"/>
      <c r="B283" s="292"/>
      <c r="C283" s="293"/>
      <c r="D283" s="90"/>
      <c r="E283" s="293"/>
      <c r="F283" s="294"/>
      <c r="G283" s="292"/>
      <c r="H283" s="293"/>
      <c r="I283" s="294"/>
      <c r="J283" s="90"/>
      <c r="K283" s="296"/>
      <c r="L283" s="296"/>
      <c r="M283" s="296"/>
      <c r="N283" s="296"/>
      <c r="O283" s="296"/>
      <c r="P283" s="296"/>
      <c r="Q283" s="297"/>
      <c r="R283" s="90"/>
      <c r="S283" s="90"/>
      <c r="T283" s="264"/>
      <c r="U283" s="90"/>
      <c r="V283" s="90"/>
      <c r="W283" s="90"/>
      <c r="X283" s="90"/>
      <c r="Y283" s="90"/>
      <c r="Z283" s="90"/>
      <c r="AA283" s="90"/>
    </row>
    <row r="284" ht="15.75" customHeight="1">
      <c r="A284" s="90"/>
      <c r="B284" s="292"/>
      <c r="C284" s="293"/>
      <c r="D284" s="90"/>
      <c r="E284" s="293"/>
      <c r="F284" s="294"/>
      <c r="G284" s="292"/>
      <c r="H284" s="293"/>
      <c r="I284" s="294"/>
      <c r="J284" s="90"/>
      <c r="K284" s="296"/>
      <c r="L284" s="296"/>
      <c r="M284" s="296"/>
      <c r="N284" s="296"/>
      <c r="O284" s="296"/>
      <c r="P284" s="296"/>
      <c r="Q284" s="297"/>
      <c r="R284" s="90"/>
      <c r="S284" s="90"/>
      <c r="T284" s="264"/>
      <c r="U284" s="90"/>
      <c r="V284" s="90"/>
      <c r="W284" s="90"/>
      <c r="X284" s="90"/>
      <c r="Y284" s="90"/>
      <c r="Z284" s="90"/>
      <c r="AA284" s="90"/>
    </row>
    <row r="285" ht="15.75" customHeight="1">
      <c r="A285" s="90"/>
      <c r="B285" s="292"/>
      <c r="C285" s="293"/>
      <c r="D285" s="90"/>
      <c r="E285" s="293"/>
      <c r="F285" s="294"/>
      <c r="G285" s="292"/>
      <c r="H285" s="293"/>
      <c r="I285" s="294"/>
      <c r="J285" s="90"/>
      <c r="K285" s="296"/>
      <c r="L285" s="296"/>
      <c r="M285" s="296"/>
      <c r="N285" s="296"/>
      <c r="O285" s="296"/>
      <c r="P285" s="296"/>
      <c r="Q285" s="297"/>
      <c r="R285" s="90"/>
      <c r="S285" s="90"/>
      <c r="T285" s="264"/>
      <c r="U285" s="90"/>
      <c r="V285" s="90"/>
      <c r="W285" s="90"/>
      <c r="X285" s="90"/>
      <c r="Y285" s="90"/>
      <c r="Z285" s="90"/>
      <c r="AA285" s="90"/>
    </row>
    <row r="286" ht="15.75" customHeight="1">
      <c r="A286" s="90"/>
      <c r="B286" s="292"/>
      <c r="C286" s="293"/>
      <c r="D286" s="90"/>
      <c r="E286" s="293"/>
      <c r="F286" s="294"/>
      <c r="G286" s="292"/>
      <c r="H286" s="293"/>
      <c r="I286" s="294"/>
      <c r="J286" s="90"/>
      <c r="K286" s="296"/>
      <c r="L286" s="296"/>
      <c r="M286" s="296"/>
      <c r="N286" s="296"/>
      <c r="O286" s="296"/>
      <c r="P286" s="296"/>
      <c r="Q286" s="297"/>
      <c r="R286" s="90"/>
      <c r="S286" s="90"/>
      <c r="T286" s="264"/>
      <c r="U286" s="90"/>
      <c r="V286" s="90"/>
      <c r="W286" s="90"/>
      <c r="X286" s="90"/>
      <c r="Y286" s="90"/>
      <c r="Z286" s="90"/>
      <c r="AA286" s="90"/>
    </row>
    <row r="287" ht="15.75" customHeight="1">
      <c r="A287" s="90"/>
      <c r="B287" s="292"/>
      <c r="C287" s="293"/>
      <c r="D287" s="90"/>
      <c r="E287" s="293"/>
      <c r="F287" s="294"/>
      <c r="G287" s="292"/>
      <c r="H287" s="293"/>
      <c r="I287" s="294"/>
      <c r="J287" s="90"/>
      <c r="K287" s="296"/>
      <c r="L287" s="296"/>
      <c r="M287" s="296"/>
      <c r="N287" s="296"/>
      <c r="O287" s="296"/>
      <c r="P287" s="296"/>
      <c r="Q287" s="297"/>
      <c r="R287" s="90"/>
      <c r="S287" s="90"/>
      <c r="T287" s="264"/>
      <c r="U287" s="90"/>
      <c r="V287" s="90"/>
      <c r="W287" s="90"/>
      <c r="X287" s="90"/>
      <c r="Y287" s="90"/>
      <c r="Z287" s="90"/>
      <c r="AA287" s="90"/>
    </row>
    <row r="288" ht="15.75" customHeight="1">
      <c r="A288" s="90"/>
      <c r="B288" s="292"/>
      <c r="C288" s="293"/>
      <c r="D288" s="90"/>
      <c r="E288" s="293"/>
      <c r="F288" s="294"/>
      <c r="G288" s="292"/>
      <c r="H288" s="293"/>
      <c r="I288" s="294"/>
      <c r="J288" s="90"/>
      <c r="K288" s="296"/>
      <c r="L288" s="296"/>
      <c r="M288" s="296"/>
      <c r="N288" s="296"/>
      <c r="O288" s="296"/>
      <c r="P288" s="296"/>
      <c r="Q288" s="297"/>
      <c r="R288" s="90"/>
      <c r="S288" s="90"/>
      <c r="T288" s="264"/>
      <c r="U288" s="90"/>
      <c r="V288" s="90"/>
      <c r="W288" s="90"/>
      <c r="X288" s="90"/>
      <c r="Y288" s="90"/>
      <c r="Z288" s="90"/>
      <c r="AA288" s="90"/>
    </row>
    <row r="289" ht="15.75" customHeight="1">
      <c r="A289" s="90"/>
      <c r="B289" s="292"/>
      <c r="C289" s="293"/>
      <c r="D289" s="90"/>
      <c r="E289" s="293"/>
      <c r="F289" s="294"/>
      <c r="G289" s="292"/>
      <c r="H289" s="293"/>
      <c r="I289" s="294"/>
      <c r="J289" s="90"/>
      <c r="K289" s="296"/>
      <c r="L289" s="296"/>
      <c r="M289" s="296"/>
      <c r="N289" s="296"/>
      <c r="O289" s="296"/>
      <c r="P289" s="296"/>
      <c r="Q289" s="297"/>
      <c r="R289" s="90"/>
      <c r="S289" s="90"/>
      <c r="T289" s="264"/>
      <c r="U289" s="90"/>
      <c r="V289" s="90"/>
      <c r="W289" s="90"/>
      <c r="X289" s="90"/>
      <c r="Y289" s="90"/>
      <c r="Z289" s="90"/>
      <c r="AA289" s="90"/>
    </row>
    <row r="290" ht="15.75" customHeight="1">
      <c r="A290" s="90"/>
      <c r="B290" s="292"/>
      <c r="C290" s="293"/>
      <c r="D290" s="90"/>
      <c r="E290" s="293"/>
      <c r="F290" s="294"/>
      <c r="G290" s="292"/>
      <c r="H290" s="293"/>
      <c r="I290" s="294"/>
      <c r="J290" s="90"/>
      <c r="K290" s="296"/>
      <c r="L290" s="296"/>
      <c r="M290" s="296"/>
      <c r="N290" s="296"/>
      <c r="O290" s="296"/>
      <c r="P290" s="296"/>
      <c r="Q290" s="297"/>
      <c r="R290" s="90"/>
      <c r="S290" s="90"/>
      <c r="T290" s="264"/>
      <c r="U290" s="90"/>
      <c r="V290" s="90"/>
      <c r="W290" s="90"/>
      <c r="X290" s="90"/>
      <c r="Y290" s="90"/>
      <c r="Z290" s="90"/>
      <c r="AA290" s="90"/>
    </row>
    <row r="291" ht="15.75" customHeight="1">
      <c r="A291" s="90"/>
      <c r="B291" s="292"/>
      <c r="C291" s="293"/>
      <c r="D291" s="90"/>
      <c r="E291" s="293"/>
      <c r="F291" s="294"/>
      <c r="G291" s="292"/>
      <c r="H291" s="293"/>
      <c r="I291" s="294"/>
      <c r="J291" s="90"/>
      <c r="K291" s="296"/>
      <c r="L291" s="296"/>
      <c r="M291" s="296"/>
      <c r="N291" s="296"/>
      <c r="O291" s="296"/>
      <c r="P291" s="296"/>
      <c r="Q291" s="297"/>
      <c r="R291" s="90"/>
      <c r="S291" s="90"/>
      <c r="T291" s="264"/>
      <c r="U291" s="90"/>
      <c r="V291" s="90"/>
      <c r="W291" s="90"/>
      <c r="X291" s="90"/>
      <c r="Y291" s="90"/>
      <c r="Z291" s="90"/>
      <c r="AA291" s="90"/>
    </row>
    <row r="292" ht="15.75" customHeight="1">
      <c r="A292" s="90"/>
      <c r="B292" s="292"/>
      <c r="C292" s="293"/>
      <c r="D292" s="90"/>
      <c r="E292" s="293"/>
      <c r="F292" s="294"/>
      <c r="G292" s="292"/>
      <c r="H292" s="293"/>
      <c r="I292" s="294"/>
      <c r="J292" s="90"/>
      <c r="K292" s="296"/>
      <c r="L292" s="296"/>
      <c r="M292" s="296"/>
      <c r="N292" s="296"/>
      <c r="O292" s="296"/>
      <c r="P292" s="296"/>
      <c r="Q292" s="297"/>
      <c r="R292" s="90"/>
      <c r="S292" s="90"/>
      <c r="T292" s="264"/>
      <c r="U292" s="90"/>
      <c r="V292" s="90"/>
      <c r="W292" s="90"/>
      <c r="X292" s="90"/>
      <c r="Y292" s="90"/>
      <c r="Z292" s="90"/>
      <c r="AA292" s="90"/>
    </row>
    <row r="293" ht="15.75" customHeight="1">
      <c r="A293" s="90"/>
      <c r="B293" s="292"/>
      <c r="C293" s="293"/>
      <c r="D293" s="90"/>
      <c r="E293" s="293"/>
      <c r="F293" s="294"/>
      <c r="G293" s="292"/>
      <c r="H293" s="293"/>
      <c r="I293" s="294"/>
      <c r="J293" s="90"/>
      <c r="K293" s="296"/>
      <c r="L293" s="296"/>
      <c r="M293" s="296"/>
      <c r="N293" s="296"/>
      <c r="O293" s="296"/>
      <c r="P293" s="296"/>
      <c r="Q293" s="297"/>
      <c r="R293" s="90"/>
      <c r="S293" s="90"/>
      <c r="T293" s="264"/>
      <c r="U293" s="90"/>
      <c r="V293" s="90"/>
      <c r="W293" s="90"/>
      <c r="X293" s="90"/>
      <c r="Y293" s="90"/>
      <c r="Z293" s="90"/>
      <c r="AA293" s="90"/>
    </row>
    <row r="294" ht="15.75" customHeight="1">
      <c r="A294" s="90"/>
      <c r="B294" s="292"/>
      <c r="C294" s="293"/>
      <c r="D294" s="90"/>
      <c r="E294" s="293"/>
      <c r="F294" s="294"/>
      <c r="G294" s="292"/>
      <c r="H294" s="293"/>
      <c r="I294" s="294"/>
      <c r="J294" s="90"/>
      <c r="K294" s="296"/>
      <c r="L294" s="296"/>
      <c r="M294" s="296"/>
      <c r="N294" s="296"/>
      <c r="O294" s="296"/>
      <c r="P294" s="296"/>
      <c r="Q294" s="297"/>
      <c r="R294" s="90"/>
      <c r="S294" s="90"/>
      <c r="T294" s="264"/>
      <c r="U294" s="90"/>
      <c r="V294" s="90"/>
      <c r="W294" s="90"/>
      <c r="X294" s="90"/>
      <c r="Y294" s="90"/>
      <c r="Z294" s="90"/>
      <c r="AA294" s="90"/>
    </row>
    <row r="295" ht="15.75" customHeight="1">
      <c r="A295" s="90"/>
      <c r="B295" s="292"/>
      <c r="C295" s="293"/>
      <c r="D295" s="90"/>
      <c r="E295" s="293"/>
      <c r="F295" s="294"/>
      <c r="G295" s="292"/>
      <c r="H295" s="293"/>
      <c r="I295" s="294"/>
      <c r="J295" s="90"/>
      <c r="K295" s="296"/>
      <c r="L295" s="296"/>
      <c r="M295" s="296"/>
      <c r="N295" s="296"/>
      <c r="O295" s="296"/>
      <c r="P295" s="296"/>
      <c r="Q295" s="297"/>
      <c r="R295" s="90"/>
      <c r="S295" s="90"/>
      <c r="T295" s="264"/>
      <c r="U295" s="90"/>
      <c r="V295" s="90"/>
      <c r="W295" s="90"/>
      <c r="X295" s="90"/>
      <c r="Y295" s="90"/>
      <c r="Z295" s="90"/>
      <c r="AA295" s="90"/>
    </row>
    <row r="296" ht="15.75" customHeight="1">
      <c r="A296" s="90"/>
      <c r="B296" s="292"/>
      <c r="C296" s="293"/>
      <c r="D296" s="90"/>
      <c r="E296" s="293"/>
      <c r="F296" s="294"/>
      <c r="G296" s="292"/>
      <c r="H296" s="293"/>
      <c r="I296" s="294"/>
      <c r="J296" s="90"/>
      <c r="K296" s="296"/>
      <c r="L296" s="296"/>
      <c r="M296" s="296"/>
      <c r="N296" s="296"/>
      <c r="O296" s="296"/>
      <c r="P296" s="296"/>
      <c r="Q296" s="297"/>
      <c r="R296" s="90"/>
      <c r="S296" s="90"/>
      <c r="T296" s="264"/>
      <c r="U296" s="90"/>
      <c r="V296" s="90"/>
      <c r="W296" s="90"/>
      <c r="X296" s="90"/>
      <c r="Y296" s="90"/>
      <c r="Z296" s="90"/>
      <c r="AA296" s="90"/>
    </row>
    <row r="297" ht="15.75" customHeight="1">
      <c r="A297" s="90"/>
      <c r="B297" s="292"/>
      <c r="C297" s="293"/>
      <c r="D297" s="90"/>
      <c r="E297" s="293"/>
      <c r="F297" s="294"/>
      <c r="G297" s="292"/>
      <c r="H297" s="293"/>
      <c r="I297" s="294"/>
      <c r="J297" s="90"/>
      <c r="K297" s="296"/>
      <c r="L297" s="296"/>
      <c r="M297" s="296"/>
      <c r="N297" s="296"/>
      <c r="O297" s="296"/>
      <c r="P297" s="296"/>
      <c r="Q297" s="297"/>
      <c r="R297" s="90"/>
      <c r="S297" s="90"/>
      <c r="T297" s="264"/>
      <c r="U297" s="90"/>
      <c r="V297" s="90"/>
      <c r="W297" s="90"/>
      <c r="X297" s="90"/>
      <c r="Y297" s="90"/>
      <c r="Z297" s="90"/>
      <c r="AA297" s="90"/>
    </row>
    <row r="298" ht="15.75" customHeight="1">
      <c r="A298" s="90"/>
      <c r="B298" s="292"/>
      <c r="C298" s="293"/>
      <c r="D298" s="90"/>
      <c r="E298" s="293"/>
      <c r="F298" s="294"/>
      <c r="G298" s="292"/>
      <c r="H298" s="293"/>
      <c r="I298" s="294"/>
      <c r="J298" s="90"/>
      <c r="K298" s="296"/>
      <c r="L298" s="296"/>
      <c r="M298" s="296"/>
      <c r="N298" s="296"/>
      <c r="O298" s="296"/>
      <c r="P298" s="296"/>
      <c r="Q298" s="297"/>
      <c r="R298" s="90"/>
      <c r="S298" s="90"/>
      <c r="T298" s="264"/>
      <c r="U298" s="90"/>
      <c r="V298" s="90"/>
      <c r="W298" s="90"/>
      <c r="X298" s="90"/>
      <c r="Y298" s="90"/>
      <c r="Z298" s="90"/>
      <c r="AA298" s="90"/>
    </row>
    <row r="299" ht="15.75" customHeight="1">
      <c r="A299" s="90"/>
      <c r="B299" s="292"/>
      <c r="C299" s="293"/>
      <c r="D299" s="90"/>
      <c r="E299" s="293"/>
      <c r="F299" s="294"/>
      <c r="G299" s="292"/>
      <c r="H299" s="293"/>
      <c r="I299" s="294"/>
      <c r="J299" s="90"/>
      <c r="K299" s="296"/>
      <c r="L299" s="296"/>
      <c r="M299" s="296"/>
      <c r="N299" s="296"/>
      <c r="O299" s="296"/>
      <c r="P299" s="296"/>
      <c r="Q299" s="297"/>
      <c r="R299" s="90"/>
      <c r="S299" s="90"/>
      <c r="T299" s="264"/>
      <c r="U299" s="90"/>
      <c r="V299" s="90"/>
      <c r="W299" s="90"/>
      <c r="X299" s="90"/>
      <c r="Y299" s="90"/>
      <c r="Z299" s="90"/>
      <c r="AA299" s="90"/>
    </row>
    <row r="300" ht="15.75" customHeight="1">
      <c r="A300" s="90"/>
      <c r="B300" s="292"/>
      <c r="C300" s="293"/>
      <c r="D300" s="90"/>
      <c r="E300" s="293"/>
      <c r="F300" s="294"/>
      <c r="G300" s="292"/>
      <c r="H300" s="293"/>
      <c r="I300" s="294"/>
      <c r="J300" s="90"/>
      <c r="K300" s="296"/>
      <c r="L300" s="296"/>
      <c r="M300" s="296"/>
      <c r="N300" s="296"/>
      <c r="O300" s="296"/>
      <c r="P300" s="296"/>
      <c r="Q300" s="297"/>
      <c r="R300" s="90"/>
      <c r="S300" s="90"/>
      <c r="T300" s="264"/>
      <c r="U300" s="90"/>
      <c r="V300" s="90"/>
      <c r="W300" s="90"/>
      <c r="X300" s="90"/>
      <c r="Y300" s="90"/>
      <c r="Z300" s="90"/>
      <c r="AA300" s="90"/>
    </row>
    <row r="301" ht="15.75" customHeight="1">
      <c r="A301" s="90"/>
      <c r="B301" s="292"/>
      <c r="C301" s="293"/>
      <c r="D301" s="90"/>
      <c r="E301" s="293"/>
      <c r="F301" s="294"/>
      <c r="G301" s="292"/>
      <c r="H301" s="293"/>
      <c r="I301" s="294"/>
      <c r="J301" s="90"/>
      <c r="K301" s="296"/>
      <c r="L301" s="296"/>
      <c r="M301" s="296"/>
      <c r="N301" s="296"/>
      <c r="O301" s="296"/>
      <c r="P301" s="296"/>
      <c r="Q301" s="297"/>
      <c r="R301" s="90"/>
      <c r="S301" s="90"/>
      <c r="T301" s="264"/>
      <c r="U301" s="90"/>
      <c r="V301" s="90"/>
      <c r="W301" s="90"/>
      <c r="X301" s="90"/>
      <c r="Y301" s="90"/>
      <c r="Z301" s="90"/>
      <c r="AA301" s="90"/>
    </row>
    <row r="302" ht="15.75" customHeight="1">
      <c r="A302" s="90"/>
      <c r="B302" s="292"/>
      <c r="C302" s="293"/>
      <c r="D302" s="90"/>
      <c r="E302" s="293"/>
      <c r="F302" s="294"/>
      <c r="G302" s="292"/>
      <c r="H302" s="293"/>
      <c r="I302" s="294"/>
      <c r="J302" s="90"/>
      <c r="K302" s="296"/>
      <c r="L302" s="296"/>
      <c r="M302" s="296"/>
      <c r="N302" s="296"/>
      <c r="O302" s="296"/>
      <c r="P302" s="296"/>
      <c r="Q302" s="297"/>
      <c r="R302" s="90"/>
      <c r="S302" s="90"/>
      <c r="T302" s="264"/>
      <c r="U302" s="90"/>
      <c r="V302" s="90"/>
      <c r="W302" s="90"/>
      <c r="X302" s="90"/>
      <c r="Y302" s="90"/>
      <c r="Z302" s="90"/>
      <c r="AA302" s="90"/>
    </row>
    <row r="303" ht="15.75" customHeight="1">
      <c r="A303" s="90"/>
      <c r="B303" s="292"/>
      <c r="C303" s="293"/>
      <c r="D303" s="90"/>
      <c r="E303" s="293"/>
      <c r="F303" s="294"/>
      <c r="G303" s="292"/>
      <c r="H303" s="293"/>
      <c r="I303" s="294"/>
      <c r="J303" s="90"/>
      <c r="K303" s="296"/>
      <c r="L303" s="296"/>
      <c r="M303" s="296"/>
      <c r="N303" s="296"/>
      <c r="O303" s="296"/>
      <c r="P303" s="296"/>
      <c r="Q303" s="297"/>
      <c r="R303" s="90"/>
      <c r="S303" s="90"/>
      <c r="T303" s="264"/>
      <c r="U303" s="90"/>
      <c r="V303" s="90"/>
      <c r="W303" s="90"/>
      <c r="X303" s="90"/>
      <c r="Y303" s="90"/>
      <c r="Z303" s="90"/>
      <c r="AA303" s="90"/>
    </row>
    <row r="304" ht="15.75" customHeight="1">
      <c r="A304" s="90"/>
      <c r="B304" s="292"/>
      <c r="C304" s="293"/>
      <c r="D304" s="90"/>
      <c r="E304" s="293"/>
      <c r="F304" s="294"/>
      <c r="G304" s="292"/>
      <c r="H304" s="293"/>
      <c r="I304" s="294"/>
      <c r="J304" s="90"/>
      <c r="K304" s="296"/>
      <c r="L304" s="296"/>
      <c r="M304" s="296"/>
      <c r="N304" s="296"/>
      <c r="O304" s="296"/>
      <c r="P304" s="296"/>
      <c r="Q304" s="297"/>
      <c r="R304" s="90"/>
      <c r="S304" s="90"/>
      <c r="T304" s="264"/>
      <c r="U304" s="90"/>
      <c r="V304" s="90"/>
      <c r="W304" s="90"/>
      <c r="X304" s="90"/>
      <c r="Y304" s="90"/>
      <c r="Z304" s="90"/>
      <c r="AA304" s="90"/>
    </row>
    <row r="305" ht="15.75" customHeight="1">
      <c r="A305" s="90"/>
      <c r="B305" s="292"/>
      <c r="C305" s="293"/>
      <c r="D305" s="90"/>
      <c r="E305" s="293"/>
      <c r="F305" s="294"/>
      <c r="G305" s="292"/>
      <c r="H305" s="293"/>
      <c r="I305" s="294"/>
      <c r="J305" s="90"/>
      <c r="K305" s="296"/>
      <c r="L305" s="296"/>
      <c r="M305" s="296"/>
      <c r="N305" s="296"/>
      <c r="O305" s="296"/>
      <c r="P305" s="296"/>
      <c r="Q305" s="297"/>
      <c r="R305" s="90"/>
      <c r="S305" s="90"/>
      <c r="T305" s="264"/>
      <c r="U305" s="90"/>
      <c r="V305" s="90"/>
      <c r="W305" s="90"/>
      <c r="X305" s="90"/>
      <c r="Y305" s="90"/>
      <c r="Z305" s="90"/>
      <c r="AA305" s="90"/>
    </row>
    <row r="306" ht="15.75" customHeight="1">
      <c r="A306" s="90"/>
      <c r="B306" s="292"/>
      <c r="C306" s="293"/>
      <c r="D306" s="90"/>
      <c r="E306" s="293"/>
      <c r="F306" s="294"/>
      <c r="G306" s="292"/>
      <c r="H306" s="293"/>
      <c r="I306" s="294"/>
      <c r="J306" s="90"/>
      <c r="K306" s="296"/>
      <c r="L306" s="296"/>
      <c r="M306" s="296"/>
      <c r="N306" s="296"/>
      <c r="O306" s="296"/>
      <c r="P306" s="296"/>
      <c r="Q306" s="297"/>
      <c r="R306" s="90"/>
      <c r="S306" s="90"/>
      <c r="T306" s="264"/>
      <c r="U306" s="90"/>
      <c r="V306" s="90"/>
      <c r="W306" s="90"/>
      <c r="X306" s="90"/>
      <c r="Y306" s="90"/>
      <c r="Z306" s="90"/>
      <c r="AA306" s="90"/>
    </row>
    <row r="307" ht="15.75" customHeight="1">
      <c r="A307" s="90"/>
      <c r="B307" s="292"/>
      <c r="C307" s="293"/>
      <c r="D307" s="90"/>
      <c r="E307" s="293"/>
      <c r="F307" s="294"/>
      <c r="G307" s="292"/>
      <c r="H307" s="293"/>
      <c r="I307" s="294"/>
      <c r="J307" s="90"/>
      <c r="K307" s="296"/>
      <c r="L307" s="296"/>
      <c r="M307" s="296"/>
      <c r="N307" s="296"/>
      <c r="O307" s="296"/>
      <c r="P307" s="296"/>
      <c r="Q307" s="297"/>
      <c r="R307" s="90"/>
      <c r="S307" s="90"/>
      <c r="T307" s="264"/>
      <c r="U307" s="90"/>
      <c r="V307" s="90"/>
      <c r="W307" s="90"/>
      <c r="X307" s="90"/>
      <c r="Y307" s="90"/>
      <c r="Z307" s="90"/>
      <c r="AA307" s="90"/>
    </row>
    <row r="308" ht="15.75" customHeight="1">
      <c r="A308" s="90"/>
      <c r="B308" s="292"/>
      <c r="C308" s="293"/>
      <c r="D308" s="90"/>
      <c r="E308" s="293"/>
      <c r="F308" s="294"/>
      <c r="G308" s="292"/>
      <c r="H308" s="293"/>
      <c r="I308" s="294"/>
      <c r="J308" s="90"/>
      <c r="K308" s="296"/>
      <c r="L308" s="296"/>
      <c r="M308" s="296"/>
      <c r="N308" s="296"/>
      <c r="O308" s="296"/>
      <c r="P308" s="296"/>
      <c r="Q308" s="297"/>
      <c r="R308" s="90"/>
      <c r="S308" s="90"/>
      <c r="T308" s="264"/>
      <c r="U308" s="90"/>
      <c r="V308" s="90"/>
      <c r="W308" s="90"/>
      <c r="X308" s="90"/>
      <c r="Y308" s="90"/>
      <c r="Z308" s="90"/>
      <c r="AA308" s="90"/>
    </row>
    <row r="309" ht="15.75" customHeight="1">
      <c r="A309" s="90"/>
      <c r="B309" s="292"/>
      <c r="C309" s="293"/>
      <c r="D309" s="90"/>
      <c r="E309" s="293"/>
      <c r="F309" s="294"/>
      <c r="G309" s="292"/>
      <c r="H309" s="293"/>
      <c r="I309" s="294"/>
      <c r="J309" s="90"/>
      <c r="K309" s="296"/>
      <c r="L309" s="296"/>
      <c r="M309" s="296"/>
      <c r="N309" s="296"/>
      <c r="O309" s="296"/>
      <c r="P309" s="296"/>
      <c r="Q309" s="297"/>
      <c r="R309" s="90"/>
      <c r="S309" s="90"/>
      <c r="T309" s="264"/>
      <c r="U309" s="90"/>
      <c r="V309" s="90"/>
      <c r="W309" s="90"/>
      <c r="X309" s="90"/>
      <c r="Y309" s="90"/>
      <c r="Z309" s="90"/>
      <c r="AA309" s="90"/>
    </row>
    <row r="310" ht="15.75" customHeight="1">
      <c r="A310" s="90"/>
      <c r="B310" s="292"/>
      <c r="C310" s="293"/>
      <c r="D310" s="90"/>
      <c r="E310" s="293"/>
      <c r="F310" s="294"/>
      <c r="G310" s="292"/>
      <c r="H310" s="293"/>
      <c r="I310" s="294"/>
      <c r="J310" s="90"/>
      <c r="K310" s="296"/>
      <c r="L310" s="296"/>
      <c r="M310" s="296"/>
      <c r="N310" s="296"/>
      <c r="O310" s="296"/>
      <c r="P310" s="296"/>
      <c r="Q310" s="297"/>
      <c r="R310" s="90"/>
      <c r="S310" s="90"/>
      <c r="T310" s="264"/>
      <c r="U310" s="90"/>
      <c r="V310" s="90"/>
      <c r="W310" s="90"/>
      <c r="X310" s="90"/>
      <c r="Y310" s="90"/>
      <c r="Z310" s="90"/>
      <c r="AA310" s="90"/>
    </row>
    <row r="311" ht="15.75" customHeight="1">
      <c r="A311" s="90"/>
      <c r="B311" s="292"/>
      <c r="C311" s="293"/>
      <c r="D311" s="90"/>
      <c r="E311" s="293"/>
      <c r="F311" s="294"/>
      <c r="G311" s="292"/>
      <c r="H311" s="293"/>
      <c r="I311" s="294"/>
      <c r="J311" s="90"/>
      <c r="K311" s="296"/>
      <c r="L311" s="296"/>
      <c r="M311" s="296"/>
      <c r="N311" s="296"/>
      <c r="O311" s="296"/>
      <c r="P311" s="296"/>
      <c r="Q311" s="297"/>
      <c r="R311" s="90"/>
      <c r="S311" s="90"/>
      <c r="T311" s="264"/>
      <c r="U311" s="90"/>
      <c r="V311" s="90"/>
      <c r="W311" s="90"/>
      <c r="X311" s="90"/>
      <c r="Y311" s="90"/>
      <c r="Z311" s="90"/>
      <c r="AA311" s="90"/>
    </row>
    <row r="312" ht="15.75" customHeight="1">
      <c r="A312" s="90"/>
      <c r="B312" s="292"/>
      <c r="C312" s="293"/>
      <c r="D312" s="90"/>
      <c r="E312" s="293"/>
      <c r="F312" s="294"/>
      <c r="G312" s="292"/>
      <c r="H312" s="293"/>
      <c r="I312" s="294"/>
      <c r="J312" s="90"/>
      <c r="K312" s="296"/>
      <c r="L312" s="296"/>
      <c r="M312" s="296"/>
      <c r="N312" s="296"/>
      <c r="O312" s="296"/>
      <c r="P312" s="296"/>
      <c r="Q312" s="297"/>
      <c r="R312" s="90"/>
      <c r="S312" s="90"/>
      <c r="T312" s="264"/>
      <c r="U312" s="90"/>
      <c r="V312" s="90"/>
      <c r="W312" s="90"/>
      <c r="X312" s="90"/>
      <c r="Y312" s="90"/>
      <c r="Z312" s="90"/>
      <c r="AA312" s="90"/>
    </row>
    <row r="313" ht="15.75" customHeight="1">
      <c r="A313" s="90"/>
      <c r="B313" s="292"/>
      <c r="C313" s="293"/>
      <c r="D313" s="90"/>
      <c r="E313" s="293"/>
      <c r="F313" s="294"/>
      <c r="G313" s="292"/>
      <c r="H313" s="293"/>
      <c r="I313" s="294"/>
      <c r="J313" s="90"/>
      <c r="K313" s="296"/>
      <c r="L313" s="296"/>
      <c r="M313" s="296"/>
      <c r="N313" s="296"/>
      <c r="O313" s="296"/>
      <c r="P313" s="296"/>
      <c r="Q313" s="297"/>
      <c r="R313" s="90"/>
      <c r="S313" s="90"/>
      <c r="T313" s="264"/>
      <c r="U313" s="90"/>
      <c r="V313" s="90"/>
      <c r="W313" s="90"/>
      <c r="X313" s="90"/>
      <c r="Y313" s="90"/>
      <c r="Z313" s="90"/>
      <c r="AA313" s="90"/>
    </row>
    <row r="314" ht="15.75" customHeight="1">
      <c r="A314" s="90"/>
      <c r="B314" s="292"/>
      <c r="C314" s="293"/>
      <c r="D314" s="90"/>
      <c r="E314" s="293"/>
      <c r="F314" s="294"/>
      <c r="G314" s="292"/>
      <c r="H314" s="293"/>
      <c r="I314" s="294"/>
      <c r="J314" s="90"/>
      <c r="K314" s="296"/>
      <c r="L314" s="296"/>
      <c r="M314" s="296"/>
      <c r="N314" s="296"/>
      <c r="O314" s="296"/>
      <c r="P314" s="296"/>
      <c r="Q314" s="297"/>
      <c r="R314" s="90"/>
      <c r="S314" s="90"/>
      <c r="T314" s="264"/>
      <c r="U314" s="90"/>
      <c r="V314" s="90"/>
      <c r="W314" s="90"/>
      <c r="X314" s="90"/>
      <c r="Y314" s="90"/>
      <c r="Z314" s="90"/>
      <c r="AA314" s="90"/>
    </row>
    <row r="315" ht="15.75" customHeight="1">
      <c r="A315" s="90"/>
      <c r="B315" s="292"/>
      <c r="C315" s="293"/>
      <c r="D315" s="90"/>
      <c r="E315" s="293"/>
      <c r="F315" s="294"/>
      <c r="G315" s="292"/>
      <c r="H315" s="293"/>
      <c r="I315" s="294"/>
      <c r="J315" s="90"/>
      <c r="K315" s="296"/>
      <c r="L315" s="296"/>
      <c r="M315" s="296"/>
      <c r="N315" s="296"/>
      <c r="O315" s="296"/>
      <c r="P315" s="296"/>
      <c r="Q315" s="297"/>
      <c r="R315" s="90"/>
      <c r="S315" s="90"/>
      <c r="T315" s="264"/>
      <c r="U315" s="90"/>
      <c r="V315" s="90"/>
      <c r="W315" s="90"/>
      <c r="X315" s="90"/>
      <c r="Y315" s="90"/>
      <c r="Z315" s="90"/>
      <c r="AA315" s="90"/>
    </row>
    <row r="316" ht="15.75" customHeight="1">
      <c r="A316" s="90"/>
      <c r="B316" s="292"/>
      <c r="C316" s="293"/>
      <c r="D316" s="90"/>
      <c r="E316" s="293"/>
      <c r="F316" s="294"/>
      <c r="G316" s="292"/>
      <c r="H316" s="293"/>
      <c r="I316" s="294"/>
      <c r="J316" s="90"/>
      <c r="K316" s="296"/>
      <c r="L316" s="296"/>
      <c r="M316" s="296"/>
      <c r="N316" s="296"/>
      <c r="O316" s="296"/>
      <c r="P316" s="296"/>
      <c r="Q316" s="297"/>
      <c r="R316" s="90"/>
      <c r="S316" s="90"/>
      <c r="T316" s="264"/>
      <c r="U316" s="90"/>
      <c r="V316" s="90"/>
      <c r="W316" s="90"/>
      <c r="X316" s="90"/>
      <c r="Y316" s="90"/>
      <c r="Z316" s="90"/>
      <c r="AA316" s="90"/>
    </row>
    <row r="317" ht="15.75" customHeight="1">
      <c r="A317" s="90"/>
      <c r="B317" s="292"/>
      <c r="C317" s="293"/>
      <c r="D317" s="90"/>
      <c r="E317" s="293"/>
      <c r="F317" s="294"/>
      <c r="G317" s="292"/>
      <c r="H317" s="293"/>
      <c r="I317" s="294"/>
      <c r="J317" s="90"/>
      <c r="K317" s="296"/>
      <c r="L317" s="296"/>
      <c r="M317" s="296"/>
      <c r="N317" s="296"/>
      <c r="O317" s="296"/>
      <c r="P317" s="296"/>
      <c r="Q317" s="297"/>
      <c r="R317" s="90"/>
      <c r="S317" s="90"/>
      <c r="T317" s="264"/>
      <c r="U317" s="90"/>
      <c r="V317" s="90"/>
      <c r="W317" s="90"/>
      <c r="X317" s="90"/>
      <c r="Y317" s="90"/>
      <c r="Z317" s="90"/>
      <c r="AA317" s="90"/>
    </row>
    <row r="318" ht="15.75" customHeight="1">
      <c r="A318" s="90"/>
      <c r="B318" s="292"/>
      <c r="C318" s="293"/>
      <c r="D318" s="90"/>
      <c r="E318" s="293"/>
      <c r="F318" s="294"/>
      <c r="G318" s="292"/>
      <c r="H318" s="293"/>
      <c r="I318" s="294"/>
      <c r="J318" s="90"/>
      <c r="K318" s="296"/>
      <c r="L318" s="296"/>
      <c r="M318" s="296"/>
      <c r="N318" s="296"/>
      <c r="O318" s="296"/>
      <c r="P318" s="296"/>
      <c r="Q318" s="297"/>
      <c r="R318" s="90"/>
      <c r="S318" s="90"/>
      <c r="T318" s="264"/>
      <c r="U318" s="90"/>
      <c r="V318" s="90"/>
      <c r="W318" s="90"/>
      <c r="X318" s="90"/>
      <c r="Y318" s="90"/>
      <c r="Z318" s="90"/>
      <c r="AA318" s="90"/>
    </row>
    <row r="319" ht="15.75" customHeight="1">
      <c r="A319" s="90"/>
      <c r="B319" s="292"/>
      <c r="C319" s="293"/>
      <c r="D319" s="90"/>
      <c r="E319" s="293"/>
      <c r="F319" s="294"/>
      <c r="G319" s="292"/>
      <c r="H319" s="293"/>
      <c r="I319" s="294"/>
      <c r="J319" s="90"/>
      <c r="K319" s="296"/>
      <c r="L319" s="296"/>
      <c r="M319" s="296"/>
      <c r="N319" s="296"/>
      <c r="O319" s="296"/>
      <c r="P319" s="296"/>
      <c r="Q319" s="297"/>
      <c r="R319" s="90"/>
      <c r="S319" s="90"/>
      <c r="T319" s="264"/>
      <c r="U319" s="90"/>
      <c r="V319" s="90"/>
      <c r="W319" s="90"/>
      <c r="X319" s="90"/>
      <c r="Y319" s="90"/>
      <c r="Z319" s="90"/>
      <c r="AA319" s="90"/>
    </row>
    <row r="320" ht="15.75" customHeight="1">
      <c r="A320" s="90"/>
      <c r="B320" s="292"/>
      <c r="C320" s="293"/>
      <c r="D320" s="90"/>
      <c r="E320" s="293"/>
      <c r="F320" s="294"/>
      <c r="G320" s="292"/>
      <c r="H320" s="293"/>
      <c r="I320" s="294"/>
      <c r="J320" s="90"/>
      <c r="K320" s="296"/>
      <c r="L320" s="296"/>
      <c r="M320" s="296"/>
      <c r="N320" s="296"/>
      <c r="O320" s="296"/>
      <c r="P320" s="296"/>
      <c r="Q320" s="297"/>
      <c r="R320" s="90"/>
      <c r="S320" s="90"/>
      <c r="T320" s="264"/>
      <c r="U320" s="90"/>
      <c r="V320" s="90"/>
      <c r="W320" s="90"/>
      <c r="X320" s="90"/>
      <c r="Y320" s="90"/>
      <c r="Z320" s="90"/>
      <c r="AA320" s="90"/>
    </row>
    <row r="321" ht="15.75" customHeight="1">
      <c r="A321" s="90"/>
      <c r="B321" s="292"/>
      <c r="C321" s="293"/>
      <c r="D321" s="90"/>
      <c r="E321" s="293"/>
      <c r="F321" s="294"/>
      <c r="G321" s="292"/>
      <c r="H321" s="293"/>
      <c r="I321" s="294"/>
      <c r="J321" s="90"/>
      <c r="K321" s="296"/>
      <c r="L321" s="296"/>
      <c r="M321" s="296"/>
      <c r="N321" s="296"/>
      <c r="O321" s="296"/>
      <c r="P321" s="296"/>
      <c r="Q321" s="297"/>
      <c r="R321" s="90"/>
      <c r="S321" s="90"/>
      <c r="T321" s="264"/>
      <c r="U321" s="90"/>
      <c r="V321" s="90"/>
      <c r="W321" s="90"/>
      <c r="X321" s="90"/>
      <c r="Y321" s="90"/>
      <c r="Z321" s="90"/>
      <c r="AA321" s="90"/>
    </row>
    <row r="322" ht="15.75" customHeight="1">
      <c r="A322" s="90"/>
      <c r="B322" s="292"/>
      <c r="C322" s="293"/>
      <c r="D322" s="90"/>
      <c r="E322" s="293"/>
      <c r="F322" s="294"/>
      <c r="G322" s="292"/>
      <c r="H322" s="293"/>
      <c r="I322" s="294"/>
      <c r="J322" s="90"/>
      <c r="K322" s="296"/>
      <c r="L322" s="296"/>
      <c r="M322" s="296"/>
      <c r="N322" s="296"/>
      <c r="O322" s="296"/>
      <c r="P322" s="296"/>
      <c r="Q322" s="297"/>
      <c r="R322" s="90"/>
      <c r="S322" s="90"/>
      <c r="T322" s="264"/>
      <c r="U322" s="90"/>
      <c r="V322" s="90"/>
      <c r="W322" s="90"/>
      <c r="X322" s="90"/>
      <c r="Y322" s="90"/>
      <c r="Z322" s="90"/>
      <c r="AA322" s="90"/>
    </row>
    <row r="323" ht="15.75" customHeight="1">
      <c r="A323" s="90"/>
      <c r="B323" s="292"/>
      <c r="C323" s="293"/>
      <c r="D323" s="90"/>
      <c r="E323" s="293"/>
      <c r="F323" s="294"/>
      <c r="G323" s="292"/>
      <c r="H323" s="293"/>
      <c r="I323" s="294"/>
      <c r="J323" s="90"/>
      <c r="K323" s="296"/>
      <c r="L323" s="296"/>
      <c r="M323" s="296"/>
      <c r="N323" s="296"/>
      <c r="O323" s="296"/>
      <c r="P323" s="296"/>
      <c r="Q323" s="297"/>
      <c r="R323" s="90"/>
      <c r="S323" s="90"/>
      <c r="T323" s="264"/>
      <c r="U323" s="90"/>
      <c r="V323" s="90"/>
      <c r="W323" s="90"/>
      <c r="X323" s="90"/>
      <c r="Y323" s="90"/>
      <c r="Z323" s="90"/>
      <c r="AA323" s="90"/>
    </row>
    <row r="324" ht="15.75" customHeight="1">
      <c r="A324" s="90"/>
      <c r="B324" s="292"/>
      <c r="C324" s="293"/>
      <c r="D324" s="90"/>
      <c r="E324" s="293"/>
      <c r="F324" s="294"/>
      <c r="G324" s="292"/>
      <c r="H324" s="293"/>
      <c r="I324" s="294"/>
      <c r="J324" s="90"/>
      <c r="K324" s="296"/>
      <c r="L324" s="296"/>
      <c r="M324" s="296"/>
      <c r="N324" s="296"/>
      <c r="O324" s="296"/>
      <c r="P324" s="296"/>
      <c r="Q324" s="297"/>
      <c r="R324" s="90"/>
      <c r="S324" s="90"/>
      <c r="T324" s="264"/>
      <c r="U324" s="90"/>
      <c r="V324" s="90"/>
      <c r="W324" s="90"/>
      <c r="X324" s="90"/>
      <c r="Y324" s="90"/>
      <c r="Z324" s="90"/>
      <c r="AA324" s="90"/>
    </row>
    <row r="325" ht="15.75" customHeight="1">
      <c r="A325" s="90"/>
      <c r="B325" s="292"/>
      <c r="C325" s="293"/>
      <c r="D325" s="90"/>
      <c r="E325" s="293"/>
      <c r="F325" s="294"/>
      <c r="G325" s="292"/>
      <c r="H325" s="293"/>
      <c r="I325" s="294"/>
      <c r="J325" s="90"/>
      <c r="K325" s="296"/>
      <c r="L325" s="296"/>
      <c r="M325" s="296"/>
      <c r="N325" s="296"/>
      <c r="O325" s="296"/>
      <c r="P325" s="296"/>
      <c r="Q325" s="297"/>
      <c r="R325" s="90"/>
      <c r="S325" s="90"/>
      <c r="T325" s="264"/>
      <c r="U325" s="90"/>
      <c r="V325" s="90"/>
      <c r="W325" s="90"/>
      <c r="X325" s="90"/>
      <c r="Y325" s="90"/>
      <c r="Z325" s="90"/>
      <c r="AA325" s="90"/>
    </row>
    <row r="326" ht="15.75" customHeight="1">
      <c r="A326" s="90"/>
      <c r="B326" s="292"/>
      <c r="C326" s="293"/>
      <c r="D326" s="90"/>
      <c r="E326" s="293"/>
      <c r="F326" s="294"/>
      <c r="G326" s="292"/>
      <c r="H326" s="293"/>
      <c r="I326" s="294"/>
      <c r="J326" s="90"/>
      <c r="K326" s="296"/>
      <c r="L326" s="296"/>
      <c r="M326" s="296"/>
      <c r="N326" s="296"/>
      <c r="O326" s="296"/>
      <c r="P326" s="296"/>
      <c r="Q326" s="297"/>
      <c r="R326" s="90"/>
      <c r="S326" s="90"/>
      <c r="T326" s="264"/>
      <c r="U326" s="90"/>
      <c r="V326" s="90"/>
      <c r="W326" s="90"/>
      <c r="X326" s="90"/>
      <c r="Y326" s="90"/>
      <c r="Z326" s="90"/>
      <c r="AA326" s="90"/>
    </row>
    <row r="327" ht="15.75" customHeight="1">
      <c r="A327" s="90"/>
      <c r="B327" s="292"/>
      <c r="C327" s="293"/>
      <c r="D327" s="90"/>
      <c r="E327" s="293"/>
      <c r="F327" s="294"/>
      <c r="G327" s="292"/>
      <c r="H327" s="293"/>
      <c r="I327" s="294"/>
      <c r="J327" s="90"/>
      <c r="K327" s="296"/>
      <c r="L327" s="296"/>
      <c r="M327" s="296"/>
      <c r="N327" s="296"/>
      <c r="O327" s="296"/>
      <c r="P327" s="296"/>
      <c r="Q327" s="297"/>
      <c r="R327" s="90"/>
      <c r="S327" s="90"/>
      <c r="T327" s="264"/>
      <c r="U327" s="90"/>
      <c r="V327" s="90"/>
      <c r="W327" s="90"/>
      <c r="X327" s="90"/>
      <c r="Y327" s="90"/>
      <c r="Z327" s="90"/>
      <c r="AA327" s="90"/>
    </row>
    <row r="328" ht="15.75" customHeight="1">
      <c r="A328" s="90"/>
      <c r="B328" s="292"/>
      <c r="C328" s="293"/>
      <c r="D328" s="90"/>
      <c r="E328" s="293"/>
      <c r="F328" s="294"/>
      <c r="G328" s="292"/>
      <c r="H328" s="293"/>
      <c r="I328" s="294"/>
      <c r="J328" s="90"/>
      <c r="K328" s="296"/>
      <c r="L328" s="296"/>
      <c r="M328" s="296"/>
      <c r="N328" s="296"/>
      <c r="O328" s="296"/>
      <c r="P328" s="296"/>
      <c r="Q328" s="297"/>
      <c r="R328" s="90"/>
      <c r="S328" s="90"/>
      <c r="T328" s="264"/>
      <c r="U328" s="90"/>
      <c r="V328" s="90"/>
      <c r="W328" s="90"/>
      <c r="X328" s="90"/>
      <c r="Y328" s="90"/>
      <c r="Z328" s="90"/>
      <c r="AA328" s="90"/>
    </row>
    <row r="329" ht="15.75" customHeight="1">
      <c r="A329" s="90"/>
      <c r="B329" s="292"/>
      <c r="C329" s="293"/>
      <c r="D329" s="90"/>
      <c r="E329" s="293"/>
      <c r="F329" s="294"/>
      <c r="G329" s="292"/>
      <c r="H329" s="293"/>
      <c r="I329" s="294"/>
      <c r="J329" s="90"/>
      <c r="K329" s="296"/>
      <c r="L329" s="296"/>
      <c r="M329" s="296"/>
      <c r="N329" s="296"/>
      <c r="O329" s="296"/>
      <c r="P329" s="296"/>
      <c r="Q329" s="297"/>
      <c r="R329" s="90"/>
      <c r="S329" s="90"/>
      <c r="T329" s="264"/>
      <c r="U329" s="90"/>
      <c r="V329" s="90"/>
      <c r="W329" s="90"/>
      <c r="X329" s="90"/>
      <c r="Y329" s="90"/>
      <c r="Z329" s="90"/>
      <c r="AA329" s="90"/>
    </row>
    <row r="330" ht="15.75" customHeight="1">
      <c r="A330" s="90"/>
      <c r="B330" s="292"/>
      <c r="C330" s="293"/>
      <c r="D330" s="90"/>
      <c r="E330" s="293"/>
      <c r="F330" s="294"/>
      <c r="G330" s="292"/>
      <c r="H330" s="293"/>
      <c r="I330" s="294"/>
      <c r="J330" s="90"/>
      <c r="K330" s="296"/>
      <c r="L330" s="296"/>
      <c r="M330" s="296"/>
      <c r="N330" s="296"/>
      <c r="O330" s="296"/>
      <c r="P330" s="296"/>
      <c r="Q330" s="297"/>
      <c r="R330" s="90"/>
      <c r="S330" s="90"/>
      <c r="T330" s="264"/>
      <c r="U330" s="90"/>
      <c r="V330" s="90"/>
      <c r="W330" s="90"/>
      <c r="X330" s="90"/>
      <c r="Y330" s="90"/>
      <c r="Z330" s="90"/>
      <c r="AA330" s="90"/>
    </row>
    <row r="331" ht="15.75" customHeight="1">
      <c r="A331" s="90"/>
      <c r="B331" s="292"/>
      <c r="C331" s="293"/>
      <c r="D331" s="90"/>
      <c r="E331" s="293"/>
      <c r="F331" s="294"/>
      <c r="G331" s="292"/>
      <c r="H331" s="293"/>
      <c r="I331" s="294"/>
      <c r="J331" s="90"/>
      <c r="K331" s="296"/>
      <c r="L331" s="296"/>
      <c r="M331" s="296"/>
      <c r="N331" s="296"/>
      <c r="O331" s="296"/>
      <c r="P331" s="296"/>
      <c r="Q331" s="297"/>
      <c r="R331" s="90"/>
      <c r="S331" s="90"/>
      <c r="T331" s="264"/>
      <c r="U331" s="90"/>
      <c r="V331" s="90"/>
      <c r="W331" s="90"/>
      <c r="X331" s="90"/>
      <c r="Y331" s="90"/>
      <c r="Z331" s="90"/>
      <c r="AA331" s="90"/>
    </row>
    <row r="332" ht="15.75" customHeight="1">
      <c r="A332" s="90"/>
      <c r="B332" s="292"/>
      <c r="C332" s="293"/>
      <c r="D332" s="90"/>
      <c r="E332" s="293"/>
      <c r="F332" s="294"/>
      <c r="G332" s="292"/>
      <c r="H332" s="293"/>
      <c r="I332" s="294"/>
      <c r="J332" s="90"/>
      <c r="K332" s="296"/>
      <c r="L332" s="296"/>
      <c r="M332" s="296"/>
      <c r="N332" s="296"/>
      <c r="O332" s="296"/>
      <c r="P332" s="296"/>
      <c r="Q332" s="297"/>
      <c r="R332" s="90"/>
      <c r="S332" s="90"/>
      <c r="T332" s="264"/>
      <c r="U332" s="90"/>
      <c r="V332" s="90"/>
      <c r="W332" s="90"/>
      <c r="X332" s="90"/>
      <c r="Y332" s="90"/>
      <c r="Z332" s="90"/>
      <c r="AA332" s="90"/>
    </row>
    <row r="333" ht="15.75" customHeight="1">
      <c r="A333" s="90"/>
      <c r="B333" s="292"/>
      <c r="C333" s="293"/>
      <c r="D333" s="90"/>
      <c r="E333" s="293"/>
      <c r="F333" s="294"/>
      <c r="G333" s="292"/>
      <c r="H333" s="293"/>
      <c r="I333" s="294"/>
      <c r="J333" s="90"/>
      <c r="K333" s="296"/>
      <c r="L333" s="296"/>
      <c r="M333" s="296"/>
      <c r="N333" s="296"/>
      <c r="O333" s="296"/>
      <c r="P333" s="296"/>
      <c r="Q333" s="297"/>
      <c r="R333" s="90"/>
      <c r="S333" s="90"/>
      <c r="T333" s="264"/>
      <c r="U333" s="90"/>
      <c r="V333" s="90"/>
      <c r="W333" s="90"/>
      <c r="X333" s="90"/>
      <c r="Y333" s="90"/>
      <c r="Z333" s="90"/>
      <c r="AA333" s="90"/>
    </row>
    <row r="334" ht="15.75" customHeight="1">
      <c r="A334" s="90"/>
      <c r="B334" s="292"/>
      <c r="C334" s="293"/>
      <c r="D334" s="90"/>
      <c r="E334" s="293"/>
      <c r="F334" s="294"/>
      <c r="G334" s="292"/>
      <c r="H334" s="293"/>
      <c r="I334" s="294"/>
      <c r="J334" s="90"/>
      <c r="K334" s="296"/>
      <c r="L334" s="296"/>
      <c r="M334" s="296"/>
      <c r="N334" s="296"/>
      <c r="O334" s="296"/>
      <c r="P334" s="296"/>
      <c r="Q334" s="297"/>
      <c r="R334" s="90"/>
      <c r="S334" s="90"/>
      <c r="T334" s="264"/>
      <c r="U334" s="90"/>
      <c r="V334" s="90"/>
      <c r="W334" s="90"/>
      <c r="X334" s="90"/>
      <c r="Y334" s="90"/>
      <c r="Z334" s="90"/>
      <c r="AA334" s="90"/>
    </row>
    <row r="335" ht="15.75" customHeight="1">
      <c r="A335" s="90"/>
      <c r="B335" s="292"/>
      <c r="C335" s="293"/>
      <c r="D335" s="90"/>
      <c r="E335" s="293"/>
      <c r="F335" s="294"/>
      <c r="G335" s="292"/>
      <c r="H335" s="293"/>
      <c r="I335" s="294"/>
      <c r="J335" s="90"/>
      <c r="K335" s="296"/>
      <c r="L335" s="296"/>
      <c r="M335" s="296"/>
      <c r="N335" s="296"/>
      <c r="O335" s="296"/>
      <c r="P335" s="296"/>
      <c r="Q335" s="297"/>
      <c r="R335" s="90"/>
      <c r="S335" s="90"/>
      <c r="T335" s="264"/>
      <c r="U335" s="90"/>
      <c r="V335" s="90"/>
      <c r="W335" s="90"/>
      <c r="X335" s="90"/>
      <c r="Y335" s="90"/>
      <c r="Z335" s="90"/>
      <c r="AA335" s="90"/>
    </row>
    <row r="336" ht="15.75" customHeight="1">
      <c r="A336" s="90"/>
      <c r="B336" s="292"/>
      <c r="C336" s="293"/>
      <c r="D336" s="90"/>
      <c r="E336" s="293"/>
      <c r="F336" s="294"/>
      <c r="G336" s="292"/>
      <c r="H336" s="293"/>
      <c r="I336" s="294"/>
      <c r="J336" s="90"/>
      <c r="K336" s="296"/>
      <c r="L336" s="296"/>
      <c r="M336" s="296"/>
      <c r="N336" s="296"/>
      <c r="O336" s="296"/>
      <c r="P336" s="296"/>
      <c r="Q336" s="297"/>
      <c r="R336" s="90"/>
      <c r="S336" s="90"/>
      <c r="T336" s="264"/>
      <c r="U336" s="90"/>
      <c r="V336" s="90"/>
      <c r="W336" s="90"/>
      <c r="X336" s="90"/>
      <c r="Y336" s="90"/>
      <c r="Z336" s="90"/>
      <c r="AA336" s="90"/>
    </row>
    <row r="337" ht="15.75" customHeight="1">
      <c r="A337" s="90"/>
      <c r="B337" s="292"/>
      <c r="C337" s="293"/>
      <c r="D337" s="90"/>
      <c r="E337" s="293"/>
      <c r="F337" s="294"/>
      <c r="G337" s="292"/>
      <c r="H337" s="293"/>
      <c r="I337" s="294"/>
      <c r="J337" s="90"/>
      <c r="K337" s="296"/>
      <c r="L337" s="296"/>
      <c r="M337" s="296"/>
      <c r="N337" s="296"/>
      <c r="O337" s="296"/>
      <c r="P337" s="296"/>
      <c r="Q337" s="297"/>
      <c r="R337" s="90"/>
      <c r="S337" s="90"/>
      <c r="T337" s="264"/>
      <c r="U337" s="90"/>
      <c r="V337" s="90"/>
      <c r="W337" s="90"/>
      <c r="X337" s="90"/>
      <c r="Y337" s="90"/>
      <c r="Z337" s="90"/>
      <c r="AA337" s="90"/>
    </row>
    <row r="338" ht="15.75" customHeight="1">
      <c r="A338" s="90"/>
      <c r="B338" s="292"/>
      <c r="C338" s="293"/>
      <c r="D338" s="90"/>
      <c r="E338" s="293"/>
      <c r="F338" s="294"/>
      <c r="G338" s="292"/>
      <c r="H338" s="293"/>
      <c r="I338" s="294"/>
      <c r="J338" s="90"/>
      <c r="K338" s="296"/>
      <c r="L338" s="296"/>
      <c r="M338" s="296"/>
      <c r="N338" s="296"/>
      <c r="O338" s="296"/>
      <c r="P338" s="296"/>
      <c r="Q338" s="297"/>
      <c r="R338" s="90"/>
      <c r="S338" s="90"/>
      <c r="T338" s="264"/>
      <c r="U338" s="90"/>
      <c r="V338" s="90"/>
      <c r="W338" s="90"/>
      <c r="X338" s="90"/>
      <c r="Y338" s="90"/>
      <c r="Z338" s="90"/>
      <c r="AA338" s="90"/>
    </row>
    <row r="339" ht="15.75" customHeight="1">
      <c r="A339" s="90"/>
      <c r="B339" s="292"/>
      <c r="C339" s="293"/>
      <c r="D339" s="90"/>
      <c r="E339" s="293"/>
      <c r="F339" s="294"/>
      <c r="G339" s="292"/>
      <c r="H339" s="293"/>
      <c r="I339" s="294"/>
      <c r="J339" s="90"/>
      <c r="K339" s="296"/>
      <c r="L339" s="296"/>
      <c r="M339" s="296"/>
      <c r="N339" s="296"/>
      <c r="O339" s="296"/>
      <c r="P339" s="296"/>
      <c r="Q339" s="297"/>
      <c r="R339" s="90"/>
      <c r="S339" s="90"/>
      <c r="T339" s="264"/>
      <c r="U339" s="90"/>
      <c r="V339" s="90"/>
      <c r="W339" s="90"/>
      <c r="X339" s="90"/>
      <c r="Y339" s="90"/>
      <c r="Z339" s="90"/>
      <c r="AA339" s="90"/>
    </row>
    <row r="340" ht="15.75" customHeight="1">
      <c r="A340" s="90"/>
      <c r="B340" s="292"/>
      <c r="C340" s="293"/>
      <c r="D340" s="90"/>
      <c r="E340" s="293"/>
      <c r="F340" s="294"/>
      <c r="G340" s="292"/>
      <c r="H340" s="293"/>
      <c r="I340" s="294"/>
      <c r="J340" s="90"/>
      <c r="K340" s="296"/>
      <c r="L340" s="296"/>
      <c r="M340" s="296"/>
      <c r="N340" s="296"/>
      <c r="O340" s="296"/>
      <c r="P340" s="296"/>
      <c r="Q340" s="297"/>
      <c r="R340" s="90"/>
      <c r="S340" s="90"/>
      <c r="T340" s="264"/>
      <c r="U340" s="90"/>
      <c r="V340" s="90"/>
      <c r="W340" s="90"/>
      <c r="X340" s="90"/>
      <c r="Y340" s="90"/>
      <c r="Z340" s="90"/>
      <c r="AA340" s="90"/>
    </row>
    <row r="341" ht="15.75" customHeight="1">
      <c r="A341" s="90"/>
      <c r="B341" s="292"/>
      <c r="C341" s="293"/>
      <c r="D341" s="90"/>
      <c r="E341" s="293"/>
      <c r="F341" s="294"/>
      <c r="G341" s="292"/>
      <c r="H341" s="293"/>
      <c r="I341" s="294"/>
      <c r="J341" s="90"/>
      <c r="K341" s="296"/>
      <c r="L341" s="296"/>
      <c r="M341" s="296"/>
      <c r="N341" s="296"/>
      <c r="O341" s="296"/>
      <c r="P341" s="296"/>
      <c r="Q341" s="297"/>
      <c r="R341" s="90"/>
      <c r="S341" s="90"/>
      <c r="T341" s="264"/>
      <c r="U341" s="90"/>
      <c r="V341" s="90"/>
      <c r="W341" s="90"/>
      <c r="X341" s="90"/>
      <c r="Y341" s="90"/>
      <c r="Z341" s="90"/>
      <c r="AA341" s="90"/>
    </row>
    <row r="342" ht="15.75" customHeight="1">
      <c r="A342" s="90"/>
      <c r="B342" s="292"/>
      <c r="C342" s="293"/>
      <c r="D342" s="90"/>
      <c r="E342" s="293"/>
      <c r="F342" s="294"/>
      <c r="G342" s="292"/>
      <c r="H342" s="293"/>
      <c r="I342" s="294"/>
      <c r="J342" s="90"/>
      <c r="K342" s="296"/>
      <c r="L342" s="296"/>
      <c r="M342" s="296"/>
      <c r="N342" s="296"/>
      <c r="O342" s="296"/>
      <c r="P342" s="296"/>
      <c r="Q342" s="297"/>
      <c r="R342" s="90"/>
      <c r="S342" s="90"/>
      <c r="T342" s="264"/>
      <c r="U342" s="90"/>
      <c r="V342" s="90"/>
      <c r="W342" s="90"/>
      <c r="X342" s="90"/>
      <c r="Y342" s="90"/>
      <c r="Z342" s="90"/>
      <c r="AA342" s="90"/>
    </row>
    <row r="343" ht="15.75" customHeight="1">
      <c r="A343" s="90"/>
      <c r="B343" s="292"/>
      <c r="C343" s="293"/>
      <c r="D343" s="90"/>
      <c r="E343" s="293"/>
      <c r="F343" s="294"/>
      <c r="G343" s="292"/>
      <c r="H343" s="293"/>
      <c r="I343" s="294"/>
      <c r="J343" s="90"/>
      <c r="K343" s="296"/>
      <c r="L343" s="296"/>
      <c r="M343" s="296"/>
      <c r="N343" s="296"/>
      <c r="O343" s="296"/>
      <c r="P343" s="296"/>
      <c r="Q343" s="297"/>
      <c r="R343" s="90"/>
      <c r="S343" s="90"/>
      <c r="T343" s="264"/>
      <c r="U343" s="90"/>
      <c r="V343" s="90"/>
      <c r="W343" s="90"/>
      <c r="X343" s="90"/>
      <c r="Y343" s="90"/>
      <c r="Z343" s="90"/>
      <c r="AA343" s="90"/>
    </row>
    <row r="344" ht="15.75" customHeight="1">
      <c r="A344" s="90"/>
      <c r="B344" s="292"/>
      <c r="C344" s="293"/>
      <c r="D344" s="90"/>
      <c r="E344" s="293"/>
      <c r="F344" s="294"/>
      <c r="G344" s="292"/>
      <c r="H344" s="293"/>
      <c r="I344" s="294"/>
      <c r="J344" s="90"/>
      <c r="K344" s="296"/>
      <c r="L344" s="296"/>
      <c r="M344" s="296"/>
      <c r="N344" s="296"/>
      <c r="O344" s="296"/>
      <c r="P344" s="296"/>
      <c r="Q344" s="297"/>
      <c r="R344" s="90"/>
      <c r="S344" s="90"/>
      <c r="T344" s="264"/>
      <c r="U344" s="90"/>
      <c r="V344" s="90"/>
      <c r="W344" s="90"/>
      <c r="X344" s="90"/>
      <c r="Y344" s="90"/>
      <c r="Z344" s="90"/>
      <c r="AA344" s="90"/>
    </row>
    <row r="345" ht="15.75" customHeight="1">
      <c r="A345" s="90"/>
      <c r="B345" s="292"/>
      <c r="C345" s="293"/>
      <c r="D345" s="90"/>
      <c r="E345" s="293"/>
      <c r="F345" s="294"/>
      <c r="G345" s="292"/>
      <c r="H345" s="293"/>
      <c r="I345" s="294"/>
      <c r="J345" s="90"/>
      <c r="K345" s="296"/>
      <c r="L345" s="296"/>
      <c r="M345" s="296"/>
      <c r="N345" s="296"/>
      <c r="O345" s="296"/>
      <c r="P345" s="296"/>
      <c r="Q345" s="297"/>
      <c r="R345" s="90"/>
      <c r="S345" s="90"/>
      <c r="T345" s="264"/>
      <c r="U345" s="90"/>
      <c r="V345" s="90"/>
      <c r="W345" s="90"/>
      <c r="X345" s="90"/>
      <c r="Y345" s="90"/>
      <c r="Z345" s="90"/>
      <c r="AA345" s="90"/>
    </row>
    <row r="346" ht="15.75" customHeight="1">
      <c r="A346" s="90"/>
      <c r="B346" s="292"/>
      <c r="C346" s="293"/>
      <c r="D346" s="90"/>
      <c r="E346" s="293"/>
      <c r="F346" s="294"/>
      <c r="G346" s="292"/>
      <c r="H346" s="293"/>
      <c r="I346" s="294"/>
      <c r="J346" s="90"/>
      <c r="K346" s="296"/>
      <c r="L346" s="296"/>
      <c r="M346" s="296"/>
      <c r="N346" s="296"/>
      <c r="O346" s="296"/>
      <c r="P346" s="296"/>
      <c r="Q346" s="297"/>
      <c r="R346" s="90"/>
      <c r="S346" s="90"/>
      <c r="T346" s="264"/>
      <c r="U346" s="90"/>
      <c r="V346" s="90"/>
      <c r="W346" s="90"/>
      <c r="X346" s="90"/>
      <c r="Y346" s="90"/>
      <c r="Z346" s="90"/>
      <c r="AA346" s="90"/>
    </row>
    <row r="347" ht="15.75" customHeight="1">
      <c r="A347" s="90"/>
      <c r="B347" s="292"/>
      <c r="C347" s="293"/>
      <c r="D347" s="90"/>
      <c r="E347" s="293"/>
      <c r="F347" s="294"/>
      <c r="G347" s="292"/>
      <c r="H347" s="293"/>
      <c r="I347" s="294"/>
      <c r="J347" s="90"/>
      <c r="K347" s="296"/>
      <c r="L347" s="296"/>
      <c r="M347" s="296"/>
      <c r="N347" s="296"/>
      <c r="O347" s="296"/>
      <c r="P347" s="296"/>
      <c r="Q347" s="297"/>
      <c r="R347" s="90"/>
      <c r="S347" s="90"/>
      <c r="T347" s="264"/>
      <c r="U347" s="90"/>
      <c r="V347" s="90"/>
      <c r="W347" s="90"/>
      <c r="X347" s="90"/>
      <c r="Y347" s="90"/>
      <c r="Z347" s="90"/>
      <c r="AA347" s="90"/>
    </row>
    <row r="348" ht="15.75" customHeight="1">
      <c r="A348" s="90"/>
      <c r="B348" s="292"/>
      <c r="C348" s="293"/>
      <c r="D348" s="90"/>
      <c r="E348" s="293"/>
      <c r="F348" s="294"/>
      <c r="G348" s="292"/>
      <c r="H348" s="293"/>
      <c r="I348" s="294"/>
      <c r="J348" s="90"/>
      <c r="K348" s="296"/>
      <c r="L348" s="296"/>
      <c r="M348" s="296"/>
      <c r="N348" s="296"/>
      <c r="O348" s="296"/>
      <c r="P348" s="296"/>
      <c r="Q348" s="297"/>
      <c r="R348" s="90"/>
      <c r="S348" s="90"/>
      <c r="T348" s="264"/>
      <c r="U348" s="90"/>
      <c r="V348" s="90"/>
      <c r="W348" s="90"/>
      <c r="X348" s="90"/>
      <c r="Y348" s="90"/>
      <c r="Z348" s="90"/>
      <c r="AA348" s="90"/>
    </row>
    <row r="349" ht="15.75" customHeight="1">
      <c r="A349" s="90"/>
      <c r="B349" s="292"/>
      <c r="C349" s="293"/>
      <c r="D349" s="90"/>
      <c r="E349" s="293"/>
      <c r="F349" s="294"/>
      <c r="G349" s="292"/>
      <c r="H349" s="293"/>
      <c r="I349" s="294"/>
      <c r="J349" s="90"/>
      <c r="K349" s="296"/>
      <c r="L349" s="296"/>
      <c r="M349" s="296"/>
      <c r="N349" s="296"/>
      <c r="O349" s="296"/>
      <c r="P349" s="296"/>
      <c r="Q349" s="297"/>
      <c r="R349" s="90"/>
      <c r="S349" s="90"/>
      <c r="T349" s="264"/>
      <c r="U349" s="90"/>
      <c r="V349" s="90"/>
      <c r="W349" s="90"/>
      <c r="X349" s="90"/>
      <c r="Y349" s="90"/>
      <c r="Z349" s="90"/>
      <c r="AA349" s="90"/>
    </row>
    <row r="350" ht="15.75" customHeight="1">
      <c r="A350" s="90"/>
      <c r="B350" s="292"/>
      <c r="C350" s="293"/>
      <c r="D350" s="90"/>
      <c r="E350" s="293"/>
      <c r="F350" s="294"/>
      <c r="G350" s="292"/>
      <c r="H350" s="293"/>
      <c r="I350" s="294"/>
      <c r="J350" s="90"/>
      <c r="K350" s="296"/>
      <c r="L350" s="296"/>
      <c r="M350" s="296"/>
      <c r="N350" s="296"/>
      <c r="O350" s="296"/>
      <c r="P350" s="296"/>
      <c r="Q350" s="297"/>
      <c r="R350" s="90"/>
      <c r="S350" s="90"/>
      <c r="T350" s="264"/>
      <c r="U350" s="90"/>
      <c r="V350" s="90"/>
      <c r="W350" s="90"/>
      <c r="X350" s="90"/>
      <c r="Y350" s="90"/>
      <c r="Z350" s="90"/>
      <c r="AA350" s="90"/>
    </row>
    <row r="351" ht="15.75" customHeight="1">
      <c r="A351" s="90"/>
      <c r="B351" s="292"/>
      <c r="C351" s="293"/>
      <c r="D351" s="90"/>
      <c r="E351" s="293"/>
      <c r="F351" s="294"/>
      <c r="G351" s="292"/>
      <c r="H351" s="293"/>
      <c r="I351" s="294"/>
      <c r="J351" s="90"/>
      <c r="K351" s="296"/>
      <c r="L351" s="296"/>
      <c r="M351" s="296"/>
      <c r="N351" s="296"/>
      <c r="O351" s="296"/>
      <c r="P351" s="296"/>
      <c r="Q351" s="297"/>
      <c r="R351" s="90"/>
      <c r="S351" s="90"/>
      <c r="T351" s="264"/>
      <c r="U351" s="90"/>
      <c r="V351" s="90"/>
      <c r="W351" s="90"/>
      <c r="X351" s="90"/>
      <c r="Y351" s="90"/>
      <c r="Z351" s="90"/>
      <c r="AA351" s="90"/>
    </row>
    <row r="352" ht="15.75" customHeight="1">
      <c r="A352" s="90"/>
      <c r="B352" s="292"/>
      <c r="C352" s="293"/>
      <c r="D352" s="90"/>
      <c r="E352" s="293"/>
      <c r="F352" s="294"/>
      <c r="G352" s="292"/>
      <c r="H352" s="293"/>
      <c r="I352" s="294"/>
      <c r="J352" s="90"/>
      <c r="K352" s="296"/>
      <c r="L352" s="296"/>
      <c r="M352" s="296"/>
      <c r="N352" s="296"/>
      <c r="O352" s="296"/>
      <c r="P352" s="296"/>
      <c r="Q352" s="297"/>
      <c r="R352" s="90"/>
      <c r="S352" s="90"/>
      <c r="T352" s="264"/>
      <c r="U352" s="90"/>
      <c r="V352" s="90"/>
      <c r="W352" s="90"/>
      <c r="X352" s="90"/>
      <c r="Y352" s="90"/>
      <c r="Z352" s="90"/>
      <c r="AA352" s="90"/>
    </row>
    <row r="353" ht="15.75" customHeight="1">
      <c r="A353" s="90"/>
      <c r="B353" s="292"/>
      <c r="C353" s="293"/>
      <c r="D353" s="90"/>
      <c r="E353" s="293"/>
      <c r="F353" s="294"/>
      <c r="G353" s="292"/>
      <c r="H353" s="293"/>
      <c r="I353" s="294"/>
      <c r="J353" s="90"/>
      <c r="K353" s="296"/>
      <c r="L353" s="296"/>
      <c r="M353" s="296"/>
      <c r="N353" s="296"/>
      <c r="O353" s="296"/>
      <c r="P353" s="296"/>
      <c r="Q353" s="297"/>
      <c r="R353" s="90"/>
      <c r="S353" s="90"/>
      <c r="T353" s="264"/>
      <c r="U353" s="90"/>
      <c r="V353" s="90"/>
      <c r="W353" s="90"/>
      <c r="X353" s="90"/>
      <c r="Y353" s="90"/>
      <c r="Z353" s="90"/>
      <c r="AA353" s="90"/>
    </row>
    <row r="354" ht="15.75" customHeight="1">
      <c r="A354" s="90"/>
      <c r="B354" s="292"/>
      <c r="C354" s="293"/>
      <c r="D354" s="90"/>
      <c r="E354" s="293"/>
      <c r="F354" s="294"/>
      <c r="G354" s="292"/>
      <c r="H354" s="293"/>
      <c r="I354" s="294"/>
      <c r="J354" s="90"/>
      <c r="K354" s="296"/>
      <c r="L354" s="296"/>
      <c r="M354" s="296"/>
      <c r="N354" s="296"/>
      <c r="O354" s="296"/>
      <c r="P354" s="296"/>
      <c r="Q354" s="297"/>
      <c r="R354" s="90"/>
      <c r="S354" s="90"/>
      <c r="T354" s="264"/>
      <c r="U354" s="90"/>
      <c r="V354" s="90"/>
      <c r="W354" s="90"/>
      <c r="X354" s="90"/>
      <c r="Y354" s="90"/>
      <c r="Z354" s="90"/>
      <c r="AA354" s="90"/>
    </row>
    <row r="355" ht="15.75" customHeight="1">
      <c r="A355" s="90"/>
      <c r="B355" s="292"/>
      <c r="C355" s="293"/>
      <c r="D355" s="90"/>
      <c r="E355" s="293"/>
      <c r="F355" s="294"/>
      <c r="G355" s="292"/>
      <c r="H355" s="293"/>
      <c r="I355" s="294"/>
      <c r="J355" s="90"/>
      <c r="K355" s="296"/>
      <c r="L355" s="296"/>
      <c r="M355" s="296"/>
      <c r="N355" s="296"/>
      <c r="O355" s="296"/>
      <c r="P355" s="296"/>
      <c r="Q355" s="297"/>
      <c r="R355" s="90"/>
      <c r="S355" s="90"/>
      <c r="T355" s="264"/>
      <c r="U355" s="90"/>
      <c r="V355" s="90"/>
      <c r="W355" s="90"/>
      <c r="X355" s="90"/>
      <c r="Y355" s="90"/>
      <c r="Z355" s="90"/>
      <c r="AA355" s="90"/>
    </row>
    <row r="356" ht="15.75" customHeight="1">
      <c r="A356" s="90"/>
      <c r="B356" s="292"/>
      <c r="C356" s="293"/>
      <c r="D356" s="90"/>
      <c r="E356" s="293"/>
      <c r="F356" s="294"/>
      <c r="G356" s="292"/>
      <c r="H356" s="293"/>
      <c r="I356" s="294"/>
      <c r="J356" s="90"/>
      <c r="K356" s="296"/>
      <c r="L356" s="296"/>
      <c r="M356" s="296"/>
      <c r="N356" s="296"/>
      <c r="O356" s="296"/>
      <c r="P356" s="296"/>
      <c r="Q356" s="297"/>
      <c r="R356" s="90"/>
      <c r="S356" s="90"/>
      <c r="T356" s="264"/>
      <c r="U356" s="90"/>
      <c r="V356" s="90"/>
      <c r="W356" s="90"/>
      <c r="X356" s="90"/>
      <c r="Y356" s="90"/>
      <c r="Z356" s="90"/>
      <c r="AA356" s="90"/>
    </row>
    <row r="357" ht="15.75" customHeight="1">
      <c r="A357" s="90"/>
      <c r="B357" s="292"/>
      <c r="C357" s="293"/>
      <c r="D357" s="90"/>
      <c r="E357" s="293"/>
      <c r="F357" s="294"/>
      <c r="G357" s="292"/>
      <c r="H357" s="293"/>
      <c r="I357" s="294"/>
      <c r="J357" s="90"/>
      <c r="K357" s="296"/>
      <c r="L357" s="296"/>
      <c r="M357" s="296"/>
      <c r="N357" s="296"/>
      <c r="O357" s="296"/>
      <c r="P357" s="296"/>
      <c r="Q357" s="297"/>
      <c r="R357" s="90"/>
      <c r="S357" s="90"/>
      <c r="T357" s="264"/>
      <c r="U357" s="90"/>
      <c r="V357" s="90"/>
      <c r="W357" s="90"/>
      <c r="X357" s="90"/>
      <c r="Y357" s="90"/>
      <c r="Z357" s="90"/>
      <c r="AA357" s="90"/>
    </row>
    <row r="358" ht="15.75" customHeight="1">
      <c r="A358" s="90"/>
      <c r="B358" s="292"/>
      <c r="C358" s="293"/>
      <c r="D358" s="90"/>
      <c r="E358" s="293"/>
      <c r="F358" s="294"/>
      <c r="G358" s="292"/>
      <c r="H358" s="293"/>
      <c r="I358" s="294"/>
      <c r="J358" s="90"/>
      <c r="K358" s="296"/>
      <c r="L358" s="296"/>
      <c r="M358" s="296"/>
      <c r="N358" s="296"/>
      <c r="O358" s="296"/>
      <c r="P358" s="296"/>
      <c r="Q358" s="297"/>
      <c r="R358" s="90"/>
      <c r="S358" s="90"/>
      <c r="T358" s="264"/>
      <c r="U358" s="90"/>
      <c r="V358" s="90"/>
      <c r="W358" s="90"/>
      <c r="X358" s="90"/>
      <c r="Y358" s="90"/>
      <c r="Z358" s="90"/>
      <c r="AA358" s="90"/>
    </row>
    <row r="359" ht="15.75" customHeight="1">
      <c r="A359" s="90"/>
      <c r="B359" s="292"/>
      <c r="C359" s="293"/>
      <c r="D359" s="90"/>
      <c r="E359" s="293"/>
      <c r="F359" s="294"/>
      <c r="G359" s="292"/>
      <c r="H359" s="293"/>
      <c r="I359" s="294"/>
      <c r="J359" s="90"/>
      <c r="K359" s="296"/>
      <c r="L359" s="296"/>
      <c r="M359" s="296"/>
      <c r="N359" s="296"/>
      <c r="O359" s="296"/>
      <c r="P359" s="296"/>
      <c r="Q359" s="297"/>
      <c r="R359" s="90"/>
      <c r="S359" s="90"/>
      <c r="T359" s="264"/>
      <c r="U359" s="90"/>
      <c r="V359" s="90"/>
      <c r="W359" s="90"/>
      <c r="X359" s="90"/>
      <c r="Y359" s="90"/>
      <c r="Z359" s="90"/>
      <c r="AA359" s="90"/>
    </row>
    <row r="360" ht="15.75" customHeight="1">
      <c r="A360" s="90"/>
      <c r="B360" s="292"/>
      <c r="C360" s="293"/>
      <c r="D360" s="90"/>
      <c r="E360" s="293"/>
      <c r="F360" s="294"/>
      <c r="G360" s="292"/>
      <c r="H360" s="293"/>
      <c r="I360" s="294"/>
      <c r="J360" s="90"/>
      <c r="K360" s="296"/>
      <c r="L360" s="296"/>
      <c r="M360" s="296"/>
      <c r="N360" s="296"/>
      <c r="O360" s="296"/>
      <c r="P360" s="296"/>
      <c r="Q360" s="297"/>
      <c r="R360" s="90"/>
      <c r="S360" s="90"/>
      <c r="T360" s="264"/>
      <c r="U360" s="90"/>
      <c r="V360" s="90"/>
      <c r="W360" s="90"/>
      <c r="X360" s="90"/>
      <c r="Y360" s="90"/>
      <c r="Z360" s="90"/>
      <c r="AA360" s="90"/>
    </row>
    <row r="361" ht="15.75" customHeight="1">
      <c r="A361" s="90"/>
      <c r="B361" s="292"/>
      <c r="C361" s="293"/>
      <c r="D361" s="90"/>
      <c r="E361" s="293"/>
      <c r="F361" s="294"/>
      <c r="G361" s="292"/>
      <c r="H361" s="293"/>
      <c r="I361" s="294"/>
      <c r="J361" s="90"/>
      <c r="K361" s="296"/>
      <c r="L361" s="296"/>
      <c r="M361" s="296"/>
      <c r="N361" s="296"/>
      <c r="O361" s="296"/>
      <c r="P361" s="296"/>
      <c r="Q361" s="297"/>
      <c r="R361" s="90"/>
      <c r="S361" s="90"/>
      <c r="T361" s="264"/>
      <c r="U361" s="90"/>
      <c r="V361" s="90"/>
      <c r="W361" s="90"/>
      <c r="X361" s="90"/>
      <c r="Y361" s="90"/>
      <c r="Z361" s="90"/>
      <c r="AA361" s="90"/>
    </row>
    <row r="362" ht="15.75" customHeight="1">
      <c r="A362" s="90"/>
      <c r="B362" s="292"/>
      <c r="C362" s="293"/>
      <c r="D362" s="90"/>
      <c r="E362" s="293"/>
      <c r="F362" s="294"/>
      <c r="G362" s="292"/>
      <c r="H362" s="293"/>
      <c r="I362" s="294"/>
      <c r="J362" s="90"/>
      <c r="K362" s="296"/>
      <c r="L362" s="296"/>
      <c r="M362" s="296"/>
      <c r="N362" s="296"/>
      <c r="O362" s="296"/>
      <c r="P362" s="296"/>
      <c r="Q362" s="297"/>
      <c r="R362" s="90"/>
      <c r="S362" s="90"/>
      <c r="T362" s="264"/>
      <c r="U362" s="90"/>
      <c r="V362" s="90"/>
      <c r="W362" s="90"/>
      <c r="X362" s="90"/>
      <c r="Y362" s="90"/>
      <c r="Z362" s="90"/>
      <c r="AA362" s="90"/>
    </row>
    <row r="363" ht="15.75" customHeight="1">
      <c r="A363" s="90"/>
      <c r="B363" s="292"/>
      <c r="C363" s="293"/>
      <c r="D363" s="90"/>
      <c r="E363" s="293"/>
      <c r="F363" s="294"/>
      <c r="G363" s="292"/>
      <c r="H363" s="293"/>
      <c r="I363" s="294"/>
      <c r="J363" s="90"/>
      <c r="K363" s="296"/>
      <c r="L363" s="296"/>
      <c r="M363" s="296"/>
      <c r="N363" s="296"/>
      <c r="O363" s="296"/>
      <c r="P363" s="296"/>
      <c r="Q363" s="297"/>
      <c r="R363" s="90"/>
      <c r="S363" s="90"/>
      <c r="T363" s="264"/>
      <c r="U363" s="90"/>
      <c r="V363" s="90"/>
      <c r="W363" s="90"/>
      <c r="X363" s="90"/>
      <c r="Y363" s="90"/>
      <c r="Z363" s="90"/>
      <c r="AA363" s="90"/>
    </row>
    <row r="364" ht="15.75" customHeight="1">
      <c r="A364" s="90"/>
      <c r="B364" s="292"/>
      <c r="C364" s="293"/>
      <c r="D364" s="90"/>
      <c r="E364" s="293"/>
      <c r="F364" s="294"/>
      <c r="G364" s="292"/>
      <c r="H364" s="293"/>
      <c r="I364" s="294"/>
      <c r="J364" s="90"/>
      <c r="K364" s="296"/>
      <c r="L364" s="296"/>
      <c r="M364" s="296"/>
      <c r="N364" s="296"/>
      <c r="O364" s="296"/>
      <c r="P364" s="296"/>
      <c r="Q364" s="297"/>
      <c r="R364" s="90"/>
      <c r="S364" s="90"/>
      <c r="T364" s="264"/>
      <c r="U364" s="90"/>
      <c r="V364" s="90"/>
      <c r="W364" s="90"/>
      <c r="X364" s="90"/>
      <c r="Y364" s="90"/>
      <c r="Z364" s="90"/>
      <c r="AA364" s="90"/>
    </row>
    <row r="365" ht="15.75" customHeight="1">
      <c r="A365" s="90"/>
      <c r="B365" s="292"/>
      <c r="C365" s="293"/>
      <c r="D365" s="90"/>
      <c r="E365" s="293"/>
      <c r="F365" s="294"/>
      <c r="G365" s="292"/>
      <c r="H365" s="293"/>
      <c r="I365" s="294"/>
      <c r="J365" s="90"/>
      <c r="K365" s="296"/>
      <c r="L365" s="296"/>
      <c r="M365" s="296"/>
      <c r="N365" s="296"/>
      <c r="O365" s="296"/>
      <c r="P365" s="296"/>
      <c r="Q365" s="297"/>
      <c r="R365" s="90"/>
      <c r="S365" s="90"/>
      <c r="T365" s="264"/>
      <c r="U365" s="90"/>
      <c r="V365" s="90"/>
      <c r="W365" s="90"/>
      <c r="X365" s="90"/>
      <c r="Y365" s="90"/>
      <c r="Z365" s="90"/>
      <c r="AA365" s="90"/>
    </row>
    <row r="366" ht="15.75" customHeight="1">
      <c r="A366" s="90"/>
      <c r="B366" s="292"/>
      <c r="C366" s="293"/>
      <c r="D366" s="90"/>
      <c r="E366" s="293"/>
      <c r="F366" s="294"/>
      <c r="G366" s="292"/>
      <c r="H366" s="293"/>
      <c r="I366" s="294"/>
      <c r="J366" s="90"/>
      <c r="K366" s="296"/>
      <c r="L366" s="296"/>
      <c r="M366" s="296"/>
      <c r="N366" s="296"/>
      <c r="O366" s="296"/>
      <c r="P366" s="296"/>
      <c r="Q366" s="297"/>
      <c r="R366" s="90"/>
      <c r="S366" s="90"/>
      <c r="T366" s="264"/>
      <c r="U366" s="90"/>
      <c r="V366" s="90"/>
      <c r="W366" s="90"/>
      <c r="X366" s="90"/>
      <c r="Y366" s="90"/>
      <c r="Z366" s="90"/>
      <c r="AA366" s="90"/>
    </row>
    <row r="367" ht="15.75" customHeight="1">
      <c r="A367" s="90"/>
      <c r="B367" s="292"/>
      <c r="C367" s="293"/>
      <c r="D367" s="90"/>
      <c r="E367" s="293"/>
      <c r="F367" s="294"/>
      <c r="G367" s="292"/>
      <c r="H367" s="293"/>
      <c r="I367" s="294"/>
      <c r="J367" s="90"/>
      <c r="K367" s="296"/>
      <c r="L367" s="296"/>
      <c r="M367" s="296"/>
      <c r="N367" s="296"/>
      <c r="O367" s="296"/>
      <c r="P367" s="296"/>
      <c r="Q367" s="297"/>
      <c r="R367" s="90"/>
      <c r="S367" s="90"/>
      <c r="T367" s="264"/>
      <c r="U367" s="90"/>
      <c r="V367" s="90"/>
      <c r="W367" s="90"/>
      <c r="X367" s="90"/>
      <c r="Y367" s="90"/>
      <c r="Z367" s="90"/>
      <c r="AA367" s="90"/>
    </row>
    <row r="368" ht="15.75" customHeight="1">
      <c r="A368" s="90"/>
      <c r="B368" s="292"/>
      <c r="C368" s="293"/>
      <c r="D368" s="90"/>
      <c r="E368" s="293"/>
      <c r="F368" s="294"/>
      <c r="G368" s="292"/>
      <c r="H368" s="293"/>
      <c r="I368" s="294"/>
      <c r="J368" s="90"/>
      <c r="K368" s="296"/>
      <c r="L368" s="296"/>
      <c r="M368" s="296"/>
      <c r="N368" s="296"/>
      <c r="O368" s="296"/>
      <c r="P368" s="296"/>
      <c r="Q368" s="297"/>
      <c r="R368" s="90"/>
      <c r="S368" s="90"/>
      <c r="T368" s="264"/>
      <c r="U368" s="90"/>
      <c r="V368" s="90"/>
      <c r="W368" s="90"/>
      <c r="X368" s="90"/>
      <c r="Y368" s="90"/>
      <c r="Z368" s="90"/>
      <c r="AA368" s="90"/>
    </row>
    <row r="369" ht="15.75" customHeight="1">
      <c r="A369" s="90"/>
      <c r="B369" s="292"/>
      <c r="C369" s="293"/>
      <c r="D369" s="90"/>
      <c r="E369" s="293"/>
      <c r="F369" s="294"/>
      <c r="G369" s="292"/>
      <c r="H369" s="293"/>
      <c r="I369" s="294"/>
      <c r="J369" s="90"/>
      <c r="K369" s="296"/>
      <c r="L369" s="296"/>
      <c r="M369" s="296"/>
      <c r="N369" s="296"/>
      <c r="O369" s="296"/>
      <c r="P369" s="296"/>
      <c r="Q369" s="297"/>
      <c r="R369" s="90"/>
      <c r="S369" s="90"/>
      <c r="T369" s="264"/>
      <c r="U369" s="90"/>
      <c r="V369" s="90"/>
      <c r="W369" s="90"/>
      <c r="X369" s="90"/>
      <c r="Y369" s="90"/>
      <c r="Z369" s="90"/>
      <c r="AA369" s="90"/>
    </row>
    <row r="370" ht="15.75" customHeight="1">
      <c r="A370" s="90"/>
      <c r="B370" s="292"/>
      <c r="C370" s="293"/>
      <c r="D370" s="90"/>
      <c r="E370" s="293"/>
      <c r="F370" s="294"/>
      <c r="G370" s="292"/>
      <c r="H370" s="293"/>
      <c r="I370" s="294"/>
      <c r="J370" s="90"/>
      <c r="K370" s="296"/>
      <c r="L370" s="296"/>
      <c r="M370" s="296"/>
      <c r="N370" s="296"/>
      <c r="O370" s="296"/>
      <c r="P370" s="296"/>
      <c r="Q370" s="297"/>
      <c r="R370" s="90"/>
      <c r="S370" s="90"/>
      <c r="T370" s="264"/>
      <c r="U370" s="90"/>
      <c r="V370" s="90"/>
      <c r="W370" s="90"/>
      <c r="X370" s="90"/>
      <c r="Y370" s="90"/>
      <c r="Z370" s="90"/>
      <c r="AA370" s="90"/>
    </row>
    <row r="371" ht="15.75" customHeight="1">
      <c r="A371" s="90"/>
      <c r="B371" s="292"/>
      <c r="C371" s="293"/>
      <c r="D371" s="90"/>
      <c r="E371" s="293"/>
      <c r="F371" s="294"/>
      <c r="G371" s="292"/>
      <c r="H371" s="293"/>
      <c r="I371" s="294"/>
      <c r="J371" s="90"/>
      <c r="K371" s="296"/>
      <c r="L371" s="296"/>
      <c r="M371" s="296"/>
      <c r="N371" s="296"/>
      <c r="O371" s="296"/>
      <c r="P371" s="296"/>
      <c r="Q371" s="297"/>
      <c r="R371" s="90"/>
      <c r="S371" s="90"/>
      <c r="T371" s="264"/>
      <c r="U371" s="90"/>
      <c r="V371" s="90"/>
      <c r="W371" s="90"/>
      <c r="X371" s="90"/>
      <c r="Y371" s="90"/>
      <c r="Z371" s="90"/>
      <c r="AA371" s="90"/>
    </row>
    <row r="372" ht="15.75" customHeight="1">
      <c r="A372" s="90"/>
      <c r="B372" s="292"/>
      <c r="C372" s="293"/>
      <c r="D372" s="90"/>
      <c r="E372" s="293"/>
      <c r="F372" s="294"/>
      <c r="G372" s="292"/>
      <c r="H372" s="293"/>
      <c r="I372" s="294"/>
      <c r="J372" s="90"/>
      <c r="K372" s="296"/>
      <c r="L372" s="296"/>
      <c r="M372" s="296"/>
      <c r="N372" s="296"/>
      <c r="O372" s="296"/>
      <c r="P372" s="296"/>
      <c r="Q372" s="297"/>
      <c r="R372" s="90"/>
      <c r="S372" s="90"/>
      <c r="T372" s="264"/>
      <c r="U372" s="90"/>
      <c r="V372" s="90"/>
      <c r="W372" s="90"/>
      <c r="X372" s="90"/>
      <c r="Y372" s="90"/>
      <c r="Z372" s="90"/>
      <c r="AA372" s="90"/>
    </row>
    <row r="373" ht="15.75" customHeight="1">
      <c r="A373" s="90"/>
      <c r="B373" s="292"/>
      <c r="C373" s="293"/>
      <c r="D373" s="90"/>
      <c r="E373" s="293"/>
      <c r="F373" s="294"/>
      <c r="G373" s="292"/>
      <c r="H373" s="293"/>
      <c r="I373" s="294"/>
      <c r="J373" s="90"/>
      <c r="K373" s="296"/>
      <c r="L373" s="296"/>
      <c r="M373" s="296"/>
      <c r="N373" s="296"/>
      <c r="O373" s="296"/>
      <c r="P373" s="296"/>
      <c r="Q373" s="297"/>
      <c r="R373" s="90"/>
      <c r="S373" s="90"/>
      <c r="T373" s="264"/>
      <c r="U373" s="90"/>
      <c r="V373" s="90"/>
      <c r="W373" s="90"/>
      <c r="X373" s="90"/>
      <c r="Y373" s="90"/>
      <c r="Z373" s="90"/>
      <c r="AA373" s="90"/>
    </row>
    <row r="374" ht="15.75" customHeight="1">
      <c r="A374" s="90"/>
      <c r="B374" s="292"/>
      <c r="C374" s="293"/>
      <c r="D374" s="90"/>
      <c r="E374" s="293"/>
      <c r="F374" s="294"/>
      <c r="G374" s="292"/>
      <c r="H374" s="293"/>
      <c r="I374" s="294"/>
      <c r="J374" s="90"/>
      <c r="K374" s="296"/>
      <c r="L374" s="296"/>
      <c r="M374" s="296"/>
      <c r="N374" s="296"/>
      <c r="O374" s="296"/>
      <c r="P374" s="296"/>
      <c r="Q374" s="297"/>
      <c r="R374" s="90"/>
      <c r="S374" s="90"/>
      <c r="T374" s="264"/>
      <c r="U374" s="90"/>
      <c r="V374" s="90"/>
      <c r="W374" s="90"/>
      <c r="X374" s="90"/>
      <c r="Y374" s="90"/>
      <c r="Z374" s="90"/>
      <c r="AA374" s="90"/>
    </row>
    <row r="375" ht="15.75" customHeight="1">
      <c r="A375" s="90"/>
      <c r="B375" s="292"/>
      <c r="C375" s="293"/>
      <c r="D375" s="90"/>
      <c r="E375" s="293"/>
      <c r="F375" s="294"/>
      <c r="G375" s="292"/>
      <c r="H375" s="293"/>
      <c r="I375" s="294"/>
      <c r="J375" s="90"/>
      <c r="K375" s="296"/>
      <c r="L375" s="296"/>
      <c r="M375" s="296"/>
      <c r="N375" s="296"/>
      <c r="O375" s="296"/>
      <c r="P375" s="296"/>
      <c r="Q375" s="297"/>
      <c r="R375" s="90"/>
      <c r="S375" s="90"/>
      <c r="T375" s="264"/>
      <c r="U375" s="90"/>
      <c r="V375" s="90"/>
      <c r="W375" s="90"/>
      <c r="X375" s="90"/>
      <c r="Y375" s="90"/>
      <c r="Z375" s="90"/>
      <c r="AA375" s="90"/>
    </row>
    <row r="376" ht="15.75" customHeight="1">
      <c r="A376" s="90"/>
      <c r="B376" s="292"/>
      <c r="C376" s="293"/>
      <c r="D376" s="90"/>
      <c r="E376" s="293"/>
      <c r="F376" s="294"/>
      <c r="G376" s="292"/>
      <c r="H376" s="293"/>
      <c r="I376" s="294"/>
      <c r="J376" s="90"/>
      <c r="K376" s="296"/>
      <c r="L376" s="296"/>
      <c r="M376" s="296"/>
      <c r="N376" s="296"/>
      <c r="O376" s="296"/>
      <c r="P376" s="296"/>
      <c r="Q376" s="297"/>
      <c r="R376" s="90"/>
      <c r="S376" s="90"/>
      <c r="T376" s="264"/>
      <c r="U376" s="90"/>
      <c r="V376" s="90"/>
      <c r="W376" s="90"/>
      <c r="X376" s="90"/>
      <c r="Y376" s="90"/>
      <c r="Z376" s="90"/>
      <c r="AA376" s="90"/>
    </row>
    <row r="377" ht="15.75" customHeight="1">
      <c r="A377" s="90"/>
      <c r="B377" s="292"/>
      <c r="C377" s="293"/>
      <c r="D377" s="90"/>
      <c r="E377" s="293"/>
      <c r="F377" s="294"/>
      <c r="G377" s="292"/>
      <c r="H377" s="293"/>
      <c r="I377" s="294"/>
      <c r="J377" s="90"/>
      <c r="K377" s="296"/>
      <c r="L377" s="296"/>
      <c r="M377" s="296"/>
      <c r="N377" s="296"/>
      <c r="O377" s="296"/>
      <c r="P377" s="296"/>
      <c r="Q377" s="297"/>
      <c r="R377" s="90"/>
      <c r="S377" s="90"/>
      <c r="T377" s="264"/>
      <c r="U377" s="90"/>
      <c r="V377" s="90"/>
      <c r="W377" s="90"/>
      <c r="X377" s="90"/>
      <c r="Y377" s="90"/>
      <c r="Z377" s="90"/>
      <c r="AA377" s="90"/>
    </row>
    <row r="378" ht="15.75" customHeight="1">
      <c r="A378" s="90"/>
      <c r="B378" s="292"/>
      <c r="C378" s="293"/>
      <c r="D378" s="90"/>
      <c r="E378" s="293"/>
      <c r="F378" s="294"/>
      <c r="G378" s="292"/>
      <c r="H378" s="293"/>
      <c r="I378" s="294"/>
      <c r="J378" s="90"/>
      <c r="K378" s="296"/>
      <c r="L378" s="296"/>
      <c r="M378" s="296"/>
      <c r="N378" s="296"/>
      <c r="O378" s="296"/>
      <c r="P378" s="296"/>
      <c r="Q378" s="297"/>
      <c r="R378" s="90"/>
      <c r="S378" s="90"/>
      <c r="T378" s="264"/>
      <c r="U378" s="90"/>
      <c r="V378" s="90"/>
      <c r="W378" s="90"/>
      <c r="X378" s="90"/>
      <c r="Y378" s="90"/>
      <c r="Z378" s="90"/>
      <c r="AA378" s="90"/>
    </row>
    <row r="379" ht="15.75" customHeight="1">
      <c r="A379" s="90"/>
      <c r="B379" s="292"/>
      <c r="C379" s="293"/>
      <c r="D379" s="90"/>
      <c r="E379" s="293"/>
      <c r="F379" s="294"/>
      <c r="G379" s="292"/>
      <c r="H379" s="293"/>
      <c r="I379" s="294"/>
      <c r="J379" s="90"/>
      <c r="K379" s="296"/>
      <c r="L379" s="296"/>
      <c r="M379" s="296"/>
      <c r="N379" s="296"/>
      <c r="O379" s="296"/>
      <c r="P379" s="296"/>
      <c r="Q379" s="297"/>
      <c r="R379" s="90"/>
      <c r="S379" s="90"/>
      <c r="T379" s="264"/>
      <c r="U379" s="90"/>
      <c r="V379" s="90"/>
      <c r="W379" s="90"/>
      <c r="X379" s="90"/>
      <c r="Y379" s="90"/>
      <c r="Z379" s="90"/>
      <c r="AA379" s="90"/>
    </row>
    <row r="380" ht="15.75" customHeight="1">
      <c r="A380" s="90"/>
      <c r="B380" s="292"/>
      <c r="C380" s="293"/>
      <c r="D380" s="90"/>
      <c r="E380" s="293"/>
      <c r="F380" s="294"/>
      <c r="G380" s="292"/>
      <c r="H380" s="293"/>
      <c r="I380" s="294"/>
      <c r="J380" s="90"/>
      <c r="K380" s="296"/>
      <c r="L380" s="296"/>
      <c r="M380" s="296"/>
      <c r="N380" s="296"/>
      <c r="O380" s="296"/>
      <c r="P380" s="296"/>
      <c r="Q380" s="297"/>
      <c r="R380" s="90"/>
      <c r="S380" s="90"/>
      <c r="T380" s="264"/>
      <c r="U380" s="90"/>
      <c r="V380" s="90"/>
      <c r="W380" s="90"/>
      <c r="X380" s="90"/>
      <c r="Y380" s="90"/>
      <c r="Z380" s="90"/>
      <c r="AA380" s="90"/>
    </row>
    <row r="381" ht="15.75" customHeight="1">
      <c r="A381" s="90"/>
      <c r="B381" s="292"/>
      <c r="C381" s="293"/>
      <c r="D381" s="90"/>
      <c r="E381" s="293"/>
      <c r="F381" s="294"/>
      <c r="G381" s="292"/>
      <c r="H381" s="293"/>
      <c r="I381" s="294"/>
      <c r="J381" s="90"/>
      <c r="K381" s="296"/>
      <c r="L381" s="296"/>
      <c r="M381" s="296"/>
      <c r="N381" s="296"/>
      <c r="O381" s="296"/>
      <c r="P381" s="296"/>
      <c r="Q381" s="297"/>
      <c r="R381" s="90"/>
      <c r="S381" s="90"/>
      <c r="T381" s="264"/>
      <c r="U381" s="90"/>
      <c r="V381" s="90"/>
      <c r="W381" s="90"/>
      <c r="X381" s="90"/>
      <c r="Y381" s="90"/>
      <c r="Z381" s="90"/>
      <c r="AA381" s="90"/>
    </row>
    <row r="382" ht="15.75" customHeight="1">
      <c r="A382" s="90"/>
      <c r="B382" s="292"/>
      <c r="C382" s="293"/>
      <c r="D382" s="90"/>
      <c r="E382" s="293"/>
      <c r="F382" s="294"/>
      <c r="G382" s="292"/>
      <c r="H382" s="293"/>
      <c r="I382" s="294"/>
      <c r="J382" s="90"/>
      <c r="K382" s="296"/>
      <c r="L382" s="296"/>
      <c r="M382" s="296"/>
      <c r="N382" s="296"/>
      <c r="O382" s="296"/>
      <c r="P382" s="296"/>
      <c r="Q382" s="297"/>
      <c r="R382" s="90"/>
      <c r="S382" s="90"/>
      <c r="T382" s="264"/>
      <c r="U382" s="90"/>
      <c r="V382" s="90"/>
      <c r="W382" s="90"/>
      <c r="X382" s="90"/>
      <c r="Y382" s="90"/>
      <c r="Z382" s="90"/>
      <c r="AA382" s="90"/>
    </row>
    <row r="383" ht="15.75" customHeight="1">
      <c r="A383" s="90"/>
      <c r="B383" s="292"/>
      <c r="C383" s="293"/>
      <c r="D383" s="90"/>
      <c r="E383" s="293"/>
      <c r="F383" s="294"/>
      <c r="G383" s="292"/>
      <c r="H383" s="293"/>
      <c r="I383" s="294"/>
      <c r="J383" s="90"/>
      <c r="K383" s="296"/>
      <c r="L383" s="296"/>
      <c r="M383" s="296"/>
      <c r="N383" s="296"/>
      <c r="O383" s="296"/>
      <c r="P383" s="296"/>
      <c r="Q383" s="297"/>
      <c r="R383" s="90"/>
      <c r="S383" s="90"/>
      <c r="T383" s="264"/>
      <c r="U383" s="90"/>
      <c r="V383" s="90"/>
      <c r="W383" s="90"/>
      <c r="X383" s="90"/>
      <c r="Y383" s="90"/>
      <c r="Z383" s="90"/>
      <c r="AA383" s="90"/>
    </row>
    <row r="384" ht="15.75" customHeight="1">
      <c r="A384" s="90"/>
      <c r="B384" s="292"/>
      <c r="C384" s="293"/>
      <c r="D384" s="90"/>
      <c r="E384" s="293"/>
      <c r="F384" s="294"/>
      <c r="G384" s="292"/>
      <c r="H384" s="293"/>
      <c r="I384" s="294"/>
      <c r="J384" s="90"/>
      <c r="K384" s="296"/>
      <c r="L384" s="296"/>
      <c r="M384" s="296"/>
      <c r="N384" s="296"/>
      <c r="O384" s="296"/>
      <c r="P384" s="296"/>
      <c r="Q384" s="297"/>
      <c r="R384" s="90"/>
      <c r="S384" s="90"/>
      <c r="T384" s="264"/>
      <c r="U384" s="90"/>
      <c r="V384" s="90"/>
      <c r="W384" s="90"/>
      <c r="X384" s="90"/>
      <c r="Y384" s="90"/>
      <c r="Z384" s="90"/>
      <c r="AA384" s="90"/>
    </row>
    <row r="385" ht="15.75" customHeight="1">
      <c r="A385" s="90"/>
      <c r="B385" s="292"/>
      <c r="C385" s="293"/>
      <c r="D385" s="90"/>
      <c r="E385" s="293"/>
      <c r="F385" s="294"/>
      <c r="G385" s="292"/>
      <c r="H385" s="293"/>
      <c r="I385" s="294"/>
      <c r="J385" s="90"/>
      <c r="K385" s="296"/>
      <c r="L385" s="296"/>
      <c r="M385" s="296"/>
      <c r="N385" s="296"/>
      <c r="O385" s="296"/>
      <c r="P385" s="296"/>
      <c r="Q385" s="297"/>
      <c r="R385" s="90"/>
      <c r="S385" s="90"/>
      <c r="T385" s="264"/>
      <c r="U385" s="90"/>
      <c r="V385" s="90"/>
      <c r="W385" s="90"/>
      <c r="X385" s="90"/>
      <c r="Y385" s="90"/>
      <c r="Z385" s="90"/>
      <c r="AA385" s="90"/>
    </row>
    <row r="386" ht="15.75" customHeight="1">
      <c r="A386" s="90"/>
      <c r="B386" s="292"/>
      <c r="C386" s="293"/>
      <c r="D386" s="90"/>
      <c r="E386" s="293"/>
      <c r="F386" s="294"/>
      <c r="G386" s="292"/>
      <c r="H386" s="293"/>
      <c r="I386" s="294"/>
      <c r="J386" s="90"/>
      <c r="K386" s="296"/>
      <c r="L386" s="296"/>
      <c r="M386" s="296"/>
      <c r="N386" s="296"/>
      <c r="O386" s="296"/>
      <c r="P386" s="296"/>
      <c r="Q386" s="297"/>
      <c r="R386" s="90"/>
      <c r="S386" s="90"/>
      <c r="T386" s="264"/>
      <c r="U386" s="90"/>
      <c r="V386" s="90"/>
      <c r="W386" s="90"/>
      <c r="X386" s="90"/>
      <c r="Y386" s="90"/>
      <c r="Z386" s="90"/>
      <c r="AA386" s="90"/>
    </row>
    <row r="387" ht="15.75" customHeight="1">
      <c r="A387" s="90"/>
      <c r="B387" s="292"/>
      <c r="C387" s="293"/>
      <c r="D387" s="90"/>
      <c r="E387" s="293"/>
      <c r="F387" s="294"/>
      <c r="G387" s="292"/>
      <c r="H387" s="293"/>
      <c r="I387" s="294"/>
      <c r="J387" s="90"/>
      <c r="K387" s="296"/>
      <c r="L387" s="296"/>
      <c r="M387" s="296"/>
      <c r="N387" s="296"/>
      <c r="O387" s="296"/>
      <c r="P387" s="296"/>
      <c r="Q387" s="297"/>
      <c r="R387" s="90"/>
      <c r="S387" s="90"/>
      <c r="T387" s="264"/>
      <c r="U387" s="90"/>
      <c r="V387" s="90"/>
      <c r="W387" s="90"/>
      <c r="X387" s="90"/>
      <c r="Y387" s="90"/>
      <c r="Z387" s="90"/>
      <c r="AA387" s="90"/>
    </row>
    <row r="388" ht="15.75" customHeight="1">
      <c r="A388" s="90"/>
      <c r="B388" s="292"/>
      <c r="C388" s="293"/>
      <c r="D388" s="90"/>
      <c r="E388" s="293"/>
      <c r="F388" s="294"/>
      <c r="G388" s="292"/>
      <c r="H388" s="293"/>
      <c r="I388" s="294"/>
      <c r="J388" s="90"/>
      <c r="K388" s="296"/>
      <c r="L388" s="296"/>
      <c r="M388" s="296"/>
      <c r="N388" s="296"/>
      <c r="O388" s="296"/>
      <c r="P388" s="296"/>
      <c r="Q388" s="297"/>
      <c r="R388" s="90"/>
      <c r="S388" s="90"/>
      <c r="T388" s="264"/>
      <c r="U388" s="90"/>
      <c r="V388" s="90"/>
      <c r="W388" s="90"/>
      <c r="X388" s="90"/>
      <c r="Y388" s="90"/>
      <c r="Z388" s="90"/>
      <c r="AA388" s="90"/>
    </row>
    <row r="389" ht="15.75" customHeight="1">
      <c r="A389" s="90"/>
      <c r="B389" s="292"/>
      <c r="C389" s="293"/>
      <c r="D389" s="90"/>
      <c r="E389" s="293"/>
      <c r="F389" s="294"/>
      <c r="G389" s="292"/>
      <c r="H389" s="293"/>
      <c r="I389" s="294"/>
      <c r="J389" s="90"/>
      <c r="K389" s="296"/>
      <c r="L389" s="296"/>
      <c r="M389" s="296"/>
      <c r="N389" s="296"/>
      <c r="O389" s="296"/>
      <c r="P389" s="296"/>
      <c r="Q389" s="297"/>
      <c r="R389" s="90"/>
      <c r="S389" s="90"/>
      <c r="T389" s="264"/>
      <c r="U389" s="90"/>
      <c r="V389" s="90"/>
      <c r="W389" s="90"/>
      <c r="X389" s="90"/>
      <c r="Y389" s="90"/>
      <c r="Z389" s="90"/>
      <c r="AA389" s="90"/>
    </row>
    <row r="390" ht="15.75" customHeight="1">
      <c r="A390" s="90"/>
      <c r="B390" s="292"/>
      <c r="C390" s="293"/>
      <c r="D390" s="90"/>
      <c r="E390" s="293"/>
      <c r="F390" s="294"/>
      <c r="G390" s="292"/>
      <c r="H390" s="293"/>
      <c r="I390" s="294"/>
      <c r="J390" s="90"/>
      <c r="K390" s="296"/>
      <c r="L390" s="296"/>
      <c r="M390" s="296"/>
      <c r="N390" s="296"/>
      <c r="O390" s="296"/>
      <c r="P390" s="296"/>
      <c r="Q390" s="297"/>
      <c r="R390" s="90"/>
      <c r="S390" s="90"/>
      <c r="T390" s="264"/>
      <c r="U390" s="90"/>
      <c r="V390" s="90"/>
      <c r="W390" s="90"/>
      <c r="X390" s="90"/>
      <c r="Y390" s="90"/>
      <c r="Z390" s="90"/>
      <c r="AA390" s="90"/>
    </row>
    <row r="391" ht="15.75" customHeight="1">
      <c r="A391" s="90"/>
      <c r="B391" s="292"/>
      <c r="C391" s="293"/>
      <c r="D391" s="90"/>
      <c r="E391" s="293"/>
      <c r="F391" s="294"/>
      <c r="G391" s="292"/>
      <c r="H391" s="293"/>
      <c r="I391" s="294"/>
      <c r="J391" s="90"/>
      <c r="K391" s="296"/>
      <c r="L391" s="296"/>
      <c r="M391" s="296"/>
      <c r="N391" s="296"/>
      <c r="O391" s="296"/>
      <c r="P391" s="296"/>
      <c r="Q391" s="297"/>
      <c r="R391" s="90"/>
      <c r="S391" s="90"/>
      <c r="T391" s="264"/>
      <c r="U391" s="90"/>
      <c r="V391" s="90"/>
      <c r="W391" s="90"/>
      <c r="X391" s="90"/>
      <c r="Y391" s="90"/>
      <c r="Z391" s="90"/>
      <c r="AA391" s="90"/>
    </row>
    <row r="392" ht="15.75" customHeight="1">
      <c r="A392" s="90"/>
      <c r="B392" s="292"/>
      <c r="C392" s="293"/>
      <c r="D392" s="90"/>
      <c r="E392" s="293"/>
      <c r="F392" s="294"/>
      <c r="G392" s="292"/>
      <c r="H392" s="293"/>
      <c r="I392" s="294"/>
      <c r="J392" s="90"/>
      <c r="K392" s="296"/>
      <c r="L392" s="296"/>
      <c r="M392" s="296"/>
      <c r="N392" s="296"/>
      <c r="O392" s="296"/>
      <c r="P392" s="296"/>
      <c r="Q392" s="297"/>
      <c r="R392" s="90"/>
      <c r="S392" s="90"/>
      <c r="T392" s="264"/>
      <c r="U392" s="90"/>
      <c r="V392" s="90"/>
      <c r="W392" s="90"/>
      <c r="X392" s="90"/>
      <c r="Y392" s="90"/>
      <c r="Z392" s="90"/>
      <c r="AA392" s="90"/>
    </row>
    <row r="393" ht="15.75" customHeight="1">
      <c r="A393" s="90"/>
      <c r="B393" s="292"/>
      <c r="C393" s="293"/>
      <c r="D393" s="90"/>
      <c r="E393" s="293"/>
      <c r="F393" s="294"/>
      <c r="G393" s="292"/>
      <c r="H393" s="293"/>
      <c r="I393" s="294"/>
      <c r="J393" s="90"/>
      <c r="K393" s="296"/>
      <c r="L393" s="296"/>
      <c r="M393" s="296"/>
      <c r="N393" s="296"/>
      <c r="O393" s="296"/>
      <c r="P393" s="296"/>
      <c r="Q393" s="297"/>
      <c r="R393" s="90"/>
      <c r="S393" s="90"/>
      <c r="T393" s="264"/>
      <c r="U393" s="90"/>
      <c r="V393" s="90"/>
      <c r="W393" s="90"/>
      <c r="X393" s="90"/>
      <c r="Y393" s="90"/>
      <c r="Z393" s="90"/>
      <c r="AA393" s="90"/>
    </row>
    <row r="394" ht="15.75" customHeight="1">
      <c r="A394" s="90"/>
      <c r="B394" s="292"/>
      <c r="C394" s="293"/>
      <c r="D394" s="90"/>
      <c r="E394" s="293"/>
      <c r="F394" s="294"/>
      <c r="G394" s="292"/>
      <c r="H394" s="293"/>
      <c r="I394" s="294"/>
      <c r="J394" s="90"/>
      <c r="K394" s="296"/>
      <c r="L394" s="296"/>
      <c r="M394" s="296"/>
      <c r="N394" s="296"/>
      <c r="O394" s="296"/>
      <c r="P394" s="296"/>
      <c r="Q394" s="297"/>
      <c r="R394" s="90"/>
      <c r="S394" s="90"/>
      <c r="T394" s="264"/>
      <c r="U394" s="90"/>
      <c r="V394" s="90"/>
      <c r="W394" s="90"/>
      <c r="X394" s="90"/>
      <c r="Y394" s="90"/>
      <c r="Z394" s="90"/>
      <c r="AA394" s="90"/>
    </row>
    <row r="395" ht="15.75" customHeight="1">
      <c r="A395" s="90"/>
      <c r="B395" s="292"/>
      <c r="C395" s="293"/>
      <c r="D395" s="90"/>
      <c r="E395" s="293"/>
      <c r="F395" s="294"/>
      <c r="G395" s="292"/>
      <c r="H395" s="293"/>
      <c r="I395" s="294"/>
      <c r="J395" s="90"/>
      <c r="K395" s="296"/>
      <c r="L395" s="296"/>
      <c r="M395" s="296"/>
      <c r="N395" s="296"/>
      <c r="O395" s="296"/>
      <c r="P395" s="296"/>
      <c r="Q395" s="297"/>
      <c r="R395" s="90"/>
      <c r="S395" s="90"/>
      <c r="T395" s="264"/>
      <c r="U395" s="90"/>
      <c r="V395" s="90"/>
      <c r="W395" s="90"/>
      <c r="X395" s="90"/>
      <c r="Y395" s="90"/>
      <c r="Z395" s="90"/>
      <c r="AA395" s="90"/>
    </row>
    <row r="396" ht="15.75" customHeight="1">
      <c r="A396" s="90"/>
      <c r="B396" s="292"/>
      <c r="C396" s="293"/>
      <c r="D396" s="90"/>
      <c r="E396" s="293"/>
      <c r="F396" s="294"/>
      <c r="G396" s="292"/>
      <c r="H396" s="293"/>
      <c r="I396" s="294"/>
      <c r="J396" s="90"/>
      <c r="K396" s="296"/>
      <c r="L396" s="296"/>
      <c r="M396" s="296"/>
      <c r="N396" s="296"/>
      <c r="O396" s="296"/>
      <c r="P396" s="296"/>
      <c r="Q396" s="297"/>
      <c r="R396" s="90"/>
      <c r="S396" s="90"/>
      <c r="T396" s="264"/>
      <c r="U396" s="90"/>
      <c r="V396" s="90"/>
      <c r="W396" s="90"/>
      <c r="X396" s="90"/>
      <c r="Y396" s="90"/>
      <c r="Z396" s="90"/>
      <c r="AA396" s="90"/>
    </row>
    <row r="397" ht="15.75" customHeight="1">
      <c r="A397" s="90"/>
      <c r="B397" s="292"/>
      <c r="C397" s="293"/>
      <c r="D397" s="90"/>
      <c r="E397" s="293"/>
      <c r="F397" s="294"/>
      <c r="G397" s="292"/>
      <c r="H397" s="293"/>
      <c r="I397" s="294"/>
      <c r="J397" s="90"/>
      <c r="K397" s="296"/>
      <c r="L397" s="296"/>
      <c r="M397" s="296"/>
      <c r="N397" s="296"/>
      <c r="O397" s="296"/>
      <c r="P397" s="296"/>
      <c r="Q397" s="297"/>
      <c r="R397" s="90"/>
      <c r="S397" s="90"/>
      <c r="T397" s="264"/>
      <c r="U397" s="90"/>
      <c r="V397" s="90"/>
      <c r="W397" s="90"/>
      <c r="X397" s="90"/>
      <c r="Y397" s="90"/>
      <c r="Z397" s="90"/>
      <c r="AA397" s="90"/>
    </row>
    <row r="398" ht="15.75" customHeight="1">
      <c r="A398" s="90"/>
      <c r="B398" s="292"/>
      <c r="C398" s="293"/>
      <c r="D398" s="90"/>
      <c r="E398" s="293"/>
      <c r="F398" s="294"/>
      <c r="G398" s="292"/>
      <c r="H398" s="293"/>
      <c r="I398" s="294"/>
      <c r="J398" s="90"/>
      <c r="K398" s="296"/>
      <c r="L398" s="296"/>
      <c r="M398" s="296"/>
      <c r="N398" s="296"/>
      <c r="O398" s="296"/>
      <c r="P398" s="296"/>
      <c r="Q398" s="297"/>
      <c r="R398" s="90"/>
      <c r="S398" s="90"/>
      <c r="T398" s="264"/>
      <c r="U398" s="90"/>
      <c r="V398" s="90"/>
      <c r="W398" s="90"/>
      <c r="X398" s="90"/>
      <c r="Y398" s="90"/>
      <c r="Z398" s="90"/>
      <c r="AA398" s="90"/>
    </row>
    <row r="399" ht="15.75" customHeight="1">
      <c r="A399" s="90"/>
      <c r="B399" s="292"/>
      <c r="C399" s="293"/>
      <c r="D399" s="90"/>
      <c r="E399" s="293"/>
      <c r="F399" s="294"/>
      <c r="G399" s="292"/>
      <c r="H399" s="293"/>
      <c r="I399" s="294"/>
      <c r="J399" s="90"/>
      <c r="K399" s="296"/>
      <c r="L399" s="296"/>
      <c r="M399" s="296"/>
      <c r="N399" s="296"/>
      <c r="O399" s="296"/>
      <c r="P399" s="296"/>
      <c r="Q399" s="297"/>
      <c r="R399" s="90"/>
      <c r="S399" s="90"/>
      <c r="T399" s="264"/>
      <c r="U399" s="90"/>
      <c r="V399" s="90"/>
      <c r="W399" s="90"/>
      <c r="X399" s="90"/>
      <c r="Y399" s="90"/>
      <c r="Z399" s="90"/>
      <c r="AA399" s="90"/>
    </row>
    <row r="400" ht="15.75" customHeight="1">
      <c r="A400" s="90"/>
      <c r="B400" s="292"/>
      <c r="C400" s="293"/>
      <c r="D400" s="90"/>
      <c r="E400" s="293"/>
      <c r="F400" s="294"/>
      <c r="G400" s="292"/>
      <c r="H400" s="293"/>
      <c r="I400" s="294"/>
      <c r="J400" s="90"/>
      <c r="K400" s="296"/>
      <c r="L400" s="296"/>
      <c r="M400" s="296"/>
      <c r="N400" s="296"/>
      <c r="O400" s="296"/>
      <c r="P400" s="296"/>
      <c r="Q400" s="297"/>
      <c r="R400" s="90"/>
      <c r="S400" s="90"/>
      <c r="T400" s="264"/>
      <c r="U400" s="90"/>
      <c r="V400" s="90"/>
      <c r="W400" s="90"/>
      <c r="X400" s="90"/>
      <c r="Y400" s="90"/>
      <c r="Z400" s="90"/>
      <c r="AA400" s="90"/>
    </row>
    <row r="401" ht="15.75" customHeight="1">
      <c r="A401" s="90"/>
      <c r="B401" s="292"/>
      <c r="C401" s="293"/>
      <c r="D401" s="90"/>
      <c r="E401" s="293"/>
      <c r="F401" s="294"/>
      <c r="G401" s="292"/>
      <c r="H401" s="293"/>
      <c r="I401" s="294"/>
      <c r="J401" s="90"/>
      <c r="K401" s="296"/>
      <c r="L401" s="296"/>
      <c r="M401" s="296"/>
      <c r="N401" s="296"/>
      <c r="O401" s="296"/>
      <c r="P401" s="296"/>
      <c r="Q401" s="297"/>
      <c r="R401" s="90"/>
      <c r="S401" s="90"/>
      <c r="T401" s="264"/>
      <c r="U401" s="90"/>
      <c r="V401" s="90"/>
      <c r="W401" s="90"/>
      <c r="X401" s="90"/>
      <c r="Y401" s="90"/>
      <c r="Z401" s="90"/>
      <c r="AA401" s="90"/>
    </row>
    <row r="402" ht="15.75" customHeight="1">
      <c r="A402" s="90"/>
      <c r="B402" s="292"/>
      <c r="C402" s="293"/>
      <c r="D402" s="90"/>
      <c r="E402" s="293"/>
      <c r="F402" s="294"/>
      <c r="G402" s="292"/>
      <c r="H402" s="293"/>
      <c r="I402" s="294"/>
      <c r="J402" s="90"/>
      <c r="K402" s="296"/>
      <c r="L402" s="296"/>
      <c r="M402" s="296"/>
      <c r="N402" s="296"/>
      <c r="O402" s="296"/>
      <c r="P402" s="296"/>
      <c r="Q402" s="297"/>
      <c r="R402" s="90"/>
      <c r="S402" s="90"/>
      <c r="T402" s="264"/>
      <c r="U402" s="90"/>
      <c r="V402" s="90"/>
      <c r="W402" s="90"/>
      <c r="X402" s="90"/>
      <c r="Y402" s="90"/>
      <c r="Z402" s="90"/>
      <c r="AA402" s="90"/>
    </row>
    <row r="403" ht="15.75" customHeight="1">
      <c r="A403" s="90"/>
      <c r="B403" s="292"/>
      <c r="C403" s="293"/>
      <c r="D403" s="90"/>
      <c r="E403" s="293"/>
      <c r="F403" s="294"/>
      <c r="G403" s="292"/>
      <c r="H403" s="293"/>
      <c r="I403" s="294"/>
      <c r="J403" s="90"/>
      <c r="K403" s="296"/>
      <c r="L403" s="296"/>
      <c r="M403" s="296"/>
      <c r="N403" s="296"/>
      <c r="O403" s="296"/>
      <c r="P403" s="296"/>
      <c r="Q403" s="297"/>
      <c r="R403" s="90"/>
      <c r="S403" s="90"/>
      <c r="T403" s="264"/>
      <c r="U403" s="90"/>
      <c r="V403" s="90"/>
      <c r="W403" s="90"/>
      <c r="X403" s="90"/>
      <c r="Y403" s="90"/>
      <c r="Z403" s="90"/>
      <c r="AA403" s="90"/>
    </row>
    <row r="404" ht="15.75" customHeight="1">
      <c r="A404" s="90"/>
      <c r="B404" s="292"/>
      <c r="C404" s="293"/>
      <c r="D404" s="90"/>
      <c r="E404" s="293"/>
      <c r="F404" s="294"/>
      <c r="G404" s="292"/>
      <c r="H404" s="293"/>
      <c r="I404" s="294"/>
      <c r="J404" s="90"/>
      <c r="K404" s="296"/>
      <c r="L404" s="296"/>
      <c r="M404" s="296"/>
      <c r="N404" s="296"/>
      <c r="O404" s="296"/>
      <c r="P404" s="296"/>
      <c r="Q404" s="297"/>
      <c r="R404" s="90"/>
      <c r="S404" s="90"/>
      <c r="T404" s="264"/>
      <c r="U404" s="90"/>
      <c r="V404" s="90"/>
      <c r="W404" s="90"/>
      <c r="X404" s="90"/>
      <c r="Y404" s="90"/>
      <c r="Z404" s="90"/>
      <c r="AA404" s="90"/>
    </row>
    <row r="405" ht="15.75" customHeight="1">
      <c r="A405" s="90"/>
      <c r="B405" s="292"/>
      <c r="C405" s="293"/>
      <c r="D405" s="90"/>
      <c r="E405" s="293"/>
      <c r="F405" s="294"/>
      <c r="G405" s="292"/>
      <c r="H405" s="293"/>
      <c r="I405" s="294"/>
      <c r="J405" s="90"/>
      <c r="K405" s="296"/>
      <c r="L405" s="296"/>
      <c r="M405" s="296"/>
      <c r="N405" s="296"/>
      <c r="O405" s="296"/>
      <c r="P405" s="296"/>
      <c r="Q405" s="297"/>
      <c r="R405" s="90"/>
      <c r="S405" s="90"/>
      <c r="T405" s="264"/>
      <c r="U405" s="90"/>
      <c r="V405" s="90"/>
      <c r="W405" s="90"/>
      <c r="X405" s="90"/>
      <c r="Y405" s="90"/>
      <c r="Z405" s="90"/>
      <c r="AA405" s="90"/>
    </row>
    <row r="406" ht="15.75" customHeight="1">
      <c r="A406" s="90"/>
      <c r="B406" s="292"/>
      <c r="C406" s="293"/>
      <c r="D406" s="90"/>
      <c r="E406" s="293"/>
      <c r="F406" s="294"/>
      <c r="G406" s="292"/>
      <c r="H406" s="293"/>
      <c r="I406" s="294"/>
      <c r="J406" s="90"/>
      <c r="K406" s="296"/>
      <c r="L406" s="296"/>
      <c r="M406" s="296"/>
      <c r="N406" s="296"/>
      <c r="O406" s="296"/>
      <c r="P406" s="296"/>
      <c r="Q406" s="297"/>
      <c r="R406" s="90"/>
      <c r="S406" s="90"/>
      <c r="T406" s="264"/>
      <c r="U406" s="90"/>
      <c r="V406" s="90"/>
      <c r="W406" s="90"/>
      <c r="X406" s="90"/>
      <c r="Y406" s="90"/>
      <c r="Z406" s="90"/>
      <c r="AA406" s="90"/>
    </row>
    <row r="407" ht="15.75" customHeight="1">
      <c r="A407" s="90"/>
      <c r="B407" s="292"/>
      <c r="C407" s="293"/>
      <c r="D407" s="90"/>
      <c r="E407" s="293"/>
      <c r="F407" s="294"/>
      <c r="G407" s="292"/>
      <c r="H407" s="293"/>
      <c r="I407" s="294"/>
      <c r="J407" s="90"/>
      <c r="K407" s="296"/>
      <c r="L407" s="296"/>
      <c r="M407" s="296"/>
      <c r="N407" s="296"/>
      <c r="O407" s="296"/>
      <c r="P407" s="296"/>
      <c r="Q407" s="297"/>
      <c r="R407" s="90"/>
      <c r="S407" s="90"/>
      <c r="T407" s="264"/>
      <c r="U407" s="90"/>
      <c r="V407" s="90"/>
      <c r="W407" s="90"/>
      <c r="X407" s="90"/>
      <c r="Y407" s="90"/>
      <c r="Z407" s="90"/>
      <c r="AA407" s="90"/>
    </row>
    <row r="408" ht="15.75" customHeight="1">
      <c r="A408" s="90"/>
      <c r="B408" s="292"/>
      <c r="C408" s="293"/>
      <c r="D408" s="90"/>
      <c r="E408" s="293"/>
      <c r="F408" s="294"/>
      <c r="G408" s="292"/>
      <c r="H408" s="293"/>
      <c r="I408" s="294"/>
      <c r="J408" s="90"/>
      <c r="K408" s="296"/>
      <c r="L408" s="296"/>
      <c r="M408" s="296"/>
      <c r="N408" s="296"/>
      <c r="O408" s="296"/>
      <c r="P408" s="296"/>
      <c r="Q408" s="297"/>
      <c r="R408" s="90"/>
      <c r="S408" s="90"/>
      <c r="T408" s="264"/>
      <c r="U408" s="90"/>
      <c r="V408" s="90"/>
      <c r="W408" s="90"/>
      <c r="X408" s="90"/>
      <c r="Y408" s="90"/>
      <c r="Z408" s="90"/>
      <c r="AA408" s="90"/>
    </row>
    <row r="409" ht="15.75" customHeight="1">
      <c r="A409" s="90"/>
      <c r="B409" s="292"/>
      <c r="C409" s="293"/>
      <c r="D409" s="90"/>
      <c r="E409" s="293"/>
      <c r="F409" s="294"/>
      <c r="G409" s="292"/>
      <c r="H409" s="293"/>
      <c r="I409" s="294"/>
      <c r="J409" s="90"/>
      <c r="K409" s="296"/>
      <c r="L409" s="296"/>
      <c r="M409" s="296"/>
      <c r="N409" s="296"/>
      <c r="O409" s="296"/>
      <c r="P409" s="296"/>
      <c r="Q409" s="297"/>
      <c r="R409" s="90"/>
      <c r="S409" s="90"/>
      <c r="T409" s="264"/>
      <c r="U409" s="90"/>
      <c r="V409" s="90"/>
      <c r="W409" s="90"/>
      <c r="X409" s="90"/>
      <c r="Y409" s="90"/>
      <c r="Z409" s="90"/>
      <c r="AA409" s="90"/>
    </row>
    <row r="410" ht="15.75" customHeight="1">
      <c r="A410" s="90"/>
      <c r="B410" s="292"/>
      <c r="C410" s="293"/>
      <c r="D410" s="90"/>
      <c r="E410" s="293"/>
      <c r="F410" s="294"/>
      <c r="G410" s="292"/>
      <c r="H410" s="293"/>
      <c r="I410" s="294"/>
      <c r="J410" s="90"/>
      <c r="K410" s="296"/>
      <c r="L410" s="296"/>
      <c r="M410" s="296"/>
      <c r="N410" s="296"/>
      <c r="O410" s="296"/>
      <c r="P410" s="296"/>
      <c r="Q410" s="297"/>
      <c r="R410" s="90"/>
      <c r="S410" s="90"/>
      <c r="T410" s="264"/>
      <c r="U410" s="90"/>
      <c r="V410" s="90"/>
      <c r="W410" s="90"/>
      <c r="X410" s="90"/>
      <c r="Y410" s="90"/>
      <c r="Z410" s="90"/>
      <c r="AA410" s="90"/>
    </row>
    <row r="411" ht="15.75" customHeight="1">
      <c r="A411" s="90"/>
      <c r="B411" s="292"/>
      <c r="C411" s="293"/>
      <c r="D411" s="90"/>
      <c r="E411" s="293"/>
      <c r="F411" s="294"/>
      <c r="G411" s="292"/>
      <c r="H411" s="293"/>
      <c r="I411" s="294"/>
      <c r="J411" s="90"/>
      <c r="K411" s="296"/>
      <c r="L411" s="296"/>
      <c r="M411" s="296"/>
      <c r="N411" s="296"/>
      <c r="O411" s="296"/>
      <c r="P411" s="296"/>
      <c r="Q411" s="297"/>
      <c r="R411" s="90"/>
      <c r="S411" s="90"/>
      <c r="T411" s="264"/>
      <c r="U411" s="90"/>
      <c r="V411" s="90"/>
      <c r="W411" s="90"/>
      <c r="X411" s="90"/>
      <c r="Y411" s="90"/>
      <c r="Z411" s="90"/>
      <c r="AA411" s="90"/>
    </row>
    <row r="412" ht="15.75" customHeight="1">
      <c r="A412" s="90"/>
      <c r="B412" s="292"/>
      <c r="C412" s="293"/>
      <c r="D412" s="90"/>
      <c r="E412" s="293"/>
      <c r="F412" s="294"/>
      <c r="G412" s="292"/>
      <c r="H412" s="293"/>
      <c r="I412" s="294"/>
      <c r="J412" s="90"/>
      <c r="K412" s="296"/>
      <c r="L412" s="296"/>
      <c r="M412" s="296"/>
      <c r="N412" s="296"/>
      <c r="O412" s="296"/>
      <c r="P412" s="296"/>
      <c r="Q412" s="297"/>
      <c r="R412" s="90"/>
      <c r="S412" s="90"/>
      <c r="T412" s="264"/>
      <c r="U412" s="90"/>
      <c r="V412" s="90"/>
      <c r="W412" s="90"/>
      <c r="X412" s="90"/>
      <c r="Y412" s="90"/>
      <c r="Z412" s="90"/>
      <c r="AA412" s="90"/>
    </row>
    <row r="413" ht="15.75" customHeight="1">
      <c r="A413" s="90"/>
      <c r="B413" s="292"/>
      <c r="C413" s="293"/>
      <c r="D413" s="90"/>
      <c r="E413" s="293"/>
      <c r="F413" s="294"/>
      <c r="G413" s="292"/>
      <c r="H413" s="293"/>
      <c r="I413" s="294"/>
      <c r="J413" s="90"/>
      <c r="K413" s="296"/>
      <c r="L413" s="296"/>
      <c r="M413" s="296"/>
      <c r="N413" s="296"/>
      <c r="O413" s="296"/>
      <c r="P413" s="296"/>
      <c r="Q413" s="297"/>
      <c r="R413" s="90"/>
      <c r="S413" s="90"/>
      <c r="T413" s="264"/>
      <c r="U413" s="90"/>
      <c r="V413" s="90"/>
      <c r="W413" s="90"/>
      <c r="X413" s="90"/>
      <c r="Y413" s="90"/>
      <c r="Z413" s="90"/>
      <c r="AA413" s="90"/>
    </row>
    <row r="414" ht="15.75" customHeight="1">
      <c r="A414" s="90"/>
      <c r="B414" s="292"/>
      <c r="C414" s="293"/>
      <c r="D414" s="90"/>
      <c r="E414" s="293"/>
      <c r="F414" s="294"/>
      <c r="G414" s="292"/>
      <c r="H414" s="293"/>
      <c r="I414" s="294"/>
      <c r="J414" s="90"/>
      <c r="K414" s="296"/>
      <c r="L414" s="296"/>
      <c r="M414" s="296"/>
      <c r="N414" s="296"/>
      <c r="O414" s="296"/>
      <c r="P414" s="296"/>
      <c r="Q414" s="297"/>
      <c r="R414" s="90"/>
      <c r="S414" s="90"/>
      <c r="T414" s="264"/>
      <c r="U414" s="90"/>
      <c r="V414" s="90"/>
      <c r="W414" s="90"/>
      <c r="X414" s="90"/>
      <c r="Y414" s="90"/>
      <c r="Z414" s="90"/>
      <c r="AA414" s="90"/>
    </row>
    <row r="415" ht="15.75" customHeight="1">
      <c r="A415" s="90"/>
      <c r="B415" s="292"/>
      <c r="C415" s="293"/>
      <c r="D415" s="90"/>
      <c r="E415" s="293"/>
      <c r="F415" s="294"/>
      <c r="G415" s="292"/>
      <c r="H415" s="293"/>
      <c r="I415" s="294"/>
      <c r="J415" s="90"/>
      <c r="K415" s="296"/>
      <c r="L415" s="296"/>
      <c r="M415" s="296"/>
      <c r="N415" s="296"/>
      <c r="O415" s="296"/>
      <c r="P415" s="296"/>
      <c r="Q415" s="297"/>
      <c r="R415" s="90"/>
      <c r="S415" s="90"/>
      <c r="T415" s="264"/>
      <c r="U415" s="90"/>
      <c r="V415" s="90"/>
      <c r="W415" s="90"/>
      <c r="X415" s="90"/>
      <c r="Y415" s="90"/>
      <c r="Z415" s="90"/>
      <c r="AA415" s="90"/>
    </row>
    <row r="416" ht="15.75" customHeight="1">
      <c r="A416" s="90"/>
      <c r="B416" s="292"/>
      <c r="C416" s="293"/>
      <c r="D416" s="90"/>
      <c r="E416" s="293"/>
      <c r="F416" s="294"/>
      <c r="G416" s="292"/>
      <c r="H416" s="293"/>
      <c r="I416" s="294"/>
      <c r="J416" s="90"/>
      <c r="K416" s="296"/>
      <c r="L416" s="296"/>
      <c r="M416" s="296"/>
      <c r="N416" s="296"/>
      <c r="O416" s="296"/>
      <c r="P416" s="296"/>
      <c r="Q416" s="297"/>
      <c r="R416" s="90"/>
      <c r="S416" s="90"/>
      <c r="T416" s="264"/>
      <c r="U416" s="90"/>
      <c r="V416" s="90"/>
      <c r="W416" s="90"/>
      <c r="X416" s="90"/>
      <c r="Y416" s="90"/>
      <c r="Z416" s="90"/>
      <c r="AA416" s="90"/>
    </row>
    <row r="417" ht="15.75" customHeight="1">
      <c r="A417" s="90"/>
      <c r="B417" s="292"/>
      <c r="C417" s="293"/>
      <c r="D417" s="90"/>
      <c r="E417" s="293"/>
      <c r="F417" s="294"/>
      <c r="G417" s="292"/>
      <c r="H417" s="293"/>
      <c r="I417" s="294"/>
      <c r="J417" s="90"/>
      <c r="K417" s="296"/>
      <c r="L417" s="296"/>
      <c r="M417" s="296"/>
      <c r="N417" s="296"/>
      <c r="O417" s="296"/>
      <c r="P417" s="296"/>
      <c r="Q417" s="297"/>
      <c r="R417" s="90"/>
      <c r="S417" s="90"/>
      <c r="T417" s="264"/>
      <c r="U417" s="90"/>
      <c r="V417" s="90"/>
      <c r="W417" s="90"/>
      <c r="X417" s="90"/>
      <c r="Y417" s="90"/>
      <c r="Z417" s="90"/>
      <c r="AA417" s="90"/>
    </row>
    <row r="418" ht="15.75" customHeight="1">
      <c r="A418" s="90"/>
      <c r="B418" s="292"/>
      <c r="C418" s="293"/>
      <c r="D418" s="90"/>
      <c r="E418" s="293"/>
      <c r="F418" s="294"/>
      <c r="G418" s="292"/>
      <c r="H418" s="293"/>
      <c r="I418" s="294"/>
      <c r="J418" s="90"/>
      <c r="K418" s="296"/>
      <c r="L418" s="296"/>
      <c r="M418" s="296"/>
      <c r="N418" s="296"/>
      <c r="O418" s="296"/>
      <c r="P418" s="296"/>
      <c r="Q418" s="297"/>
      <c r="R418" s="90"/>
      <c r="S418" s="90"/>
      <c r="T418" s="264"/>
      <c r="U418" s="90"/>
      <c r="V418" s="90"/>
      <c r="W418" s="90"/>
      <c r="X418" s="90"/>
      <c r="Y418" s="90"/>
      <c r="Z418" s="90"/>
      <c r="AA418" s="90"/>
    </row>
    <row r="419" ht="15.75" customHeight="1">
      <c r="A419" s="90"/>
      <c r="B419" s="292"/>
      <c r="C419" s="293"/>
      <c r="D419" s="90"/>
      <c r="E419" s="293"/>
      <c r="F419" s="294"/>
      <c r="G419" s="292"/>
      <c r="H419" s="293"/>
      <c r="I419" s="294"/>
      <c r="J419" s="90"/>
      <c r="K419" s="296"/>
      <c r="L419" s="296"/>
      <c r="M419" s="296"/>
      <c r="N419" s="296"/>
      <c r="O419" s="296"/>
      <c r="P419" s="296"/>
      <c r="Q419" s="297"/>
      <c r="R419" s="90"/>
      <c r="S419" s="90"/>
      <c r="T419" s="264"/>
      <c r="U419" s="90"/>
      <c r="V419" s="90"/>
      <c r="W419" s="90"/>
      <c r="X419" s="90"/>
      <c r="Y419" s="90"/>
      <c r="Z419" s="90"/>
      <c r="AA419" s="90"/>
    </row>
    <row r="420" ht="15.75" customHeight="1">
      <c r="A420" s="90"/>
      <c r="B420" s="292"/>
      <c r="C420" s="293"/>
      <c r="D420" s="90"/>
      <c r="E420" s="293"/>
      <c r="F420" s="294"/>
      <c r="G420" s="292"/>
      <c r="H420" s="293"/>
      <c r="I420" s="294"/>
      <c r="J420" s="90"/>
      <c r="K420" s="296"/>
      <c r="L420" s="296"/>
      <c r="M420" s="296"/>
      <c r="N420" s="296"/>
      <c r="O420" s="296"/>
      <c r="P420" s="296"/>
      <c r="Q420" s="297"/>
      <c r="R420" s="90"/>
      <c r="S420" s="90"/>
      <c r="T420" s="264"/>
      <c r="U420" s="90"/>
      <c r="V420" s="90"/>
      <c r="W420" s="90"/>
      <c r="X420" s="90"/>
      <c r="Y420" s="90"/>
      <c r="Z420" s="90"/>
      <c r="AA420" s="90"/>
    </row>
    <row r="421" ht="15.75" customHeight="1">
      <c r="A421" s="90"/>
      <c r="B421" s="292"/>
      <c r="C421" s="293"/>
      <c r="D421" s="90"/>
      <c r="E421" s="293"/>
      <c r="F421" s="294"/>
      <c r="G421" s="292"/>
      <c r="H421" s="293"/>
      <c r="I421" s="294"/>
      <c r="J421" s="90"/>
      <c r="K421" s="296"/>
      <c r="L421" s="296"/>
      <c r="M421" s="296"/>
      <c r="N421" s="296"/>
      <c r="O421" s="296"/>
      <c r="P421" s="296"/>
      <c r="Q421" s="297"/>
      <c r="R421" s="90"/>
      <c r="S421" s="90"/>
      <c r="T421" s="264"/>
      <c r="U421" s="90"/>
      <c r="V421" s="90"/>
      <c r="W421" s="90"/>
      <c r="X421" s="90"/>
      <c r="Y421" s="90"/>
      <c r="Z421" s="90"/>
      <c r="AA421" s="90"/>
    </row>
    <row r="422" ht="15.75" customHeight="1">
      <c r="A422" s="90"/>
      <c r="B422" s="292"/>
      <c r="C422" s="293"/>
      <c r="D422" s="90"/>
      <c r="E422" s="293"/>
      <c r="F422" s="294"/>
      <c r="G422" s="292"/>
      <c r="H422" s="293"/>
      <c r="I422" s="294"/>
      <c r="J422" s="90"/>
      <c r="K422" s="296"/>
      <c r="L422" s="296"/>
      <c r="M422" s="296"/>
      <c r="N422" s="296"/>
      <c r="O422" s="296"/>
      <c r="P422" s="296"/>
      <c r="Q422" s="297"/>
      <c r="R422" s="90"/>
      <c r="S422" s="90"/>
      <c r="T422" s="264"/>
      <c r="U422" s="90"/>
      <c r="V422" s="90"/>
      <c r="W422" s="90"/>
      <c r="X422" s="90"/>
      <c r="Y422" s="90"/>
      <c r="Z422" s="90"/>
      <c r="AA422" s="90"/>
    </row>
    <row r="423" ht="15.75" customHeight="1">
      <c r="A423" s="90"/>
      <c r="B423" s="292"/>
      <c r="C423" s="293"/>
      <c r="D423" s="90"/>
      <c r="E423" s="293"/>
      <c r="F423" s="294"/>
      <c r="G423" s="292"/>
      <c r="H423" s="293"/>
      <c r="I423" s="294"/>
      <c r="J423" s="90"/>
      <c r="K423" s="296"/>
      <c r="L423" s="296"/>
      <c r="M423" s="296"/>
      <c r="N423" s="296"/>
      <c r="O423" s="296"/>
      <c r="P423" s="296"/>
      <c r="Q423" s="297"/>
      <c r="R423" s="90"/>
      <c r="S423" s="90"/>
      <c r="T423" s="264"/>
      <c r="U423" s="90"/>
      <c r="V423" s="90"/>
      <c r="W423" s="90"/>
      <c r="X423" s="90"/>
      <c r="Y423" s="90"/>
      <c r="Z423" s="90"/>
      <c r="AA423" s="90"/>
    </row>
    <row r="424" ht="15.75" customHeight="1">
      <c r="A424" s="90"/>
      <c r="B424" s="292"/>
      <c r="C424" s="293"/>
      <c r="D424" s="90"/>
      <c r="E424" s="293"/>
      <c r="F424" s="294"/>
      <c r="G424" s="292"/>
      <c r="H424" s="293"/>
      <c r="I424" s="294"/>
      <c r="J424" s="90"/>
      <c r="K424" s="296"/>
      <c r="L424" s="296"/>
      <c r="M424" s="296"/>
      <c r="N424" s="296"/>
      <c r="O424" s="296"/>
      <c r="P424" s="296"/>
      <c r="Q424" s="297"/>
      <c r="R424" s="90"/>
      <c r="S424" s="90"/>
      <c r="T424" s="264"/>
      <c r="U424" s="90"/>
      <c r="V424" s="90"/>
      <c r="W424" s="90"/>
      <c r="X424" s="90"/>
      <c r="Y424" s="90"/>
      <c r="Z424" s="90"/>
      <c r="AA424" s="90"/>
    </row>
    <row r="425" ht="15.75" customHeight="1">
      <c r="A425" s="90"/>
      <c r="B425" s="292"/>
      <c r="C425" s="293"/>
      <c r="D425" s="90"/>
      <c r="E425" s="293"/>
      <c r="F425" s="294"/>
      <c r="G425" s="292"/>
      <c r="H425" s="293"/>
      <c r="I425" s="294"/>
      <c r="J425" s="90"/>
      <c r="K425" s="296"/>
      <c r="L425" s="296"/>
      <c r="M425" s="296"/>
      <c r="N425" s="296"/>
      <c r="O425" s="296"/>
      <c r="P425" s="296"/>
      <c r="Q425" s="297"/>
      <c r="R425" s="90"/>
      <c r="S425" s="90"/>
      <c r="T425" s="264"/>
      <c r="U425" s="90"/>
      <c r="V425" s="90"/>
      <c r="W425" s="90"/>
      <c r="X425" s="90"/>
      <c r="Y425" s="90"/>
      <c r="Z425" s="90"/>
      <c r="AA425" s="90"/>
    </row>
    <row r="426" ht="15.75" customHeight="1">
      <c r="A426" s="90"/>
      <c r="B426" s="292"/>
      <c r="C426" s="293"/>
      <c r="D426" s="90"/>
      <c r="E426" s="293"/>
      <c r="F426" s="294"/>
      <c r="G426" s="292"/>
      <c r="H426" s="293"/>
      <c r="I426" s="294"/>
      <c r="J426" s="90"/>
      <c r="K426" s="296"/>
      <c r="L426" s="296"/>
      <c r="M426" s="296"/>
      <c r="N426" s="296"/>
      <c r="O426" s="296"/>
      <c r="P426" s="296"/>
      <c r="Q426" s="297"/>
      <c r="R426" s="90"/>
      <c r="S426" s="90"/>
      <c r="T426" s="264"/>
      <c r="U426" s="90"/>
      <c r="V426" s="90"/>
      <c r="W426" s="90"/>
      <c r="X426" s="90"/>
      <c r="Y426" s="90"/>
      <c r="Z426" s="90"/>
      <c r="AA426" s="90"/>
    </row>
    <row r="427" ht="15.75" customHeight="1">
      <c r="A427" s="90"/>
      <c r="B427" s="292"/>
      <c r="C427" s="293"/>
      <c r="D427" s="90"/>
      <c r="E427" s="293"/>
      <c r="F427" s="294"/>
      <c r="G427" s="292"/>
      <c r="H427" s="293"/>
      <c r="I427" s="294"/>
      <c r="J427" s="90"/>
      <c r="K427" s="296"/>
      <c r="L427" s="296"/>
      <c r="M427" s="296"/>
      <c r="N427" s="296"/>
      <c r="O427" s="296"/>
      <c r="P427" s="296"/>
      <c r="Q427" s="297"/>
      <c r="R427" s="90"/>
      <c r="S427" s="90"/>
      <c r="T427" s="264"/>
      <c r="U427" s="90"/>
      <c r="V427" s="90"/>
      <c r="W427" s="90"/>
      <c r="X427" s="90"/>
      <c r="Y427" s="90"/>
      <c r="Z427" s="90"/>
      <c r="AA427" s="90"/>
    </row>
    <row r="428" ht="15.75" customHeight="1">
      <c r="A428" s="90"/>
      <c r="B428" s="292"/>
      <c r="C428" s="293"/>
      <c r="D428" s="90"/>
      <c r="E428" s="293"/>
      <c r="F428" s="294"/>
      <c r="G428" s="292"/>
      <c r="H428" s="293"/>
      <c r="I428" s="294"/>
      <c r="J428" s="90"/>
      <c r="K428" s="296"/>
      <c r="L428" s="296"/>
      <c r="M428" s="296"/>
      <c r="N428" s="296"/>
      <c r="O428" s="296"/>
      <c r="P428" s="296"/>
      <c r="Q428" s="297"/>
      <c r="R428" s="90"/>
      <c r="S428" s="90"/>
      <c r="T428" s="264"/>
      <c r="U428" s="90"/>
      <c r="V428" s="90"/>
      <c r="W428" s="90"/>
      <c r="X428" s="90"/>
      <c r="Y428" s="90"/>
      <c r="Z428" s="90"/>
      <c r="AA428" s="90"/>
    </row>
    <row r="429" ht="15.75" customHeight="1">
      <c r="A429" s="90"/>
      <c r="B429" s="292"/>
      <c r="C429" s="293"/>
      <c r="D429" s="90"/>
      <c r="E429" s="293"/>
      <c r="F429" s="294"/>
      <c r="G429" s="292"/>
      <c r="H429" s="293"/>
      <c r="I429" s="294"/>
      <c r="J429" s="90"/>
      <c r="K429" s="296"/>
      <c r="L429" s="296"/>
      <c r="M429" s="296"/>
      <c r="N429" s="296"/>
      <c r="O429" s="296"/>
      <c r="P429" s="296"/>
      <c r="Q429" s="297"/>
      <c r="R429" s="90"/>
      <c r="S429" s="90"/>
      <c r="T429" s="264"/>
      <c r="U429" s="90"/>
      <c r="V429" s="90"/>
      <c r="W429" s="90"/>
      <c r="X429" s="90"/>
      <c r="Y429" s="90"/>
      <c r="Z429" s="90"/>
      <c r="AA429" s="90"/>
    </row>
    <row r="430" ht="15.75" customHeight="1">
      <c r="A430" s="90"/>
      <c r="B430" s="292"/>
      <c r="C430" s="293"/>
      <c r="D430" s="90"/>
      <c r="E430" s="293"/>
      <c r="F430" s="294"/>
      <c r="G430" s="292"/>
      <c r="H430" s="293"/>
      <c r="I430" s="294"/>
      <c r="J430" s="90"/>
      <c r="K430" s="296"/>
      <c r="L430" s="296"/>
      <c r="M430" s="296"/>
      <c r="N430" s="296"/>
      <c r="O430" s="296"/>
      <c r="P430" s="296"/>
      <c r="Q430" s="297"/>
      <c r="R430" s="90"/>
      <c r="S430" s="90"/>
      <c r="T430" s="264"/>
      <c r="U430" s="90"/>
      <c r="V430" s="90"/>
      <c r="W430" s="90"/>
      <c r="X430" s="90"/>
      <c r="Y430" s="90"/>
      <c r="Z430" s="90"/>
      <c r="AA430" s="90"/>
    </row>
    <row r="431" ht="15.75" customHeight="1">
      <c r="A431" s="90"/>
      <c r="B431" s="292"/>
      <c r="C431" s="293"/>
      <c r="D431" s="90"/>
      <c r="E431" s="293"/>
      <c r="F431" s="294"/>
      <c r="G431" s="292"/>
      <c r="H431" s="293"/>
      <c r="I431" s="294"/>
      <c r="J431" s="90"/>
      <c r="K431" s="296"/>
      <c r="L431" s="296"/>
      <c r="M431" s="296"/>
      <c r="N431" s="296"/>
      <c r="O431" s="296"/>
      <c r="P431" s="296"/>
      <c r="Q431" s="297"/>
      <c r="R431" s="90"/>
      <c r="S431" s="90"/>
      <c r="T431" s="264"/>
      <c r="U431" s="90"/>
      <c r="V431" s="90"/>
      <c r="W431" s="90"/>
      <c r="X431" s="90"/>
      <c r="Y431" s="90"/>
      <c r="Z431" s="90"/>
      <c r="AA431" s="90"/>
    </row>
    <row r="432" ht="15.75" customHeight="1">
      <c r="A432" s="90"/>
      <c r="B432" s="292"/>
      <c r="C432" s="293"/>
      <c r="D432" s="90"/>
      <c r="E432" s="293"/>
      <c r="F432" s="294"/>
      <c r="G432" s="292"/>
      <c r="H432" s="293"/>
      <c r="I432" s="294"/>
      <c r="J432" s="90"/>
      <c r="K432" s="296"/>
      <c r="L432" s="296"/>
      <c r="M432" s="296"/>
      <c r="N432" s="296"/>
      <c r="O432" s="296"/>
      <c r="P432" s="296"/>
      <c r="Q432" s="297"/>
      <c r="R432" s="90"/>
      <c r="S432" s="90"/>
      <c r="T432" s="264"/>
      <c r="U432" s="90"/>
      <c r="V432" s="90"/>
      <c r="W432" s="90"/>
      <c r="X432" s="90"/>
      <c r="Y432" s="90"/>
      <c r="Z432" s="90"/>
      <c r="AA432" s="90"/>
    </row>
    <row r="433" ht="15.75" customHeight="1">
      <c r="A433" s="90"/>
      <c r="B433" s="292"/>
      <c r="C433" s="293"/>
      <c r="D433" s="90"/>
      <c r="E433" s="293"/>
      <c r="F433" s="294"/>
      <c r="G433" s="292"/>
      <c r="H433" s="293"/>
      <c r="I433" s="294"/>
      <c r="J433" s="90"/>
      <c r="K433" s="296"/>
      <c r="L433" s="296"/>
      <c r="M433" s="296"/>
      <c r="N433" s="296"/>
      <c r="O433" s="296"/>
      <c r="P433" s="296"/>
      <c r="Q433" s="297"/>
      <c r="R433" s="90"/>
      <c r="S433" s="90"/>
      <c r="T433" s="264"/>
      <c r="U433" s="90"/>
      <c r="V433" s="90"/>
      <c r="W433" s="90"/>
      <c r="X433" s="90"/>
      <c r="Y433" s="90"/>
      <c r="Z433" s="90"/>
      <c r="AA433" s="90"/>
    </row>
    <row r="434" ht="15.75" customHeight="1">
      <c r="A434" s="90"/>
      <c r="B434" s="292"/>
      <c r="C434" s="293"/>
      <c r="D434" s="90"/>
      <c r="E434" s="293"/>
      <c r="F434" s="294"/>
      <c r="G434" s="292"/>
      <c r="H434" s="293"/>
      <c r="I434" s="294"/>
      <c r="J434" s="90"/>
      <c r="K434" s="296"/>
      <c r="L434" s="296"/>
      <c r="M434" s="296"/>
      <c r="N434" s="296"/>
      <c r="O434" s="296"/>
      <c r="P434" s="296"/>
      <c r="Q434" s="297"/>
      <c r="R434" s="90"/>
      <c r="S434" s="90"/>
      <c r="T434" s="264"/>
      <c r="U434" s="90"/>
      <c r="V434" s="90"/>
      <c r="W434" s="90"/>
      <c r="X434" s="90"/>
      <c r="Y434" s="90"/>
      <c r="Z434" s="90"/>
      <c r="AA434" s="90"/>
    </row>
    <row r="435" ht="15.75" customHeight="1">
      <c r="A435" s="90"/>
      <c r="B435" s="292"/>
      <c r="C435" s="293"/>
      <c r="D435" s="90"/>
      <c r="E435" s="293"/>
      <c r="F435" s="294"/>
      <c r="G435" s="292"/>
      <c r="H435" s="293"/>
      <c r="I435" s="294"/>
      <c r="J435" s="90"/>
      <c r="K435" s="296"/>
      <c r="L435" s="296"/>
      <c r="M435" s="296"/>
      <c r="N435" s="296"/>
      <c r="O435" s="296"/>
      <c r="P435" s="296"/>
      <c r="Q435" s="297"/>
      <c r="R435" s="90"/>
      <c r="S435" s="90"/>
      <c r="T435" s="264"/>
      <c r="U435" s="90"/>
      <c r="V435" s="90"/>
      <c r="W435" s="90"/>
      <c r="X435" s="90"/>
      <c r="Y435" s="90"/>
      <c r="Z435" s="90"/>
      <c r="AA435" s="90"/>
    </row>
    <row r="436" ht="15.75" customHeight="1">
      <c r="A436" s="90"/>
      <c r="B436" s="292"/>
      <c r="C436" s="293"/>
      <c r="D436" s="90"/>
      <c r="E436" s="293"/>
      <c r="F436" s="294"/>
      <c r="G436" s="292"/>
      <c r="H436" s="293"/>
      <c r="I436" s="294"/>
      <c r="J436" s="90"/>
      <c r="K436" s="296"/>
      <c r="L436" s="296"/>
      <c r="M436" s="296"/>
      <c r="N436" s="296"/>
      <c r="O436" s="296"/>
      <c r="P436" s="296"/>
      <c r="Q436" s="297"/>
      <c r="R436" s="90"/>
      <c r="S436" s="90"/>
      <c r="T436" s="264"/>
      <c r="U436" s="90"/>
      <c r="V436" s="90"/>
      <c r="W436" s="90"/>
      <c r="X436" s="90"/>
      <c r="Y436" s="90"/>
      <c r="Z436" s="90"/>
      <c r="AA436" s="90"/>
    </row>
    <row r="437" ht="15.75" customHeight="1">
      <c r="A437" s="90"/>
      <c r="B437" s="292"/>
      <c r="C437" s="293"/>
      <c r="D437" s="90"/>
      <c r="E437" s="293"/>
      <c r="F437" s="294"/>
      <c r="G437" s="292"/>
      <c r="H437" s="293"/>
      <c r="I437" s="294"/>
      <c r="J437" s="90"/>
      <c r="K437" s="296"/>
      <c r="L437" s="296"/>
      <c r="M437" s="296"/>
      <c r="N437" s="296"/>
      <c r="O437" s="296"/>
      <c r="P437" s="296"/>
      <c r="Q437" s="297"/>
      <c r="R437" s="90"/>
      <c r="S437" s="90"/>
      <c r="T437" s="264"/>
      <c r="U437" s="90"/>
      <c r="V437" s="90"/>
      <c r="W437" s="90"/>
      <c r="X437" s="90"/>
      <c r="Y437" s="90"/>
      <c r="Z437" s="90"/>
      <c r="AA437" s="90"/>
    </row>
    <row r="438" ht="15.75" customHeight="1">
      <c r="A438" s="90"/>
      <c r="B438" s="292"/>
      <c r="C438" s="293"/>
      <c r="D438" s="90"/>
      <c r="E438" s="293"/>
      <c r="F438" s="294"/>
      <c r="G438" s="292"/>
      <c r="H438" s="293"/>
      <c r="I438" s="294"/>
      <c r="J438" s="90"/>
      <c r="K438" s="296"/>
      <c r="L438" s="296"/>
      <c r="M438" s="296"/>
      <c r="N438" s="296"/>
      <c r="O438" s="296"/>
      <c r="P438" s="296"/>
      <c r="Q438" s="297"/>
      <c r="R438" s="90"/>
      <c r="S438" s="90"/>
      <c r="T438" s="264"/>
      <c r="U438" s="90"/>
      <c r="V438" s="90"/>
      <c r="W438" s="90"/>
      <c r="X438" s="90"/>
      <c r="Y438" s="90"/>
      <c r="Z438" s="90"/>
      <c r="AA438" s="90"/>
    </row>
    <row r="439" ht="15.75" customHeight="1">
      <c r="A439" s="90"/>
      <c r="B439" s="292"/>
      <c r="C439" s="293"/>
      <c r="D439" s="90"/>
      <c r="E439" s="293"/>
      <c r="F439" s="294"/>
      <c r="G439" s="292"/>
      <c r="H439" s="293"/>
      <c r="I439" s="294"/>
      <c r="J439" s="90"/>
      <c r="K439" s="296"/>
      <c r="L439" s="296"/>
      <c r="M439" s="296"/>
      <c r="N439" s="296"/>
      <c r="O439" s="296"/>
      <c r="P439" s="296"/>
      <c r="Q439" s="297"/>
      <c r="R439" s="90"/>
      <c r="S439" s="90"/>
      <c r="T439" s="264"/>
      <c r="U439" s="90"/>
      <c r="V439" s="90"/>
      <c r="W439" s="90"/>
      <c r="X439" s="90"/>
      <c r="Y439" s="90"/>
      <c r="Z439" s="90"/>
      <c r="AA439" s="90"/>
    </row>
    <row r="440" ht="15.75" customHeight="1">
      <c r="A440" s="90"/>
      <c r="B440" s="292"/>
      <c r="C440" s="293"/>
      <c r="D440" s="90"/>
      <c r="E440" s="293"/>
      <c r="F440" s="294"/>
      <c r="G440" s="292"/>
      <c r="H440" s="293"/>
      <c r="I440" s="294"/>
      <c r="J440" s="90"/>
      <c r="K440" s="296"/>
      <c r="L440" s="296"/>
      <c r="M440" s="296"/>
      <c r="N440" s="296"/>
      <c r="O440" s="296"/>
      <c r="P440" s="296"/>
      <c r="Q440" s="297"/>
      <c r="R440" s="90"/>
      <c r="S440" s="90"/>
      <c r="T440" s="264"/>
      <c r="U440" s="90"/>
      <c r="V440" s="90"/>
      <c r="W440" s="90"/>
      <c r="X440" s="90"/>
      <c r="Y440" s="90"/>
      <c r="Z440" s="90"/>
      <c r="AA440" s="90"/>
    </row>
    <row r="441" ht="15.75" customHeight="1">
      <c r="A441" s="90"/>
      <c r="B441" s="292"/>
      <c r="C441" s="293"/>
      <c r="D441" s="90"/>
      <c r="E441" s="293"/>
      <c r="F441" s="294"/>
      <c r="G441" s="292"/>
      <c r="H441" s="293"/>
      <c r="I441" s="294"/>
      <c r="J441" s="90"/>
      <c r="K441" s="296"/>
      <c r="L441" s="296"/>
      <c r="M441" s="296"/>
      <c r="N441" s="296"/>
      <c r="O441" s="296"/>
      <c r="P441" s="296"/>
      <c r="Q441" s="297"/>
      <c r="R441" s="90"/>
      <c r="S441" s="90"/>
      <c r="T441" s="264"/>
      <c r="U441" s="90"/>
      <c r="V441" s="90"/>
      <c r="W441" s="90"/>
      <c r="X441" s="90"/>
      <c r="Y441" s="90"/>
      <c r="Z441" s="90"/>
      <c r="AA441" s="90"/>
    </row>
    <row r="442" ht="15.75" customHeight="1">
      <c r="A442" s="90"/>
      <c r="B442" s="292"/>
      <c r="C442" s="293"/>
      <c r="D442" s="90"/>
      <c r="E442" s="293"/>
      <c r="F442" s="294"/>
      <c r="G442" s="292"/>
      <c r="H442" s="293"/>
      <c r="I442" s="294"/>
      <c r="J442" s="90"/>
      <c r="K442" s="296"/>
      <c r="L442" s="296"/>
      <c r="M442" s="296"/>
      <c r="N442" s="296"/>
      <c r="O442" s="296"/>
      <c r="P442" s="296"/>
      <c r="Q442" s="297"/>
      <c r="R442" s="90"/>
      <c r="S442" s="90"/>
      <c r="T442" s="264"/>
      <c r="U442" s="90"/>
      <c r="V442" s="90"/>
      <c r="W442" s="90"/>
      <c r="X442" s="90"/>
      <c r="Y442" s="90"/>
      <c r="Z442" s="90"/>
      <c r="AA442" s="90"/>
    </row>
    <row r="443" ht="15.75" customHeight="1">
      <c r="A443" s="90"/>
      <c r="B443" s="292"/>
      <c r="C443" s="293"/>
      <c r="D443" s="90"/>
      <c r="E443" s="293"/>
      <c r="F443" s="294"/>
      <c r="G443" s="292"/>
      <c r="H443" s="293"/>
      <c r="I443" s="294"/>
      <c r="J443" s="90"/>
      <c r="K443" s="296"/>
      <c r="L443" s="296"/>
      <c r="M443" s="296"/>
      <c r="N443" s="296"/>
      <c r="O443" s="296"/>
      <c r="P443" s="296"/>
      <c r="Q443" s="297"/>
      <c r="R443" s="90"/>
      <c r="S443" s="90"/>
      <c r="T443" s="264"/>
      <c r="U443" s="90"/>
      <c r="V443" s="90"/>
      <c r="W443" s="90"/>
      <c r="X443" s="90"/>
      <c r="Y443" s="90"/>
      <c r="Z443" s="90"/>
      <c r="AA443" s="90"/>
    </row>
    <row r="444" ht="15.75" customHeight="1">
      <c r="A444" s="90"/>
      <c r="B444" s="292"/>
      <c r="C444" s="293"/>
      <c r="D444" s="90"/>
      <c r="E444" s="293"/>
      <c r="F444" s="294"/>
      <c r="G444" s="292"/>
      <c r="H444" s="293"/>
      <c r="I444" s="294"/>
      <c r="J444" s="90"/>
      <c r="K444" s="296"/>
      <c r="L444" s="296"/>
      <c r="M444" s="296"/>
      <c r="N444" s="296"/>
      <c r="O444" s="296"/>
      <c r="P444" s="296"/>
      <c r="Q444" s="297"/>
      <c r="R444" s="90"/>
      <c r="S444" s="90"/>
      <c r="T444" s="264"/>
      <c r="U444" s="90"/>
      <c r="V444" s="90"/>
      <c r="W444" s="90"/>
      <c r="X444" s="90"/>
      <c r="Y444" s="90"/>
      <c r="Z444" s="90"/>
      <c r="AA444" s="90"/>
    </row>
    <row r="445" ht="15.75" customHeight="1">
      <c r="A445" s="90"/>
      <c r="B445" s="292"/>
      <c r="C445" s="293"/>
      <c r="D445" s="90"/>
      <c r="E445" s="293"/>
      <c r="F445" s="294"/>
      <c r="G445" s="292"/>
      <c r="H445" s="293"/>
      <c r="I445" s="294"/>
      <c r="J445" s="90"/>
      <c r="K445" s="296"/>
      <c r="L445" s="296"/>
      <c r="M445" s="296"/>
      <c r="N445" s="296"/>
      <c r="O445" s="296"/>
      <c r="P445" s="296"/>
      <c r="Q445" s="297"/>
      <c r="R445" s="90"/>
      <c r="S445" s="90"/>
      <c r="T445" s="264"/>
      <c r="U445" s="90"/>
      <c r="V445" s="90"/>
      <c r="W445" s="90"/>
      <c r="X445" s="90"/>
      <c r="Y445" s="90"/>
      <c r="Z445" s="90"/>
      <c r="AA445" s="90"/>
    </row>
    <row r="446" ht="15.75" customHeight="1">
      <c r="A446" s="90"/>
      <c r="B446" s="292"/>
      <c r="C446" s="293"/>
      <c r="D446" s="90"/>
      <c r="E446" s="293"/>
      <c r="F446" s="294"/>
      <c r="G446" s="292"/>
      <c r="H446" s="293"/>
      <c r="I446" s="294"/>
      <c r="J446" s="90"/>
      <c r="K446" s="296"/>
      <c r="L446" s="296"/>
      <c r="M446" s="296"/>
      <c r="N446" s="296"/>
      <c r="O446" s="296"/>
      <c r="P446" s="296"/>
      <c r="Q446" s="297"/>
      <c r="R446" s="90"/>
      <c r="S446" s="90"/>
      <c r="T446" s="264"/>
      <c r="U446" s="90"/>
      <c r="V446" s="90"/>
      <c r="W446" s="90"/>
      <c r="X446" s="90"/>
      <c r="Y446" s="90"/>
      <c r="Z446" s="90"/>
      <c r="AA446" s="90"/>
    </row>
    <row r="447" ht="15.75" customHeight="1">
      <c r="A447" s="90"/>
      <c r="B447" s="292"/>
      <c r="C447" s="293"/>
      <c r="D447" s="90"/>
      <c r="E447" s="293"/>
      <c r="F447" s="294"/>
      <c r="G447" s="292"/>
      <c r="H447" s="293"/>
      <c r="I447" s="294"/>
      <c r="J447" s="90"/>
      <c r="K447" s="296"/>
      <c r="L447" s="296"/>
      <c r="M447" s="296"/>
      <c r="N447" s="296"/>
      <c r="O447" s="296"/>
      <c r="P447" s="296"/>
      <c r="Q447" s="297"/>
      <c r="R447" s="90"/>
      <c r="S447" s="90"/>
      <c r="T447" s="264"/>
      <c r="U447" s="90"/>
      <c r="V447" s="90"/>
      <c r="W447" s="90"/>
      <c r="X447" s="90"/>
      <c r="Y447" s="90"/>
      <c r="Z447" s="90"/>
      <c r="AA447" s="90"/>
    </row>
    <row r="448" ht="15.75" customHeight="1">
      <c r="A448" s="90"/>
      <c r="B448" s="292"/>
      <c r="C448" s="293"/>
      <c r="D448" s="90"/>
      <c r="E448" s="293"/>
      <c r="F448" s="294"/>
      <c r="G448" s="292"/>
      <c r="H448" s="293"/>
      <c r="I448" s="294"/>
      <c r="J448" s="90"/>
      <c r="K448" s="296"/>
      <c r="L448" s="296"/>
      <c r="M448" s="296"/>
      <c r="N448" s="296"/>
      <c r="O448" s="296"/>
      <c r="P448" s="296"/>
      <c r="Q448" s="297"/>
      <c r="R448" s="90"/>
      <c r="S448" s="90"/>
      <c r="T448" s="264"/>
      <c r="U448" s="90"/>
      <c r="V448" s="90"/>
      <c r="W448" s="90"/>
      <c r="X448" s="90"/>
      <c r="Y448" s="90"/>
      <c r="Z448" s="90"/>
      <c r="AA448" s="90"/>
    </row>
    <row r="449" ht="15.75" customHeight="1">
      <c r="A449" s="90"/>
      <c r="B449" s="292"/>
      <c r="C449" s="293"/>
      <c r="D449" s="90"/>
      <c r="E449" s="293"/>
      <c r="F449" s="294"/>
      <c r="G449" s="292"/>
      <c r="H449" s="293"/>
      <c r="I449" s="294"/>
      <c r="J449" s="90"/>
      <c r="K449" s="296"/>
      <c r="L449" s="296"/>
      <c r="M449" s="296"/>
      <c r="N449" s="296"/>
      <c r="O449" s="296"/>
      <c r="P449" s="296"/>
      <c r="Q449" s="297"/>
      <c r="R449" s="90"/>
      <c r="S449" s="90"/>
      <c r="T449" s="264"/>
      <c r="U449" s="90"/>
      <c r="V449" s="90"/>
      <c r="W449" s="90"/>
      <c r="X449" s="90"/>
      <c r="Y449" s="90"/>
      <c r="Z449" s="90"/>
      <c r="AA449" s="90"/>
    </row>
    <row r="450" ht="15.75" customHeight="1">
      <c r="A450" s="90"/>
      <c r="B450" s="292"/>
      <c r="C450" s="293"/>
      <c r="D450" s="90"/>
      <c r="E450" s="293"/>
      <c r="F450" s="294"/>
      <c r="G450" s="292"/>
      <c r="H450" s="293"/>
      <c r="I450" s="294"/>
      <c r="J450" s="90"/>
      <c r="K450" s="296"/>
      <c r="L450" s="296"/>
      <c r="M450" s="296"/>
      <c r="N450" s="296"/>
      <c r="O450" s="296"/>
      <c r="P450" s="296"/>
      <c r="Q450" s="297"/>
      <c r="R450" s="90"/>
      <c r="S450" s="90"/>
      <c r="T450" s="264"/>
      <c r="U450" s="90"/>
      <c r="V450" s="90"/>
      <c r="W450" s="90"/>
      <c r="X450" s="90"/>
      <c r="Y450" s="90"/>
      <c r="Z450" s="90"/>
      <c r="AA450" s="90"/>
    </row>
    <row r="451" ht="15.75" customHeight="1">
      <c r="A451" s="90"/>
      <c r="B451" s="292"/>
      <c r="C451" s="293"/>
      <c r="D451" s="90"/>
      <c r="E451" s="293"/>
      <c r="F451" s="294"/>
      <c r="G451" s="292"/>
      <c r="H451" s="293"/>
      <c r="I451" s="294"/>
      <c r="J451" s="90"/>
      <c r="K451" s="296"/>
      <c r="L451" s="296"/>
      <c r="M451" s="296"/>
      <c r="N451" s="296"/>
      <c r="O451" s="296"/>
      <c r="P451" s="296"/>
      <c r="Q451" s="297"/>
      <c r="R451" s="90"/>
      <c r="S451" s="90"/>
      <c r="T451" s="264"/>
      <c r="U451" s="90"/>
      <c r="V451" s="90"/>
      <c r="W451" s="90"/>
      <c r="X451" s="90"/>
      <c r="Y451" s="90"/>
      <c r="Z451" s="90"/>
      <c r="AA451" s="90"/>
    </row>
    <row r="452" ht="15.75" customHeight="1">
      <c r="A452" s="90"/>
      <c r="B452" s="292"/>
      <c r="C452" s="293"/>
      <c r="D452" s="90"/>
      <c r="E452" s="293"/>
      <c r="F452" s="294"/>
      <c r="G452" s="292"/>
      <c r="H452" s="293"/>
      <c r="I452" s="294"/>
      <c r="J452" s="90"/>
      <c r="K452" s="296"/>
      <c r="L452" s="296"/>
      <c r="M452" s="296"/>
      <c r="N452" s="296"/>
      <c r="O452" s="296"/>
      <c r="P452" s="296"/>
      <c r="Q452" s="297"/>
      <c r="R452" s="90"/>
      <c r="S452" s="90"/>
      <c r="T452" s="264"/>
      <c r="U452" s="90"/>
      <c r="V452" s="90"/>
      <c r="W452" s="90"/>
      <c r="X452" s="90"/>
      <c r="Y452" s="90"/>
      <c r="Z452" s="90"/>
      <c r="AA452" s="90"/>
    </row>
    <row r="453" ht="15.75" customHeight="1">
      <c r="A453" s="90"/>
      <c r="B453" s="292"/>
      <c r="C453" s="293"/>
      <c r="D453" s="90"/>
      <c r="E453" s="293"/>
      <c r="F453" s="294"/>
      <c r="G453" s="292"/>
      <c r="H453" s="293"/>
      <c r="I453" s="294"/>
      <c r="J453" s="90"/>
      <c r="K453" s="296"/>
      <c r="L453" s="296"/>
      <c r="M453" s="296"/>
      <c r="N453" s="296"/>
      <c r="O453" s="296"/>
      <c r="P453" s="296"/>
      <c r="Q453" s="297"/>
      <c r="R453" s="90"/>
      <c r="S453" s="90"/>
      <c r="T453" s="264"/>
      <c r="U453" s="90"/>
      <c r="V453" s="90"/>
      <c r="W453" s="90"/>
      <c r="X453" s="90"/>
      <c r="Y453" s="90"/>
      <c r="Z453" s="90"/>
      <c r="AA453" s="90"/>
    </row>
    <row r="454" ht="15.75" customHeight="1">
      <c r="A454" s="90"/>
      <c r="B454" s="292"/>
      <c r="C454" s="293"/>
      <c r="D454" s="90"/>
      <c r="E454" s="293"/>
      <c r="F454" s="294"/>
      <c r="G454" s="292"/>
      <c r="H454" s="293"/>
      <c r="I454" s="294"/>
      <c r="J454" s="90"/>
      <c r="K454" s="296"/>
      <c r="L454" s="296"/>
      <c r="M454" s="296"/>
      <c r="N454" s="296"/>
      <c r="O454" s="296"/>
      <c r="P454" s="296"/>
      <c r="Q454" s="297"/>
      <c r="R454" s="90"/>
      <c r="S454" s="90"/>
      <c r="T454" s="264"/>
      <c r="U454" s="90"/>
      <c r="V454" s="90"/>
      <c r="W454" s="90"/>
      <c r="X454" s="90"/>
      <c r="Y454" s="90"/>
      <c r="Z454" s="90"/>
      <c r="AA454" s="90"/>
    </row>
    <row r="455" ht="15.75" customHeight="1">
      <c r="A455" s="90"/>
      <c r="B455" s="292"/>
      <c r="C455" s="293"/>
      <c r="D455" s="90"/>
      <c r="E455" s="293"/>
      <c r="F455" s="294"/>
      <c r="G455" s="292"/>
      <c r="H455" s="293"/>
      <c r="I455" s="294"/>
      <c r="J455" s="90"/>
      <c r="K455" s="296"/>
      <c r="L455" s="296"/>
      <c r="M455" s="296"/>
      <c r="N455" s="296"/>
      <c r="O455" s="296"/>
      <c r="P455" s="296"/>
      <c r="Q455" s="297"/>
      <c r="R455" s="90"/>
      <c r="S455" s="90"/>
      <c r="T455" s="264"/>
      <c r="U455" s="90"/>
      <c r="V455" s="90"/>
      <c r="W455" s="90"/>
      <c r="X455" s="90"/>
      <c r="Y455" s="90"/>
      <c r="Z455" s="90"/>
      <c r="AA455" s="90"/>
    </row>
    <row r="456" ht="15.75" customHeight="1">
      <c r="A456" s="90"/>
      <c r="B456" s="292"/>
      <c r="C456" s="293"/>
      <c r="D456" s="90"/>
      <c r="E456" s="293"/>
      <c r="F456" s="294"/>
      <c r="G456" s="292"/>
      <c r="H456" s="293"/>
      <c r="I456" s="294"/>
      <c r="J456" s="90"/>
      <c r="K456" s="296"/>
      <c r="L456" s="296"/>
      <c r="M456" s="296"/>
      <c r="N456" s="296"/>
      <c r="O456" s="296"/>
      <c r="P456" s="296"/>
      <c r="Q456" s="297"/>
      <c r="R456" s="90"/>
      <c r="S456" s="90"/>
      <c r="T456" s="264"/>
      <c r="U456" s="90"/>
      <c r="V456" s="90"/>
      <c r="W456" s="90"/>
      <c r="X456" s="90"/>
      <c r="Y456" s="90"/>
      <c r="Z456" s="90"/>
      <c r="AA456" s="90"/>
    </row>
    <row r="457" ht="15.75" customHeight="1">
      <c r="A457" s="90"/>
      <c r="B457" s="292"/>
      <c r="C457" s="293"/>
      <c r="D457" s="90"/>
      <c r="E457" s="293"/>
      <c r="F457" s="294"/>
      <c r="G457" s="292"/>
      <c r="H457" s="293"/>
      <c r="I457" s="294"/>
      <c r="J457" s="90"/>
      <c r="K457" s="296"/>
      <c r="L457" s="296"/>
      <c r="M457" s="296"/>
      <c r="N457" s="296"/>
      <c r="O457" s="296"/>
      <c r="P457" s="296"/>
      <c r="Q457" s="297"/>
      <c r="R457" s="90"/>
      <c r="S457" s="90"/>
      <c r="T457" s="264"/>
      <c r="U457" s="90"/>
      <c r="V457" s="90"/>
      <c r="W457" s="90"/>
      <c r="X457" s="90"/>
      <c r="Y457" s="90"/>
      <c r="Z457" s="90"/>
      <c r="AA457" s="90"/>
    </row>
    <row r="458" ht="15.75" customHeight="1">
      <c r="A458" s="90"/>
      <c r="B458" s="292"/>
      <c r="C458" s="293"/>
      <c r="D458" s="90"/>
      <c r="E458" s="293"/>
      <c r="F458" s="294"/>
      <c r="G458" s="292"/>
      <c r="H458" s="293"/>
      <c r="I458" s="294"/>
      <c r="J458" s="90"/>
      <c r="K458" s="296"/>
      <c r="L458" s="296"/>
      <c r="M458" s="296"/>
      <c r="N458" s="296"/>
      <c r="O458" s="296"/>
      <c r="P458" s="296"/>
      <c r="Q458" s="297"/>
      <c r="R458" s="90"/>
      <c r="S458" s="90"/>
      <c r="T458" s="264"/>
      <c r="U458" s="90"/>
      <c r="V458" s="90"/>
      <c r="W458" s="90"/>
      <c r="X458" s="90"/>
      <c r="Y458" s="90"/>
      <c r="Z458" s="90"/>
      <c r="AA458" s="90"/>
    </row>
    <row r="459" ht="15.75" customHeight="1">
      <c r="A459" s="90"/>
      <c r="B459" s="292"/>
      <c r="C459" s="293"/>
      <c r="D459" s="90"/>
      <c r="E459" s="293"/>
      <c r="F459" s="294"/>
      <c r="G459" s="292"/>
      <c r="H459" s="293"/>
      <c r="I459" s="294"/>
      <c r="J459" s="90"/>
      <c r="K459" s="296"/>
      <c r="L459" s="296"/>
      <c r="M459" s="296"/>
      <c r="N459" s="296"/>
      <c r="O459" s="296"/>
      <c r="P459" s="296"/>
      <c r="Q459" s="297"/>
      <c r="R459" s="90"/>
      <c r="S459" s="90"/>
      <c r="T459" s="264"/>
      <c r="U459" s="90"/>
      <c r="V459" s="90"/>
      <c r="W459" s="90"/>
      <c r="X459" s="90"/>
      <c r="Y459" s="90"/>
      <c r="Z459" s="90"/>
      <c r="AA459" s="90"/>
    </row>
    <row r="460" ht="15.75" customHeight="1">
      <c r="A460" s="90"/>
      <c r="B460" s="292"/>
      <c r="C460" s="293"/>
      <c r="D460" s="90"/>
      <c r="E460" s="293"/>
      <c r="F460" s="294"/>
      <c r="G460" s="292"/>
      <c r="H460" s="293"/>
      <c r="I460" s="294"/>
      <c r="J460" s="90"/>
      <c r="K460" s="296"/>
      <c r="L460" s="296"/>
      <c r="M460" s="296"/>
      <c r="N460" s="296"/>
      <c r="O460" s="296"/>
      <c r="P460" s="296"/>
      <c r="Q460" s="297"/>
      <c r="R460" s="90"/>
      <c r="S460" s="90"/>
      <c r="T460" s="264"/>
      <c r="U460" s="90"/>
      <c r="V460" s="90"/>
      <c r="W460" s="90"/>
      <c r="X460" s="90"/>
      <c r="Y460" s="90"/>
      <c r="Z460" s="90"/>
      <c r="AA460" s="90"/>
    </row>
    <row r="461" ht="15.75" customHeight="1">
      <c r="A461" s="90"/>
      <c r="B461" s="292"/>
      <c r="C461" s="293"/>
      <c r="D461" s="90"/>
      <c r="E461" s="293"/>
      <c r="F461" s="294"/>
      <c r="G461" s="292"/>
      <c r="H461" s="293"/>
      <c r="I461" s="294"/>
      <c r="J461" s="90"/>
      <c r="K461" s="296"/>
      <c r="L461" s="296"/>
      <c r="M461" s="296"/>
      <c r="N461" s="296"/>
      <c r="O461" s="296"/>
      <c r="P461" s="296"/>
      <c r="Q461" s="297"/>
      <c r="R461" s="90"/>
      <c r="S461" s="90"/>
      <c r="T461" s="264"/>
      <c r="U461" s="90"/>
      <c r="V461" s="90"/>
      <c r="W461" s="90"/>
      <c r="X461" s="90"/>
      <c r="Y461" s="90"/>
      <c r="Z461" s="90"/>
      <c r="AA461" s="90"/>
    </row>
    <row r="462" ht="15.75" customHeight="1">
      <c r="A462" s="90"/>
      <c r="B462" s="292"/>
      <c r="C462" s="293"/>
      <c r="D462" s="90"/>
      <c r="E462" s="293"/>
      <c r="F462" s="294"/>
      <c r="G462" s="292"/>
      <c r="H462" s="293"/>
      <c r="I462" s="294"/>
      <c r="J462" s="90"/>
      <c r="K462" s="296"/>
      <c r="L462" s="296"/>
      <c r="M462" s="296"/>
      <c r="N462" s="296"/>
      <c r="O462" s="296"/>
      <c r="P462" s="296"/>
      <c r="Q462" s="297"/>
      <c r="R462" s="90"/>
      <c r="S462" s="90"/>
      <c r="T462" s="264"/>
      <c r="U462" s="90"/>
      <c r="V462" s="90"/>
      <c r="W462" s="90"/>
      <c r="X462" s="90"/>
      <c r="Y462" s="90"/>
      <c r="Z462" s="90"/>
      <c r="AA462" s="90"/>
    </row>
    <row r="463" ht="15.75" customHeight="1">
      <c r="A463" s="90"/>
      <c r="B463" s="292"/>
      <c r="C463" s="293"/>
      <c r="D463" s="90"/>
      <c r="E463" s="293"/>
      <c r="F463" s="294"/>
      <c r="G463" s="292"/>
      <c r="H463" s="293"/>
      <c r="I463" s="294"/>
      <c r="J463" s="90"/>
      <c r="K463" s="296"/>
      <c r="L463" s="296"/>
      <c r="M463" s="296"/>
      <c r="N463" s="296"/>
      <c r="O463" s="296"/>
      <c r="P463" s="296"/>
      <c r="Q463" s="297"/>
      <c r="R463" s="90"/>
      <c r="S463" s="90"/>
      <c r="T463" s="264"/>
      <c r="U463" s="90"/>
      <c r="V463" s="90"/>
      <c r="W463" s="90"/>
      <c r="X463" s="90"/>
      <c r="Y463" s="90"/>
      <c r="Z463" s="90"/>
      <c r="AA463" s="90"/>
    </row>
    <row r="464" ht="15.75" customHeight="1">
      <c r="A464" s="90"/>
      <c r="B464" s="292"/>
      <c r="C464" s="293"/>
      <c r="D464" s="90"/>
      <c r="E464" s="293"/>
      <c r="F464" s="294"/>
      <c r="G464" s="292"/>
      <c r="H464" s="293"/>
      <c r="I464" s="294"/>
      <c r="J464" s="90"/>
      <c r="K464" s="296"/>
      <c r="L464" s="296"/>
      <c r="M464" s="296"/>
      <c r="N464" s="296"/>
      <c r="O464" s="296"/>
      <c r="P464" s="296"/>
      <c r="Q464" s="297"/>
      <c r="R464" s="90"/>
      <c r="S464" s="90"/>
      <c r="T464" s="264"/>
      <c r="U464" s="90"/>
      <c r="V464" s="90"/>
      <c r="W464" s="90"/>
      <c r="X464" s="90"/>
      <c r="Y464" s="90"/>
      <c r="Z464" s="90"/>
      <c r="AA464" s="90"/>
    </row>
    <row r="465" ht="15.75" customHeight="1">
      <c r="A465" s="90"/>
      <c r="B465" s="292"/>
      <c r="C465" s="293"/>
      <c r="D465" s="90"/>
      <c r="E465" s="293"/>
      <c r="F465" s="294"/>
      <c r="G465" s="292"/>
      <c r="H465" s="293"/>
      <c r="I465" s="294"/>
      <c r="J465" s="90"/>
      <c r="K465" s="296"/>
      <c r="L465" s="296"/>
      <c r="M465" s="296"/>
      <c r="N465" s="296"/>
      <c r="O465" s="296"/>
      <c r="P465" s="296"/>
      <c r="Q465" s="297"/>
      <c r="R465" s="90"/>
      <c r="S465" s="90"/>
      <c r="T465" s="264"/>
      <c r="U465" s="90"/>
      <c r="V465" s="90"/>
      <c r="W465" s="90"/>
      <c r="X465" s="90"/>
      <c r="Y465" s="90"/>
      <c r="Z465" s="90"/>
      <c r="AA465" s="90"/>
    </row>
    <row r="466" ht="15.75" customHeight="1">
      <c r="A466" s="90"/>
      <c r="B466" s="292"/>
      <c r="C466" s="293"/>
      <c r="D466" s="90"/>
      <c r="E466" s="293"/>
      <c r="F466" s="294"/>
      <c r="G466" s="292"/>
      <c r="H466" s="293"/>
      <c r="I466" s="294"/>
      <c r="J466" s="90"/>
      <c r="K466" s="296"/>
      <c r="L466" s="296"/>
      <c r="M466" s="296"/>
      <c r="N466" s="296"/>
      <c r="O466" s="296"/>
      <c r="P466" s="296"/>
      <c r="Q466" s="297"/>
      <c r="R466" s="90"/>
      <c r="S466" s="90"/>
      <c r="T466" s="264"/>
      <c r="U466" s="90"/>
      <c r="V466" s="90"/>
      <c r="W466" s="90"/>
      <c r="X466" s="90"/>
      <c r="Y466" s="90"/>
      <c r="Z466" s="90"/>
      <c r="AA466" s="90"/>
    </row>
    <row r="467" ht="15.75" customHeight="1">
      <c r="A467" s="90"/>
      <c r="B467" s="292"/>
      <c r="C467" s="293"/>
      <c r="D467" s="90"/>
      <c r="E467" s="293"/>
      <c r="F467" s="294"/>
      <c r="G467" s="292"/>
      <c r="H467" s="293"/>
      <c r="I467" s="294"/>
      <c r="J467" s="90"/>
      <c r="K467" s="296"/>
      <c r="L467" s="296"/>
      <c r="M467" s="296"/>
      <c r="N467" s="296"/>
      <c r="O467" s="296"/>
      <c r="P467" s="296"/>
      <c r="Q467" s="297"/>
      <c r="R467" s="90"/>
      <c r="S467" s="90"/>
      <c r="T467" s="264"/>
      <c r="U467" s="90"/>
      <c r="V467" s="90"/>
      <c r="W467" s="90"/>
      <c r="X467" s="90"/>
      <c r="Y467" s="90"/>
      <c r="Z467" s="90"/>
      <c r="AA467" s="90"/>
    </row>
    <row r="468" ht="15.75" customHeight="1">
      <c r="A468" s="90"/>
      <c r="B468" s="292"/>
      <c r="C468" s="293"/>
      <c r="D468" s="90"/>
      <c r="E468" s="293"/>
      <c r="F468" s="294"/>
      <c r="G468" s="292"/>
      <c r="H468" s="293"/>
      <c r="I468" s="294"/>
      <c r="J468" s="90"/>
      <c r="K468" s="296"/>
      <c r="L468" s="296"/>
      <c r="M468" s="296"/>
      <c r="N468" s="296"/>
      <c r="O468" s="296"/>
      <c r="P468" s="296"/>
      <c r="Q468" s="297"/>
      <c r="R468" s="90"/>
      <c r="S468" s="90"/>
      <c r="T468" s="264"/>
      <c r="U468" s="90"/>
      <c r="V468" s="90"/>
      <c r="W468" s="90"/>
      <c r="X468" s="90"/>
      <c r="Y468" s="90"/>
      <c r="Z468" s="90"/>
      <c r="AA468" s="90"/>
    </row>
    <row r="469" ht="15.75" customHeight="1">
      <c r="A469" s="90"/>
      <c r="B469" s="292"/>
      <c r="C469" s="293"/>
      <c r="D469" s="90"/>
      <c r="E469" s="293"/>
      <c r="F469" s="294"/>
      <c r="G469" s="292"/>
      <c r="H469" s="293"/>
      <c r="I469" s="294"/>
      <c r="J469" s="90"/>
      <c r="K469" s="296"/>
      <c r="L469" s="296"/>
      <c r="M469" s="296"/>
      <c r="N469" s="296"/>
      <c r="O469" s="296"/>
      <c r="P469" s="296"/>
      <c r="Q469" s="297"/>
      <c r="R469" s="90"/>
      <c r="S469" s="90"/>
      <c r="T469" s="264"/>
      <c r="U469" s="90"/>
      <c r="V469" s="90"/>
      <c r="W469" s="90"/>
      <c r="X469" s="90"/>
      <c r="Y469" s="90"/>
      <c r="Z469" s="90"/>
      <c r="AA469" s="90"/>
    </row>
    <row r="470" ht="15.75" customHeight="1">
      <c r="A470" s="90"/>
      <c r="B470" s="292"/>
      <c r="C470" s="293"/>
      <c r="D470" s="90"/>
      <c r="E470" s="293"/>
      <c r="F470" s="294"/>
      <c r="G470" s="292"/>
      <c r="H470" s="293"/>
      <c r="I470" s="294"/>
      <c r="J470" s="90"/>
      <c r="K470" s="296"/>
      <c r="L470" s="296"/>
      <c r="M470" s="296"/>
      <c r="N470" s="296"/>
      <c r="O470" s="296"/>
      <c r="P470" s="296"/>
      <c r="Q470" s="297"/>
      <c r="R470" s="90"/>
      <c r="S470" s="90"/>
      <c r="T470" s="264"/>
      <c r="U470" s="90"/>
      <c r="V470" s="90"/>
      <c r="W470" s="90"/>
      <c r="X470" s="90"/>
      <c r="Y470" s="90"/>
      <c r="Z470" s="90"/>
      <c r="AA470" s="90"/>
    </row>
    <row r="471" ht="15.75" customHeight="1">
      <c r="A471" s="90"/>
      <c r="B471" s="292"/>
      <c r="C471" s="293"/>
      <c r="D471" s="90"/>
      <c r="E471" s="293"/>
      <c r="F471" s="294"/>
      <c r="G471" s="292"/>
      <c r="H471" s="293"/>
      <c r="I471" s="294"/>
      <c r="J471" s="90"/>
      <c r="K471" s="296"/>
      <c r="L471" s="296"/>
      <c r="M471" s="296"/>
      <c r="N471" s="296"/>
      <c r="O471" s="296"/>
      <c r="P471" s="296"/>
      <c r="Q471" s="297"/>
      <c r="R471" s="90"/>
      <c r="S471" s="90"/>
      <c r="T471" s="264"/>
      <c r="U471" s="90"/>
      <c r="V471" s="90"/>
      <c r="W471" s="90"/>
      <c r="X471" s="90"/>
      <c r="Y471" s="90"/>
      <c r="Z471" s="90"/>
      <c r="AA471" s="90"/>
    </row>
    <row r="472" ht="15.75" customHeight="1">
      <c r="A472" s="90"/>
      <c r="B472" s="292"/>
      <c r="C472" s="293"/>
      <c r="D472" s="90"/>
      <c r="E472" s="293"/>
      <c r="F472" s="294"/>
      <c r="G472" s="292"/>
      <c r="H472" s="293"/>
      <c r="I472" s="294"/>
      <c r="J472" s="90"/>
      <c r="K472" s="296"/>
      <c r="L472" s="296"/>
      <c r="M472" s="296"/>
      <c r="N472" s="296"/>
      <c r="O472" s="296"/>
      <c r="P472" s="296"/>
      <c r="Q472" s="297"/>
      <c r="R472" s="90"/>
      <c r="S472" s="90"/>
      <c r="T472" s="264"/>
      <c r="U472" s="90"/>
      <c r="V472" s="90"/>
      <c r="W472" s="90"/>
      <c r="X472" s="90"/>
      <c r="Y472" s="90"/>
      <c r="Z472" s="90"/>
      <c r="AA472" s="90"/>
    </row>
    <row r="473" ht="15.75" customHeight="1">
      <c r="A473" s="90"/>
      <c r="B473" s="292"/>
      <c r="C473" s="293"/>
      <c r="D473" s="90"/>
      <c r="E473" s="293"/>
      <c r="F473" s="294"/>
      <c r="G473" s="292"/>
      <c r="H473" s="293"/>
      <c r="I473" s="294"/>
      <c r="J473" s="90"/>
      <c r="K473" s="296"/>
      <c r="L473" s="296"/>
      <c r="M473" s="296"/>
      <c r="N473" s="296"/>
      <c r="O473" s="296"/>
      <c r="P473" s="296"/>
      <c r="Q473" s="297"/>
      <c r="R473" s="90"/>
      <c r="S473" s="90"/>
      <c r="T473" s="264"/>
      <c r="U473" s="90"/>
      <c r="V473" s="90"/>
      <c r="W473" s="90"/>
      <c r="X473" s="90"/>
      <c r="Y473" s="90"/>
      <c r="Z473" s="90"/>
      <c r="AA473" s="90"/>
    </row>
    <row r="474" ht="15.75" customHeight="1">
      <c r="A474" s="90"/>
      <c r="B474" s="292"/>
      <c r="C474" s="293"/>
      <c r="D474" s="90"/>
      <c r="E474" s="293"/>
      <c r="F474" s="294"/>
      <c r="G474" s="292"/>
      <c r="H474" s="293"/>
      <c r="I474" s="294"/>
      <c r="J474" s="90"/>
      <c r="K474" s="296"/>
      <c r="L474" s="296"/>
      <c r="M474" s="296"/>
      <c r="N474" s="296"/>
      <c r="O474" s="296"/>
      <c r="P474" s="296"/>
      <c r="Q474" s="297"/>
      <c r="R474" s="90"/>
      <c r="S474" s="90"/>
      <c r="T474" s="264"/>
      <c r="U474" s="90"/>
      <c r="V474" s="90"/>
      <c r="W474" s="90"/>
      <c r="X474" s="90"/>
      <c r="Y474" s="90"/>
      <c r="Z474" s="90"/>
      <c r="AA474" s="90"/>
    </row>
    <row r="475" ht="15.75" customHeight="1">
      <c r="A475" s="90"/>
      <c r="B475" s="292"/>
      <c r="C475" s="293"/>
      <c r="D475" s="90"/>
      <c r="E475" s="293"/>
      <c r="F475" s="294"/>
      <c r="G475" s="292"/>
      <c r="H475" s="293"/>
      <c r="I475" s="294"/>
      <c r="J475" s="90"/>
      <c r="K475" s="296"/>
      <c r="L475" s="296"/>
      <c r="M475" s="296"/>
      <c r="N475" s="296"/>
      <c r="O475" s="296"/>
      <c r="P475" s="296"/>
      <c r="Q475" s="297"/>
      <c r="R475" s="90"/>
      <c r="S475" s="90"/>
      <c r="T475" s="264"/>
      <c r="U475" s="90"/>
      <c r="V475" s="90"/>
      <c r="W475" s="90"/>
      <c r="X475" s="90"/>
      <c r="Y475" s="90"/>
      <c r="Z475" s="90"/>
      <c r="AA475" s="90"/>
    </row>
    <row r="476" ht="15.75" customHeight="1">
      <c r="A476" s="90"/>
      <c r="B476" s="292"/>
      <c r="C476" s="293"/>
      <c r="D476" s="90"/>
      <c r="E476" s="293"/>
      <c r="F476" s="294"/>
      <c r="G476" s="292"/>
      <c r="H476" s="293"/>
      <c r="I476" s="294"/>
      <c r="J476" s="90"/>
      <c r="K476" s="296"/>
      <c r="L476" s="296"/>
      <c r="M476" s="296"/>
      <c r="N476" s="296"/>
      <c r="O476" s="296"/>
      <c r="P476" s="296"/>
      <c r="Q476" s="297"/>
      <c r="R476" s="90"/>
      <c r="S476" s="90"/>
      <c r="T476" s="264"/>
      <c r="U476" s="90"/>
      <c r="V476" s="90"/>
      <c r="W476" s="90"/>
      <c r="X476" s="90"/>
      <c r="Y476" s="90"/>
      <c r="Z476" s="90"/>
      <c r="AA476" s="90"/>
    </row>
    <row r="477" ht="15.75" customHeight="1">
      <c r="A477" s="90"/>
      <c r="B477" s="292"/>
      <c r="C477" s="293"/>
      <c r="D477" s="90"/>
      <c r="E477" s="293"/>
      <c r="F477" s="294"/>
      <c r="G477" s="292"/>
      <c r="H477" s="293"/>
      <c r="I477" s="294"/>
      <c r="J477" s="90"/>
      <c r="K477" s="296"/>
      <c r="L477" s="296"/>
      <c r="M477" s="296"/>
      <c r="N477" s="296"/>
      <c r="O477" s="296"/>
      <c r="P477" s="296"/>
      <c r="Q477" s="297"/>
      <c r="R477" s="90"/>
      <c r="S477" s="90"/>
      <c r="T477" s="264"/>
      <c r="U477" s="90"/>
      <c r="V477" s="90"/>
      <c r="W477" s="90"/>
      <c r="X477" s="90"/>
      <c r="Y477" s="90"/>
      <c r="Z477" s="90"/>
      <c r="AA477" s="90"/>
    </row>
    <row r="478" ht="15.75" customHeight="1">
      <c r="A478" s="90"/>
      <c r="B478" s="292"/>
      <c r="C478" s="293"/>
      <c r="D478" s="90"/>
      <c r="E478" s="293"/>
      <c r="F478" s="294"/>
      <c r="G478" s="292"/>
      <c r="H478" s="293"/>
      <c r="I478" s="294"/>
      <c r="J478" s="90"/>
      <c r="K478" s="296"/>
      <c r="L478" s="296"/>
      <c r="M478" s="296"/>
      <c r="N478" s="296"/>
      <c r="O478" s="296"/>
      <c r="P478" s="296"/>
      <c r="Q478" s="297"/>
      <c r="R478" s="90"/>
      <c r="S478" s="90"/>
      <c r="T478" s="264"/>
      <c r="U478" s="90"/>
      <c r="V478" s="90"/>
      <c r="W478" s="90"/>
      <c r="X478" s="90"/>
      <c r="Y478" s="90"/>
      <c r="Z478" s="90"/>
      <c r="AA478" s="90"/>
    </row>
    <row r="479" ht="15.75" customHeight="1">
      <c r="A479" s="90"/>
      <c r="B479" s="292"/>
      <c r="C479" s="293"/>
      <c r="D479" s="90"/>
      <c r="E479" s="293"/>
      <c r="F479" s="294"/>
      <c r="G479" s="292"/>
      <c r="H479" s="293"/>
      <c r="I479" s="294"/>
      <c r="J479" s="90"/>
      <c r="K479" s="296"/>
      <c r="L479" s="296"/>
      <c r="M479" s="296"/>
      <c r="N479" s="296"/>
      <c r="O479" s="296"/>
      <c r="P479" s="296"/>
      <c r="Q479" s="297"/>
      <c r="R479" s="90"/>
      <c r="S479" s="90"/>
      <c r="T479" s="264"/>
      <c r="U479" s="90"/>
      <c r="V479" s="90"/>
      <c r="W479" s="90"/>
      <c r="X479" s="90"/>
      <c r="Y479" s="90"/>
      <c r="Z479" s="90"/>
      <c r="AA479" s="90"/>
    </row>
    <row r="480" ht="15.75" customHeight="1">
      <c r="A480" s="90"/>
      <c r="B480" s="292"/>
      <c r="C480" s="293"/>
      <c r="D480" s="90"/>
      <c r="E480" s="293"/>
      <c r="F480" s="294"/>
      <c r="G480" s="292"/>
      <c r="H480" s="293"/>
      <c r="I480" s="294"/>
      <c r="J480" s="90"/>
      <c r="K480" s="296"/>
      <c r="L480" s="296"/>
      <c r="M480" s="296"/>
      <c r="N480" s="296"/>
      <c r="O480" s="296"/>
      <c r="P480" s="296"/>
      <c r="Q480" s="297"/>
      <c r="R480" s="90"/>
      <c r="S480" s="90"/>
      <c r="T480" s="264"/>
      <c r="U480" s="90"/>
      <c r="V480" s="90"/>
      <c r="W480" s="90"/>
      <c r="X480" s="90"/>
      <c r="Y480" s="90"/>
      <c r="Z480" s="90"/>
      <c r="AA480" s="90"/>
    </row>
    <row r="481" ht="15.75" customHeight="1">
      <c r="A481" s="90"/>
      <c r="B481" s="292"/>
      <c r="C481" s="293"/>
      <c r="D481" s="90"/>
      <c r="E481" s="293"/>
      <c r="F481" s="294"/>
      <c r="G481" s="292"/>
      <c r="H481" s="293"/>
      <c r="I481" s="294"/>
      <c r="J481" s="90"/>
      <c r="K481" s="296"/>
      <c r="L481" s="296"/>
      <c r="M481" s="296"/>
      <c r="N481" s="296"/>
      <c r="O481" s="296"/>
      <c r="P481" s="296"/>
      <c r="Q481" s="297"/>
      <c r="R481" s="90"/>
      <c r="S481" s="90"/>
      <c r="T481" s="264"/>
      <c r="U481" s="90"/>
      <c r="V481" s="90"/>
      <c r="W481" s="90"/>
      <c r="X481" s="90"/>
      <c r="Y481" s="90"/>
      <c r="Z481" s="90"/>
      <c r="AA481" s="90"/>
    </row>
    <row r="482" ht="15.75" customHeight="1">
      <c r="A482" s="90"/>
      <c r="B482" s="292"/>
      <c r="C482" s="293"/>
      <c r="D482" s="90"/>
      <c r="E482" s="293"/>
      <c r="F482" s="294"/>
      <c r="G482" s="292"/>
      <c r="H482" s="293"/>
      <c r="I482" s="294"/>
      <c r="J482" s="90"/>
      <c r="K482" s="296"/>
      <c r="L482" s="296"/>
      <c r="M482" s="296"/>
      <c r="N482" s="296"/>
      <c r="O482" s="296"/>
      <c r="P482" s="296"/>
      <c r="Q482" s="297"/>
      <c r="R482" s="90"/>
      <c r="S482" s="90"/>
      <c r="T482" s="264"/>
      <c r="U482" s="90"/>
      <c r="V482" s="90"/>
      <c r="W482" s="90"/>
      <c r="X482" s="90"/>
      <c r="Y482" s="90"/>
      <c r="Z482" s="90"/>
      <c r="AA482" s="90"/>
    </row>
    <row r="483" ht="15.75" customHeight="1">
      <c r="A483" s="90"/>
      <c r="B483" s="292"/>
      <c r="C483" s="293"/>
      <c r="D483" s="90"/>
      <c r="E483" s="293"/>
      <c r="F483" s="294"/>
      <c r="G483" s="292"/>
      <c r="H483" s="293"/>
      <c r="I483" s="294"/>
      <c r="J483" s="90"/>
      <c r="K483" s="296"/>
      <c r="L483" s="296"/>
      <c r="M483" s="296"/>
      <c r="N483" s="296"/>
      <c r="O483" s="296"/>
      <c r="P483" s="296"/>
      <c r="Q483" s="297"/>
      <c r="R483" s="90"/>
      <c r="S483" s="90"/>
      <c r="T483" s="264"/>
      <c r="U483" s="90"/>
      <c r="V483" s="90"/>
      <c r="W483" s="90"/>
      <c r="X483" s="90"/>
      <c r="Y483" s="90"/>
      <c r="Z483" s="90"/>
      <c r="AA483" s="90"/>
    </row>
    <row r="484" ht="15.75" customHeight="1">
      <c r="A484" s="90"/>
      <c r="B484" s="292"/>
      <c r="C484" s="293"/>
      <c r="D484" s="90"/>
      <c r="E484" s="293"/>
      <c r="F484" s="294"/>
      <c r="G484" s="292"/>
      <c r="H484" s="293"/>
      <c r="I484" s="294"/>
      <c r="J484" s="90"/>
      <c r="K484" s="296"/>
      <c r="L484" s="296"/>
      <c r="M484" s="296"/>
      <c r="N484" s="296"/>
      <c r="O484" s="296"/>
      <c r="P484" s="296"/>
      <c r="Q484" s="297"/>
      <c r="R484" s="90"/>
      <c r="S484" s="90"/>
      <c r="T484" s="264"/>
      <c r="U484" s="90"/>
      <c r="V484" s="90"/>
      <c r="W484" s="90"/>
      <c r="X484" s="90"/>
      <c r="Y484" s="90"/>
      <c r="Z484" s="90"/>
      <c r="AA484" s="90"/>
    </row>
    <row r="485" ht="15.75" customHeight="1">
      <c r="A485" s="90"/>
      <c r="B485" s="292"/>
      <c r="C485" s="293"/>
      <c r="D485" s="90"/>
      <c r="E485" s="293"/>
      <c r="F485" s="294"/>
      <c r="G485" s="292"/>
      <c r="H485" s="293"/>
      <c r="I485" s="294"/>
      <c r="J485" s="90"/>
      <c r="K485" s="296"/>
      <c r="L485" s="296"/>
      <c r="M485" s="296"/>
      <c r="N485" s="296"/>
      <c r="O485" s="296"/>
      <c r="P485" s="296"/>
      <c r="Q485" s="297"/>
      <c r="R485" s="90"/>
      <c r="S485" s="90"/>
      <c r="T485" s="264"/>
      <c r="U485" s="90"/>
      <c r="V485" s="90"/>
      <c r="W485" s="90"/>
      <c r="X485" s="90"/>
      <c r="Y485" s="90"/>
      <c r="Z485" s="90"/>
      <c r="AA485" s="90"/>
    </row>
    <row r="486" ht="15.75" customHeight="1">
      <c r="A486" s="90"/>
      <c r="B486" s="292"/>
      <c r="C486" s="293"/>
      <c r="D486" s="90"/>
      <c r="E486" s="293"/>
      <c r="F486" s="294"/>
      <c r="G486" s="292"/>
      <c r="H486" s="293"/>
      <c r="I486" s="294"/>
      <c r="J486" s="90"/>
      <c r="K486" s="296"/>
      <c r="L486" s="296"/>
      <c r="M486" s="296"/>
      <c r="N486" s="296"/>
      <c r="O486" s="296"/>
      <c r="P486" s="296"/>
      <c r="Q486" s="297"/>
      <c r="R486" s="90"/>
      <c r="S486" s="90"/>
      <c r="T486" s="264"/>
      <c r="U486" s="90"/>
      <c r="V486" s="90"/>
      <c r="W486" s="90"/>
      <c r="X486" s="90"/>
      <c r="Y486" s="90"/>
      <c r="Z486" s="90"/>
      <c r="AA486" s="90"/>
    </row>
    <row r="487" ht="15.75" customHeight="1">
      <c r="A487" s="90"/>
      <c r="B487" s="292"/>
      <c r="C487" s="293"/>
      <c r="D487" s="90"/>
      <c r="E487" s="293"/>
      <c r="F487" s="294"/>
      <c r="G487" s="292"/>
      <c r="H487" s="293"/>
      <c r="I487" s="294"/>
      <c r="J487" s="90"/>
      <c r="K487" s="296"/>
      <c r="L487" s="296"/>
      <c r="M487" s="296"/>
      <c r="N487" s="296"/>
      <c r="O487" s="296"/>
      <c r="P487" s="296"/>
      <c r="Q487" s="297"/>
      <c r="R487" s="90"/>
      <c r="S487" s="90"/>
      <c r="T487" s="264"/>
      <c r="U487" s="90"/>
      <c r="V487" s="90"/>
      <c r="W487" s="90"/>
      <c r="X487" s="90"/>
      <c r="Y487" s="90"/>
      <c r="Z487" s="90"/>
      <c r="AA487" s="90"/>
    </row>
    <row r="488" ht="15.75" customHeight="1">
      <c r="A488" s="90"/>
      <c r="B488" s="292"/>
      <c r="C488" s="293"/>
      <c r="D488" s="90"/>
      <c r="E488" s="293"/>
      <c r="F488" s="294"/>
      <c r="G488" s="292"/>
      <c r="H488" s="293"/>
      <c r="I488" s="294"/>
      <c r="J488" s="90"/>
      <c r="K488" s="296"/>
      <c r="L488" s="296"/>
      <c r="M488" s="296"/>
      <c r="N488" s="296"/>
      <c r="O488" s="296"/>
      <c r="P488" s="296"/>
      <c r="Q488" s="297"/>
      <c r="R488" s="90"/>
      <c r="S488" s="90"/>
      <c r="T488" s="264"/>
      <c r="U488" s="90"/>
      <c r="V488" s="90"/>
      <c r="W488" s="90"/>
      <c r="X488" s="90"/>
      <c r="Y488" s="90"/>
      <c r="Z488" s="90"/>
      <c r="AA488" s="90"/>
    </row>
    <row r="489" ht="15.75" customHeight="1">
      <c r="A489" s="90"/>
      <c r="B489" s="292"/>
      <c r="C489" s="293"/>
      <c r="D489" s="90"/>
      <c r="E489" s="293"/>
      <c r="F489" s="294"/>
      <c r="G489" s="292"/>
      <c r="H489" s="293"/>
      <c r="I489" s="294"/>
      <c r="J489" s="90"/>
      <c r="K489" s="296"/>
      <c r="L489" s="296"/>
      <c r="M489" s="296"/>
      <c r="N489" s="296"/>
      <c r="O489" s="296"/>
      <c r="P489" s="296"/>
      <c r="Q489" s="297"/>
      <c r="R489" s="90"/>
      <c r="S489" s="90"/>
      <c r="T489" s="264"/>
      <c r="U489" s="90"/>
      <c r="V489" s="90"/>
      <c r="W489" s="90"/>
      <c r="X489" s="90"/>
      <c r="Y489" s="90"/>
      <c r="Z489" s="90"/>
      <c r="AA489" s="90"/>
    </row>
    <row r="490" ht="15.75" customHeight="1">
      <c r="A490" s="90"/>
      <c r="B490" s="292"/>
      <c r="C490" s="293"/>
      <c r="D490" s="90"/>
      <c r="E490" s="293"/>
      <c r="F490" s="294"/>
      <c r="G490" s="292"/>
      <c r="H490" s="293"/>
      <c r="I490" s="294"/>
      <c r="J490" s="90"/>
      <c r="K490" s="296"/>
      <c r="L490" s="296"/>
      <c r="M490" s="296"/>
      <c r="N490" s="296"/>
      <c r="O490" s="296"/>
      <c r="P490" s="296"/>
      <c r="Q490" s="297"/>
      <c r="R490" s="90"/>
      <c r="S490" s="90"/>
      <c r="T490" s="264"/>
      <c r="U490" s="90"/>
      <c r="V490" s="90"/>
      <c r="W490" s="90"/>
      <c r="X490" s="90"/>
      <c r="Y490" s="90"/>
      <c r="Z490" s="90"/>
      <c r="AA490" s="90"/>
    </row>
    <row r="491" ht="15.75" customHeight="1">
      <c r="A491" s="90"/>
      <c r="B491" s="292"/>
      <c r="C491" s="293"/>
      <c r="D491" s="90"/>
      <c r="E491" s="293"/>
      <c r="F491" s="294"/>
      <c r="G491" s="292"/>
      <c r="H491" s="293"/>
      <c r="I491" s="294"/>
      <c r="J491" s="90"/>
      <c r="K491" s="296"/>
      <c r="L491" s="296"/>
      <c r="M491" s="296"/>
      <c r="N491" s="296"/>
      <c r="O491" s="296"/>
      <c r="P491" s="296"/>
      <c r="Q491" s="297"/>
      <c r="R491" s="90"/>
      <c r="S491" s="90"/>
      <c r="T491" s="264"/>
      <c r="U491" s="90"/>
      <c r="V491" s="90"/>
      <c r="W491" s="90"/>
      <c r="X491" s="90"/>
      <c r="Y491" s="90"/>
      <c r="Z491" s="90"/>
      <c r="AA491" s="90"/>
    </row>
    <row r="492" ht="15.75" customHeight="1">
      <c r="A492" s="90"/>
      <c r="B492" s="292"/>
      <c r="C492" s="293"/>
      <c r="D492" s="90"/>
      <c r="E492" s="293"/>
      <c r="F492" s="294"/>
      <c r="G492" s="292"/>
      <c r="H492" s="293"/>
      <c r="I492" s="294"/>
      <c r="J492" s="90"/>
      <c r="K492" s="296"/>
      <c r="L492" s="296"/>
      <c r="M492" s="296"/>
      <c r="N492" s="296"/>
      <c r="O492" s="296"/>
      <c r="P492" s="296"/>
      <c r="Q492" s="297"/>
      <c r="R492" s="90"/>
      <c r="S492" s="90"/>
      <c r="T492" s="264"/>
      <c r="U492" s="90"/>
      <c r="V492" s="90"/>
      <c r="W492" s="90"/>
      <c r="X492" s="90"/>
      <c r="Y492" s="90"/>
      <c r="Z492" s="90"/>
      <c r="AA492" s="90"/>
    </row>
    <row r="493" ht="15.75" customHeight="1">
      <c r="A493" s="90"/>
      <c r="B493" s="292"/>
      <c r="C493" s="293"/>
      <c r="D493" s="90"/>
      <c r="E493" s="293"/>
      <c r="F493" s="294"/>
      <c r="G493" s="292"/>
      <c r="H493" s="293"/>
      <c r="I493" s="294"/>
      <c r="J493" s="90"/>
      <c r="K493" s="296"/>
      <c r="L493" s="296"/>
      <c r="M493" s="296"/>
      <c r="N493" s="296"/>
      <c r="O493" s="296"/>
      <c r="P493" s="296"/>
      <c r="Q493" s="297"/>
      <c r="R493" s="90"/>
      <c r="S493" s="90"/>
      <c r="T493" s="264"/>
      <c r="U493" s="90"/>
      <c r="V493" s="90"/>
      <c r="W493" s="90"/>
      <c r="X493" s="90"/>
      <c r="Y493" s="90"/>
      <c r="Z493" s="90"/>
      <c r="AA493" s="90"/>
    </row>
    <row r="494" ht="15.75" customHeight="1">
      <c r="A494" s="90"/>
      <c r="B494" s="292"/>
      <c r="C494" s="293"/>
      <c r="D494" s="90"/>
      <c r="E494" s="293"/>
      <c r="F494" s="294"/>
      <c r="G494" s="292"/>
      <c r="H494" s="293"/>
      <c r="I494" s="294"/>
      <c r="J494" s="90"/>
      <c r="K494" s="296"/>
      <c r="L494" s="296"/>
      <c r="M494" s="296"/>
      <c r="N494" s="296"/>
      <c r="O494" s="296"/>
      <c r="P494" s="296"/>
      <c r="Q494" s="297"/>
      <c r="R494" s="90"/>
      <c r="S494" s="90"/>
      <c r="T494" s="264"/>
      <c r="U494" s="90"/>
      <c r="V494" s="90"/>
      <c r="W494" s="90"/>
      <c r="X494" s="90"/>
      <c r="Y494" s="90"/>
      <c r="Z494" s="90"/>
      <c r="AA494" s="90"/>
    </row>
    <row r="495" ht="15.75" customHeight="1">
      <c r="A495" s="90"/>
      <c r="B495" s="292"/>
      <c r="C495" s="293"/>
      <c r="D495" s="90"/>
      <c r="E495" s="293"/>
      <c r="F495" s="294"/>
      <c r="G495" s="292"/>
      <c r="H495" s="293"/>
      <c r="I495" s="294"/>
      <c r="J495" s="90"/>
      <c r="K495" s="296"/>
      <c r="L495" s="296"/>
      <c r="M495" s="296"/>
      <c r="N495" s="296"/>
      <c r="O495" s="296"/>
      <c r="P495" s="296"/>
      <c r="Q495" s="297"/>
      <c r="R495" s="90"/>
      <c r="S495" s="90"/>
      <c r="T495" s="264"/>
      <c r="U495" s="90"/>
      <c r="V495" s="90"/>
      <c r="W495" s="90"/>
      <c r="X495" s="90"/>
      <c r="Y495" s="90"/>
      <c r="Z495" s="90"/>
      <c r="AA495" s="90"/>
    </row>
    <row r="496" ht="15.75" customHeight="1">
      <c r="A496" s="90"/>
      <c r="B496" s="292"/>
      <c r="C496" s="293"/>
      <c r="D496" s="90"/>
      <c r="E496" s="293"/>
      <c r="F496" s="294"/>
      <c r="G496" s="292"/>
      <c r="H496" s="293"/>
      <c r="I496" s="294"/>
      <c r="J496" s="90"/>
      <c r="K496" s="296"/>
      <c r="L496" s="296"/>
      <c r="M496" s="296"/>
      <c r="N496" s="296"/>
      <c r="O496" s="296"/>
      <c r="P496" s="296"/>
      <c r="Q496" s="297"/>
      <c r="R496" s="90"/>
      <c r="S496" s="90"/>
      <c r="T496" s="264"/>
      <c r="U496" s="90"/>
      <c r="V496" s="90"/>
      <c r="W496" s="90"/>
      <c r="X496" s="90"/>
      <c r="Y496" s="90"/>
      <c r="Z496" s="90"/>
      <c r="AA496" s="90"/>
    </row>
    <row r="497" ht="15.75" customHeight="1">
      <c r="A497" s="90"/>
      <c r="B497" s="292"/>
      <c r="C497" s="293"/>
      <c r="D497" s="90"/>
      <c r="E497" s="293"/>
      <c r="F497" s="294"/>
      <c r="G497" s="292"/>
      <c r="H497" s="293"/>
      <c r="I497" s="294"/>
      <c r="J497" s="90"/>
      <c r="K497" s="296"/>
      <c r="L497" s="296"/>
      <c r="M497" s="296"/>
      <c r="N497" s="296"/>
      <c r="O497" s="296"/>
      <c r="P497" s="296"/>
      <c r="Q497" s="297"/>
      <c r="R497" s="90"/>
      <c r="S497" s="90"/>
      <c r="T497" s="264"/>
      <c r="U497" s="90"/>
      <c r="V497" s="90"/>
      <c r="W497" s="90"/>
      <c r="X497" s="90"/>
      <c r="Y497" s="90"/>
      <c r="Z497" s="90"/>
      <c r="AA497" s="90"/>
    </row>
    <row r="498" ht="15.75" customHeight="1">
      <c r="A498" s="90"/>
      <c r="B498" s="292"/>
      <c r="C498" s="293"/>
      <c r="D498" s="90"/>
      <c r="E498" s="293"/>
      <c r="F498" s="294"/>
      <c r="G498" s="292"/>
      <c r="H498" s="293"/>
      <c r="I498" s="294"/>
      <c r="J498" s="90"/>
      <c r="K498" s="296"/>
      <c r="L498" s="296"/>
      <c r="M498" s="296"/>
      <c r="N498" s="296"/>
      <c r="O498" s="296"/>
      <c r="P498" s="296"/>
      <c r="Q498" s="297"/>
      <c r="R498" s="90"/>
      <c r="S498" s="90"/>
      <c r="T498" s="264"/>
      <c r="U498" s="90"/>
      <c r="V498" s="90"/>
      <c r="W498" s="90"/>
      <c r="X498" s="90"/>
      <c r="Y498" s="90"/>
      <c r="Z498" s="90"/>
      <c r="AA498" s="90"/>
    </row>
    <row r="499" ht="15.75" customHeight="1">
      <c r="A499" s="90"/>
      <c r="B499" s="292"/>
      <c r="C499" s="293"/>
      <c r="D499" s="90"/>
      <c r="E499" s="293"/>
      <c r="F499" s="294"/>
      <c r="G499" s="292"/>
      <c r="H499" s="293"/>
      <c r="I499" s="294"/>
      <c r="J499" s="90"/>
      <c r="K499" s="296"/>
      <c r="L499" s="296"/>
      <c r="M499" s="296"/>
      <c r="N499" s="296"/>
      <c r="O499" s="296"/>
      <c r="P499" s="296"/>
      <c r="Q499" s="297"/>
      <c r="R499" s="90"/>
      <c r="S499" s="90"/>
      <c r="T499" s="264"/>
      <c r="U499" s="90"/>
      <c r="V499" s="90"/>
      <c r="W499" s="90"/>
      <c r="X499" s="90"/>
      <c r="Y499" s="90"/>
      <c r="Z499" s="90"/>
      <c r="AA499" s="90"/>
    </row>
    <row r="500" ht="15.75" customHeight="1">
      <c r="A500" s="90"/>
      <c r="B500" s="292"/>
      <c r="C500" s="293"/>
      <c r="D500" s="90"/>
      <c r="E500" s="293"/>
      <c r="F500" s="294"/>
      <c r="G500" s="292"/>
      <c r="H500" s="293"/>
      <c r="I500" s="294"/>
      <c r="J500" s="90"/>
      <c r="K500" s="296"/>
      <c r="L500" s="296"/>
      <c r="M500" s="296"/>
      <c r="N500" s="296"/>
      <c r="O500" s="296"/>
      <c r="P500" s="296"/>
      <c r="Q500" s="297"/>
      <c r="R500" s="90"/>
      <c r="S500" s="90"/>
      <c r="T500" s="264"/>
      <c r="U500" s="90"/>
      <c r="V500" s="90"/>
      <c r="W500" s="90"/>
      <c r="X500" s="90"/>
      <c r="Y500" s="90"/>
      <c r="Z500" s="90"/>
      <c r="AA500" s="90"/>
    </row>
    <row r="501" ht="15.75" customHeight="1">
      <c r="A501" s="90"/>
      <c r="B501" s="292"/>
      <c r="C501" s="293"/>
      <c r="D501" s="90"/>
      <c r="E501" s="293"/>
      <c r="F501" s="294"/>
      <c r="G501" s="292"/>
      <c r="H501" s="293"/>
      <c r="I501" s="294"/>
      <c r="J501" s="90"/>
      <c r="K501" s="296"/>
      <c r="L501" s="296"/>
      <c r="M501" s="296"/>
      <c r="N501" s="296"/>
      <c r="O501" s="296"/>
      <c r="P501" s="296"/>
      <c r="Q501" s="297"/>
      <c r="R501" s="90"/>
      <c r="S501" s="90"/>
      <c r="T501" s="264"/>
      <c r="U501" s="90"/>
      <c r="V501" s="90"/>
      <c r="W501" s="90"/>
      <c r="X501" s="90"/>
      <c r="Y501" s="90"/>
      <c r="Z501" s="90"/>
      <c r="AA501" s="90"/>
    </row>
    <row r="502" ht="15.75" customHeight="1">
      <c r="A502" s="90"/>
      <c r="B502" s="292"/>
      <c r="C502" s="293"/>
      <c r="D502" s="90"/>
      <c r="E502" s="293"/>
      <c r="F502" s="294"/>
      <c r="G502" s="292"/>
      <c r="H502" s="293"/>
      <c r="I502" s="294"/>
      <c r="J502" s="90"/>
      <c r="K502" s="296"/>
      <c r="L502" s="296"/>
      <c r="M502" s="296"/>
      <c r="N502" s="296"/>
      <c r="O502" s="296"/>
      <c r="P502" s="296"/>
      <c r="Q502" s="297"/>
      <c r="R502" s="90"/>
      <c r="S502" s="90"/>
      <c r="T502" s="264"/>
      <c r="U502" s="90"/>
      <c r="V502" s="90"/>
      <c r="W502" s="90"/>
      <c r="X502" s="90"/>
      <c r="Y502" s="90"/>
      <c r="Z502" s="90"/>
      <c r="AA502" s="90"/>
    </row>
    <row r="503" ht="15.75" customHeight="1">
      <c r="A503" s="90"/>
      <c r="B503" s="292"/>
      <c r="C503" s="293"/>
      <c r="D503" s="90"/>
      <c r="E503" s="293"/>
      <c r="F503" s="294"/>
      <c r="G503" s="292"/>
      <c r="H503" s="293"/>
      <c r="I503" s="294"/>
      <c r="J503" s="90"/>
      <c r="K503" s="296"/>
      <c r="L503" s="296"/>
      <c r="M503" s="296"/>
      <c r="N503" s="296"/>
      <c r="O503" s="296"/>
      <c r="P503" s="296"/>
      <c r="Q503" s="297"/>
      <c r="R503" s="90"/>
      <c r="S503" s="90"/>
      <c r="T503" s="264"/>
      <c r="U503" s="90"/>
      <c r="V503" s="90"/>
      <c r="W503" s="90"/>
      <c r="X503" s="90"/>
      <c r="Y503" s="90"/>
      <c r="Z503" s="90"/>
      <c r="AA503" s="90"/>
    </row>
    <row r="504" ht="15.75" customHeight="1">
      <c r="A504" s="90"/>
      <c r="B504" s="292"/>
      <c r="C504" s="293"/>
      <c r="D504" s="90"/>
      <c r="E504" s="293"/>
      <c r="F504" s="294"/>
      <c r="G504" s="292"/>
      <c r="H504" s="293"/>
      <c r="I504" s="294"/>
      <c r="J504" s="90"/>
      <c r="K504" s="296"/>
      <c r="L504" s="296"/>
      <c r="M504" s="296"/>
      <c r="N504" s="296"/>
      <c r="O504" s="296"/>
      <c r="P504" s="296"/>
      <c r="Q504" s="297"/>
      <c r="R504" s="90"/>
      <c r="S504" s="90"/>
      <c r="T504" s="264"/>
      <c r="U504" s="90"/>
      <c r="V504" s="90"/>
      <c r="W504" s="90"/>
      <c r="X504" s="90"/>
      <c r="Y504" s="90"/>
      <c r="Z504" s="90"/>
      <c r="AA504" s="90"/>
    </row>
    <row r="505" ht="15.75" customHeight="1">
      <c r="A505" s="90"/>
      <c r="B505" s="292"/>
      <c r="C505" s="293"/>
      <c r="D505" s="90"/>
      <c r="E505" s="293"/>
      <c r="F505" s="294"/>
      <c r="G505" s="292"/>
      <c r="H505" s="293"/>
      <c r="I505" s="294"/>
      <c r="J505" s="90"/>
      <c r="K505" s="296"/>
      <c r="L505" s="296"/>
      <c r="M505" s="296"/>
      <c r="N505" s="296"/>
      <c r="O505" s="296"/>
      <c r="P505" s="296"/>
      <c r="Q505" s="297"/>
      <c r="R505" s="90"/>
      <c r="S505" s="90"/>
      <c r="T505" s="264"/>
      <c r="U505" s="90"/>
      <c r="V505" s="90"/>
      <c r="W505" s="90"/>
      <c r="X505" s="90"/>
      <c r="Y505" s="90"/>
      <c r="Z505" s="90"/>
      <c r="AA505" s="90"/>
    </row>
    <row r="506" ht="15.75" customHeight="1">
      <c r="A506" s="90"/>
      <c r="B506" s="292"/>
      <c r="C506" s="293"/>
      <c r="D506" s="90"/>
      <c r="E506" s="293"/>
      <c r="F506" s="294"/>
      <c r="G506" s="292"/>
      <c r="H506" s="293"/>
      <c r="I506" s="294"/>
      <c r="J506" s="90"/>
      <c r="K506" s="296"/>
      <c r="L506" s="296"/>
      <c r="M506" s="296"/>
      <c r="N506" s="296"/>
      <c r="O506" s="296"/>
      <c r="P506" s="296"/>
      <c r="Q506" s="297"/>
      <c r="R506" s="90"/>
      <c r="S506" s="90"/>
      <c r="T506" s="264"/>
      <c r="U506" s="90"/>
      <c r="V506" s="90"/>
      <c r="W506" s="90"/>
      <c r="X506" s="90"/>
      <c r="Y506" s="90"/>
      <c r="Z506" s="90"/>
      <c r="AA506" s="90"/>
    </row>
    <row r="507" ht="15.75" customHeight="1">
      <c r="A507" s="90"/>
      <c r="B507" s="292"/>
      <c r="C507" s="293"/>
      <c r="D507" s="90"/>
      <c r="E507" s="293"/>
      <c r="F507" s="294"/>
      <c r="G507" s="292"/>
      <c r="H507" s="293"/>
      <c r="I507" s="294"/>
      <c r="J507" s="90"/>
      <c r="K507" s="296"/>
      <c r="L507" s="296"/>
      <c r="M507" s="296"/>
      <c r="N507" s="296"/>
      <c r="O507" s="296"/>
      <c r="P507" s="296"/>
      <c r="Q507" s="297"/>
      <c r="R507" s="90"/>
      <c r="S507" s="90"/>
      <c r="T507" s="264"/>
      <c r="U507" s="90"/>
      <c r="V507" s="90"/>
      <c r="W507" s="90"/>
      <c r="X507" s="90"/>
      <c r="Y507" s="90"/>
      <c r="Z507" s="90"/>
      <c r="AA507" s="90"/>
    </row>
    <row r="508" ht="15.75" customHeight="1">
      <c r="A508" s="90"/>
      <c r="B508" s="292"/>
      <c r="C508" s="293"/>
      <c r="D508" s="90"/>
      <c r="E508" s="293"/>
      <c r="F508" s="294"/>
      <c r="G508" s="292"/>
      <c r="H508" s="293"/>
      <c r="I508" s="294"/>
      <c r="J508" s="90"/>
      <c r="K508" s="296"/>
      <c r="L508" s="296"/>
      <c r="M508" s="296"/>
      <c r="N508" s="296"/>
      <c r="O508" s="296"/>
      <c r="P508" s="296"/>
      <c r="Q508" s="297"/>
      <c r="R508" s="90"/>
      <c r="S508" s="90"/>
      <c r="T508" s="264"/>
      <c r="U508" s="90"/>
      <c r="V508" s="90"/>
      <c r="W508" s="90"/>
      <c r="X508" s="90"/>
      <c r="Y508" s="90"/>
      <c r="Z508" s="90"/>
      <c r="AA508" s="90"/>
    </row>
    <row r="509" ht="15.75" customHeight="1">
      <c r="A509" s="90"/>
      <c r="B509" s="292"/>
      <c r="C509" s="293"/>
      <c r="D509" s="90"/>
      <c r="E509" s="293"/>
      <c r="F509" s="294"/>
      <c r="G509" s="292"/>
      <c r="H509" s="293"/>
      <c r="I509" s="294"/>
      <c r="J509" s="90"/>
      <c r="K509" s="296"/>
      <c r="L509" s="296"/>
      <c r="M509" s="296"/>
      <c r="N509" s="296"/>
      <c r="O509" s="296"/>
      <c r="P509" s="296"/>
      <c r="Q509" s="297"/>
      <c r="R509" s="90"/>
      <c r="S509" s="90"/>
      <c r="T509" s="264"/>
      <c r="U509" s="90"/>
      <c r="V509" s="90"/>
      <c r="W509" s="90"/>
      <c r="X509" s="90"/>
      <c r="Y509" s="90"/>
      <c r="Z509" s="90"/>
      <c r="AA509" s="90"/>
    </row>
    <row r="510" ht="15.75" customHeight="1">
      <c r="A510" s="90"/>
      <c r="B510" s="292"/>
      <c r="C510" s="293"/>
      <c r="D510" s="90"/>
      <c r="E510" s="293"/>
      <c r="F510" s="294"/>
      <c r="G510" s="292"/>
      <c r="H510" s="293"/>
      <c r="I510" s="294"/>
      <c r="J510" s="90"/>
      <c r="K510" s="296"/>
      <c r="L510" s="296"/>
      <c r="M510" s="296"/>
      <c r="N510" s="296"/>
      <c r="O510" s="296"/>
      <c r="P510" s="296"/>
      <c r="Q510" s="297"/>
      <c r="R510" s="90"/>
      <c r="S510" s="90"/>
      <c r="T510" s="264"/>
      <c r="U510" s="90"/>
      <c r="V510" s="90"/>
      <c r="W510" s="90"/>
      <c r="X510" s="90"/>
      <c r="Y510" s="90"/>
      <c r="Z510" s="90"/>
      <c r="AA510" s="90"/>
    </row>
    <row r="511" ht="15.75" customHeight="1">
      <c r="A511" s="90"/>
      <c r="B511" s="292"/>
      <c r="C511" s="293"/>
      <c r="D511" s="90"/>
      <c r="E511" s="293"/>
      <c r="F511" s="294"/>
      <c r="G511" s="292"/>
      <c r="H511" s="293"/>
      <c r="I511" s="294"/>
      <c r="J511" s="90"/>
      <c r="K511" s="296"/>
      <c r="L511" s="296"/>
      <c r="M511" s="296"/>
      <c r="N511" s="296"/>
      <c r="O511" s="296"/>
      <c r="P511" s="296"/>
      <c r="Q511" s="297"/>
      <c r="R511" s="90"/>
      <c r="S511" s="90"/>
      <c r="T511" s="264"/>
      <c r="U511" s="90"/>
      <c r="V511" s="90"/>
      <c r="W511" s="90"/>
      <c r="X511" s="90"/>
      <c r="Y511" s="90"/>
      <c r="Z511" s="90"/>
      <c r="AA511" s="90"/>
    </row>
    <row r="512" ht="15.75" customHeight="1">
      <c r="A512" s="90"/>
      <c r="B512" s="292"/>
      <c r="C512" s="293"/>
      <c r="D512" s="90"/>
      <c r="E512" s="293"/>
      <c r="F512" s="294"/>
      <c r="G512" s="292"/>
      <c r="H512" s="293"/>
      <c r="I512" s="294"/>
      <c r="J512" s="90"/>
      <c r="K512" s="296"/>
      <c r="L512" s="296"/>
      <c r="M512" s="296"/>
      <c r="N512" s="296"/>
      <c r="O512" s="296"/>
      <c r="P512" s="296"/>
      <c r="Q512" s="297"/>
      <c r="R512" s="90"/>
      <c r="S512" s="90"/>
      <c r="T512" s="264"/>
      <c r="U512" s="90"/>
      <c r="V512" s="90"/>
      <c r="W512" s="90"/>
      <c r="X512" s="90"/>
      <c r="Y512" s="90"/>
      <c r="Z512" s="90"/>
      <c r="AA512" s="90"/>
    </row>
    <row r="513" ht="15.75" customHeight="1">
      <c r="A513" s="90"/>
      <c r="B513" s="292"/>
      <c r="C513" s="293"/>
      <c r="D513" s="90"/>
      <c r="E513" s="293"/>
      <c r="F513" s="294"/>
      <c r="G513" s="292"/>
      <c r="H513" s="293"/>
      <c r="I513" s="294"/>
      <c r="J513" s="90"/>
      <c r="K513" s="296"/>
      <c r="L513" s="296"/>
      <c r="M513" s="296"/>
      <c r="N513" s="296"/>
      <c r="O513" s="296"/>
      <c r="P513" s="296"/>
      <c r="Q513" s="297"/>
      <c r="R513" s="90"/>
      <c r="S513" s="90"/>
      <c r="T513" s="264"/>
      <c r="U513" s="90"/>
      <c r="V513" s="90"/>
      <c r="W513" s="90"/>
      <c r="X513" s="90"/>
      <c r="Y513" s="90"/>
      <c r="Z513" s="90"/>
      <c r="AA513" s="90"/>
    </row>
    <row r="514" ht="15.75" customHeight="1">
      <c r="A514" s="90"/>
      <c r="B514" s="292"/>
      <c r="C514" s="293"/>
      <c r="D514" s="90"/>
      <c r="E514" s="293"/>
      <c r="F514" s="294"/>
      <c r="G514" s="292"/>
      <c r="H514" s="293"/>
      <c r="I514" s="294"/>
      <c r="J514" s="90"/>
      <c r="K514" s="296"/>
      <c r="L514" s="296"/>
      <c r="M514" s="296"/>
      <c r="N514" s="296"/>
      <c r="O514" s="296"/>
      <c r="P514" s="296"/>
      <c r="Q514" s="297"/>
      <c r="R514" s="90"/>
      <c r="S514" s="90"/>
      <c r="T514" s="264"/>
      <c r="U514" s="90"/>
      <c r="V514" s="90"/>
      <c r="W514" s="90"/>
      <c r="X514" s="90"/>
      <c r="Y514" s="90"/>
      <c r="Z514" s="90"/>
      <c r="AA514" s="90"/>
    </row>
    <row r="515" ht="15.75" customHeight="1">
      <c r="A515" s="90"/>
      <c r="B515" s="292"/>
      <c r="C515" s="293"/>
      <c r="D515" s="90"/>
      <c r="E515" s="293"/>
      <c r="F515" s="294"/>
      <c r="G515" s="292"/>
      <c r="H515" s="293"/>
      <c r="I515" s="294"/>
      <c r="J515" s="90"/>
      <c r="K515" s="296"/>
      <c r="L515" s="296"/>
      <c r="M515" s="296"/>
      <c r="N515" s="296"/>
      <c r="O515" s="296"/>
      <c r="P515" s="296"/>
      <c r="Q515" s="297"/>
      <c r="R515" s="90"/>
      <c r="S515" s="90"/>
      <c r="T515" s="264"/>
      <c r="U515" s="90"/>
      <c r="V515" s="90"/>
      <c r="W515" s="90"/>
      <c r="X515" s="90"/>
      <c r="Y515" s="90"/>
      <c r="Z515" s="90"/>
      <c r="AA515" s="90"/>
    </row>
    <row r="516" ht="15.75" customHeight="1">
      <c r="A516" s="90"/>
      <c r="B516" s="292"/>
      <c r="C516" s="293"/>
      <c r="D516" s="90"/>
      <c r="E516" s="293"/>
      <c r="F516" s="294"/>
      <c r="G516" s="292"/>
      <c r="H516" s="293"/>
      <c r="I516" s="294"/>
      <c r="J516" s="90"/>
      <c r="K516" s="296"/>
      <c r="L516" s="296"/>
      <c r="M516" s="296"/>
      <c r="N516" s="296"/>
      <c r="O516" s="296"/>
      <c r="P516" s="296"/>
      <c r="Q516" s="297"/>
      <c r="R516" s="90"/>
      <c r="S516" s="90"/>
      <c r="T516" s="264"/>
      <c r="U516" s="90"/>
      <c r="V516" s="90"/>
      <c r="W516" s="90"/>
      <c r="X516" s="90"/>
      <c r="Y516" s="90"/>
      <c r="Z516" s="90"/>
      <c r="AA516" s="90"/>
    </row>
    <row r="517" ht="15.75" customHeight="1">
      <c r="A517" s="90"/>
      <c r="B517" s="292"/>
      <c r="C517" s="293"/>
      <c r="D517" s="90"/>
      <c r="E517" s="293"/>
      <c r="F517" s="294"/>
      <c r="G517" s="292"/>
      <c r="H517" s="293"/>
      <c r="I517" s="294"/>
      <c r="J517" s="90"/>
      <c r="K517" s="296"/>
      <c r="L517" s="296"/>
      <c r="M517" s="296"/>
      <c r="N517" s="296"/>
      <c r="O517" s="296"/>
      <c r="P517" s="296"/>
      <c r="Q517" s="297"/>
      <c r="R517" s="90"/>
      <c r="S517" s="90"/>
      <c r="T517" s="264"/>
      <c r="U517" s="90"/>
      <c r="V517" s="90"/>
      <c r="W517" s="90"/>
      <c r="X517" s="90"/>
      <c r="Y517" s="90"/>
      <c r="Z517" s="90"/>
      <c r="AA517" s="90"/>
    </row>
    <row r="518" ht="15.75" customHeight="1">
      <c r="A518" s="90"/>
      <c r="B518" s="292"/>
      <c r="C518" s="293"/>
      <c r="D518" s="90"/>
      <c r="E518" s="293"/>
      <c r="F518" s="294"/>
      <c r="G518" s="292"/>
      <c r="H518" s="293"/>
      <c r="I518" s="294"/>
      <c r="J518" s="90"/>
      <c r="K518" s="296"/>
      <c r="L518" s="296"/>
      <c r="M518" s="296"/>
      <c r="N518" s="296"/>
      <c r="O518" s="296"/>
      <c r="P518" s="296"/>
      <c r="Q518" s="297"/>
      <c r="R518" s="90"/>
      <c r="S518" s="90"/>
      <c r="T518" s="264"/>
      <c r="U518" s="90"/>
      <c r="V518" s="90"/>
      <c r="W518" s="90"/>
      <c r="X518" s="90"/>
      <c r="Y518" s="90"/>
      <c r="Z518" s="90"/>
      <c r="AA518" s="90"/>
    </row>
    <row r="519" ht="15.75" customHeight="1">
      <c r="A519" s="90"/>
      <c r="B519" s="292"/>
      <c r="C519" s="293"/>
      <c r="D519" s="90"/>
      <c r="E519" s="293"/>
      <c r="F519" s="294"/>
      <c r="G519" s="292"/>
      <c r="H519" s="293"/>
      <c r="I519" s="294"/>
      <c r="J519" s="90"/>
      <c r="K519" s="296"/>
      <c r="L519" s="296"/>
      <c r="M519" s="296"/>
      <c r="N519" s="296"/>
      <c r="O519" s="296"/>
      <c r="P519" s="296"/>
      <c r="Q519" s="297"/>
      <c r="R519" s="90"/>
      <c r="S519" s="90"/>
      <c r="T519" s="264"/>
      <c r="U519" s="90"/>
      <c r="V519" s="90"/>
      <c r="W519" s="90"/>
      <c r="X519" s="90"/>
      <c r="Y519" s="90"/>
      <c r="Z519" s="90"/>
      <c r="AA519" s="90"/>
    </row>
    <row r="520" ht="15.75" customHeight="1">
      <c r="A520" s="90"/>
      <c r="B520" s="292"/>
      <c r="C520" s="293"/>
      <c r="D520" s="90"/>
      <c r="E520" s="293"/>
      <c r="F520" s="294"/>
      <c r="G520" s="292"/>
      <c r="H520" s="293"/>
      <c r="I520" s="294"/>
      <c r="J520" s="90"/>
      <c r="K520" s="296"/>
      <c r="L520" s="296"/>
      <c r="M520" s="296"/>
      <c r="N520" s="296"/>
      <c r="O520" s="296"/>
      <c r="P520" s="296"/>
      <c r="Q520" s="297"/>
      <c r="R520" s="90"/>
      <c r="S520" s="90"/>
      <c r="T520" s="264"/>
      <c r="U520" s="90"/>
      <c r="V520" s="90"/>
      <c r="W520" s="90"/>
      <c r="X520" s="90"/>
      <c r="Y520" s="90"/>
      <c r="Z520" s="90"/>
      <c r="AA520" s="90"/>
    </row>
    <row r="521" ht="15.75" customHeight="1">
      <c r="A521" s="90"/>
      <c r="B521" s="292"/>
      <c r="C521" s="293"/>
      <c r="D521" s="90"/>
      <c r="E521" s="293"/>
      <c r="F521" s="294"/>
      <c r="G521" s="292"/>
      <c r="H521" s="293"/>
      <c r="I521" s="294"/>
      <c r="J521" s="90"/>
      <c r="K521" s="296"/>
      <c r="L521" s="296"/>
      <c r="M521" s="296"/>
      <c r="N521" s="296"/>
      <c r="O521" s="296"/>
      <c r="P521" s="296"/>
      <c r="Q521" s="297"/>
      <c r="R521" s="90"/>
      <c r="S521" s="90"/>
      <c r="T521" s="264"/>
      <c r="U521" s="90"/>
      <c r="V521" s="90"/>
      <c r="W521" s="90"/>
      <c r="X521" s="90"/>
      <c r="Y521" s="90"/>
      <c r="Z521" s="90"/>
      <c r="AA521" s="90"/>
    </row>
    <row r="522" ht="15.75" customHeight="1">
      <c r="A522" s="90"/>
      <c r="B522" s="292"/>
      <c r="C522" s="293"/>
      <c r="D522" s="90"/>
      <c r="E522" s="293"/>
      <c r="F522" s="294"/>
      <c r="G522" s="292"/>
      <c r="H522" s="293"/>
      <c r="I522" s="294"/>
      <c r="J522" s="90"/>
      <c r="K522" s="296"/>
      <c r="L522" s="296"/>
      <c r="M522" s="296"/>
      <c r="N522" s="296"/>
      <c r="O522" s="296"/>
      <c r="P522" s="296"/>
      <c r="Q522" s="297"/>
      <c r="R522" s="90"/>
      <c r="S522" s="90"/>
      <c r="T522" s="264"/>
      <c r="U522" s="90"/>
      <c r="V522" s="90"/>
      <c r="W522" s="90"/>
      <c r="X522" s="90"/>
      <c r="Y522" s="90"/>
      <c r="Z522" s="90"/>
      <c r="AA522" s="90"/>
    </row>
    <row r="523" ht="15.75" customHeight="1">
      <c r="A523" s="90"/>
      <c r="B523" s="292"/>
      <c r="C523" s="293"/>
      <c r="D523" s="90"/>
      <c r="E523" s="293"/>
      <c r="F523" s="294"/>
      <c r="G523" s="292"/>
      <c r="H523" s="293"/>
      <c r="I523" s="294"/>
      <c r="J523" s="90"/>
      <c r="K523" s="296"/>
      <c r="L523" s="296"/>
      <c r="M523" s="296"/>
      <c r="N523" s="296"/>
      <c r="O523" s="296"/>
      <c r="P523" s="296"/>
      <c r="Q523" s="297"/>
      <c r="R523" s="90"/>
      <c r="S523" s="90"/>
      <c r="T523" s="264"/>
      <c r="U523" s="90"/>
      <c r="V523" s="90"/>
      <c r="W523" s="90"/>
      <c r="X523" s="90"/>
      <c r="Y523" s="90"/>
      <c r="Z523" s="90"/>
      <c r="AA523" s="90"/>
    </row>
    <row r="524" ht="15.75" customHeight="1">
      <c r="A524" s="90"/>
      <c r="B524" s="292"/>
      <c r="C524" s="293"/>
      <c r="D524" s="90"/>
      <c r="E524" s="293"/>
      <c r="F524" s="294"/>
      <c r="G524" s="292"/>
      <c r="H524" s="293"/>
      <c r="I524" s="294"/>
      <c r="J524" s="90"/>
      <c r="K524" s="296"/>
      <c r="L524" s="296"/>
      <c r="M524" s="296"/>
      <c r="N524" s="296"/>
      <c r="O524" s="296"/>
      <c r="P524" s="296"/>
      <c r="Q524" s="297"/>
      <c r="R524" s="90"/>
      <c r="S524" s="90"/>
      <c r="T524" s="264"/>
      <c r="U524" s="90"/>
      <c r="V524" s="90"/>
      <c r="W524" s="90"/>
      <c r="X524" s="90"/>
      <c r="Y524" s="90"/>
      <c r="Z524" s="90"/>
      <c r="AA524" s="90"/>
    </row>
    <row r="525" ht="15.75" customHeight="1">
      <c r="A525" s="90"/>
      <c r="B525" s="292"/>
      <c r="C525" s="293"/>
      <c r="D525" s="90"/>
      <c r="E525" s="293"/>
      <c r="F525" s="294"/>
      <c r="G525" s="292"/>
      <c r="H525" s="293"/>
      <c r="I525" s="294"/>
      <c r="J525" s="90"/>
      <c r="K525" s="296"/>
      <c r="L525" s="296"/>
      <c r="M525" s="296"/>
      <c r="N525" s="296"/>
      <c r="O525" s="296"/>
      <c r="P525" s="296"/>
      <c r="Q525" s="297"/>
      <c r="R525" s="90"/>
      <c r="S525" s="90"/>
      <c r="T525" s="264"/>
      <c r="U525" s="90"/>
      <c r="V525" s="90"/>
      <c r="W525" s="90"/>
      <c r="X525" s="90"/>
      <c r="Y525" s="90"/>
      <c r="Z525" s="90"/>
      <c r="AA525" s="90"/>
    </row>
    <row r="526" ht="15.75" customHeight="1">
      <c r="A526" s="90"/>
      <c r="B526" s="292"/>
      <c r="C526" s="293"/>
      <c r="D526" s="90"/>
      <c r="E526" s="293"/>
      <c r="F526" s="294"/>
      <c r="G526" s="292"/>
      <c r="H526" s="293"/>
      <c r="I526" s="294"/>
      <c r="J526" s="90"/>
      <c r="K526" s="296"/>
      <c r="L526" s="296"/>
      <c r="M526" s="296"/>
      <c r="N526" s="296"/>
      <c r="O526" s="296"/>
      <c r="P526" s="296"/>
      <c r="Q526" s="297"/>
      <c r="R526" s="90"/>
      <c r="S526" s="90"/>
      <c r="T526" s="264"/>
      <c r="U526" s="90"/>
      <c r="V526" s="90"/>
      <c r="W526" s="90"/>
      <c r="X526" s="90"/>
      <c r="Y526" s="90"/>
      <c r="Z526" s="90"/>
      <c r="AA526" s="90"/>
    </row>
    <row r="527" ht="15.75" customHeight="1">
      <c r="A527" s="90"/>
      <c r="B527" s="292"/>
      <c r="C527" s="293"/>
      <c r="D527" s="90"/>
      <c r="E527" s="293"/>
      <c r="F527" s="294"/>
      <c r="G527" s="292"/>
      <c r="H527" s="293"/>
      <c r="I527" s="294"/>
      <c r="J527" s="90"/>
      <c r="K527" s="296"/>
      <c r="L527" s="296"/>
      <c r="M527" s="296"/>
      <c r="N527" s="296"/>
      <c r="O527" s="296"/>
      <c r="P527" s="296"/>
      <c r="Q527" s="297"/>
      <c r="R527" s="90"/>
      <c r="S527" s="90"/>
      <c r="T527" s="264"/>
      <c r="U527" s="90"/>
      <c r="V527" s="90"/>
      <c r="W527" s="90"/>
      <c r="X527" s="90"/>
      <c r="Y527" s="90"/>
      <c r="Z527" s="90"/>
      <c r="AA527" s="90"/>
    </row>
    <row r="528" ht="15.75" customHeight="1">
      <c r="A528" s="90"/>
      <c r="B528" s="292"/>
      <c r="C528" s="293"/>
      <c r="D528" s="90"/>
      <c r="E528" s="293"/>
      <c r="F528" s="294"/>
      <c r="G528" s="292"/>
      <c r="H528" s="293"/>
      <c r="I528" s="294"/>
      <c r="J528" s="90"/>
      <c r="K528" s="296"/>
      <c r="L528" s="296"/>
      <c r="M528" s="296"/>
      <c r="N528" s="296"/>
      <c r="O528" s="296"/>
      <c r="P528" s="296"/>
      <c r="Q528" s="297"/>
      <c r="R528" s="90"/>
      <c r="S528" s="90"/>
      <c r="T528" s="264"/>
      <c r="U528" s="90"/>
      <c r="V528" s="90"/>
      <c r="W528" s="90"/>
      <c r="X528" s="90"/>
      <c r="Y528" s="90"/>
      <c r="Z528" s="90"/>
      <c r="AA528" s="90"/>
    </row>
    <row r="529" ht="15.75" customHeight="1">
      <c r="A529" s="90"/>
      <c r="B529" s="292"/>
      <c r="C529" s="293"/>
      <c r="D529" s="90"/>
      <c r="E529" s="293"/>
      <c r="F529" s="294"/>
      <c r="G529" s="292"/>
      <c r="H529" s="293"/>
      <c r="I529" s="294"/>
      <c r="J529" s="90"/>
      <c r="K529" s="296"/>
      <c r="L529" s="296"/>
      <c r="M529" s="296"/>
      <c r="N529" s="296"/>
      <c r="O529" s="296"/>
      <c r="P529" s="296"/>
      <c r="Q529" s="297"/>
      <c r="R529" s="90"/>
      <c r="S529" s="90"/>
      <c r="T529" s="264"/>
      <c r="U529" s="90"/>
      <c r="V529" s="90"/>
      <c r="W529" s="90"/>
      <c r="X529" s="90"/>
      <c r="Y529" s="90"/>
      <c r="Z529" s="90"/>
      <c r="AA529" s="90"/>
    </row>
    <row r="530" ht="15.75" customHeight="1">
      <c r="A530" s="90"/>
      <c r="B530" s="292"/>
      <c r="C530" s="293"/>
      <c r="D530" s="90"/>
      <c r="E530" s="293"/>
      <c r="F530" s="294"/>
      <c r="G530" s="292"/>
      <c r="H530" s="293"/>
      <c r="I530" s="294"/>
      <c r="J530" s="90"/>
      <c r="K530" s="296"/>
      <c r="L530" s="296"/>
      <c r="M530" s="296"/>
      <c r="N530" s="296"/>
      <c r="O530" s="296"/>
      <c r="P530" s="296"/>
      <c r="Q530" s="297"/>
      <c r="R530" s="90"/>
      <c r="S530" s="90"/>
      <c r="T530" s="264"/>
      <c r="U530" s="90"/>
      <c r="V530" s="90"/>
      <c r="W530" s="90"/>
      <c r="X530" s="90"/>
      <c r="Y530" s="90"/>
      <c r="Z530" s="90"/>
      <c r="AA530" s="90"/>
    </row>
    <row r="531" ht="15.75" customHeight="1">
      <c r="A531" s="90"/>
      <c r="B531" s="292"/>
      <c r="C531" s="293"/>
      <c r="D531" s="90"/>
      <c r="E531" s="293"/>
      <c r="F531" s="294"/>
      <c r="G531" s="292"/>
      <c r="H531" s="293"/>
      <c r="I531" s="294"/>
      <c r="J531" s="90"/>
      <c r="K531" s="296"/>
      <c r="L531" s="296"/>
      <c r="M531" s="296"/>
      <c r="N531" s="296"/>
      <c r="O531" s="296"/>
      <c r="P531" s="296"/>
      <c r="Q531" s="297"/>
      <c r="R531" s="90"/>
      <c r="S531" s="90"/>
      <c r="T531" s="264"/>
      <c r="U531" s="90"/>
      <c r="V531" s="90"/>
      <c r="W531" s="90"/>
      <c r="X531" s="90"/>
      <c r="Y531" s="90"/>
      <c r="Z531" s="90"/>
      <c r="AA531" s="90"/>
    </row>
    <row r="532" ht="15.75" customHeight="1">
      <c r="A532" s="90"/>
      <c r="B532" s="292"/>
      <c r="C532" s="293"/>
      <c r="D532" s="90"/>
      <c r="E532" s="293"/>
      <c r="F532" s="294"/>
      <c r="G532" s="292"/>
      <c r="H532" s="293"/>
      <c r="I532" s="294"/>
      <c r="J532" s="90"/>
      <c r="K532" s="296"/>
      <c r="L532" s="296"/>
      <c r="M532" s="296"/>
      <c r="N532" s="296"/>
      <c r="O532" s="296"/>
      <c r="P532" s="296"/>
      <c r="Q532" s="297"/>
      <c r="R532" s="90"/>
      <c r="S532" s="90"/>
      <c r="T532" s="264"/>
      <c r="U532" s="90"/>
      <c r="V532" s="90"/>
      <c r="W532" s="90"/>
      <c r="X532" s="90"/>
      <c r="Y532" s="90"/>
      <c r="Z532" s="90"/>
      <c r="AA532" s="90"/>
    </row>
    <row r="533" ht="15.75" customHeight="1">
      <c r="A533" s="90"/>
      <c r="B533" s="292"/>
      <c r="C533" s="293"/>
      <c r="D533" s="90"/>
      <c r="E533" s="293"/>
      <c r="F533" s="294"/>
      <c r="G533" s="292"/>
      <c r="H533" s="293"/>
      <c r="I533" s="294"/>
      <c r="J533" s="90"/>
      <c r="K533" s="296"/>
      <c r="L533" s="296"/>
      <c r="M533" s="296"/>
      <c r="N533" s="296"/>
      <c r="O533" s="296"/>
      <c r="P533" s="296"/>
      <c r="Q533" s="297"/>
      <c r="R533" s="90"/>
      <c r="S533" s="90"/>
      <c r="T533" s="264"/>
      <c r="U533" s="90"/>
      <c r="V533" s="90"/>
      <c r="W533" s="90"/>
      <c r="X533" s="90"/>
      <c r="Y533" s="90"/>
      <c r="Z533" s="90"/>
      <c r="AA533" s="90"/>
    </row>
    <row r="534" ht="15.75" customHeight="1">
      <c r="A534" s="90"/>
      <c r="B534" s="292"/>
      <c r="C534" s="293"/>
      <c r="D534" s="90"/>
      <c r="E534" s="293"/>
      <c r="F534" s="294"/>
      <c r="G534" s="292"/>
      <c r="H534" s="293"/>
      <c r="I534" s="294"/>
      <c r="J534" s="90"/>
      <c r="K534" s="296"/>
      <c r="L534" s="296"/>
      <c r="M534" s="296"/>
      <c r="N534" s="296"/>
      <c r="O534" s="296"/>
      <c r="P534" s="296"/>
      <c r="Q534" s="297"/>
      <c r="R534" s="90"/>
      <c r="S534" s="90"/>
      <c r="T534" s="264"/>
      <c r="U534" s="90"/>
      <c r="V534" s="90"/>
      <c r="W534" s="90"/>
      <c r="X534" s="90"/>
      <c r="Y534" s="90"/>
      <c r="Z534" s="90"/>
      <c r="AA534" s="90"/>
    </row>
    <row r="535" ht="15.75" customHeight="1">
      <c r="A535" s="90"/>
      <c r="B535" s="292"/>
      <c r="C535" s="293"/>
      <c r="D535" s="90"/>
      <c r="E535" s="293"/>
      <c r="F535" s="294"/>
      <c r="G535" s="292"/>
      <c r="H535" s="293"/>
      <c r="I535" s="294"/>
      <c r="J535" s="90"/>
      <c r="K535" s="296"/>
      <c r="L535" s="296"/>
      <c r="M535" s="296"/>
      <c r="N535" s="296"/>
      <c r="O535" s="296"/>
      <c r="P535" s="296"/>
      <c r="Q535" s="297"/>
      <c r="R535" s="90"/>
      <c r="S535" s="90"/>
      <c r="T535" s="264"/>
      <c r="U535" s="90"/>
      <c r="V535" s="90"/>
      <c r="W535" s="90"/>
      <c r="X535" s="90"/>
      <c r="Y535" s="90"/>
      <c r="Z535" s="90"/>
      <c r="AA535" s="90"/>
    </row>
    <row r="536" ht="15.75" customHeight="1">
      <c r="A536" s="90"/>
      <c r="B536" s="292"/>
      <c r="C536" s="293"/>
      <c r="D536" s="90"/>
      <c r="E536" s="293"/>
      <c r="F536" s="294"/>
      <c r="G536" s="292"/>
      <c r="H536" s="293"/>
      <c r="I536" s="294"/>
      <c r="J536" s="90"/>
      <c r="K536" s="296"/>
      <c r="L536" s="296"/>
      <c r="M536" s="296"/>
      <c r="N536" s="296"/>
      <c r="O536" s="296"/>
      <c r="P536" s="296"/>
      <c r="Q536" s="297"/>
      <c r="R536" s="90"/>
      <c r="S536" s="90"/>
      <c r="T536" s="264"/>
      <c r="U536" s="90"/>
      <c r="V536" s="90"/>
      <c r="W536" s="90"/>
      <c r="X536" s="90"/>
      <c r="Y536" s="90"/>
      <c r="Z536" s="90"/>
      <c r="AA536" s="90"/>
    </row>
    <row r="537" ht="15.75" customHeight="1">
      <c r="A537" s="90"/>
      <c r="B537" s="292"/>
      <c r="C537" s="293"/>
      <c r="D537" s="90"/>
      <c r="E537" s="293"/>
      <c r="F537" s="294"/>
      <c r="G537" s="292"/>
      <c r="H537" s="293"/>
      <c r="I537" s="294"/>
      <c r="J537" s="90"/>
      <c r="K537" s="296"/>
      <c r="L537" s="296"/>
      <c r="M537" s="296"/>
      <c r="N537" s="296"/>
      <c r="O537" s="296"/>
      <c r="P537" s="296"/>
      <c r="Q537" s="297"/>
      <c r="R537" s="90"/>
      <c r="S537" s="90"/>
      <c r="T537" s="264"/>
      <c r="U537" s="90"/>
      <c r="V537" s="90"/>
      <c r="W537" s="90"/>
      <c r="X537" s="90"/>
      <c r="Y537" s="90"/>
      <c r="Z537" s="90"/>
      <c r="AA537" s="90"/>
    </row>
    <row r="538" ht="15.75" customHeight="1">
      <c r="A538" s="90"/>
      <c r="B538" s="292"/>
      <c r="C538" s="293"/>
      <c r="D538" s="90"/>
      <c r="E538" s="293"/>
      <c r="F538" s="294"/>
      <c r="G538" s="292"/>
      <c r="H538" s="293"/>
      <c r="I538" s="294"/>
      <c r="J538" s="90"/>
      <c r="K538" s="296"/>
      <c r="L538" s="296"/>
      <c r="M538" s="296"/>
      <c r="N538" s="296"/>
      <c r="O538" s="296"/>
      <c r="P538" s="296"/>
      <c r="Q538" s="297"/>
      <c r="R538" s="90"/>
      <c r="S538" s="90"/>
      <c r="T538" s="264"/>
      <c r="U538" s="90"/>
      <c r="V538" s="90"/>
      <c r="W538" s="90"/>
      <c r="X538" s="90"/>
      <c r="Y538" s="90"/>
      <c r="Z538" s="90"/>
      <c r="AA538" s="90"/>
    </row>
    <row r="539" ht="15.75" customHeight="1">
      <c r="A539" s="90"/>
      <c r="B539" s="292"/>
      <c r="C539" s="293"/>
      <c r="D539" s="90"/>
      <c r="E539" s="293"/>
      <c r="F539" s="294"/>
      <c r="G539" s="292"/>
      <c r="H539" s="293"/>
      <c r="I539" s="294"/>
      <c r="J539" s="90"/>
      <c r="K539" s="296"/>
      <c r="L539" s="296"/>
      <c r="M539" s="296"/>
      <c r="N539" s="296"/>
      <c r="O539" s="296"/>
      <c r="P539" s="296"/>
      <c r="Q539" s="297"/>
      <c r="R539" s="90"/>
      <c r="S539" s="90"/>
      <c r="T539" s="264"/>
      <c r="U539" s="90"/>
      <c r="V539" s="90"/>
      <c r="W539" s="90"/>
      <c r="X539" s="90"/>
      <c r="Y539" s="90"/>
      <c r="Z539" s="90"/>
      <c r="AA539" s="90"/>
    </row>
    <row r="540" ht="15.75" customHeight="1">
      <c r="A540" s="90"/>
      <c r="B540" s="292"/>
      <c r="C540" s="293"/>
      <c r="D540" s="90"/>
      <c r="E540" s="293"/>
      <c r="F540" s="294"/>
      <c r="G540" s="292"/>
      <c r="H540" s="293"/>
      <c r="I540" s="294"/>
      <c r="J540" s="90"/>
      <c r="K540" s="296"/>
      <c r="L540" s="296"/>
      <c r="M540" s="296"/>
      <c r="N540" s="296"/>
      <c r="O540" s="296"/>
      <c r="P540" s="296"/>
      <c r="Q540" s="297"/>
      <c r="R540" s="90"/>
      <c r="S540" s="90"/>
      <c r="T540" s="264"/>
      <c r="U540" s="90"/>
      <c r="V540" s="90"/>
      <c r="W540" s="90"/>
      <c r="X540" s="90"/>
      <c r="Y540" s="90"/>
      <c r="Z540" s="90"/>
      <c r="AA540" s="90"/>
    </row>
    <row r="541" ht="15.75" customHeight="1">
      <c r="A541" s="90"/>
      <c r="B541" s="292"/>
      <c r="C541" s="293"/>
      <c r="D541" s="90"/>
      <c r="E541" s="293"/>
      <c r="F541" s="294"/>
      <c r="G541" s="292"/>
      <c r="H541" s="293"/>
      <c r="I541" s="294"/>
      <c r="J541" s="90"/>
      <c r="K541" s="296"/>
      <c r="L541" s="296"/>
      <c r="M541" s="296"/>
      <c r="N541" s="296"/>
      <c r="O541" s="296"/>
      <c r="P541" s="296"/>
      <c r="Q541" s="297"/>
      <c r="R541" s="90"/>
      <c r="S541" s="90"/>
      <c r="T541" s="264"/>
      <c r="U541" s="90"/>
      <c r="V541" s="90"/>
      <c r="W541" s="90"/>
      <c r="X541" s="90"/>
      <c r="Y541" s="90"/>
      <c r="Z541" s="90"/>
      <c r="AA541" s="90"/>
    </row>
    <row r="542" ht="15.75" customHeight="1">
      <c r="A542" s="90"/>
      <c r="B542" s="292"/>
      <c r="C542" s="293"/>
      <c r="D542" s="90"/>
      <c r="E542" s="293"/>
      <c r="F542" s="294"/>
      <c r="G542" s="292"/>
      <c r="H542" s="293"/>
      <c r="I542" s="294"/>
      <c r="J542" s="90"/>
      <c r="K542" s="296"/>
      <c r="L542" s="296"/>
      <c r="M542" s="296"/>
      <c r="N542" s="296"/>
      <c r="O542" s="296"/>
      <c r="P542" s="296"/>
      <c r="Q542" s="297"/>
      <c r="R542" s="90"/>
      <c r="S542" s="90"/>
      <c r="T542" s="264"/>
      <c r="U542" s="90"/>
      <c r="V542" s="90"/>
      <c r="W542" s="90"/>
      <c r="X542" s="90"/>
      <c r="Y542" s="90"/>
      <c r="Z542" s="90"/>
      <c r="AA542" s="90"/>
    </row>
    <row r="543" ht="15.75" customHeight="1">
      <c r="A543" s="90"/>
      <c r="B543" s="292"/>
      <c r="C543" s="293"/>
      <c r="D543" s="90"/>
      <c r="E543" s="293"/>
      <c r="F543" s="294"/>
      <c r="G543" s="292"/>
      <c r="H543" s="293"/>
      <c r="I543" s="294"/>
      <c r="J543" s="90"/>
      <c r="K543" s="296"/>
      <c r="L543" s="296"/>
      <c r="M543" s="296"/>
      <c r="N543" s="296"/>
      <c r="O543" s="296"/>
      <c r="P543" s="296"/>
      <c r="Q543" s="297"/>
      <c r="R543" s="90"/>
      <c r="S543" s="90"/>
      <c r="T543" s="264"/>
      <c r="U543" s="90"/>
      <c r="V543" s="90"/>
      <c r="W543" s="90"/>
      <c r="X543" s="90"/>
      <c r="Y543" s="90"/>
      <c r="Z543" s="90"/>
      <c r="AA543" s="90"/>
    </row>
    <row r="544" ht="15.75" customHeight="1">
      <c r="A544" s="90"/>
      <c r="B544" s="292"/>
      <c r="C544" s="293"/>
      <c r="D544" s="90"/>
      <c r="E544" s="293"/>
      <c r="F544" s="294"/>
      <c r="G544" s="292"/>
      <c r="H544" s="293"/>
      <c r="I544" s="294"/>
      <c r="J544" s="90"/>
      <c r="K544" s="296"/>
      <c r="L544" s="296"/>
      <c r="M544" s="296"/>
      <c r="N544" s="296"/>
      <c r="O544" s="296"/>
      <c r="P544" s="296"/>
      <c r="Q544" s="297"/>
      <c r="R544" s="90"/>
      <c r="S544" s="90"/>
      <c r="T544" s="264"/>
      <c r="U544" s="90"/>
      <c r="V544" s="90"/>
      <c r="W544" s="90"/>
      <c r="X544" s="90"/>
      <c r="Y544" s="90"/>
      <c r="Z544" s="90"/>
      <c r="AA544" s="90"/>
    </row>
    <row r="545" ht="15.75" customHeight="1">
      <c r="A545" s="90"/>
      <c r="B545" s="292"/>
      <c r="C545" s="293"/>
      <c r="D545" s="90"/>
      <c r="E545" s="293"/>
      <c r="F545" s="294"/>
      <c r="G545" s="292"/>
      <c r="H545" s="293"/>
      <c r="I545" s="294"/>
      <c r="J545" s="90"/>
      <c r="K545" s="296"/>
      <c r="L545" s="296"/>
      <c r="M545" s="296"/>
      <c r="N545" s="296"/>
      <c r="O545" s="296"/>
      <c r="P545" s="296"/>
      <c r="Q545" s="297"/>
      <c r="R545" s="90"/>
      <c r="S545" s="90"/>
      <c r="T545" s="264"/>
      <c r="U545" s="90"/>
      <c r="V545" s="90"/>
      <c r="W545" s="90"/>
      <c r="X545" s="90"/>
      <c r="Y545" s="90"/>
      <c r="Z545" s="90"/>
      <c r="AA545" s="90"/>
    </row>
    <row r="546" ht="15.75" customHeight="1">
      <c r="A546" s="90"/>
      <c r="B546" s="292"/>
      <c r="C546" s="293"/>
      <c r="D546" s="90"/>
      <c r="E546" s="293"/>
      <c r="F546" s="294"/>
      <c r="G546" s="292"/>
      <c r="H546" s="293"/>
      <c r="I546" s="294"/>
      <c r="J546" s="90"/>
      <c r="K546" s="296"/>
      <c r="L546" s="296"/>
      <c r="M546" s="296"/>
      <c r="N546" s="296"/>
      <c r="O546" s="296"/>
      <c r="P546" s="296"/>
      <c r="Q546" s="297"/>
      <c r="R546" s="90"/>
      <c r="S546" s="90"/>
      <c r="T546" s="264"/>
      <c r="U546" s="90"/>
      <c r="V546" s="90"/>
      <c r="W546" s="90"/>
      <c r="X546" s="90"/>
      <c r="Y546" s="90"/>
      <c r="Z546" s="90"/>
      <c r="AA546" s="90"/>
    </row>
    <row r="547" ht="15.75" customHeight="1">
      <c r="A547" s="90"/>
      <c r="B547" s="292"/>
      <c r="C547" s="293"/>
      <c r="D547" s="90"/>
      <c r="E547" s="293"/>
      <c r="F547" s="294"/>
      <c r="G547" s="292"/>
      <c r="H547" s="293"/>
      <c r="I547" s="294"/>
      <c r="J547" s="90"/>
      <c r="K547" s="296"/>
      <c r="L547" s="296"/>
      <c r="M547" s="296"/>
      <c r="N547" s="296"/>
      <c r="O547" s="296"/>
      <c r="P547" s="296"/>
      <c r="Q547" s="297"/>
      <c r="R547" s="90"/>
      <c r="S547" s="90"/>
      <c r="T547" s="264"/>
      <c r="U547" s="90"/>
      <c r="V547" s="90"/>
      <c r="W547" s="90"/>
      <c r="X547" s="90"/>
      <c r="Y547" s="90"/>
      <c r="Z547" s="90"/>
      <c r="AA547" s="90"/>
    </row>
    <row r="548" ht="15.75" customHeight="1">
      <c r="A548" s="90"/>
      <c r="B548" s="292"/>
      <c r="C548" s="293"/>
      <c r="D548" s="90"/>
      <c r="E548" s="293"/>
      <c r="F548" s="294"/>
      <c r="G548" s="292"/>
      <c r="H548" s="293"/>
      <c r="I548" s="294"/>
      <c r="J548" s="90"/>
      <c r="K548" s="296"/>
      <c r="L548" s="296"/>
      <c r="M548" s="296"/>
      <c r="N548" s="296"/>
      <c r="O548" s="296"/>
      <c r="P548" s="296"/>
      <c r="Q548" s="297"/>
      <c r="R548" s="90"/>
      <c r="S548" s="90"/>
      <c r="T548" s="264"/>
      <c r="U548" s="90"/>
      <c r="V548" s="90"/>
      <c r="W548" s="90"/>
      <c r="X548" s="90"/>
      <c r="Y548" s="90"/>
      <c r="Z548" s="90"/>
      <c r="AA548" s="90"/>
    </row>
    <row r="549" ht="15.75" customHeight="1">
      <c r="A549" s="90"/>
      <c r="B549" s="292"/>
      <c r="C549" s="293"/>
      <c r="D549" s="90"/>
      <c r="E549" s="293"/>
      <c r="F549" s="294"/>
      <c r="G549" s="292"/>
      <c r="H549" s="293"/>
      <c r="I549" s="294"/>
      <c r="J549" s="90"/>
      <c r="K549" s="296"/>
      <c r="L549" s="296"/>
      <c r="M549" s="296"/>
      <c r="N549" s="296"/>
      <c r="O549" s="296"/>
      <c r="P549" s="296"/>
      <c r="Q549" s="297"/>
      <c r="R549" s="90"/>
      <c r="S549" s="90"/>
      <c r="T549" s="264"/>
      <c r="U549" s="90"/>
      <c r="V549" s="90"/>
      <c r="W549" s="90"/>
      <c r="X549" s="90"/>
      <c r="Y549" s="90"/>
      <c r="Z549" s="90"/>
      <c r="AA549" s="90"/>
    </row>
    <row r="550" ht="15.75" customHeight="1">
      <c r="A550" s="90"/>
      <c r="B550" s="292"/>
      <c r="C550" s="293"/>
      <c r="D550" s="90"/>
      <c r="E550" s="293"/>
      <c r="F550" s="294"/>
      <c r="G550" s="292"/>
      <c r="H550" s="293"/>
      <c r="I550" s="294"/>
      <c r="J550" s="90"/>
      <c r="K550" s="296"/>
      <c r="L550" s="296"/>
      <c r="M550" s="296"/>
      <c r="N550" s="296"/>
      <c r="O550" s="296"/>
      <c r="P550" s="296"/>
      <c r="Q550" s="297"/>
      <c r="R550" s="90"/>
      <c r="S550" s="90"/>
      <c r="T550" s="264"/>
      <c r="U550" s="90"/>
      <c r="V550" s="90"/>
      <c r="W550" s="90"/>
      <c r="X550" s="90"/>
      <c r="Y550" s="90"/>
      <c r="Z550" s="90"/>
      <c r="AA550" s="90"/>
    </row>
    <row r="551" ht="15.75" customHeight="1">
      <c r="A551" s="90"/>
      <c r="B551" s="292"/>
      <c r="C551" s="293"/>
      <c r="D551" s="90"/>
      <c r="E551" s="293"/>
      <c r="F551" s="294"/>
      <c r="G551" s="292"/>
      <c r="H551" s="293"/>
      <c r="I551" s="294"/>
      <c r="J551" s="90"/>
      <c r="K551" s="296"/>
      <c r="L551" s="296"/>
      <c r="M551" s="296"/>
      <c r="N551" s="296"/>
      <c r="O551" s="296"/>
      <c r="P551" s="296"/>
      <c r="Q551" s="297"/>
      <c r="R551" s="90"/>
      <c r="S551" s="90"/>
      <c r="T551" s="264"/>
      <c r="U551" s="90"/>
      <c r="V551" s="90"/>
      <c r="W551" s="90"/>
      <c r="X551" s="90"/>
      <c r="Y551" s="90"/>
      <c r="Z551" s="90"/>
      <c r="AA551" s="90"/>
    </row>
    <row r="552" ht="15.75" customHeight="1">
      <c r="A552" s="90"/>
      <c r="B552" s="292"/>
      <c r="C552" s="293"/>
      <c r="D552" s="90"/>
      <c r="E552" s="293"/>
      <c r="F552" s="294"/>
      <c r="G552" s="292"/>
      <c r="H552" s="293"/>
      <c r="I552" s="294"/>
      <c r="J552" s="90"/>
      <c r="K552" s="296"/>
      <c r="L552" s="296"/>
      <c r="M552" s="296"/>
      <c r="N552" s="296"/>
      <c r="O552" s="296"/>
      <c r="P552" s="296"/>
      <c r="Q552" s="297"/>
      <c r="R552" s="90"/>
      <c r="S552" s="90"/>
      <c r="T552" s="264"/>
      <c r="U552" s="90"/>
      <c r="V552" s="90"/>
      <c r="W552" s="90"/>
      <c r="X552" s="90"/>
      <c r="Y552" s="90"/>
      <c r="Z552" s="90"/>
      <c r="AA552" s="90"/>
    </row>
    <row r="553" ht="15.75" customHeight="1">
      <c r="A553" s="90"/>
      <c r="B553" s="292"/>
      <c r="C553" s="293"/>
      <c r="D553" s="90"/>
      <c r="E553" s="293"/>
      <c r="F553" s="294"/>
      <c r="G553" s="292"/>
      <c r="H553" s="293"/>
      <c r="I553" s="294"/>
      <c r="J553" s="90"/>
      <c r="K553" s="296"/>
      <c r="L553" s="296"/>
      <c r="M553" s="296"/>
      <c r="N553" s="296"/>
      <c r="O553" s="296"/>
      <c r="P553" s="296"/>
      <c r="Q553" s="297"/>
      <c r="R553" s="90"/>
      <c r="S553" s="90"/>
      <c r="T553" s="264"/>
      <c r="U553" s="90"/>
      <c r="V553" s="90"/>
      <c r="W553" s="90"/>
      <c r="X553" s="90"/>
      <c r="Y553" s="90"/>
      <c r="Z553" s="90"/>
      <c r="AA553" s="90"/>
    </row>
    <row r="554" ht="15.75" customHeight="1">
      <c r="A554" s="90"/>
      <c r="B554" s="292"/>
      <c r="C554" s="293"/>
      <c r="D554" s="90"/>
      <c r="E554" s="293"/>
      <c r="F554" s="294"/>
      <c r="G554" s="292"/>
      <c r="H554" s="293"/>
      <c r="I554" s="294"/>
      <c r="J554" s="90"/>
      <c r="K554" s="296"/>
      <c r="L554" s="296"/>
      <c r="M554" s="296"/>
      <c r="N554" s="296"/>
      <c r="O554" s="296"/>
      <c r="P554" s="296"/>
      <c r="Q554" s="297"/>
      <c r="R554" s="90"/>
      <c r="S554" s="90"/>
      <c r="T554" s="264"/>
      <c r="U554" s="90"/>
      <c r="V554" s="90"/>
      <c r="W554" s="90"/>
      <c r="X554" s="90"/>
      <c r="Y554" s="90"/>
      <c r="Z554" s="90"/>
      <c r="AA554" s="90"/>
    </row>
    <row r="555" ht="15.75" customHeight="1">
      <c r="A555" s="90"/>
      <c r="B555" s="292"/>
      <c r="C555" s="293"/>
      <c r="D555" s="90"/>
      <c r="E555" s="293"/>
      <c r="F555" s="294"/>
      <c r="G555" s="292"/>
      <c r="H555" s="293"/>
      <c r="I555" s="294"/>
      <c r="J555" s="90"/>
      <c r="K555" s="296"/>
      <c r="L555" s="296"/>
      <c r="M555" s="296"/>
      <c r="N555" s="296"/>
      <c r="O555" s="296"/>
      <c r="P555" s="296"/>
      <c r="Q555" s="297"/>
      <c r="R555" s="90"/>
      <c r="S555" s="90"/>
      <c r="T555" s="264"/>
      <c r="U555" s="90"/>
      <c r="V555" s="90"/>
      <c r="W555" s="90"/>
      <c r="X555" s="90"/>
      <c r="Y555" s="90"/>
      <c r="Z555" s="90"/>
      <c r="AA555" s="90"/>
    </row>
    <row r="556" ht="15.75" customHeight="1">
      <c r="A556" s="90"/>
      <c r="B556" s="292"/>
      <c r="C556" s="293"/>
      <c r="D556" s="90"/>
      <c r="E556" s="293"/>
      <c r="F556" s="294"/>
      <c r="G556" s="292"/>
      <c r="H556" s="293"/>
      <c r="I556" s="294"/>
      <c r="J556" s="90"/>
      <c r="K556" s="296"/>
      <c r="L556" s="296"/>
      <c r="M556" s="296"/>
      <c r="N556" s="296"/>
      <c r="O556" s="296"/>
      <c r="P556" s="296"/>
      <c r="Q556" s="297"/>
      <c r="R556" s="90"/>
      <c r="S556" s="90"/>
      <c r="T556" s="264"/>
      <c r="U556" s="90"/>
      <c r="V556" s="90"/>
      <c r="W556" s="90"/>
      <c r="X556" s="90"/>
      <c r="Y556" s="90"/>
      <c r="Z556" s="90"/>
      <c r="AA556" s="90"/>
    </row>
    <row r="557" ht="15.75" customHeight="1">
      <c r="A557" s="90"/>
      <c r="B557" s="292"/>
      <c r="C557" s="293"/>
      <c r="D557" s="90"/>
      <c r="E557" s="293"/>
      <c r="F557" s="294"/>
      <c r="G557" s="292"/>
      <c r="H557" s="293"/>
      <c r="I557" s="294"/>
      <c r="J557" s="90"/>
      <c r="K557" s="296"/>
      <c r="L557" s="296"/>
      <c r="M557" s="296"/>
      <c r="N557" s="296"/>
      <c r="O557" s="296"/>
      <c r="P557" s="296"/>
      <c r="Q557" s="297"/>
      <c r="R557" s="90"/>
      <c r="S557" s="90"/>
      <c r="T557" s="264"/>
      <c r="U557" s="90"/>
      <c r="V557" s="90"/>
      <c r="W557" s="90"/>
      <c r="X557" s="90"/>
      <c r="Y557" s="90"/>
      <c r="Z557" s="90"/>
      <c r="AA557" s="90"/>
    </row>
    <row r="558" ht="15.75" customHeight="1">
      <c r="A558" s="90"/>
      <c r="B558" s="292"/>
      <c r="C558" s="293"/>
      <c r="D558" s="90"/>
      <c r="E558" s="293"/>
      <c r="F558" s="294"/>
      <c r="G558" s="292"/>
      <c r="H558" s="293"/>
      <c r="I558" s="294"/>
      <c r="J558" s="90"/>
      <c r="K558" s="296"/>
      <c r="L558" s="296"/>
      <c r="M558" s="296"/>
      <c r="N558" s="296"/>
      <c r="O558" s="296"/>
      <c r="P558" s="296"/>
      <c r="Q558" s="297"/>
      <c r="R558" s="90"/>
      <c r="S558" s="90"/>
      <c r="T558" s="264"/>
      <c r="U558" s="90"/>
      <c r="V558" s="90"/>
      <c r="W558" s="90"/>
      <c r="X558" s="90"/>
      <c r="Y558" s="90"/>
      <c r="Z558" s="90"/>
      <c r="AA558" s="90"/>
    </row>
    <row r="559" ht="15.75" customHeight="1">
      <c r="A559" s="90"/>
      <c r="B559" s="292"/>
      <c r="C559" s="293"/>
      <c r="D559" s="90"/>
      <c r="E559" s="293"/>
      <c r="F559" s="294"/>
      <c r="G559" s="292"/>
      <c r="H559" s="293"/>
      <c r="I559" s="294"/>
      <c r="J559" s="90"/>
      <c r="K559" s="296"/>
      <c r="L559" s="296"/>
      <c r="M559" s="296"/>
      <c r="N559" s="296"/>
      <c r="O559" s="296"/>
      <c r="P559" s="296"/>
      <c r="Q559" s="297"/>
      <c r="R559" s="90"/>
      <c r="S559" s="90"/>
      <c r="T559" s="264"/>
      <c r="U559" s="90"/>
      <c r="V559" s="90"/>
      <c r="W559" s="90"/>
      <c r="X559" s="90"/>
      <c r="Y559" s="90"/>
      <c r="Z559" s="90"/>
      <c r="AA559" s="90"/>
    </row>
    <row r="560" ht="15.75" customHeight="1">
      <c r="A560" s="90"/>
      <c r="B560" s="292"/>
      <c r="C560" s="293"/>
      <c r="D560" s="90"/>
      <c r="E560" s="293"/>
      <c r="F560" s="294"/>
      <c r="G560" s="292"/>
      <c r="H560" s="293"/>
      <c r="I560" s="294"/>
      <c r="J560" s="90"/>
      <c r="K560" s="296"/>
      <c r="L560" s="296"/>
      <c r="M560" s="296"/>
      <c r="N560" s="296"/>
      <c r="O560" s="296"/>
      <c r="P560" s="296"/>
      <c r="Q560" s="297"/>
      <c r="R560" s="90"/>
      <c r="S560" s="90"/>
      <c r="T560" s="264"/>
      <c r="U560" s="90"/>
      <c r="V560" s="90"/>
      <c r="W560" s="90"/>
      <c r="X560" s="90"/>
      <c r="Y560" s="90"/>
      <c r="Z560" s="90"/>
      <c r="AA560" s="90"/>
    </row>
    <row r="561" ht="15.75" customHeight="1">
      <c r="A561" s="90"/>
      <c r="B561" s="292"/>
      <c r="C561" s="293"/>
      <c r="D561" s="90"/>
      <c r="E561" s="293"/>
      <c r="F561" s="294"/>
      <c r="G561" s="292"/>
      <c r="H561" s="293"/>
      <c r="I561" s="294"/>
      <c r="J561" s="90"/>
      <c r="K561" s="296"/>
      <c r="L561" s="296"/>
      <c r="M561" s="296"/>
      <c r="N561" s="296"/>
      <c r="O561" s="296"/>
      <c r="P561" s="296"/>
      <c r="Q561" s="297"/>
      <c r="R561" s="90"/>
      <c r="S561" s="90"/>
      <c r="T561" s="264"/>
      <c r="U561" s="90"/>
      <c r="V561" s="90"/>
      <c r="W561" s="90"/>
      <c r="X561" s="90"/>
      <c r="Y561" s="90"/>
      <c r="Z561" s="90"/>
      <c r="AA561" s="90"/>
    </row>
    <row r="562" ht="15.75" customHeight="1">
      <c r="A562" s="90"/>
      <c r="B562" s="292"/>
      <c r="C562" s="293"/>
      <c r="D562" s="90"/>
      <c r="E562" s="293"/>
      <c r="F562" s="294"/>
      <c r="G562" s="292"/>
      <c r="H562" s="293"/>
      <c r="I562" s="294"/>
      <c r="J562" s="90"/>
      <c r="K562" s="296"/>
      <c r="L562" s="296"/>
      <c r="M562" s="296"/>
      <c r="N562" s="296"/>
      <c r="O562" s="296"/>
      <c r="P562" s="296"/>
      <c r="Q562" s="297"/>
      <c r="R562" s="90"/>
      <c r="S562" s="90"/>
      <c r="T562" s="264"/>
      <c r="U562" s="90"/>
      <c r="V562" s="90"/>
      <c r="W562" s="90"/>
      <c r="X562" s="90"/>
      <c r="Y562" s="90"/>
      <c r="Z562" s="90"/>
      <c r="AA562" s="90"/>
    </row>
    <row r="563" ht="15.75" customHeight="1">
      <c r="A563" s="90"/>
      <c r="B563" s="292"/>
      <c r="C563" s="293"/>
      <c r="D563" s="90"/>
      <c r="E563" s="293"/>
      <c r="F563" s="294"/>
      <c r="G563" s="292"/>
      <c r="H563" s="293"/>
      <c r="I563" s="294"/>
      <c r="J563" s="90"/>
      <c r="K563" s="296"/>
      <c r="L563" s="296"/>
      <c r="M563" s="296"/>
      <c r="N563" s="296"/>
      <c r="O563" s="296"/>
      <c r="P563" s="296"/>
      <c r="Q563" s="297"/>
      <c r="R563" s="90"/>
      <c r="S563" s="90"/>
      <c r="T563" s="264"/>
      <c r="U563" s="90"/>
      <c r="V563" s="90"/>
      <c r="W563" s="90"/>
      <c r="X563" s="90"/>
      <c r="Y563" s="90"/>
      <c r="Z563" s="90"/>
      <c r="AA563" s="90"/>
    </row>
    <row r="564" ht="15.75" customHeight="1">
      <c r="A564" s="90"/>
      <c r="B564" s="292"/>
      <c r="C564" s="293"/>
      <c r="D564" s="90"/>
      <c r="E564" s="293"/>
      <c r="F564" s="294"/>
      <c r="G564" s="292"/>
      <c r="H564" s="293"/>
      <c r="I564" s="294"/>
      <c r="J564" s="90"/>
      <c r="K564" s="296"/>
      <c r="L564" s="296"/>
      <c r="M564" s="296"/>
      <c r="N564" s="296"/>
      <c r="O564" s="296"/>
      <c r="P564" s="296"/>
      <c r="Q564" s="297"/>
      <c r="R564" s="90"/>
      <c r="S564" s="90"/>
      <c r="T564" s="264"/>
      <c r="U564" s="90"/>
      <c r="V564" s="90"/>
      <c r="W564" s="90"/>
      <c r="X564" s="90"/>
      <c r="Y564" s="90"/>
      <c r="Z564" s="90"/>
      <c r="AA564" s="90"/>
    </row>
    <row r="565" ht="15.75" customHeight="1">
      <c r="A565" s="90"/>
      <c r="B565" s="292"/>
      <c r="C565" s="293"/>
      <c r="D565" s="90"/>
      <c r="E565" s="293"/>
      <c r="F565" s="294"/>
      <c r="G565" s="292"/>
      <c r="H565" s="293"/>
      <c r="I565" s="294"/>
      <c r="J565" s="90"/>
      <c r="K565" s="296"/>
      <c r="L565" s="296"/>
      <c r="M565" s="296"/>
      <c r="N565" s="296"/>
      <c r="O565" s="296"/>
      <c r="P565" s="296"/>
      <c r="Q565" s="297"/>
      <c r="R565" s="90"/>
      <c r="S565" s="90"/>
      <c r="T565" s="264"/>
      <c r="U565" s="90"/>
      <c r="V565" s="90"/>
      <c r="W565" s="90"/>
      <c r="X565" s="90"/>
      <c r="Y565" s="90"/>
      <c r="Z565" s="90"/>
      <c r="AA565" s="90"/>
    </row>
    <row r="566" ht="15.75" customHeight="1">
      <c r="A566" s="90"/>
      <c r="B566" s="292"/>
      <c r="C566" s="293"/>
      <c r="D566" s="90"/>
      <c r="E566" s="293"/>
      <c r="F566" s="294"/>
      <c r="G566" s="292"/>
      <c r="H566" s="293"/>
      <c r="I566" s="294"/>
      <c r="J566" s="90"/>
      <c r="K566" s="296"/>
      <c r="L566" s="296"/>
      <c r="M566" s="296"/>
      <c r="N566" s="296"/>
      <c r="O566" s="296"/>
      <c r="P566" s="296"/>
      <c r="Q566" s="297"/>
      <c r="R566" s="90"/>
      <c r="S566" s="90"/>
      <c r="T566" s="264"/>
      <c r="U566" s="90"/>
      <c r="V566" s="90"/>
      <c r="W566" s="90"/>
      <c r="X566" s="90"/>
      <c r="Y566" s="90"/>
      <c r="Z566" s="90"/>
      <c r="AA566" s="90"/>
    </row>
    <row r="567" ht="15.75" customHeight="1">
      <c r="A567" s="90"/>
      <c r="B567" s="292"/>
      <c r="C567" s="293"/>
      <c r="D567" s="90"/>
      <c r="E567" s="293"/>
      <c r="F567" s="294"/>
      <c r="G567" s="292"/>
      <c r="H567" s="293"/>
      <c r="I567" s="294"/>
      <c r="J567" s="90"/>
      <c r="K567" s="296"/>
      <c r="L567" s="296"/>
      <c r="M567" s="296"/>
      <c r="N567" s="296"/>
      <c r="O567" s="296"/>
      <c r="P567" s="296"/>
      <c r="Q567" s="297"/>
      <c r="R567" s="90"/>
      <c r="S567" s="90"/>
      <c r="T567" s="264"/>
      <c r="U567" s="90"/>
      <c r="V567" s="90"/>
      <c r="W567" s="90"/>
      <c r="X567" s="90"/>
      <c r="Y567" s="90"/>
      <c r="Z567" s="90"/>
      <c r="AA567" s="90"/>
    </row>
    <row r="568" ht="15.75" customHeight="1">
      <c r="A568" s="90"/>
      <c r="B568" s="292"/>
      <c r="C568" s="293"/>
      <c r="D568" s="90"/>
      <c r="E568" s="293"/>
      <c r="F568" s="294"/>
      <c r="G568" s="292"/>
      <c r="H568" s="293"/>
      <c r="I568" s="294"/>
      <c r="J568" s="90"/>
      <c r="K568" s="296"/>
      <c r="L568" s="296"/>
      <c r="M568" s="296"/>
      <c r="N568" s="296"/>
      <c r="O568" s="296"/>
      <c r="P568" s="296"/>
      <c r="Q568" s="297"/>
      <c r="R568" s="90"/>
      <c r="S568" s="90"/>
      <c r="T568" s="264"/>
      <c r="U568" s="90"/>
      <c r="V568" s="90"/>
      <c r="W568" s="90"/>
      <c r="X568" s="90"/>
      <c r="Y568" s="90"/>
      <c r="Z568" s="90"/>
      <c r="AA568" s="90"/>
    </row>
    <row r="569" ht="15.75" customHeight="1">
      <c r="A569" s="90"/>
      <c r="B569" s="292"/>
      <c r="C569" s="293"/>
      <c r="D569" s="90"/>
      <c r="E569" s="293"/>
      <c r="F569" s="294"/>
      <c r="G569" s="292"/>
      <c r="H569" s="293"/>
      <c r="I569" s="294"/>
      <c r="J569" s="90"/>
      <c r="K569" s="296"/>
      <c r="L569" s="296"/>
      <c r="M569" s="296"/>
      <c r="N569" s="296"/>
      <c r="O569" s="296"/>
      <c r="P569" s="296"/>
      <c r="Q569" s="297"/>
      <c r="R569" s="90"/>
      <c r="S569" s="90"/>
      <c r="T569" s="264"/>
      <c r="U569" s="90"/>
      <c r="V569" s="90"/>
      <c r="W569" s="90"/>
      <c r="X569" s="90"/>
      <c r="Y569" s="90"/>
      <c r="Z569" s="90"/>
      <c r="AA569" s="90"/>
    </row>
    <row r="570" ht="15.75" customHeight="1">
      <c r="A570" s="90"/>
      <c r="B570" s="292"/>
      <c r="C570" s="293"/>
      <c r="D570" s="90"/>
      <c r="E570" s="293"/>
      <c r="F570" s="294"/>
      <c r="G570" s="292"/>
      <c r="H570" s="293"/>
      <c r="I570" s="294"/>
      <c r="J570" s="90"/>
      <c r="K570" s="296"/>
      <c r="L570" s="296"/>
      <c r="M570" s="296"/>
      <c r="N570" s="296"/>
      <c r="O570" s="296"/>
      <c r="P570" s="296"/>
      <c r="Q570" s="297"/>
      <c r="R570" s="90"/>
      <c r="S570" s="90"/>
      <c r="T570" s="264"/>
      <c r="U570" s="90"/>
      <c r="V570" s="90"/>
      <c r="W570" s="90"/>
      <c r="X570" s="90"/>
      <c r="Y570" s="90"/>
      <c r="Z570" s="90"/>
      <c r="AA570" s="90"/>
    </row>
    <row r="571" ht="15.75" customHeight="1">
      <c r="A571" s="90"/>
      <c r="B571" s="292"/>
      <c r="C571" s="293"/>
      <c r="D571" s="90"/>
      <c r="E571" s="293"/>
      <c r="F571" s="294"/>
      <c r="G571" s="292"/>
      <c r="H571" s="293"/>
      <c r="I571" s="294"/>
      <c r="J571" s="90"/>
      <c r="K571" s="296"/>
      <c r="L571" s="296"/>
      <c r="M571" s="296"/>
      <c r="N571" s="296"/>
      <c r="O571" s="296"/>
      <c r="P571" s="296"/>
      <c r="Q571" s="297"/>
      <c r="R571" s="90"/>
      <c r="S571" s="90"/>
      <c r="T571" s="264"/>
      <c r="U571" s="90"/>
      <c r="V571" s="90"/>
      <c r="W571" s="90"/>
      <c r="X571" s="90"/>
      <c r="Y571" s="90"/>
      <c r="Z571" s="90"/>
      <c r="AA571" s="90"/>
    </row>
    <row r="572" ht="15.75" customHeight="1">
      <c r="A572" s="90"/>
      <c r="B572" s="292"/>
      <c r="C572" s="293"/>
      <c r="D572" s="90"/>
      <c r="E572" s="293"/>
      <c r="F572" s="294"/>
      <c r="G572" s="292"/>
      <c r="H572" s="293"/>
      <c r="I572" s="294"/>
      <c r="J572" s="90"/>
      <c r="K572" s="296"/>
      <c r="L572" s="296"/>
      <c r="M572" s="296"/>
      <c r="N572" s="296"/>
      <c r="O572" s="296"/>
      <c r="P572" s="296"/>
      <c r="Q572" s="297"/>
      <c r="R572" s="90"/>
      <c r="S572" s="90"/>
      <c r="T572" s="264"/>
      <c r="U572" s="90"/>
      <c r="V572" s="90"/>
      <c r="W572" s="90"/>
      <c r="X572" s="90"/>
      <c r="Y572" s="90"/>
      <c r="Z572" s="90"/>
      <c r="AA572" s="90"/>
    </row>
    <row r="573" ht="15.75" customHeight="1">
      <c r="A573" s="90"/>
      <c r="B573" s="292"/>
      <c r="C573" s="293"/>
      <c r="D573" s="90"/>
      <c r="E573" s="293"/>
      <c r="F573" s="294"/>
      <c r="G573" s="292"/>
      <c r="H573" s="293"/>
      <c r="I573" s="294"/>
      <c r="J573" s="90"/>
      <c r="K573" s="296"/>
      <c r="L573" s="296"/>
      <c r="M573" s="296"/>
      <c r="N573" s="296"/>
      <c r="O573" s="296"/>
      <c r="P573" s="296"/>
      <c r="Q573" s="297"/>
      <c r="R573" s="90"/>
      <c r="S573" s="90"/>
      <c r="T573" s="264"/>
      <c r="U573" s="90"/>
      <c r="V573" s="90"/>
      <c r="W573" s="90"/>
      <c r="X573" s="90"/>
      <c r="Y573" s="90"/>
      <c r="Z573" s="90"/>
      <c r="AA573" s="90"/>
    </row>
    <row r="574" ht="15.75" customHeight="1">
      <c r="A574" s="90"/>
      <c r="B574" s="292"/>
      <c r="C574" s="293"/>
      <c r="D574" s="90"/>
      <c r="E574" s="293"/>
      <c r="F574" s="294"/>
      <c r="G574" s="292"/>
      <c r="H574" s="293"/>
      <c r="I574" s="294"/>
      <c r="J574" s="90"/>
      <c r="K574" s="296"/>
      <c r="L574" s="296"/>
      <c r="M574" s="296"/>
      <c r="N574" s="296"/>
      <c r="O574" s="296"/>
      <c r="P574" s="296"/>
      <c r="Q574" s="297"/>
      <c r="R574" s="90"/>
      <c r="S574" s="90"/>
      <c r="T574" s="264"/>
      <c r="U574" s="90"/>
      <c r="V574" s="90"/>
      <c r="W574" s="90"/>
      <c r="X574" s="90"/>
      <c r="Y574" s="90"/>
      <c r="Z574" s="90"/>
      <c r="AA574" s="90"/>
    </row>
    <row r="575" ht="15.75" customHeight="1">
      <c r="A575" s="90"/>
      <c r="B575" s="292"/>
      <c r="C575" s="293"/>
      <c r="D575" s="90"/>
      <c r="E575" s="293"/>
      <c r="F575" s="294"/>
      <c r="G575" s="292"/>
      <c r="H575" s="293"/>
      <c r="I575" s="294"/>
      <c r="J575" s="90"/>
      <c r="K575" s="296"/>
      <c r="L575" s="296"/>
      <c r="M575" s="296"/>
      <c r="N575" s="296"/>
      <c r="O575" s="296"/>
      <c r="P575" s="296"/>
      <c r="Q575" s="297"/>
      <c r="R575" s="90"/>
      <c r="S575" s="90"/>
      <c r="T575" s="264"/>
      <c r="U575" s="90"/>
      <c r="V575" s="90"/>
      <c r="W575" s="90"/>
      <c r="X575" s="90"/>
      <c r="Y575" s="90"/>
      <c r="Z575" s="90"/>
      <c r="AA575" s="90"/>
    </row>
    <row r="576" ht="15.75" customHeight="1">
      <c r="A576" s="90"/>
      <c r="B576" s="292"/>
      <c r="C576" s="293"/>
      <c r="D576" s="90"/>
      <c r="E576" s="293"/>
      <c r="F576" s="294"/>
      <c r="G576" s="292"/>
      <c r="H576" s="293"/>
      <c r="I576" s="294"/>
      <c r="J576" s="90"/>
      <c r="K576" s="296"/>
      <c r="L576" s="296"/>
      <c r="M576" s="296"/>
      <c r="N576" s="296"/>
      <c r="O576" s="296"/>
      <c r="P576" s="296"/>
      <c r="Q576" s="297"/>
      <c r="R576" s="90"/>
      <c r="S576" s="90"/>
      <c r="T576" s="264"/>
      <c r="U576" s="90"/>
      <c r="V576" s="90"/>
      <c r="W576" s="90"/>
      <c r="X576" s="90"/>
      <c r="Y576" s="90"/>
      <c r="Z576" s="90"/>
      <c r="AA576" s="90"/>
    </row>
    <row r="577" ht="15.75" customHeight="1">
      <c r="A577" s="90"/>
      <c r="B577" s="292"/>
      <c r="C577" s="293"/>
      <c r="D577" s="90"/>
      <c r="E577" s="293"/>
      <c r="F577" s="294"/>
      <c r="G577" s="292"/>
      <c r="H577" s="293"/>
      <c r="I577" s="294"/>
      <c r="J577" s="90"/>
      <c r="K577" s="296"/>
      <c r="L577" s="296"/>
      <c r="M577" s="296"/>
      <c r="N577" s="296"/>
      <c r="O577" s="296"/>
      <c r="P577" s="296"/>
      <c r="Q577" s="297"/>
      <c r="R577" s="90"/>
      <c r="S577" s="90"/>
      <c r="T577" s="264"/>
      <c r="U577" s="90"/>
      <c r="V577" s="90"/>
      <c r="W577" s="90"/>
      <c r="X577" s="90"/>
      <c r="Y577" s="90"/>
      <c r="Z577" s="90"/>
      <c r="AA577" s="90"/>
    </row>
    <row r="578" ht="15.75" customHeight="1">
      <c r="A578" s="90"/>
      <c r="B578" s="292"/>
      <c r="C578" s="293"/>
      <c r="D578" s="90"/>
      <c r="E578" s="293"/>
      <c r="F578" s="294"/>
      <c r="G578" s="292"/>
      <c r="H578" s="293"/>
      <c r="I578" s="294"/>
      <c r="J578" s="90"/>
      <c r="K578" s="296"/>
      <c r="L578" s="296"/>
      <c r="M578" s="296"/>
      <c r="N578" s="296"/>
      <c r="O578" s="296"/>
      <c r="P578" s="296"/>
      <c r="Q578" s="297"/>
      <c r="R578" s="90"/>
      <c r="S578" s="90"/>
      <c r="T578" s="264"/>
      <c r="U578" s="90"/>
      <c r="V578" s="90"/>
      <c r="W578" s="90"/>
      <c r="X578" s="90"/>
      <c r="Y578" s="90"/>
      <c r="Z578" s="90"/>
      <c r="AA578" s="90"/>
    </row>
    <row r="579" ht="15.75" customHeight="1">
      <c r="A579" s="90"/>
      <c r="B579" s="292"/>
      <c r="C579" s="293"/>
      <c r="D579" s="90"/>
      <c r="E579" s="293"/>
      <c r="F579" s="294"/>
      <c r="G579" s="292"/>
      <c r="H579" s="293"/>
      <c r="I579" s="294"/>
      <c r="J579" s="90"/>
      <c r="K579" s="296"/>
      <c r="L579" s="296"/>
      <c r="M579" s="296"/>
      <c r="N579" s="296"/>
      <c r="O579" s="296"/>
      <c r="P579" s="296"/>
      <c r="Q579" s="297"/>
      <c r="R579" s="90"/>
      <c r="S579" s="90"/>
      <c r="T579" s="264"/>
      <c r="U579" s="90"/>
      <c r="V579" s="90"/>
      <c r="W579" s="90"/>
      <c r="X579" s="90"/>
      <c r="Y579" s="90"/>
      <c r="Z579" s="90"/>
      <c r="AA579" s="90"/>
    </row>
    <row r="580" ht="15.75" customHeight="1">
      <c r="A580" s="90"/>
      <c r="B580" s="292"/>
      <c r="C580" s="293"/>
      <c r="D580" s="90"/>
      <c r="E580" s="293"/>
      <c r="F580" s="294"/>
      <c r="G580" s="292"/>
      <c r="H580" s="293"/>
      <c r="I580" s="294"/>
      <c r="J580" s="90"/>
      <c r="K580" s="296"/>
      <c r="L580" s="296"/>
      <c r="M580" s="296"/>
      <c r="N580" s="296"/>
      <c r="O580" s="296"/>
      <c r="P580" s="296"/>
      <c r="Q580" s="297"/>
      <c r="R580" s="90"/>
      <c r="S580" s="90"/>
      <c r="T580" s="264"/>
      <c r="U580" s="90"/>
      <c r="V580" s="90"/>
      <c r="W580" s="90"/>
      <c r="X580" s="90"/>
      <c r="Y580" s="90"/>
      <c r="Z580" s="90"/>
      <c r="AA580" s="90"/>
    </row>
    <row r="581" ht="15.75" customHeight="1">
      <c r="A581" s="90"/>
      <c r="B581" s="292"/>
      <c r="C581" s="293"/>
      <c r="D581" s="90"/>
      <c r="E581" s="293"/>
      <c r="F581" s="294"/>
      <c r="G581" s="292"/>
      <c r="H581" s="293"/>
      <c r="I581" s="294"/>
      <c r="J581" s="90"/>
      <c r="K581" s="296"/>
      <c r="L581" s="296"/>
      <c r="M581" s="296"/>
      <c r="N581" s="296"/>
      <c r="O581" s="296"/>
      <c r="P581" s="296"/>
      <c r="Q581" s="297"/>
      <c r="R581" s="90"/>
      <c r="S581" s="90"/>
      <c r="T581" s="264"/>
      <c r="U581" s="90"/>
      <c r="V581" s="90"/>
      <c r="W581" s="90"/>
      <c r="X581" s="90"/>
      <c r="Y581" s="90"/>
      <c r="Z581" s="90"/>
      <c r="AA581" s="90"/>
    </row>
    <row r="582" ht="15.75" customHeight="1">
      <c r="A582" s="90"/>
      <c r="B582" s="292"/>
      <c r="C582" s="293"/>
      <c r="D582" s="90"/>
      <c r="E582" s="293"/>
      <c r="F582" s="294"/>
      <c r="G582" s="292"/>
      <c r="H582" s="293"/>
      <c r="I582" s="294"/>
      <c r="J582" s="90"/>
      <c r="K582" s="296"/>
      <c r="L582" s="296"/>
      <c r="M582" s="296"/>
      <c r="N582" s="296"/>
      <c r="O582" s="296"/>
      <c r="P582" s="296"/>
      <c r="Q582" s="297"/>
      <c r="R582" s="90"/>
      <c r="S582" s="90"/>
      <c r="T582" s="264"/>
      <c r="U582" s="90"/>
      <c r="V582" s="90"/>
      <c r="W582" s="90"/>
      <c r="X582" s="90"/>
      <c r="Y582" s="90"/>
      <c r="Z582" s="90"/>
      <c r="AA582" s="90"/>
    </row>
    <row r="583" ht="15.75" customHeight="1">
      <c r="A583" s="90"/>
      <c r="B583" s="292"/>
      <c r="C583" s="293"/>
      <c r="D583" s="90"/>
      <c r="E583" s="293"/>
      <c r="F583" s="294"/>
      <c r="G583" s="292"/>
      <c r="H583" s="293"/>
      <c r="I583" s="294"/>
      <c r="J583" s="90"/>
      <c r="K583" s="296"/>
      <c r="L583" s="296"/>
      <c r="M583" s="296"/>
      <c r="N583" s="296"/>
      <c r="O583" s="296"/>
      <c r="P583" s="296"/>
      <c r="Q583" s="297"/>
      <c r="R583" s="90"/>
      <c r="S583" s="90"/>
      <c r="T583" s="264"/>
      <c r="U583" s="90"/>
      <c r="V583" s="90"/>
      <c r="W583" s="90"/>
      <c r="X583" s="90"/>
      <c r="Y583" s="90"/>
      <c r="Z583" s="90"/>
      <c r="AA583" s="90"/>
    </row>
    <row r="584" ht="15.75" customHeight="1">
      <c r="A584" s="90"/>
      <c r="B584" s="292"/>
      <c r="C584" s="293"/>
      <c r="D584" s="90"/>
      <c r="E584" s="293"/>
      <c r="F584" s="294"/>
      <c r="G584" s="292"/>
      <c r="H584" s="293"/>
      <c r="I584" s="294"/>
      <c r="J584" s="90"/>
      <c r="K584" s="296"/>
      <c r="L584" s="296"/>
      <c r="M584" s="296"/>
      <c r="N584" s="296"/>
      <c r="O584" s="296"/>
      <c r="P584" s="296"/>
      <c r="Q584" s="297"/>
      <c r="R584" s="90"/>
      <c r="S584" s="90"/>
      <c r="T584" s="264"/>
      <c r="U584" s="90"/>
      <c r="V584" s="90"/>
      <c r="W584" s="90"/>
      <c r="X584" s="90"/>
      <c r="Y584" s="90"/>
      <c r="Z584" s="90"/>
      <c r="AA584" s="90"/>
    </row>
    <row r="585" ht="15.75" customHeight="1">
      <c r="A585" s="90"/>
      <c r="B585" s="292"/>
      <c r="C585" s="293"/>
      <c r="D585" s="90"/>
      <c r="E585" s="293"/>
      <c r="F585" s="294"/>
      <c r="G585" s="292"/>
      <c r="H585" s="293"/>
      <c r="I585" s="294"/>
      <c r="J585" s="90"/>
      <c r="K585" s="296"/>
      <c r="L585" s="296"/>
      <c r="M585" s="296"/>
      <c r="N585" s="296"/>
      <c r="O585" s="296"/>
      <c r="P585" s="296"/>
      <c r="Q585" s="297"/>
      <c r="R585" s="90"/>
      <c r="S585" s="90"/>
      <c r="T585" s="264"/>
      <c r="U585" s="90"/>
      <c r="V585" s="90"/>
      <c r="W585" s="90"/>
      <c r="X585" s="90"/>
      <c r="Y585" s="90"/>
      <c r="Z585" s="90"/>
      <c r="AA585" s="90"/>
    </row>
    <row r="586" ht="15.75" customHeight="1">
      <c r="A586" s="90"/>
      <c r="B586" s="292"/>
      <c r="C586" s="293"/>
      <c r="D586" s="90"/>
      <c r="E586" s="293"/>
      <c r="F586" s="294"/>
      <c r="G586" s="292"/>
      <c r="H586" s="293"/>
      <c r="I586" s="294"/>
      <c r="J586" s="90"/>
      <c r="K586" s="296"/>
      <c r="L586" s="296"/>
      <c r="M586" s="296"/>
      <c r="N586" s="296"/>
      <c r="O586" s="296"/>
      <c r="P586" s="296"/>
      <c r="Q586" s="297"/>
      <c r="R586" s="90"/>
      <c r="S586" s="90"/>
      <c r="T586" s="264"/>
      <c r="U586" s="90"/>
      <c r="V586" s="90"/>
      <c r="W586" s="90"/>
      <c r="X586" s="90"/>
      <c r="Y586" s="90"/>
      <c r="Z586" s="90"/>
      <c r="AA586" s="90"/>
    </row>
    <row r="587" ht="15.75" customHeight="1">
      <c r="A587" s="90"/>
      <c r="B587" s="292"/>
      <c r="C587" s="293"/>
      <c r="D587" s="90"/>
      <c r="E587" s="293"/>
      <c r="F587" s="294"/>
      <c r="G587" s="292"/>
      <c r="H587" s="293"/>
      <c r="I587" s="294"/>
      <c r="J587" s="90"/>
      <c r="K587" s="296"/>
      <c r="L587" s="296"/>
      <c r="M587" s="296"/>
      <c r="N587" s="296"/>
      <c r="O587" s="296"/>
      <c r="P587" s="296"/>
      <c r="Q587" s="297"/>
      <c r="R587" s="90"/>
      <c r="S587" s="90"/>
      <c r="T587" s="264"/>
      <c r="U587" s="90"/>
      <c r="V587" s="90"/>
      <c r="W587" s="90"/>
      <c r="X587" s="90"/>
      <c r="Y587" s="90"/>
      <c r="Z587" s="90"/>
      <c r="AA587" s="90"/>
    </row>
    <row r="588" ht="15.75" customHeight="1">
      <c r="A588" s="90"/>
      <c r="B588" s="292"/>
      <c r="C588" s="293"/>
      <c r="D588" s="90"/>
      <c r="E588" s="293"/>
      <c r="F588" s="294"/>
      <c r="G588" s="292"/>
      <c r="H588" s="293"/>
      <c r="I588" s="294"/>
      <c r="J588" s="90"/>
      <c r="K588" s="296"/>
      <c r="L588" s="296"/>
      <c r="M588" s="296"/>
      <c r="N588" s="296"/>
      <c r="O588" s="296"/>
      <c r="P588" s="296"/>
      <c r="Q588" s="297"/>
      <c r="R588" s="90"/>
      <c r="S588" s="90"/>
      <c r="T588" s="264"/>
      <c r="U588" s="90"/>
      <c r="V588" s="90"/>
      <c r="W588" s="90"/>
      <c r="X588" s="90"/>
      <c r="Y588" s="90"/>
      <c r="Z588" s="90"/>
      <c r="AA588" s="90"/>
    </row>
    <row r="589" ht="15.75" customHeight="1">
      <c r="A589" s="90"/>
      <c r="B589" s="292"/>
      <c r="C589" s="293"/>
      <c r="D589" s="90"/>
      <c r="E589" s="293"/>
      <c r="F589" s="294"/>
      <c r="G589" s="292"/>
      <c r="H589" s="293"/>
      <c r="I589" s="294"/>
      <c r="J589" s="90"/>
      <c r="K589" s="296"/>
      <c r="L589" s="296"/>
      <c r="M589" s="296"/>
      <c r="N589" s="296"/>
      <c r="O589" s="296"/>
      <c r="P589" s="296"/>
      <c r="Q589" s="297"/>
      <c r="R589" s="90"/>
      <c r="S589" s="90"/>
      <c r="T589" s="264"/>
      <c r="U589" s="90"/>
      <c r="V589" s="90"/>
      <c r="W589" s="90"/>
      <c r="X589" s="90"/>
      <c r="Y589" s="90"/>
      <c r="Z589" s="90"/>
      <c r="AA589" s="90"/>
    </row>
    <row r="590" ht="15.75" customHeight="1">
      <c r="A590" s="90"/>
      <c r="B590" s="292"/>
      <c r="C590" s="293"/>
      <c r="D590" s="90"/>
      <c r="E590" s="293"/>
      <c r="F590" s="294"/>
      <c r="G590" s="292"/>
      <c r="H590" s="293"/>
      <c r="I590" s="294"/>
      <c r="J590" s="90"/>
      <c r="K590" s="296"/>
      <c r="L590" s="296"/>
      <c r="M590" s="296"/>
      <c r="N590" s="296"/>
      <c r="O590" s="296"/>
      <c r="P590" s="296"/>
      <c r="Q590" s="297"/>
      <c r="R590" s="90"/>
      <c r="S590" s="90"/>
      <c r="T590" s="264"/>
      <c r="U590" s="90"/>
      <c r="V590" s="90"/>
      <c r="W590" s="90"/>
      <c r="X590" s="90"/>
      <c r="Y590" s="90"/>
      <c r="Z590" s="90"/>
      <c r="AA590" s="90"/>
    </row>
    <row r="591" ht="15.75" customHeight="1">
      <c r="A591" s="90"/>
      <c r="B591" s="292"/>
      <c r="C591" s="293"/>
      <c r="D591" s="90"/>
      <c r="E591" s="293"/>
      <c r="F591" s="294"/>
      <c r="G591" s="292"/>
      <c r="H591" s="293"/>
      <c r="I591" s="294"/>
      <c r="J591" s="90"/>
      <c r="K591" s="296"/>
      <c r="L591" s="296"/>
      <c r="M591" s="296"/>
      <c r="N591" s="296"/>
      <c r="O591" s="296"/>
      <c r="P591" s="296"/>
      <c r="Q591" s="297"/>
      <c r="R591" s="90"/>
      <c r="S591" s="90"/>
      <c r="T591" s="264"/>
      <c r="U591" s="90"/>
      <c r="V591" s="90"/>
      <c r="W591" s="90"/>
      <c r="X591" s="90"/>
      <c r="Y591" s="90"/>
      <c r="Z591" s="90"/>
      <c r="AA591" s="90"/>
    </row>
    <row r="592" ht="15.75" customHeight="1">
      <c r="A592" s="90"/>
      <c r="B592" s="292"/>
      <c r="C592" s="293"/>
      <c r="D592" s="90"/>
      <c r="E592" s="293"/>
      <c r="F592" s="294"/>
      <c r="G592" s="292"/>
      <c r="H592" s="293"/>
      <c r="I592" s="294"/>
      <c r="J592" s="90"/>
      <c r="K592" s="296"/>
      <c r="L592" s="296"/>
      <c r="M592" s="296"/>
      <c r="N592" s="296"/>
      <c r="O592" s="296"/>
      <c r="P592" s="296"/>
      <c r="Q592" s="297"/>
      <c r="R592" s="90"/>
      <c r="S592" s="90"/>
      <c r="T592" s="264"/>
      <c r="U592" s="90"/>
      <c r="V592" s="90"/>
      <c r="W592" s="90"/>
      <c r="X592" s="90"/>
      <c r="Y592" s="90"/>
      <c r="Z592" s="90"/>
      <c r="AA592" s="90"/>
    </row>
    <row r="593" ht="15.75" customHeight="1">
      <c r="A593" s="90"/>
      <c r="B593" s="292"/>
      <c r="C593" s="293"/>
      <c r="D593" s="90"/>
      <c r="E593" s="293"/>
      <c r="F593" s="294"/>
      <c r="G593" s="292"/>
      <c r="H593" s="293"/>
      <c r="I593" s="294"/>
      <c r="J593" s="90"/>
      <c r="K593" s="296"/>
      <c r="L593" s="296"/>
      <c r="M593" s="296"/>
      <c r="N593" s="296"/>
      <c r="O593" s="296"/>
      <c r="P593" s="296"/>
      <c r="Q593" s="297"/>
      <c r="R593" s="90"/>
      <c r="S593" s="90"/>
      <c r="T593" s="264"/>
      <c r="U593" s="90"/>
      <c r="V593" s="90"/>
      <c r="W593" s="90"/>
      <c r="X593" s="90"/>
      <c r="Y593" s="90"/>
      <c r="Z593" s="90"/>
      <c r="AA593" s="90"/>
    </row>
    <row r="594" ht="15.75" customHeight="1">
      <c r="A594" s="90"/>
      <c r="B594" s="292"/>
      <c r="C594" s="293"/>
      <c r="D594" s="90"/>
      <c r="E594" s="293"/>
      <c r="F594" s="294"/>
      <c r="G594" s="292"/>
      <c r="H594" s="293"/>
      <c r="I594" s="294"/>
      <c r="J594" s="90"/>
      <c r="K594" s="296"/>
      <c r="L594" s="296"/>
      <c r="M594" s="296"/>
      <c r="N594" s="296"/>
      <c r="O594" s="296"/>
      <c r="P594" s="296"/>
      <c r="Q594" s="297"/>
      <c r="R594" s="90"/>
      <c r="S594" s="90"/>
      <c r="T594" s="264"/>
      <c r="U594" s="90"/>
      <c r="V594" s="90"/>
      <c r="W594" s="90"/>
      <c r="X594" s="90"/>
      <c r="Y594" s="90"/>
      <c r="Z594" s="90"/>
      <c r="AA594" s="90"/>
    </row>
    <row r="595" ht="15.75" customHeight="1">
      <c r="A595" s="90"/>
      <c r="B595" s="292"/>
      <c r="C595" s="293"/>
      <c r="D595" s="90"/>
      <c r="E595" s="293"/>
      <c r="F595" s="294"/>
      <c r="G595" s="292"/>
      <c r="H595" s="293"/>
      <c r="I595" s="294"/>
      <c r="J595" s="90"/>
      <c r="K595" s="296"/>
      <c r="L595" s="296"/>
      <c r="M595" s="296"/>
      <c r="N595" s="296"/>
      <c r="O595" s="296"/>
      <c r="P595" s="296"/>
      <c r="Q595" s="297"/>
      <c r="R595" s="90"/>
      <c r="S595" s="90"/>
      <c r="T595" s="264"/>
      <c r="U595" s="90"/>
      <c r="V595" s="90"/>
      <c r="W595" s="90"/>
      <c r="X595" s="90"/>
      <c r="Y595" s="90"/>
      <c r="Z595" s="90"/>
      <c r="AA595" s="90"/>
    </row>
    <row r="596" ht="15.75" customHeight="1">
      <c r="A596" s="90"/>
      <c r="B596" s="292"/>
      <c r="C596" s="293"/>
      <c r="D596" s="90"/>
      <c r="E596" s="293"/>
      <c r="F596" s="294"/>
      <c r="G596" s="292"/>
      <c r="H596" s="293"/>
      <c r="I596" s="294"/>
      <c r="J596" s="90"/>
      <c r="K596" s="296"/>
      <c r="L596" s="296"/>
      <c r="M596" s="296"/>
      <c r="N596" s="296"/>
      <c r="O596" s="296"/>
      <c r="P596" s="296"/>
      <c r="Q596" s="297"/>
      <c r="R596" s="90"/>
      <c r="S596" s="90"/>
      <c r="T596" s="264"/>
      <c r="U596" s="90"/>
      <c r="V596" s="90"/>
      <c r="W596" s="90"/>
      <c r="X596" s="90"/>
      <c r="Y596" s="90"/>
      <c r="Z596" s="90"/>
      <c r="AA596" s="90"/>
    </row>
    <row r="597" ht="15.75" customHeight="1">
      <c r="A597" s="90"/>
      <c r="B597" s="292"/>
      <c r="C597" s="293"/>
      <c r="D597" s="90"/>
      <c r="E597" s="293"/>
      <c r="F597" s="294"/>
      <c r="G597" s="292"/>
      <c r="H597" s="293"/>
      <c r="I597" s="294"/>
      <c r="J597" s="90"/>
      <c r="K597" s="296"/>
      <c r="L597" s="296"/>
      <c r="M597" s="296"/>
      <c r="N597" s="296"/>
      <c r="O597" s="296"/>
      <c r="P597" s="296"/>
      <c r="Q597" s="297"/>
      <c r="R597" s="90"/>
      <c r="S597" s="90"/>
      <c r="T597" s="264"/>
      <c r="U597" s="90"/>
      <c r="V597" s="90"/>
      <c r="W597" s="90"/>
      <c r="X597" s="90"/>
      <c r="Y597" s="90"/>
      <c r="Z597" s="90"/>
      <c r="AA597" s="90"/>
    </row>
    <row r="598" ht="15.75" customHeight="1">
      <c r="A598" s="90"/>
      <c r="B598" s="292"/>
      <c r="C598" s="293"/>
      <c r="D598" s="90"/>
      <c r="E598" s="293"/>
      <c r="F598" s="294"/>
      <c r="G598" s="292"/>
      <c r="H598" s="293"/>
      <c r="I598" s="294"/>
      <c r="J598" s="90"/>
      <c r="K598" s="296"/>
      <c r="L598" s="296"/>
      <c r="M598" s="296"/>
      <c r="N598" s="296"/>
      <c r="O598" s="296"/>
      <c r="P598" s="296"/>
      <c r="Q598" s="297"/>
      <c r="R598" s="90"/>
      <c r="S598" s="90"/>
      <c r="T598" s="264"/>
      <c r="U598" s="90"/>
      <c r="V598" s="90"/>
      <c r="W598" s="90"/>
      <c r="X598" s="90"/>
      <c r="Y598" s="90"/>
      <c r="Z598" s="90"/>
      <c r="AA598" s="90"/>
    </row>
    <row r="599" ht="15.75" customHeight="1">
      <c r="A599" s="90"/>
      <c r="B599" s="292"/>
      <c r="C599" s="293"/>
      <c r="D599" s="90"/>
      <c r="E599" s="293"/>
      <c r="F599" s="294"/>
      <c r="G599" s="292"/>
      <c r="H599" s="293"/>
      <c r="I599" s="294"/>
      <c r="J599" s="90"/>
      <c r="K599" s="296"/>
      <c r="L599" s="296"/>
      <c r="M599" s="296"/>
      <c r="N599" s="296"/>
      <c r="O599" s="296"/>
      <c r="P599" s="296"/>
      <c r="Q599" s="297"/>
      <c r="R599" s="90"/>
      <c r="S599" s="90"/>
      <c r="T599" s="264"/>
      <c r="U599" s="90"/>
      <c r="V599" s="90"/>
      <c r="W599" s="90"/>
      <c r="X599" s="90"/>
      <c r="Y599" s="90"/>
      <c r="Z599" s="90"/>
      <c r="AA599" s="90"/>
    </row>
    <row r="600" ht="15.75" customHeight="1">
      <c r="A600" s="90"/>
      <c r="B600" s="292"/>
      <c r="C600" s="293"/>
      <c r="D600" s="90"/>
      <c r="E600" s="293"/>
      <c r="F600" s="294"/>
      <c r="G600" s="292"/>
      <c r="H600" s="293"/>
      <c r="I600" s="294"/>
      <c r="J600" s="90"/>
      <c r="K600" s="296"/>
      <c r="L600" s="296"/>
      <c r="M600" s="296"/>
      <c r="N600" s="296"/>
      <c r="O600" s="296"/>
      <c r="P600" s="296"/>
      <c r="Q600" s="297"/>
      <c r="R600" s="90"/>
      <c r="S600" s="90"/>
      <c r="T600" s="264"/>
      <c r="U600" s="90"/>
      <c r="V600" s="90"/>
      <c r="W600" s="90"/>
      <c r="X600" s="90"/>
      <c r="Y600" s="90"/>
      <c r="Z600" s="90"/>
      <c r="AA600" s="90"/>
    </row>
    <row r="601" ht="15.75" customHeight="1">
      <c r="A601" s="90"/>
      <c r="B601" s="292"/>
      <c r="C601" s="293"/>
      <c r="D601" s="90"/>
      <c r="E601" s="293"/>
      <c r="F601" s="294"/>
      <c r="G601" s="292"/>
      <c r="H601" s="293"/>
      <c r="I601" s="294"/>
      <c r="J601" s="90"/>
      <c r="K601" s="296"/>
      <c r="L601" s="296"/>
      <c r="M601" s="296"/>
      <c r="N601" s="296"/>
      <c r="O601" s="296"/>
      <c r="P601" s="296"/>
      <c r="Q601" s="297"/>
      <c r="R601" s="90"/>
      <c r="S601" s="90"/>
      <c r="T601" s="264"/>
      <c r="U601" s="90"/>
      <c r="V601" s="90"/>
      <c r="W601" s="90"/>
      <c r="X601" s="90"/>
      <c r="Y601" s="90"/>
      <c r="Z601" s="90"/>
      <c r="AA601" s="90"/>
    </row>
    <row r="602" ht="15.75" customHeight="1">
      <c r="A602" s="90"/>
      <c r="B602" s="292"/>
      <c r="C602" s="293"/>
      <c r="D602" s="90"/>
      <c r="E602" s="293"/>
      <c r="F602" s="294"/>
      <c r="G602" s="292"/>
      <c r="H602" s="293"/>
      <c r="I602" s="294"/>
      <c r="J602" s="90"/>
      <c r="K602" s="296"/>
      <c r="L602" s="296"/>
      <c r="M602" s="296"/>
      <c r="N602" s="296"/>
      <c r="O602" s="296"/>
      <c r="P602" s="296"/>
      <c r="Q602" s="297"/>
      <c r="R602" s="90"/>
      <c r="S602" s="90"/>
      <c r="T602" s="264"/>
      <c r="U602" s="90"/>
      <c r="V602" s="90"/>
      <c r="W602" s="90"/>
      <c r="X602" s="90"/>
      <c r="Y602" s="90"/>
      <c r="Z602" s="90"/>
      <c r="AA602" s="90"/>
    </row>
    <row r="603" ht="15.75" customHeight="1">
      <c r="A603" s="90"/>
      <c r="B603" s="292"/>
      <c r="C603" s="293"/>
      <c r="D603" s="90"/>
      <c r="E603" s="293"/>
      <c r="F603" s="294"/>
      <c r="G603" s="292"/>
      <c r="H603" s="293"/>
      <c r="I603" s="294"/>
      <c r="J603" s="90"/>
      <c r="K603" s="296"/>
      <c r="L603" s="296"/>
      <c r="M603" s="296"/>
      <c r="N603" s="296"/>
      <c r="O603" s="296"/>
      <c r="P603" s="296"/>
      <c r="Q603" s="297"/>
      <c r="R603" s="90"/>
      <c r="S603" s="90"/>
      <c r="T603" s="264"/>
      <c r="U603" s="90"/>
      <c r="V603" s="90"/>
      <c r="W603" s="90"/>
      <c r="X603" s="90"/>
      <c r="Y603" s="90"/>
      <c r="Z603" s="90"/>
      <c r="AA603" s="90"/>
    </row>
    <row r="604" ht="15.75" customHeight="1">
      <c r="A604" s="90"/>
      <c r="B604" s="292"/>
      <c r="C604" s="293"/>
      <c r="D604" s="90"/>
      <c r="E604" s="293"/>
      <c r="F604" s="294"/>
      <c r="G604" s="292"/>
      <c r="H604" s="293"/>
      <c r="I604" s="294"/>
      <c r="J604" s="90"/>
      <c r="K604" s="296"/>
      <c r="L604" s="296"/>
      <c r="M604" s="296"/>
      <c r="N604" s="296"/>
      <c r="O604" s="296"/>
      <c r="P604" s="296"/>
      <c r="Q604" s="297"/>
      <c r="R604" s="90"/>
      <c r="S604" s="90"/>
      <c r="T604" s="264"/>
      <c r="U604" s="90"/>
      <c r="V604" s="90"/>
      <c r="W604" s="90"/>
      <c r="X604" s="90"/>
      <c r="Y604" s="90"/>
      <c r="Z604" s="90"/>
      <c r="AA604" s="90"/>
    </row>
    <row r="605" ht="15.75" customHeight="1">
      <c r="A605" s="90"/>
      <c r="B605" s="292"/>
      <c r="C605" s="293"/>
      <c r="D605" s="90"/>
      <c r="E605" s="293"/>
      <c r="F605" s="294"/>
      <c r="G605" s="292"/>
      <c r="H605" s="293"/>
      <c r="I605" s="294"/>
      <c r="J605" s="90"/>
      <c r="K605" s="296"/>
      <c r="L605" s="296"/>
      <c r="M605" s="296"/>
      <c r="N605" s="296"/>
      <c r="O605" s="296"/>
      <c r="P605" s="296"/>
      <c r="Q605" s="297"/>
      <c r="R605" s="90"/>
      <c r="S605" s="90"/>
      <c r="T605" s="264"/>
      <c r="U605" s="90"/>
      <c r="V605" s="90"/>
      <c r="W605" s="90"/>
      <c r="X605" s="90"/>
      <c r="Y605" s="90"/>
      <c r="Z605" s="90"/>
      <c r="AA605" s="90"/>
    </row>
    <row r="606" ht="15.75" customHeight="1">
      <c r="A606" s="90"/>
      <c r="B606" s="292"/>
      <c r="C606" s="293"/>
      <c r="D606" s="90"/>
      <c r="E606" s="293"/>
      <c r="F606" s="294"/>
      <c r="G606" s="292"/>
      <c r="H606" s="293"/>
      <c r="I606" s="294"/>
      <c r="J606" s="90"/>
      <c r="K606" s="296"/>
      <c r="L606" s="296"/>
      <c r="M606" s="296"/>
      <c r="N606" s="296"/>
      <c r="O606" s="296"/>
      <c r="P606" s="296"/>
      <c r="Q606" s="297"/>
      <c r="R606" s="90"/>
      <c r="S606" s="90"/>
      <c r="T606" s="264"/>
      <c r="U606" s="90"/>
      <c r="V606" s="90"/>
      <c r="W606" s="90"/>
      <c r="X606" s="90"/>
      <c r="Y606" s="90"/>
      <c r="Z606" s="90"/>
      <c r="AA606" s="90"/>
    </row>
    <row r="607" ht="15.75" customHeight="1">
      <c r="A607" s="90"/>
      <c r="B607" s="292"/>
      <c r="C607" s="293"/>
      <c r="D607" s="90"/>
      <c r="E607" s="293"/>
      <c r="F607" s="294"/>
      <c r="G607" s="292"/>
      <c r="H607" s="293"/>
      <c r="I607" s="294"/>
      <c r="J607" s="90"/>
      <c r="K607" s="296"/>
      <c r="L607" s="296"/>
      <c r="M607" s="296"/>
      <c r="N607" s="296"/>
      <c r="O607" s="296"/>
      <c r="P607" s="296"/>
      <c r="Q607" s="297"/>
      <c r="R607" s="90"/>
      <c r="S607" s="90"/>
      <c r="T607" s="264"/>
      <c r="U607" s="90"/>
      <c r="V607" s="90"/>
      <c r="W607" s="90"/>
      <c r="X607" s="90"/>
      <c r="Y607" s="90"/>
      <c r="Z607" s="90"/>
      <c r="AA607" s="90"/>
    </row>
    <row r="608" ht="15.75" customHeight="1">
      <c r="A608" s="90"/>
      <c r="B608" s="292"/>
      <c r="C608" s="293"/>
      <c r="D608" s="90"/>
      <c r="E608" s="293"/>
      <c r="F608" s="294"/>
      <c r="G608" s="292"/>
      <c r="H608" s="293"/>
      <c r="I608" s="294"/>
      <c r="J608" s="90"/>
      <c r="K608" s="296"/>
      <c r="L608" s="296"/>
      <c r="M608" s="296"/>
      <c r="N608" s="296"/>
      <c r="O608" s="296"/>
      <c r="P608" s="296"/>
      <c r="Q608" s="297"/>
      <c r="R608" s="90"/>
      <c r="S608" s="90"/>
      <c r="T608" s="264"/>
      <c r="U608" s="90"/>
      <c r="V608" s="90"/>
      <c r="W608" s="90"/>
      <c r="X608" s="90"/>
      <c r="Y608" s="90"/>
      <c r="Z608" s="90"/>
      <c r="AA608" s="90"/>
    </row>
    <row r="609" ht="15.75" customHeight="1">
      <c r="A609" s="90"/>
      <c r="B609" s="292"/>
      <c r="C609" s="293"/>
      <c r="D609" s="90"/>
      <c r="E609" s="293"/>
      <c r="F609" s="294"/>
      <c r="G609" s="292"/>
      <c r="H609" s="293"/>
      <c r="I609" s="294"/>
      <c r="J609" s="90"/>
      <c r="K609" s="296"/>
      <c r="L609" s="296"/>
      <c r="M609" s="296"/>
      <c r="N609" s="296"/>
      <c r="O609" s="296"/>
      <c r="P609" s="296"/>
      <c r="Q609" s="297"/>
      <c r="R609" s="90"/>
      <c r="S609" s="90"/>
      <c r="T609" s="264"/>
      <c r="U609" s="90"/>
      <c r="V609" s="90"/>
      <c r="W609" s="90"/>
      <c r="X609" s="90"/>
      <c r="Y609" s="90"/>
      <c r="Z609" s="90"/>
      <c r="AA609" s="90"/>
    </row>
    <row r="610" ht="15.75" customHeight="1">
      <c r="A610" s="90"/>
      <c r="B610" s="292"/>
      <c r="C610" s="293"/>
      <c r="D610" s="90"/>
      <c r="E610" s="293"/>
      <c r="F610" s="294"/>
      <c r="G610" s="292"/>
      <c r="H610" s="293"/>
      <c r="I610" s="294"/>
      <c r="J610" s="90"/>
      <c r="K610" s="296"/>
      <c r="L610" s="296"/>
      <c r="M610" s="296"/>
      <c r="N610" s="296"/>
      <c r="O610" s="296"/>
      <c r="P610" s="296"/>
      <c r="Q610" s="297"/>
      <c r="R610" s="90"/>
      <c r="S610" s="90"/>
      <c r="T610" s="264"/>
      <c r="U610" s="90"/>
      <c r="V610" s="90"/>
      <c r="W610" s="90"/>
      <c r="X610" s="90"/>
      <c r="Y610" s="90"/>
      <c r="Z610" s="90"/>
      <c r="AA610" s="90"/>
    </row>
    <row r="611" ht="15.75" customHeight="1">
      <c r="A611" s="90"/>
      <c r="B611" s="292"/>
      <c r="C611" s="293"/>
      <c r="D611" s="90"/>
      <c r="E611" s="293"/>
      <c r="F611" s="294"/>
      <c r="G611" s="292"/>
      <c r="H611" s="293"/>
      <c r="I611" s="294"/>
      <c r="J611" s="90"/>
      <c r="K611" s="296"/>
      <c r="L611" s="296"/>
      <c r="M611" s="296"/>
      <c r="N611" s="296"/>
      <c r="O611" s="296"/>
      <c r="P611" s="296"/>
      <c r="Q611" s="297"/>
      <c r="R611" s="90"/>
      <c r="S611" s="90"/>
      <c r="T611" s="264"/>
      <c r="U611" s="90"/>
      <c r="V611" s="90"/>
      <c r="W611" s="90"/>
      <c r="X611" s="90"/>
      <c r="Y611" s="90"/>
      <c r="Z611" s="90"/>
      <c r="AA611" s="90"/>
    </row>
    <row r="612" ht="15.75" customHeight="1">
      <c r="A612" s="90"/>
      <c r="B612" s="292"/>
      <c r="C612" s="293"/>
      <c r="D612" s="90"/>
      <c r="E612" s="293"/>
      <c r="F612" s="294"/>
      <c r="G612" s="292"/>
      <c r="H612" s="293"/>
      <c r="I612" s="294"/>
      <c r="J612" s="90"/>
      <c r="K612" s="296"/>
      <c r="L612" s="296"/>
      <c r="M612" s="296"/>
      <c r="N612" s="296"/>
      <c r="O612" s="296"/>
      <c r="P612" s="296"/>
      <c r="Q612" s="297"/>
      <c r="R612" s="90"/>
      <c r="S612" s="90"/>
      <c r="T612" s="264"/>
      <c r="U612" s="90"/>
      <c r="V612" s="90"/>
      <c r="W612" s="90"/>
      <c r="X612" s="90"/>
      <c r="Y612" s="90"/>
      <c r="Z612" s="90"/>
      <c r="AA612" s="90"/>
    </row>
    <row r="613" ht="15.75" customHeight="1">
      <c r="A613" s="90"/>
      <c r="B613" s="292"/>
      <c r="C613" s="293"/>
      <c r="D613" s="90"/>
      <c r="E613" s="293"/>
      <c r="F613" s="294"/>
      <c r="G613" s="292"/>
      <c r="H613" s="293"/>
      <c r="I613" s="294"/>
      <c r="J613" s="90"/>
      <c r="K613" s="296"/>
      <c r="L613" s="296"/>
      <c r="M613" s="296"/>
      <c r="N613" s="296"/>
      <c r="O613" s="296"/>
      <c r="P613" s="296"/>
      <c r="Q613" s="297"/>
      <c r="R613" s="90"/>
      <c r="S613" s="90"/>
      <c r="T613" s="264"/>
      <c r="U613" s="90"/>
      <c r="V613" s="90"/>
      <c r="W613" s="90"/>
      <c r="X613" s="90"/>
      <c r="Y613" s="90"/>
      <c r="Z613" s="90"/>
      <c r="AA613" s="90"/>
    </row>
    <row r="614" ht="15.75" customHeight="1">
      <c r="A614" s="90"/>
      <c r="B614" s="292"/>
      <c r="C614" s="293"/>
      <c r="D614" s="90"/>
      <c r="E614" s="293"/>
      <c r="F614" s="294"/>
      <c r="G614" s="292"/>
      <c r="H614" s="293"/>
      <c r="I614" s="294"/>
      <c r="J614" s="90"/>
      <c r="K614" s="296"/>
      <c r="L614" s="296"/>
      <c r="M614" s="296"/>
      <c r="N614" s="296"/>
      <c r="O614" s="296"/>
      <c r="P614" s="296"/>
      <c r="Q614" s="297"/>
      <c r="R614" s="90"/>
      <c r="S614" s="90"/>
      <c r="T614" s="264"/>
      <c r="U614" s="90"/>
      <c r="V614" s="90"/>
      <c r="W614" s="90"/>
      <c r="X614" s="90"/>
      <c r="Y614" s="90"/>
      <c r="Z614" s="90"/>
      <c r="AA614" s="90"/>
    </row>
    <row r="615" ht="15.75" customHeight="1">
      <c r="A615" s="90"/>
      <c r="B615" s="292"/>
      <c r="C615" s="293"/>
      <c r="D615" s="90"/>
      <c r="E615" s="293"/>
      <c r="F615" s="294"/>
      <c r="G615" s="292"/>
      <c r="H615" s="293"/>
      <c r="I615" s="294"/>
      <c r="J615" s="90"/>
      <c r="K615" s="296"/>
      <c r="L615" s="296"/>
      <c r="M615" s="296"/>
      <c r="N615" s="296"/>
      <c r="O615" s="296"/>
      <c r="P615" s="296"/>
      <c r="Q615" s="297"/>
      <c r="R615" s="90"/>
      <c r="S615" s="90"/>
      <c r="T615" s="264"/>
      <c r="U615" s="90"/>
      <c r="V615" s="90"/>
      <c r="W615" s="90"/>
      <c r="X615" s="90"/>
      <c r="Y615" s="90"/>
      <c r="Z615" s="90"/>
      <c r="AA615" s="90"/>
    </row>
    <row r="616" ht="15.75" customHeight="1">
      <c r="A616" s="90"/>
      <c r="B616" s="292"/>
      <c r="C616" s="293"/>
      <c r="D616" s="90"/>
      <c r="E616" s="293"/>
      <c r="F616" s="294"/>
      <c r="G616" s="292"/>
      <c r="H616" s="293"/>
      <c r="I616" s="294"/>
      <c r="J616" s="90"/>
      <c r="K616" s="296"/>
      <c r="L616" s="296"/>
      <c r="M616" s="296"/>
      <c r="N616" s="296"/>
      <c r="O616" s="296"/>
      <c r="P616" s="296"/>
      <c r="Q616" s="297"/>
      <c r="R616" s="90"/>
      <c r="S616" s="90"/>
      <c r="T616" s="264"/>
      <c r="U616" s="90"/>
      <c r="V616" s="90"/>
      <c r="W616" s="90"/>
      <c r="X616" s="90"/>
      <c r="Y616" s="90"/>
      <c r="Z616" s="90"/>
      <c r="AA616" s="90"/>
    </row>
    <row r="617" ht="15.75" customHeight="1">
      <c r="A617" s="90"/>
      <c r="B617" s="292"/>
      <c r="C617" s="293"/>
      <c r="D617" s="90"/>
      <c r="E617" s="293"/>
      <c r="F617" s="294"/>
      <c r="G617" s="292"/>
      <c r="H617" s="293"/>
      <c r="I617" s="294"/>
      <c r="J617" s="90"/>
      <c r="K617" s="296"/>
      <c r="L617" s="296"/>
      <c r="M617" s="296"/>
      <c r="N617" s="296"/>
      <c r="O617" s="296"/>
      <c r="P617" s="296"/>
      <c r="Q617" s="297"/>
      <c r="R617" s="90"/>
      <c r="S617" s="90"/>
      <c r="T617" s="264"/>
      <c r="U617" s="90"/>
      <c r="V617" s="90"/>
      <c r="W617" s="90"/>
      <c r="X617" s="90"/>
      <c r="Y617" s="90"/>
      <c r="Z617" s="90"/>
      <c r="AA617" s="90"/>
    </row>
    <row r="618" ht="15.75" customHeight="1">
      <c r="A618" s="90"/>
      <c r="B618" s="292"/>
      <c r="C618" s="293"/>
      <c r="D618" s="90"/>
      <c r="E618" s="293"/>
      <c r="F618" s="294"/>
      <c r="G618" s="292"/>
      <c r="H618" s="293"/>
      <c r="I618" s="294"/>
      <c r="J618" s="90"/>
      <c r="K618" s="296"/>
      <c r="L618" s="296"/>
      <c r="M618" s="296"/>
      <c r="N618" s="296"/>
      <c r="O618" s="296"/>
      <c r="P618" s="296"/>
      <c r="Q618" s="297"/>
      <c r="R618" s="90"/>
      <c r="S618" s="90"/>
      <c r="T618" s="264"/>
      <c r="U618" s="90"/>
      <c r="V618" s="90"/>
      <c r="W618" s="90"/>
      <c r="X618" s="90"/>
      <c r="Y618" s="90"/>
      <c r="Z618" s="90"/>
      <c r="AA618" s="90"/>
    </row>
    <row r="619" ht="15.75" customHeight="1">
      <c r="A619" s="90"/>
      <c r="B619" s="292"/>
      <c r="C619" s="293"/>
      <c r="D619" s="90"/>
      <c r="E619" s="293"/>
      <c r="F619" s="294"/>
      <c r="G619" s="292"/>
      <c r="H619" s="293"/>
      <c r="I619" s="294"/>
      <c r="J619" s="90"/>
      <c r="K619" s="296"/>
      <c r="L619" s="296"/>
      <c r="M619" s="296"/>
      <c r="N619" s="296"/>
      <c r="O619" s="296"/>
      <c r="P619" s="296"/>
      <c r="Q619" s="297"/>
      <c r="R619" s="90"/>
      <c r="S619" s="90"/>
      <c r="T619" s="264"/>
      <c r="U619" s="90"/>
      <c r="V619" s="90"/>
      <c r="W619" s="90"/>
      <c r="X619" s="90"/>
      <c r="Y619" s="90"/>
      <c r="Z619" s="90"/>
      <c r="AA619" s="90"/>
    </row>
    <row r="620" ht="15.75" customHeight="1">
      <c r="A620" s="90"/>
      <c r="B620" s="292"/>
      <c r="C620" s="293"/>
      <c r="D620" s="90"/>
      <c r="E620" s="293"/>
      <c r="F620" s="294"/>
      <c r="G620" s="292"/>
      <c r="H620" s="293"/>
      <c r="I620" s="294"/>
      <c r="J620" s="90"/>
      <c r="K620" s="296"/>
      <c r="L620" s="296"/>
      <c r="M620" s="296"/>
      <c r="N620" s="296"/>
      <c r="O620" s="296"/>
      <c r="P620" s="296"/>
      <c r="Q620" s="297"/>
      <c r="R620" s="90"/>
      <c r="S620" s="90"/>
      <c r="T620" s="264"/>
      <c r="U620" s="90"/>
      <c r="V620" s="90"/>
      <c r="W620" s="90"/>
      <c r="X620" s="90"/>
      <c r="Y620" s="90"/>
      <c r="Z620" s="90"/>
      <c r="AA620" s="90"/>
    </row>
    <row r="621" ht="15.75" customHeight="1">
      <c r="A621" s="90"/>
      <c r="B621" s="292"/>
      <c r="C621" s="293"/>
      <c r="D621" s="90"/>
      <c r="E621" s="293"/>
      <c r="F621" s="294"/>
      <c r="G621" s="292"/>
      <c r="H621" s="293"/>
      <c r="I621" s="294"/>
      <c r="J621" s="90"/>
      <c r="K621" s="296"/>
      <c r="L621" s="296"/>
      <c r="M621" s="296"/>
      <c r="N621" s="296"/>
      <c r="O621" s="296"/>
      <c r="P621" s="296"/>
      <c r="Q621" s="297"/>
      <c r="R621" s="90"/>
      <c r="S621" s="90"/>
      <c r="T621" s="264"/>
      <c r="U621" s="90"/>
      <c r="V621" s="90"/>
      <c r="W621" s="90"/>
      <c r="X621" s="90"/>
      <c r="Y621" s="90"/>
      <c r="Z621" s="90"/>
      <c r="AA621" s="90"/>
    </row>
    <row r="622" ht="15.75" customHeight="1">
      <c r="A622" s="90"/>
      <c r="B622" s="292"/>
      <c r="C622" s="293"/>
      <c r="D622" s="90"/>
      <c r="E622" s="293"/>
      <c r="F622" s="294"/>
      <c r="G622" s="292"/>
      <c r="H622" s="293"/>
      <c r="I622" s="294"/>
      <c r="J622" s="90"/>
      <c r="K622" s="296"/>
      <c r="L622" s="296"/>
      <c r="M622" s="296"/>
      <c r="N622" s="296"/>
      <c r="O622" s="296"/>
      <c r="P622" s="296"/>
      <c r="Q622" s="297"/>
      <c r="R622" s="90"/>
      <c r="S622" s="90"/>
      <c r="T622" s="264"/>
      <c r="U622" s="90"/>
      <c r="V622" s="90"/>
      <c r="W622" s="90"/>
      <c r="X622" s="90"/>
      <c r="Y622" s="90"/>
      <c r="Z622" s="90"/>
      <c r="AA622" s="90"/>
    </row>
    <row r="623" ht="15.75" customHeight="1">
      <c r="A623" s="90"/>
      <c r="B623" s="292"/>
      <c r="C623" s="293"/>
      <c r="D623" s="90"/>
      <c r="E623" s="293"/>
      <c r="F623" s="294"/>
      <c r="G623" s="292"/>
      <c r="H623" s="293"/>
      <c r="I623" s="294"/>
      <c r="J623" s="90"/>
      <c r="K623" s="296"/>
      <c r="L623" s="296"/>
      <c r="M623" s="296"/>
      <c r="N623" s="296"/>
      <c r="O623" s="296"/>
      <c r="P623" s="296"/>
      <c r="Q623" s="297"/>
      <c r="R623" s="90"/>
      <c r="S623" s="90"/>
      <c r="T623" s="264"/>
      <c r="U623" s="90"/>
      <c r="V623" s="90"/>
      <c r="W623" s="90"/>
      <c r="X623" s="90"/>
      <c r="Y623" s="90"/>
      <c r="Z623" s="90"/>
      <c r="AA623" s="90"/>
    </row>
    <row r="624" ht="15.75" customHeight="1">
      <c r="A624" s="90"/>
      <c r="B624" s="292"/>
      <c r="C624" s="293"/>
      <c r="D624" s="90"/>
      <c r="E624" s="293"/>
      <c r="F624" s="294"/>
      <c r="G624" s="292"/>
      <c r="H624" s="293"/>
      <c r="I624" s="294"/>
      <c r="J624" s="90"/>
      <c r="K624" s="296"/>
      <c r="L624" s="296"/>
      <c r="M624" s="296"/>
      <c r="N624" s="296"/>
      <c r="O624" s="296"/>
      <c r="P624" s="296"/>
      <c r="Q624" s="297"/>
      <c r="R624" s="90"/>
      <c r="S624" s="90"/>
      <c r="T624" s="264"/>
      <c r="U624" s="90"/>
      <c r="V624" s="90"/>
      <c r="W624" s="90"/>
      <c r="X624" s="90"/>
      <c r="Y624" s="90"/>
      <c r="Z624" s="90"/>
      <c r="AA624" s="90"/>
    </row>
    <row r="625" ht="15.75" customHeight="1">
      <c r="A625" s="90"/>
      <c r="B625" s="292"/>
      <c r="C625" s="293"/>
      <c r="D625" s="90"/>
      <c r="E625" s="293"/>
      <c r="F625" s="294"/>
      <c r="G625" s="292"/>
      <c r="H625" s="293"/>
      <c r="I625" s="294"/>
      <c r="J625" s="90"/>
      <c r="K625" s="296"/>
      <c r="L625" s="296"/>
      <c r="M625" s="296"/>
      <c r="N625" s="296"/>
      <c r="O625" s="296"/>
      <c r="P625" s="296"/>
      <c r="Q625" s="297"/>
      <c r="R625" s="90"/>
      <c r="S625" s="90"/>
      <c r="T625" s="264"/>
      <c r="U625" s="90"/>
      <c r="V625" s="90"/>
      <c r="W625" s="90"/>
      <c r="X625" s="90"/>
      <c r="Y625" s="90"/>
      <c r="Z625" s="90"/>
      <c r="AA625" s="90"/>
    </row>
    <row r="626" ht="15.75" customHeight="1">
      <c r="A626" s="90"/>
      <c r="B626" s="292"/>
      <c r="C626" s="293"/>
      <c r="D626" s="90"/>
      <c r="E626" s="293"/>
      <c r="F626" s="294"/>
      <c r="G626" s="292"/>
      <c r="H626" s="293"/>
      <c r="I626" s="294"/>
      <c r="J626" s="90"/>
      <c r="K626" s="296"/>
      <c r="L626" s="296"/>
      <c r="M626" s="296"/>
      <c r="N626" s="296"/>
      <c r="O626" s="296"/>
      <c r="P626" s="296"/>
      <c r="Q626" s="297"/>
      <c r="R626" s="90"/>
      <c r="S626" s="90"/>
      <c r="T626" s="264"/>
      <c r="U626" s="90"/>
      <c r="V626" s="90"/>
      <c r="W626" s="90"/>
      <c r="X626" s="90"/>
      <c r="Y626" s="90"/>
      <c r="Z626" s="90"/>
      <c r="AA626" s="90"/>
    </row>
    <row r="627" ht="15.75" customHeight="1">
      <c r="A627" s="90"/>
      <c r="B627" s="292"/>
      <c r="C627" s="293"/>
      <c r="D627" s="90"/>
      <c r="E627" s="293"/>
      <c r="F627" s="294"/>
      <c r="G627" s="292"/>
      <c r="H627" s="293"/>
      <c r="I627" s="294"/>
      <c r="J627" s="90"/>
      <c r="K627" s="296"/>
      <c r="L627" s="296"/>
      <c r="M627" s="296"/>
      <c r="N627" s="296"/>
      <c r="O627" s="296"/>
      <c r="P627" s="296"/>
      <c r="Q627" s="297"/>
      <c r="R627" s="90"/>
      <c r="S627" s="90"/>
      <c r="T627" s="264"/>
      <c r="U627" s="90"/>
      <c r="V627" s="90"/>
      <c r="W627" s="90"/>
      <c r="X627" s="90"/>
      <c r="Y627" s="90"/>
      <c r="Z627" s="90"/>
      <c r="AA627" s="90"/>
    </row>
    <row r="628" ht="15.75" customHeight="1">
      <c r="A628" s="90"/>
      <c r="B628" s="292"/>
      <c r="C628" s="293"/>
      <c r="D628" s="90"/>
      <c r="E628" s="293"/>
      <c r="F628" s="294"/>
      <c r="G628" s="292"/>
      <c r="H628" s="293"/>
      <c r="I628" s="294"/>
      <c r="J628" s="90"/>
      <c r="K628" s="296"/>
      <c r="L628" s="296"/>
      <c r="M628" s="296"/>
      <c r="N628" s="296"/>
      <c r="O628" s="296"/>
      <c r="P628" s="296"/>
      <c r="Q628" s="297"/>
      <c r="R628" s="90"/>
      <c r="S628" s="90"/>
      <c r="T628" s="264"/>
      <c r="U628" s="90"/>
      <c r="V628" s="90"/>
      <c r="W628" s="90"/>
      <c r="X628" s="90"/>
      <c r="Y628" s="90"/>
      <c r="Z628" s="90"/>
      <c r="AA628" s="90"/>
    </row>
    <row r="629" ht="15.75" customHeight="1">
      <c r="A629" s="90"/>
      <c r="B629" s="292"/>
      <c r="C629" s="293"/>
      <c r="D629" s="90"/>
      <c r="E629" s="293"/>
      <c r="F629" s="294"/>
      <c r="G629" s="292"/>
      <c r="H629" s="293"/>
      <c r="I629" s="294"/>
      <c r="J629" s="90"/>
      <c r="K629" s="296"/>
      <c r="L629" s="296"/>
      <c r="M629" s="296"/>
      <c r="N629" s="296"/>
      <c r="O629" s="296"/>
      <c r="P629" s="296"/>
      <c r="Q629" s="297"/>
      <c r="R629" s="90"/>
      <c r="S629" s="90"/>
      <c r="T629" s="264"/>
      <c r="U629" s="90"/>
      <c r="V629" s="90"/>
      <c r="W629" s="90"/>
      <c r="X629" s="90"/>
      <c r="Y629" s="90"/>
      <c r="Z629" s="90"/>
      <c r="AA629" s="90"/>
    </row>
    <row r="630" ht="15.75" customHeight="1">
      <c r="A630" s="90"/>
      <c r="B630" s="292"/>
      <c r="C630" s="293"/>
      <c r="D630" s="90"/>
      <c r="E630" s="293"/>
      <c r="F630" s="294"/>
      <c r="G630" s="292"/>
      <c r="H630" s="293"/>
      <c r="I630" s="294"/>
      <c r="J630" s="90"/>
      <c r="K630" s="296"/>
      <c r="L630" s="296"/>
      <c r="M630" s="296"/>
      <c r="N630" s="296"/>
      <c r="O630" s="296"/>
      <c r="P630" s="296"/>
      <c r="Q630" s="297"/>
      <c r="R630" s="90"/>
      <c r="S630" s="90"/>
      <c r="T630" s="264"/>
      <c r="U630" s="90"/>
      <c r="V630" s="90"/>
      <c r="W630" s="90"/>
      <c r="X630" s="90"/>
      <c r="Y630" s="90"/>
      <c r="Z630" s="90"/>
      <c r="AA630" s="90"/>
    </row>
    <row r="631" ht="15.75" customHeight="1">
      <c r="A631" s="90"/>
      <c r="B631" s="292"/>
      <c r="C631" s="293"/>
      <c r="D631" s="90"/>
      <c r="E631" s="293"/>
      <c r="F631" s="294"/>
      <c r="G631" s="292"/>
      <c r="H631" s="293"/>
      <c r="I631" s="294"/>
      <c r="J631" s="90"/>
      <c r="K631" s="296"/>
      <c r="L631" s="296"/>
      <c r="M631" s="296"/>
      <c r="N631" s="296"/>
      <c r="O631" s="296"/>
      <c r="P631" s="296"/>
      <c r="Q631" s="297"/>
      <c r="R631" s="90"/>
      <c r="S631" s="90"/>
      <c r="T631" s="264"/>
      <c r="U631" s="90"/>
      <c r="V631" s="90"/>
      <c r="W631" s="90"/>
      <c r="X631" s="90"/>
      <c r="Y631" s="90"/>
      <c r="Z631" s="90"/>
      <c r="AA631" s="90"/>
    </row>
    <row r="632" ht="15.75" customHeight="1">
      <c r="A632" s="90"/>
      <c r="B632" s="292"/>
      <c r="C632" s="293"/>
      <c r="D632" s="90"/>
      <c r="E632" s="293"/>
      <c r="F632" s="294"/>
      <c r="G632" s="292"/>
      <c r="H632" s="293"/>
      <c r="I632" s="294"/>
      <c r="J632" s="90"/>
      <c r="K632" s="296"/>
      <c r="L632" s="296"/>
      <c r="M632" s="296"/>
      <c r="N632" s="296"/>
      <c r="O632" s="296"/>
      <c r="P632" s="296"/>
      <c r="Q632" s="297"/>
      <c r="R632" s="90"/>
      <c r="S632" s="90"/>
      <c r="T632" s="264"/>
      <c r="U632" s="90"/>
      <c r="V632" s="90"/>
      <c r="W632" s="90"/>
      <c r="X632" s="90"/>
      <c r="Y632" s="90"/>
      <c r="Z632" s="90"/>
      <c r="AA632" s="90"/>
    </row>
    <row r="633" ht="15.75" customHeight="1">
      <c r="A633" s="90"/>
      <c r="B633" s="292"/>
      <c r="C633" s="293"/>
      <c r="D633" s="90"/>
      <c r="E633" s="293"/>
      <c r="F633" s="294"/>
      <c r="G633" s="292"/>
      <c r="H633" s="293"/>
      <c r="I633" s="294"/>
      <c r="J633" s="90"/>
      <c r="K633" s="296"/>
      <c r="L633" s="296"/>
      <c r="M633" s="296"/>
      <c r="N633" s="296"/>
      <c r="O633" s="296"/>
      <c r="P633" s="296"/>
      <c r="Q633" s="297"/>
      <c r="R633" s="90"/>
      <c r="S633" s="90"/>
      <c r="T633" s="264"/>
      <c r="U633" s="90"/>
      <c r="V633" s="90"/>
      <c r="W633" s="90"/>
      <c r="X633" s="90"/>
      <c r="Y633" s="90"/>
      <c r="Z633" s="90"/>
      <c r="AA633" s="90"/>
    </row>
    <row r="634" ht="15.75" customHeight="1">
      <c r="A634" s="90"/>
      <c r="B634" s="292"/>
      <c r="C634" s="293"/>
      <c r="D634" s="90"/>
      <c r="E634" s="293"/>
      <c r="F634" s="294"/>
      <c r="G634" s="292"/>
      <c r="H634" s="293"/>
      <c r="I634" s="294"/>
      <c r="J634" s="90"/>
      <c r="K634" s="296"/>
      <c r="L634" s="296"/>
      <c r="M634" s="296"/>
      <c r="N634" s="296"/>
      <c r="O634" s="296"/>
      <c r="P634" s="296"/>
      <c r="Q634" s="297"/>
      <c r="R634" s="90"/>
      <c r="S634" s="90"/>
      <c r="T634" s="264"/>
      <c r="U634" s="90"/>
      <c r="V634" s="90"/>
      <c r="W634" s="90"/>
      <c r="X634" s="90"/>
      <c r="Y634" s="90"/>
      <c r="Z634" s="90"/>
      <c r="AA634" s="90"/>
    </row>
    <row r="635" ht="15.75" customHeight="1">
      <c r="A635" s="90"/>
      <c r="B635" s="292"/>
      <c r="C635" s="293"/>
      <c r="D635" s="90"/>
      <c r="E635" s="293"/>
      <c r="F635" s="294"/>
      <c r="G635" s="292"/>
      <c r="H635" s="293"/>
      <c r="I635" s="294"/>
      <c r="J635" s="90"/>
      <c r="K635" s="296"/>
      <c r="L635" s="296"/>
      <c r="M635" s="296"/>
      <c r="N635" s="296"/>
      <c r="O635" s="296"/>
      <c r="P635" s="296"/>
      <c r="Q635" s="297"/>
      <c r="R635" s="90"/>
      <c r="S635" s="90"/>
      <c r="T635" s="264"/>
      <c r="U635" s="90"/>
      <c r="V635" s="90"/>
      <c r="W635" s="90"/>
      <c r="X635" s="90"/>
      <c r="Y635" s="90"/>
      <c r="Z635" s="90"/>
      <c r="AA635" s="90"/>
    </row>
    <row r="636" ht="15.75" customHeight="1">
      <c r="A636" s="90"/>
      <c r="B636" s="292"/>
      <c r="C636" s="293"/>
      <c r="D636" s="90"/>
      <c r="E636" s="293"/>
      <c r="F636" s="294"/>
      <c r="G636" s="292"/>
      <c r="H636" s="293"/>
      <c r="I636" s="294"/>
      <c r="J636" s="90"/>
      <c r="K636" s="296"/>
      <c r="L636" s="296"/>
      <c r="M636" s="296"/>
      <c r="N636" s="296"/>
      <c r="O636" s="296"/>
      <c r="P636" s="296"/>
      <c r="Q636" s="297"/>
      <c r="R636" s="90"/>
      <c r="S636" s="90"/>
      <c r="T636" s="264"/>
      <c r="U636" s="90"/>
      <c r="V636" s="90"/>
      <c r="W636" s="90"/>
      <c r="X636" s="90"/>
      <c r="Y636" s="90"/>
      <c r="Z636" s="90"/>
      <c r="AA636" s="90"/>
    </row>
    <row r="637" ht="15.75" customHeight="1">
      <c r="A637" s="90"/>
      <c r="B637" s="292"/>
      <c r="C637" s="293"/>
      <c r="D637" s="90"/>
      <c r="E637" s="293"/>
      <c r="F637" s="294"/>
      <c r="G637" s="292"/>
      <c r="H637" s="293"/>
      <c r="I637" s="294"/>
      <c r="J637" s="90"/>
      <c r="K637" s="296"/>
      <c r="L637" s="296"/>
      <c r="M637" s="296"/>
      <c r="N637" s="296"/>
      <c r="O637" s="296"/>
      <c r="P637" s="296"/>
      <c r="Q637" s="297"/>
      <c r="R637" s="90"/>
      <c r="S637" s="90"/>
      <c r="T637" s="264"/>
      <c r="U637" s="90"/>
      <c r="V637" s="90"/>
      <c r="W637" s="90"/>
      <c r="X637" s="90"/>
      <c r="Y637" s="90"/>
      <c r="Z637" s="90"/>
      <c r="AA637" s="90"/>
    </row>
    <row r="638" ht="15.75" customHeight="1">
      <c r="A638" s="90"/>
      <c r="B638" s="292"/>
      <c r="C638" s="293"/>
      <c r="D638" s="90"/>
      <c r="E638" s="293"/>
      <c r="F638" s="294"/>
      <c r="G638" s="292"/>
      <c r="H638" s="293"/>
      <c r="I638" s="294"/>
      <c r="J638" s="90"/>
      <c r="K638" s="296"/>
      <c r="L638" s="296"/>
      <c r="M638" s="296"/>
      <c r="N638" s="296"/>
      <c r="O638" s="296"/>
      <c r="P638" s="296"/>
      <c r="Q638" s="297"/>
      <c r="R638" s="90"/>
      <c r="S638" s="90"/>
      <c r="T638" s="264"/>
      <c r="U638" s="90"/>
      <c r="V638" s="90"/>
      <c r="W638" s="90"/>
      <c r="X638" s="90"/>
      <c r="Y638" s="90"/>
      <c r="Z638" s="90"/>
      <c r="AA638" s="90"/>
    </row>
    <row r="639" ht="15.75" customHeight="1">
      <c r="A639" s="90"/>
      <c r="B639" s="292"/>
      <c r="C639" s="293"/>
      <c r="D639" s="90"/>
      <c r="E639" s="293"/>
      <c r="F639" s="294"/>
      <c r="G639" s="292"/>
      <c r="H639" s="293"/>
      <c r="I639" s="294"/>
      <c r="J639" s="90"/>
      <c r="K639" s="296"/>
      <c r="L639" s="296"/>
      <c r="M639" s="296"/>
      <c r="N639" s="296"/>
      <c r="O639" s="296"/>
      <c r="P639" s="296"/>
      <c r="Q639" s="297"/>
      <c r="R639" s="90"/>
      <c r="S639" s="90"/>
      <c r="T639" s="264"/>
      <c r="U639" s="90"/>
      <c r="V639" s="90"/>
      <c r="W639" s="90"/>
      <c r="X639" s="90"/>
      <c r="Y639" s="90"/>
      <c r="Z639" s="90"/>
      <c r="AA639" s="90"/>
    </row>
    <row r="640" ht="15.75" customHeight="1">
      <c r="A640" s="90"/>
      <c r="B640" s="292"/>
      <c r="C640" s="293"/>
      <c r="D640" s="90"/>
      <c r="E640" s="293"/>
      <c r="F640" s="294"/>
      <c r="G640" s="292"/>
      <c r="H640" s="293"/>
      <c r="I640" s="294"/>
      <c r="J640" s="90"/>
      <c r="K640" s="296"/>
      <c r="L640" s="296"/>
      <c r="M640" s="296"/>
      <c r="N640" s="296"/>
      <c r="O640" s="296"/>
      <c r="P640" s="296"/>
      <c r="Q640" s="297"/>
      <c r="R640" s="90"/>
      <c r="S640" s="90"/>
      <c r="T640" s="264"/>
      <c r="U640" s="90"/>
      <c r="V640" s="90"/>
      <c r="W640" s="90"/>
      <c r="X640" s="90"/>
      <c r="Y640" s="90"/>
      <c r="Z640" s="90"/>
      <c r="AA640" s="90"/>
    </row>
    <row r="641" ht="15.75" customHeight="1">
      <c r="A641" s="90"/>
      <c r="B641" s="292"/>
      <c r="C641" s="293"/>
      <c r="D641" s="90"/>
      <c r="E641" s="293"/>
      <c r="F641" s="294"/>
      <c r="G641" s="292"/>
      <c r="H641" s="293"/>
      <c r="I641" s="294"/>
      <c r="J641" s="90"/>
      <c r="K641" s="296"/>
      <c r="L641" s="296"/>
      <c r="M641" s="296"/>
      <c r="N641" s="296"/>
      <c r="O641" s="296"/>
      <c r="P641" s="296"/>
      <c r="Q641" s="297"/>
      <c r="R641" s="90"/>
      <c r="S641" s="90"/>
      <c r="T641" s="264"/>
      <c r="U641" s="90"/>
      <c r="V641" s="90"/>
      <c r="W641" s="90"/>
      <c r="X641" s="90"/>
      <c r="Y641" s="90"/>
      <c r="Z641" s="90"/>
      <c r="AA641" s="90"/>
    </row>
    <row r="642" ht="15.75" customHeight="1">
      <c r="A642" s="90"/>
      <c r="B642" s="292"/>
      <c r="C642" s="293"/>
      <c r="D642" s="90"/>
      <c r="E642" s="293"/>
      <c r="F642" s="294"/>
      <c r="G642" s="292"/>
      <c r="H642" s="293"/>
      <c r="I642" s="294"/>
      <c r="J642" s="90"/>
      <c r="K642" s="296"/>
      <c r="L642" s="296"/>
      <c r="M642" s="296"/>
      <c r="N642" s="296"/>
      <c r="O642" s="296"/>
      <c r="P642" s="296"/>
      <c r="Q642" s="297"/>
      <c r="R642" s="90"/>
      <c r="S642" s="90"/>
      <c r="T642" s="264"/>
      <c r="U642" s="90"/>
      <c r="V642" s="90"/>
      <c r="W642" s="90"/>
      <c r="X642" s="90"/>
      <c r="Y642" s="90"/>
      <c r="Z642" s="90"/>
      <c r="AA642" s="90"/>
    </row>
    <row r="643" ht="15.75" customHeight="1">
      <c r="A643" s="90"/>
      <c r="B643" s="292"/>
      <c r="C643" s="293"/>
      <c r="D643" s="90"/>
      <c r="E643" s="293"/>
      <c r="F643" s="294"/>
      <c r="G643" s="292"/>
      <c r="H643" s="293"/>
      <c r="I643" s="294"/>
      <c r="J643" s="90"/>
      <c r="K643" s="296"/>
      <c r="L643" s="296"/>
      <c r="M643" s="296"/>
      <c r="N643" s="296"/>
      <c r="O643" s="296"/>
      <c r="P643" s="296"/>
      <c r="Q643" s="297"/>
      <c r="R643" s="90"/>
      <c r="S643" s="90"/>
      <c r="T643" s="264"/>
      <c r="U643" s="90"/>
      <c r="V643" s="90"/>
      <c r="W643" s="90"/>
      <c r="X643" s="90"/>
      <c r="Y643" s="90"/>
      <c r="Z643" s="90"/>
      <c r="AA643" s="90"/>
    </row>
    <row r="644" ht="15.75" customHeight="1">
      <c r="A644" s="90"/>
      <c r="B644" s="292"/>
      <c r="C644" s="293"/>
      <c r="D644" s="90"/>
      <c r="E644" s="293"/>
      <c r="F644" s="294"/>
      <c r="G644" s="292"/>
      <c r="H644" s="293"/>
      <c r="I644" s="294"/>
      <c r="J644" s="90"/>
      <c r="K644" s="296"/>
      <c r="L644" s="296"/>
      <c r="M644" s="296"/>
      <c r="N644" s="296"/>
      <c r="O644" s="296"/>
      <c r="P644" s="296"/>
      <c r="Q644" s="297"/>
      <c r="R644" s="90"/>
      <c r="S644" s="90"/>
      <c r="T644" s="264"/>
      <c r="U644" s="90"/>
      <c r="V644" s="90"/>
      <c r="W644" s="90"/>
      <c r="X644" s="90"/>
      <c r="Y644" s="90"/>
      <c r="Z644" s="90"/>
      <c r="AA644" s="90"/>
    </row>
    <row r="645" ht="15.75" customHeight="1">
      <c r="A645" s="90"/>
      <c r="B645" s="292"/>
      <c r="C645" s="293"/>
      <c r="D645" s="90"/>
      <c r="E645" s="293"/>
      <c r="F645" s="294"/>
      <c r="G645" s="292"/>
      <c r="H645" s="293"/>
      <c r="I645" s="294"/>
      <c r="J645" s="90"/>
      <c r="K645" s="296"/>
      <c r="L645" s="296"/>
      <c r="M645" s="296"/>
      <c r="N645" s="296"/>
      <c r="O645" s="296"/>
      <c r="P645" s="296"/>
      <c r="Q645" s="297"/>
      <c r="R645" s="90"/>
      <c r="S645" s="90"/>
      <c r="T645" s="264"/>
      <c r="U645" s="90"/>
      <c r="V645" s="90"/>
      <c r="W645" s="90"/>
      <c r="X645" s="90"/>
      <c r="Y645" s="90"/>
      <c r="Z645" s="90"/>
      <c r="AA645" s="90"/>
    </row>
    <row r="646" ht="15.75" customHeight="1">
      <c r="A646" s="90"/>
      <c r="B646" s="292"/>
      <c r="C646" s="293"/>
      <c r="D646" s="90"/>
      <c r="E646" s="293"/>
      <c r="F646" s="294"/>
      <c r="G646" s="292"/>
      <c r="H646" s="293"/>
      <c r="I646" s="294"/>
      <c r="J646" s="90"/>
      <c r="K646" s="296"/>
      <c r="L646" s="296"/>
      <c r="M646" s="296"/>
      <c r="N646" s="296"/>
      <c r="O646" s="296"/>
      <c r="P646" s="296"/>
      <c r="Q646" s="297"/>
      <c r="R646" s="90"/>
      <c r="S646" s="90"/>
      <c r="T646" s="264"/>
      <c r="U646" s="90"/>
      <c r="V646" s="90"/>
      <c r="W646" s="90"/>
      <c r="X646" s="90"/>
      <c r="Y646" s="90"/>
      <c r="Z646" s="90"/>
      <c r="AA646" s="90"/>
    </row>
    <row r="647" ht="15.75" customHeight="1">
      <c r="A647" s="90"/>
      <c r="B647" s="292"/>
      <c r="C647" s="293"/>
      <c r="D647" s="90"/>
      <c r="E647" s="293"/>
      <c r="F647" s="294"/>
      <c r="G647" s="292"/>
      <c r="H647" s="293"/>
      <c r="I647" s="294"/>
      <c r="J647" s="90"/>
      <c r="K647" s="296"/>
      <c r="L647" s="296"/>
      <c r="M647" s="296"/>
      <c r="N647" s="296"/>
      <c r="O647" s="296"/>
      <c r="P647" s="296"/>
      <c r="Q647" s="297"/>
      <c r="R647" s="90"/>
      <c r="S647" s="90"/>
      <c r="T647" s="264"/>
      <c r="U647" s="90"/>
      <c r="V647" s="90"/>
      <c r="W647" s="90"/>
      <c r="X647" s="90"/>
      <c r="Y647" s="90"/>
      <c r="Z647" s="90"/>
      <c r="AA647" s="90"/>
    </row>
    <row r="648" ht="15.75" customHeight="1">
      <c r="A648" s="90"/>
      <c r="B648" s="292"/>
      <c r="C648" s="293"/>
      <c r="D648" s="90"/>
      <c r="E648" s="293"/>
      <c r="F648" s="294"/>
      <c r="G648" s="292"/>
      <c r="H648" s="293"/>
      <c r="I648" s="294"/>
      <c r="J648" s="90"/>
      <c r="K648" s="296"/>
      <c r="L648" s="296"/>
      <c r="M648" s="296"/>
      <c r="N648" s="296"/>
      <c r="O648" s="296"/>
      <c r="P648" s="296"/>
      <c r="Q648" s="297"/>
      <c r="R648" s="90"/>
      <c r="S648" s="90"/>
      <c r="T648" s="264"/>
      <c r="U648" s="90"/>
      <c r="V648" s="90"/>
      <c r="W648" s="90"/>
      <c r="X648" s="90"/>
      <c r="Y648" s="90"/>
      <c r="Z648" s="90"/>
      <c r="AA648" s="90"/>
    </row>
    <row r="649" ht="15.75" customHeight="1">
      <c r="A649" s="90"/>
      <c r="B649" s="292"/>
      <c r="C649" s="293"/>
      <c r="D649" s="90"/>
      <c r="E649" s="293"/>
      <c r="F649" s="294"/>
      <c r="G649" s="292"/>
      <c r="H649" s="293"/>
      <c r="I649" s="294"/>
      <c r="J649" s="90"/>
      <c r="K649" s="296"/>
      <c r="L649" s="296"/>
      <c r="M649" s="296"/>
      <c r="N649" s="296"/>
      <c r="O649" s="296"/>
      <c r="P649" s="296"/>
      <c r="Q649" s="297"/>
      <c r="R649" s="90"/>
      <c r="S649" s="90"/>
      <c r="T649" s="264"/>
      <c r="U649" s="90"/>
      <c r="V649" s="90"/>
      <c r="W649" s="90"/>
      <c r="X649" s="90"/>
      <c r="Y649" s="90"/>
      <c r="Z649" s="90"/>
      <c r="AA649" s="90"/>
    </row>
    <row r="650" ht="15.75" customHeight="1">
      <c r="A650" s="90"/>
      <c r="B650" s="292"/>
      <c r="C650" s="293"/>
      <c r="D650" s="90"/>
      <c r="E650" s="293"/>
      <c r="F650" s="294"/>
      <c r="G650" s="292"/>
      <c r="H650" s="293"/>
      <c r="I650" s="294"/>
      <c r="J650" s="90"/>
      <c r="K650" s="296"/>
      <c r="L650" s="296"/>
      <c r="M650" s="296"/>
      <c r="N650" s="296"/>
      <c r="O650" s="296"/>
      <c r="P650" s="296"/>
      <c r="Q650" s="297"/>
      <c r="R650" s="90"/>
      <c r="S650" s="90"/>
      <c r="T650" s="264"/>
      <c r="U650" s="90"/>
      <c r="V650" s="90"/>
      <c r="W650" s="90"/>
      <c r="X650" s="90"/>
      <c r="Y650" s="90"/>
      <c r="Z650" s="90"/>
      <c r="AA650" s="90"/>
    </row>
    <row r="651" ht="15.75" customHeight="1">
      <c r="A651" s="90"/>
      <c r="B651" s="292"/>
      <c r="C651" s="293"/>
      <c r="D651" s="90"/>
      <c r="E651" s="293"/>
      <c r="F651" s="294"/>
      <c r="G651" s="292"/>
      <c r="H651" s="293"/>
      <c r="I651" s="294"/>
      <c r="J651" s="90"/>
      <c r="K651" s="296"/>
      <c r="L651" s="296"/>
      <c r="M651" s="296"/>
      <c r="N651" s="296"/>
      <c r="O651" s="296"/>
      <c r="P651" s="296"/>
      <c r="Q651" s="297"/>
      <c r="R651" s="90"/>
      <c r="S651" s="90"/>
      <c r="T651" s="264"/>
      <c r="U651" s="90"/>
      <c r="V651" s="90"/>
      <c r="W651" s="90"/>
      <c r="X651" s="90"/>
      <c r="Y651" s="90"/>
      <c r="Z651" s="90"/>
      <c r="AA651" s="90"/>
    </row>
    <row r="652" ht="15.75" customHeight="1">
      <c r="A652" s="90"/>
      <c r="B652" s="292"/>
      <c r="C652" s="293"/>
      <c r="D652" s="90"/>
      <c r="E652" s="293"/>
      <c r="F652" s="294"/>
      <c r="G652" s="292"/>
      <c r="H652" s="293"/>
      <c r="I652" s="294"/>
      <c r="J652" s="90"/>
      <c r="K652" s="296"/>
      <c r="L652" s="296"/>
      <c r="M652" s="296"/>
      <c r="N652" s="296"/>
      <c r="O652" s="296"/>
      <c r="P652" s="296"/>
      <c r="Q652" s="297"/>
      <c r="R652" s="90"/>
      <c r="S652" s="90"/>
      <c r="T652" s="264"/>
      <c r="U652" s="90"/>
      <c r="V652" s="90"/>
      <c r="W652" s="90"/>
      <c r="X652" s="90"/>
      <c r="Y652" s="90"/>
      <c r="Z652" s="90"/>
      <c r="AA652" s="90"/>
    </row>
    <row r="653" ht="15.75" customHeight="1">
      <c r="A653" s="90"/>
      <c r="B653" s="292"/>
      <c r="C653" s="293"/>
      <c r="D653" s="90"/>
      <c r="E653" s="293"/>
      <c r="F653" s="294"/>
      <c r="G653" s="292"/>
      <c r="H653" s="293"/>
      <c r="I653" s="294"/>
      <c r="J653" s="90"/>
      <c r="K653" s="296"/>
      <c r="L653" s="296"/>
      <c r="M653" s="296"/>
      <c r="N653" s="296"/>
      <c r="O653" s="296"/>
      <c r="P653" s="296"/>
      <c r="Q653" s="297"/>
      <c r="R653" s="90"/>
      <c r="S653" s="90"/>
      <c r="T653" s="264"/>
      <c r="U653" s="90"/>
      <c r="V653" s="90"/>
      <c r="W653" s="90"/>
      <c r="X653" s="90"/>
      <c r="Y653" s="90"/>
      <c r="Z653" s="90"/>
      <c r="AA653" s="90"/>
    </row>
    <row r="654" ht="15.75" customHeight="1">
      <c r="A654" s="90"/>
      <c r="B654" s="292"/>
      <c r="C654" s="293"/>
      <c r="D654" s="90"/>
      <c r="E654" s="293"/>
      <c r="F654" s="294"/>
      <c r="G654" s="292"/>
      <c r="H654" s="293"/>
      <c r="I654" s="294"/>
      <c r="J654" s="90"/>
      <c r="K654" s="296"/>
      <c r="L654" s="296"/>
      <c r="M654" s="296"/>
      <c r="N654" s="296"/>
      <c r="O654" s="296"/>
      <c r="P654" s="296"/>
      <c r="Q654" s="297"/>
      <c r="R654" s="90"/>
      <c r="S654" s="90"/>
      <c r="T654" s="264"/>
      <c r="U654" s="90"/>
      <c r="V654" s="90"/>
      <c r="W654" s="90"/>
      <c r="X654" s="90"/>
      <c r="Y654" s="90"/>
      <c r="Z654" s="90"/>
      <c r="AA654" s="90"/>
    </row>
    <row r="655" ht="15.75" customHeight="1">
      <c r="A655" s="90"/>
      <c r="B655" s="292"/>
      <c r="C655" s="293"/>
      <c r="D655" s="90"/>
      <c r="E655" s="293"/>
      <c r="F655" s="294"/>
      <c r="G655" s="292"/>
      <c r="H655" s="293"/>
      <c r="I655" s="294"/>
      <c r="J655" s="90"/>
      <c r="K655" s="296"/>
      <c r="L655" s="296"/>
      <c r="M655" s="296"/>
      <c r="N655" s="296"/>
      <c r="O655" s="296"/>
      <c r="P655" s="296"/>
      <c r="Q655" s="297"/>
      <c r="R655" s="90"/>
      <c r="S655" s="90"/>
      <c r="T655" s="264"/>
      <c r="U655" s="90"/>
      <c r="V655" s="90"/>
      <c r="W655" s="90"/>
      <c r="X655" s="90"/>
      <c r="Y655" s="90"/>
      <c r="Z655" s="90"/>
      <c r="AA655" s="90"/>
    </row>
    <row r="656" ht="15.75" customHeight="1">
      <c r="A656" s="90"/>
      <c r="B656" s="292"/>
      <c r="C656" s="293"/>
      <c r="D656" s="90"/>
      <c r="E656" s="293"/>
      <c r="F656" s="294"/>
      <c r="G656" s="292"/>
      <c r="H656" s="293"/>
      <c r="I656" s="294"/>
      <c r="J656" s="90"/>
      <c r="K656" s="296"/>
      <c r="L656" s="296"/>
      <c r="M656" s="296"/>
      <c r="N656" s="296"/>
      <c r="O656" s="296"/>
      <c r="P656" s="296"/>
      <c r="Q656" s="297"/>
      <c r="R656" s="90"/>
      <c r="S656" s="90"/>
      <c r="T656" s="264"/>
      <c r="U656" s="90"/>
      <c r="V656" s="90"/>
      <c r="W656" s="90"/>
      <c r="X656" s="90"/>
      <c r="Y656" s="90"/>
      <c r="Z656" s="90"/>
      <c r="AA656" s="90"/>
    </row>
    <row r="657" ht="15.75" customHeight="1">
      <c r="A657" s="90"/>
      <c r="B657" s="292"/>
      <c r="C657" s="293"/>
      <c r="D657" s="90"/>
      <c r="E657" s="293"/>
      <c r="F657" s="294"/>
      <c r="G657" s="292"/>
      <c r="H657" s="293"/>
      <c r="I657" s="294"/>
      <c r="J657" s="90"/>
      <c r="K657" s="296"/>
      <c r="L657" s="296"/>
      <c r="M657" s="296"/>
      <c r="N657" s="296"/>
      <c r="O657" s="296"/>
      <c r="P657" s="296"/>
      <c r="Q657" s="297"/>
      <c r="R657" s="90"/>
      <c r="S657" s="90"/>
      <c r="T657" s="264"/>
      <c r="U657" s="90"/>
      <c r="V657" s="90"/>
      <c r="W657" s="90"/>
      <c r="X657" s="90"/>
      <c r="Y657" s="90"/>
      <c r="Z657" s="90"/>
      <c r="AA657" s="90"/>
    </row>
    <row r="658" ht="15.75" customHeight="1">
      <c r="A658" s="90"/>
      <c r="B658" s="292"/>
      <c r="C658" s="293"/>
      <c r="D658" s="90"/>
      <c r="E658" s="293"/>
      <c r="F658" s="294"/>
      <c r="G658" s="292"/>
      <c r="H658" s="293"/>
      <c r="I658" s="294"/>
      <c r="J658" s="90"/>
      <c r="K658" s="296"/>
      <c r="L658" s="296"/>
      <c r="M658" s="296"/>
      <c r="N658" s="296"/>
      <c r="O658" s="296"/>
      <c r="P658" s="296"/>
      <c r="Q658" s="297"/>
      <c r="R658" s="90"/>
      <c r="S658" s="90"/>
      <c r="T658" s="264"/>
      <c r="U658" s="90"/>
      <c r="V658" s="90"/>
      <c r="W658" s="90"/>
      <c r="X658" s="90"/>
      <c r="Y658" s="90"/>
      <c r="Z658" s="90"/>
      <c r="AA658" s="90"/>
    </row>
    <row r="659" ht="15.75" customHeight="1">
      <c r="A659" s="90"/>
      <c r="B659" s="292"/>
      <c r="C659" s="293"/>
      <c r="D659" s="90"/>
      <c r="E659" s="293"/>
      <c r="F659" s="294"/>
      <c r="G659" s="292"/>
      <c r="H659" s="293"/>
      <c r="I659" s="294"/>
      <c r="J659" s="90"/>
      <c r="K659" s="296"/>
      <c r="L659" s="296"/>
      <c r="M659" s="296"/>
      <c r="N659" s="296"/>
      <c r="O659" s="296"/>
      <c r="P659" s="296"/>
      <c r="Q659" s="297"/>
      <c r="R659" s="90"/>
      <c r="S659" s="90"/>
      <c r="T659" s="264"/>
      <c r="U659" s="90"/>
      <c r="V659" s="90"/>
      <c r="W659" s="90"/>
      <c r="X659" s="90"/>
      <c r="Y659" s="90"/>
      <c r="Z659" s="90"/>
      <c r="AA659" s="90"/>
    </row>
    <row r="660" ht="15.75" customHeight="1">
      <c r="A660" s="90"/>
      <c r="B660" s="292"/>
      <c r="C660" s="293"/>
      <c r="D660" s="90"/>
      <c r="E660" s="293"/>
      <c r="F660" s="294"/>
      <c r="G660" s="292"/>
      <c r="H660" s="293"/>
      <c r="I660" s="294"/>
      <c r="J660" s="90"/>
      <c r="K660" s="296"/>
      <c r="L660" s="296"/>
      <c r="M660" s="296"/>
      <c r="N660" s="296"/>
      <c r="O660" s="296"/>
      <c r="P660" s="296"/>
      <c r="Q660" s="297"/>
      <c r="R660" s="90"/>
      <c r="S660" s="90"/>
      <c r="T660" s="264"/>
      <c r="U660" s="90"/>
      <c r="V660" s="90"/>
      <c r="W660" s="90"/>
      <c r="X660" s="90"/>
      <c r="Y660" s="90"/>
      <c r="Z660" s="90"/>
      <c r="AA660" s="90"/>
    </row>
    <row r="661" ht="15.75" customHeight="1">
      <c r="A661" s="90"/>
      <c r="B661" s="292"/>
      <c r="C661" s="293"/>
      <c r="D661" s="90"/>
      <c r="E661" s="293"/>
      <c r="F661" s="294"/>
      <c r="G661" s="292"/>
      <c r="H661" s="293"/>
      <c r="I661" s="294"/>
      <c r="J661" s="90"/>
      <c r="K661" s="296"/>
      <c r="L661" s="296"/>
      <c r="M661" s="296"/>
      <c r="N661" s="296"/>
      <c r="O661" s="296"/>
      <c r="P661" s="296"/>
      <c r="Q661" s="297"/>
      <c r="R661" s="90"/>
      <c r="S661" s="90"/>
      <c r="T661" s="264"/>
      <c r="U661" s="90"/>
      <c r="V661" s="90"/>
      <c r="W661" s="90"/>
      <c r="X661" s="90"/>
      <c r="Y661" s="90"/>
      <c r="Z661" s="90"/>
      <c r="AA661" s="90"/>
    </row>
    <row r="662" ht="15.75" customHeight="1">
      <c r="A662" s="90"/>
      <c r="B662" s="292"/>
      <c r="C662" s="293"/>
      <c r="D662" s="90"/>
      <c r="E662" s="293"/>
      <c r="F662" s="294"/>
      <c r="G662" s="292"/>
      <c r="H662" s="293"/>
      <c r="I662" s="294"/>
      <c r="J662" s="90"/>
      <c r="K662" s="296"/>
      <c r="L662" s="296"/>
      <c r="M662" s="296"/>
      <c r="N662" s="296"/>
      <c r="O662" s="296"/>
      <c r="P662" s="296"/>
      <c r="Q662" s="297"/>
      <c r="R662" s="90"/>
      <c r="S662" s="90"/>
      <c r="T662" s="264"/>
      <c r="U662" s="90"/>
      <c r="V662" s="90"/>
      <c r="W662" s="90"/>
      <c r="X662" s="90"/>
      <c r="Y662" s="90"/>
      <c r="Z662" s="90"/>
      <c r="AA662" s="90"/>
    </row>
    <row r="663" ht="15.75" customHeight="1">
      <c r="A663" s="90"/>
      <c r="B663" s="292"/>
      <c r="C663" s="293"/>
      <c r="D663" s="90"/>
      <c r="E663" s="293"/>
      <c r="F663" s="294"/>
      <c r="G663" s="292"/>
      <c r="H663" s="293"/>
      <c r="I663" s="294"/>
      <c r="J663" s="90"/>
      <c r="K663" s="296"/>
      <c r="L663" s="296"/>
      <c r="M663" s="296"/>
      <c r="N663" s="296"/>
      <c r="O663" s="296"/>
      <c r="P663" s="296"/>
      <c r="Q663" s="297"/>
      <c r="R663" s="90"/>
      <c r="S663" s="90"/>
      <c r="T663" s="264"/>
      <c r="U663" s="90"/>
      <c r="V663" s="90"/>
      <c r="W663" s="90"/>
      <c r="X663" s="90"/>
      <c r="Y663" s="90"/>
      <c r="Z663" s="90"/>
      <c r="AA663" s="90"/>
    </row>
    <row r="664" ht="15.75" customHeight="1">
      <c r="A664" s="90"/>
      <c r="B664" s="292"/>
      <c r="C664" s="293"/>
      <c r="D664" s="90"/>
      <c r="E664" s="293"/>
      <c r="F664" s="294"/>
      <c r="G664" s="292"/>
      <c r="H664" s="293"/>
      <c r="I664" s="294"/>
      <c r="J664" s="90"/>
      <c r="K664" s="296"/>
      <c r="L664" s="296"/>
      <c r="M664" s="296"/>
      <c r="N664" s="296"/>
      <c r="O664" s="296"/>
      <c r="P664" s="296"/>
      <c r="Q664" s="297"/>
      <c r="R664" s="90"/>
      <c r="S664" s="90"/>
      <c r="T664" s="264"/>
      <c r="U664" s="90"/>
      <c r="V664" s="90"/>
      <c r="W664" s="90"/>
      <c r="X664" s="90"/>
      <c r="Y664" s="90"/>
      <c r="Z664" s="90"/>
      <c r="AA664" s="90"/>
    </row>
    <row r="665" ht="15.75" customHeight="1">
      <c r="A665" s="90"/>
      <c r="B665" s="292"/>
      <c r="C665" s="293"/>
      <c r="D665" s="90"/>
      <c r="E665" s="293"/>
      <c r="F665" s="294"/>
      <c r="G665" s="292"/>
      <c r="H665" s="293"/>
      <c r="I665" s="294"/>
      <c r="J665" s="90"/>
      <c r="K665" s="296"/>
      <c r="L665" s="296"/>
      <c r="M665" s="296"/>
      <c r="N665" s="296"/>
      <c r="O665" s="296"/>
      <c r="P665" s="296"/>
      <c r="Q665" s="297"/>
      <c r="R665" s="90"/>
      <c r="S665" s="90"/>
      <c r="T665" s="264"/>
      <c r="U665" s="90"/>
      <c r="V665" s="90"/>
      <c r="W665" s="90"/>
      <c r="X665" s="90"/>
      <c r="Y665" s="90"/>
      <c r="Z665" s="90"/>
      <c r="AA665" s="90"/>
    </row>
    <row r="666" ht="15.75" customHeight="1">
      <c r="A666" s="90"/>
      <c r="B666" s="292"/>
      <c r="C666" s="293"/>
      <c r="D666" s="90"/>
      <c r="E666" s="293"/>
      <c r="F666" s="294"/>
      <c r="G666" s="292"/>
      <c r="H666" s="293"/>
      <c r="I666" s="294"/>
      <c r="J666" s="90"/>
      <c r="K666" s="296"/>
      <c r="L666" s="296"/>
      <c r="M666" s="296"/>
      <c r="N666" s="296"/>
      <c r="O666" s="296"/>
      <c r="P666" s="296"/>
      <c r="Q666" s="297"/>
      <c r="R666" s="90"/>
      <c r="S666" s="90"/>
      <c r="T666" s="264"/>
      <c r="U666" s="90"/>
      <c r="V666" s="90"/>
      <c r="W666" s="90"/>
      <c r="X666" s="90"/>
      <c r="Y666" s="90"/>
      <c r="Z666" s="90"/>
      <c r="AA666" s="90"/>
    </row>
    <row r="667" ht="15.75" customHeight="1">
      <c r="A667" s="90"/>
      <c r="B667" s="292"/>
      <c r="C667" s="293"/>
      <c r="D667" s="90"/>
      <c r="E667" s="293"/>
      <c r="F667" s="294"/>
      <c r="G667" s="292"/>
      <c r="H667" s="293"/>
      <c r="I667" s="294"/>
      <c r="J667" s="90"/>
      <c r="K667" s="296"/>
      <c r="L667" s="296"/>
      <c r="M667" s="296"/>
      <c r="N667" s="296"/>
      <c r="O667" s="296"/>
      <c r="P667" s="296"/>
      <c r="Q667" s="297"/>
      <c r="R667" s="90"/>
      <c r="S667" s="90"/>
      <c r="T667" s="264"/>
      <c r="U667" s="90"/>
      <c r="V667" s="90"/>
      <c r="W667" s="90"/>
      <c r="X667" s="90"/>
      <c r="Y667" s="90"/>
      <c r="Z667" s="90"/>
      <c r="AA667" s="90"/>
    </row>
    <row r="668" ht="15.75" customHeight="1">
      <c r="A668" s="90"/>
      <c r="B668" s="292"/>
      <c r="C668" s="293"/>
      <c r="D668" s="90"/>
      <c r="E668" s="293"/>
      <c r="F668" s="294"/>
      <c r="G668" s="292"/>
      <c r="H668" s="293"/>
      <c r="I668" s="294"/>
      <c r="J668" s="90"/>
      <c r="K668" s="296"/>
      <c r="L668" s="296"/>
      <c r="M668" s="296"/>
      <c r="N668" s="296"/>
      <c r="O668" s="296"/>
      <c r="P668" s="296"/>
      <c r="Q668" s="297"/>
      <c r="R668" s="90"/>
      <c r="S668" s="90"/>
      <c r="T668" s="264"/>
      <c r="U668" s="90"/>
      <c r="V668" s="90"/>
      <c r="W668" s="90"/>
      <c r="X668" s="90"/>
      <c r="Y668" s="90"/>
      <c r="Z668" s="90"/>
      <c r="AA668" s="90"/>
    </row>
    <row r="669" ht="15.75" customHeight="1">
      <c r="A669" s="90"/>
      <c r="B669" s="292"/>
      <c r="C669" s="293"/>
      <c r="D669" s="90"/>
      <c r="E669" s="293"/>
      <c r="F669" s="294"/>
      <c r="G669" s="292"/>
      <c r="H669" s="293"/>
      <c r="I669" s="294"/>
      <c r="J669" s="90"/>
      <c r="K669" s="296"/>
      <c r="L669" s="296"/>
      <c r="M669" s="296"/>
      <c r="N669" s="296"/>
      <c r="O669" s="296"/>
      <c r="P669" s="296"/>
      <c r="Q669" s="297"/>
      <c r="R669" s="90"/>
      <c r="S669" s="90"/>
      <c r="T669" s="264"/>
      <c r="U669" s="90"/>
      <c r="V669" s="90"/>
      <c r="W669" s="90"/>
      <c r="X669" s="90"/>
      <c r="Y669" s="90"/>
      <c r="Z669" s="90"/>
      <c r="AA669" s="90"/>
    </row>
    <row r="670" ht="15.75" customHeight="1">
      <c r="A670" s="90"/>
      <c r="B670" s="292"/>
      <c r="C670" s="293"/>
      <c r="D670" s="90"/>
      <c r="E670" s="293"/>
      <c r="F670" s="294"/>
      <c r="G670" s="292"/>
      <c r="H670" s="293"/>
      <c r="I670" s="294"/>
      <c r="J670" s="90"/>
      <c r="K670" s="296"/>
      <c r="L670" s="296"/>
      <c r="M670" s="296"/>
      <c r="N670" s="296"/>
      <c r="O670" s="296"/>
      <c r="P670" s="296"/>
      <c r="Q670" s="297"/>
      <c r="R670" s="90"/>
      <c r="S670" s="90"/>
      <c r="T670" s="264"/>
      <c r="U670" s="90"/>
      <c r="V670" s="90"/>
      <c r="W670" s="90"/>
      <c r="X670" s="90"/>
      <c r="Y670" s="90"/>
      <c r="Z670" s="90"/>
      <c r="AA670" s="90"/>
    </row>
    <row r="671" ht="15.75" customHeight="1">
      <c r="A671" s="90"/>
      <c r="B671" s="292"/>
      <c r="C671" s="293"/>
      <c r="D671" s="90"/>
      <c r="E671" s="293"/>
      <c r="F671" s="294"/>
      <c r="G671" s="292"/>
      <c r="H671" s="293"/>
      <c r="I671" s="294"/>
      <c r="J671" s="90"/>
      <c r="K671" s="296"/>
      <c r="L671" s="296"/>
      <c r="M671" s="296"/>
      <c r="N671" s="296"/>
      <c r="O671" s="296"/>
      <c r="P671" s="296"/>
      <c r="Q671" s="297"/>
      <c r="R671" s="90"/>
      <c r="S671" s="90"/>
      <c r="T671" s="264"/>
      <c r="U671" s="90"/>
      <c r="V671" s="90"/>
      <c r="W671" s="90"/>
      <c r="X671" s="90"/>
      <c r="Y671" s="90"/>
      <c r="Z671" s="90"/>
      <c r="AA671" s="90"/>
    </row>
    <row r="672" ht="15.75" customHeight="1">
      <c r="A672" s="90"/>
      <c r="B672" s="292"/>
      <c r="C672" s="293"/>
      <c r="D672" s="90"/>
      <c r="E672" s="293"/>
      <c r="F672" s="294"/>
      <c r="G672" s="292"/>
      <c r="H672" s="293"/>
      <c r="I672" s="294"/>
      <c r="J672" s="90"/>
      <c r="K672" s="296"/>
      <c r="L672" s="296"/>
      <c r="M672" s="296"/>
      <c r="N672" s="296"/>
      <c r="O672" s="296"/>
      <c r="P672" s="296"/>
      <c r="Q672" s="297"/>
      <c r="R672" s="90"/>
      <c r="S672" s="90"/>
      <c r="T672" s="264"/>
      <c r="U672" s="90"/>
      <c r="V672" s="90"/>
      <c r="W672" s="90"/>
      <c r="X672" s="90"/>
      <c r="Y672" s="90"/>
      <c r="Z672" s="90"/>
      <c r="AA672" s="90"/>
    </row>
    <row r="673" ht="15.75" customHeight="1">
      <c r="A673" s="90"/>
      <c r="B673" s="292"/>
      <c r="C673" s="293"/>
      <c r="D673" s="90"/>
      <c r="E673" s="293"/>
      <c r="F673" s="294"/>
      <c r="G673" s="292"/>
      <c r="H673" s="293"/>
      <c r="I673" s="294"/>
      <c r="J673" s="90"/>
      <c r="K673" s="296"/>
      <c r="L673" s="296"/>
      <c r="M673" s="296"/>
      <c r="N673" s="296"/>
      <c r="O673" s="296"/>
      <c r="P673" s="296"/>
      <c r="Q673" s="297"/>
      <c r="R673" s="90"/>
      <c r="S673" s="90"/>
      <c r="T673" s="264"/>
      <c r="U673" s="90"/>
      <c r="V673" s="90"/>
      <c r="W673" s="90"/>
      <c r="X673" s="90"/>
      <c r="Y673" s="90"/>
      <c r="Z673" s="90"/>
      <c r="AA673" s="90"/>
    </row>
    <row r="674" ht="15.75" customHeight="1">
      <c r="A674" s="90"/>
      <c r="B674" s="292"/>
      <c r="C674" s="293"/>
      <c r="D674" s="90"/>
      <c r="E674" s="293"/>
      <c r="F674" s="294"/>
      <c r="G674" s="292"/>
      <c r="H674" s="293"/>
      <c r="I674" s="294"/>
      <c r="J674" s="90"/>
      <c r="K674" s="296"/>
      <c r="L674" s="296"/>
      <c r="M674" s="296"/>
      <c r="N674" s="296"/>
      <c r="O674" s="296"/>
      <c r="P674" s="296"/>
      <c r="Q674" s="297"/>
      <c r="R674" s="90"/>
      <c r="S674" s="90"/>
      <c r="T674" s="264"/>
      <c r="U674" s="90"/>
      <c r="V674" s="90"/>
      <c r="W674" s="90"/>
      <c r="X674" s="90"/>
      <c r="Y674" s="90"/>
      <c r="Z674" s="90"/>
      <c r="AA674" s="90"/>
    </row>
    <row r="675" ht="15.75" customHeight="1">
      <c r="A675" s="90"/>
      <c r="B675" s="292"/>
      <c r="C675" s="293"/>
      <c r="D675" s="90"/>
      <c r="E675" s="293"/>
      <c r="F675" s="294"/>
      <c r="G675" s="292"/>
      <c r="H675" s="293"/>
      <c r="I675" s="294"/>
      <c r="J675" s="90"/>
      <c r="K675" s="296"/>
      <c r="L675" s="296"/>
      <c r="M675" s="296"/>
      <c r="N675" s="296"/>
      <c r="O675" s="296"/>
      <c r="P675" s="296"/>
      <c r="Q675" s="297"/>
      <c r="R675" s="90"/>
      <c r="S675" s="90"/>
      <c r="T675" s="264"/>
      <c r="U675" s="90"/>
      <c r="V675" s="90"/>
      <c r="W675" s="90"/>
      <c r="X675" s="90"/>
      <c r="Y675" s="90"/>
      <c r="Z675" s="90"/>
      <c r="AA675" s="90"/>
    </row>
    <row r="676" ht="15.75" customHeight="1">
      <c r="A676" s="90"/>
      <c r="B676" s="292"/>
      <c r="C676" s="293"/>
      <c r="D676" s="90"/>
      <c r="E676" s="293"/>
      <c r="F676" s="294"/>
      <c r="G676" s="292"/>
      <c r="H676" s="293"/>
      <c r="I676" s="294"/>
      <c r="J676" s="90"/>
      <c r="K676" s="296"/>
      <c r="L676" s="296"/>
      <c r="M676" s="296"/>
      <c r="N676" s="296"/>
      <c r="O676" s="296"/>
      <c r="P676" s="296"/>
      <c r="Q676" s="297"/>
      <c r="R676" s="90"/>
      <c r="S676" s="90"/>
      <c r="T676" s="264"/>
      <c r="U676" s="90"/>
      <c r="V676" s="90"/>
      <c r="W676" s="90"/>
      <c r="X676" s="90"/>
      <c r="Y676" s="90"/>
      <c r="Z676" s="90"/>
      <c r="AA676" s="90"/>
    </row>
    <row r="677" ht="15.75" customHeight="1">
      <c r="A677" s="90"/>
      <c r="B677" s="292"/>
      <c r="C677" s="293"/>
      <c r="D677" s="90"/>
      <c r="E677" s="293"/>
      <c r="F677" s="294"/>
      <c r="G677" s="292"/>
      <c r="H677" s="293"/>
      <c r="I677" s="294"/>
      <c r="J677" s="90"/>
      <c r="K677" s="296"/>
      <c r="L677" s="296"/>
      <c r="M677" s="296"/>
      <c r="N677" s="296"/>
      <c r="O677" s="296"/>
      <c r="P677" s="296"/>
      <c r="Q677" s="297"/>
      <c r="R677" s="90"/>
      <c r="S677" s="90"/>
      <c r="T677" s="264"/>
      <c r="U677" s="90"/>
      <c r="V677" s="90"/>
      <c r="W677" s="90"/>
      <c r="X677" s="90"/>
      <c r="Y677" s="90"/>
      <c r="Z677" s="90"/>
      <c r="AA677" s="90"/>
    </row>
    <row r="678" ht="15.75" customHeight="1">
      <c r="A678" s="90"/>
      <c r="B678" s="292"/>
      <c r="C678" s="293"/>
      <c r="D678" s="90"/>
      <c r="E678" s="293"/>
      <c r="F678" s="294"/>
      <c r="G678" s="292"/>
      <c r="H678" s="293"/>
      <c r="I678" s="294"/>
      <c r="J678" s="90"/>
      <c r="K678" s="296"/>
      <c r="L678" s="296"/>
      <c r="M678" s="296"/>
      <c r="N678" s="296"/>
      <c r="O678" s="296"/>
      <c r="P678" s="296"/>
      <c r="Q678" s="297"/>
      <c r="R678" s="90"/>
      <c r="S678" s="90"/>
      <c r="T678" s="264"/>
      <c r="U678" s="90"/>
      <c r="V678" s="90"/>
      <c r="W678" s="90"/>
      <c r="X678" s="90"/>
      <c r="Y678" s="90"/>
      <c r="Z678" s="90"/>
      <c r="AA678" s="90"/>
    </row>
    <row r="679" ht="15.75" customHeight="1">
      <c r="A679" s="90"/>
      <c r="B679" s="292"/>
      <c r="C679" s="293"/>
      <c r="D679" s="90"/>
      <c r="E679" s="293"/>
      <c r="F679" s="294"/>
      <c r="G679" s="292"/>
      <c r="H679" s="293"/>
      <c r="I679" s="294"/>
      <c r="J679" s="90"/>
      <c r="K679" s="296"/>
      <c r="L679" s="296"/>
      <c r="M679" s="296"/>
      <c r="N679" s="296"/>
      <c r="O679" s="296"/>
      <c r="P679" s="296"/>
      <c r="Q679" s="297"/>
      <c r="R679" s="90"/>
      <c r="S679" s="90"/>
      <c r="T679" s="264"/>
      <c r="U679" s="90"/>
      <c r="V679" s="90"/>
      <c r="W679" s="90"/>
      <c r="X679" s="90"/>
      <c r="Y679" s="90"/>
      <c r="Z679" s="90"/>
      <c r="AA679" s="90"/>
    </row>
    <row r="680" ht="15.75" customHeight="1">
      <c r="A680" s="90"/>
      <c r="B680" s="292"/>
      <c r="C680" s="293"/>
      <c r="D680" s="90"/>
      <c r="E680" s="293"/>
      <c r="F680" s="294"/>
      <c r="G680" s="292"/>
      <c r="H680" s="293"/>
      <c r="I680" s="294"/>
      <c r="J680" s="90"/>
      <c r="K680" s="296"/>
      <c r="L680" s="296"/>
      <c r="M680" s="296"/>
      <c r="N680" s="296"/>
      <c r="O680" s="296"/>
      <c r="P680" s="296"/>
      <c r="Q680" s="297"/>
      <c r="R680" s="90"/>
      <c r="S680" s="90"/>
      <c r="T680" s="264"/>
      <c r="U680" s="90"/>
      <c r="V680" s="90"/>
      <c r="W680" s="90"/>
      <c r="X680" s="90"/>
      <c r="Y680" s="90"/>
      <c r="Z680" s="90"/>
      <c r="AA680" s="90"/>
    </row>
    <row r="681" ht="15.75" customHeight="1">
      <c r="A681" s="90"/>
      <c r="B681" s="292"/>
      <c r="C681" s="293"/>
      <c r="D681" s="90"/>
      <c r="E681" s="293"/>
      <c r="F681" s="294"/>
      <c r="G681" s="292"/>
      <c r="H681" s="293"/>
      <c r="I681" s="294"/>
      <c r="J681" s="90"/>
      <c r="K681" s="296"/>
      <c r="L681" s="296"/>
      <c r="M681" s="296"/>
      <c r="N681" s="296"/>
      <c r="O681" s="296"/>
      <c r="P681" s="296"/>
      <c r="Q681" s="297"/>
      <c r="R681" s="90"/>
      <c r="S681" s="90"/>
      <c r="T681" s="264"/>
      <c r="U681" s="90"/>
      <c r="V681" s="90"/>
      <c r="W681" s="90"/>
      <c r="X681" s="90"/>
      <c r="Y681" s="90"/>
      <c r="Z681" s="90"/>
      <c r="AA681" s="90"/>
    </row>
    <row r="682" ht="15.75" customHeight="1">
      <c r="A682" s="90"/>
      <c r="B682" s="292"/>
      <c r="C682" s="293"/>
      <c r="D682" s="90"/>
      <c r="E682" s="293"/>
      <c r="F682" s="294"/>
      <c r="G682" s="292"/>
      <c r="H682" s="293"/>
      <c r="I682" s="294"/>
      <c r="J682" s="90"/>
      <c r="K682" s="296"/>
      <c r="L682" s="296"/>
      <c r="M682" s="296"/>
      <c r="N682" s="296"/>
      <c r="O682" s="296"/>
      <c r="P682" s="296"/>
      <c r="Q682" s="297"/>
      <c r="R682" s="90"/>
      <c r="S682" s="90"/>
      <c r="T682" s="264"/>
      <c r="U682" s="90"/>
      <c r="V682" s="90"/>
      <c r="W682" s="90"/>
      <c r="X682" s="90"/>
      <c r="Y682" s="90"/>
      <c r="Z682" s="90"/>
      <c r="AA682" s="90"/>
    </row>
    <row r="683" ht="15.75" customHeight="1">
      <c r="A683" s="90"/>
      <c r="B683" s="292"/>
      <c r="C683" s="293"/>
      <c r="D683" s="90"/>
      <c r="E683" s="293"/>
      <c r="F683" s="294"/>
      <c r="G683" s="292"/>
      <c r="H683" s="293"/>
      <c r="I683" s="294"/>
      <c r="J683" s="90"/>
      <c r="K683" s="296"/>
      <c r="L683" s="296"/>
      <c r="M683" s="296"/>
      <c r="N683" s="296"/>
      <c r="O683" s="296"/>
      <c r="P683" s="296"/>
      <c r="Q683" s="297"/>
      <c r="R683" s="90"/>
      <c r="S683" s="90"/>
      <c r="T683" s="264"/>
      <c r="U683" s="90"/>
      <c r="V683" s="90"/>
      <c r="W683" s="90"/>
      <c r="X683" s="90"/>
      <c r="Y683" s="90"/>
      <c r="Z683" s="90"/>
      <c r="AA683" s="90"/>
    </row>
    <row r="684" ht="15.75" customHeight="1">
      <c r="A684" s="90"/>
      <c r="B684" s="292"/>
      <c r="C684" s="293"/>
      <c r="D684" s="90"/>
      <c r="E684" s="293"/>
      <c r="F684" s="294"/>
      <c r="G684" s="292"/>
      <c r="H684" s="293"/>
      <c r="I684" s="294"/>
      <c r="J684" s="90"/>
      <c r="K684" s="296"/>
      <c r="L684" s="296"/>
      <c r="M684" s="296"/>
      <c r="N684" s="296"/>
      <c r="O684" s="296"/>
      <c r="P684" s="296"/>
      <c r="Q684" s="297"/>
      <c r="R684" s="90"/>
      <c r="S684" s="90"/>
      <c r="T684" s="264"/>
      <c r="U684" s="90"/>
      <c r="V684" s="90"/>
      <c r="W684" s="90"/>
      <c r="X684" s="90"/>
      <c r="Y684" s="90"/>
      <c r="Z684" s="90"/>
      <c r="AA684" s="90"/>
    </row>
    <row r="685" ht="15.75" customHeight="1">
      <c r="A685" s="90"/>
      <c r="B685" s="292"/>
      <c r="C685" s="293"/>
      <c r="D685" s="90"/>
      <c r="E685" s="293"/>
      <c r="F685" s="294"/>
      <c r="G685" s="292"/>
      <c r="H685" s="293"/>
      <c r="I685" s="294"/>
      <c r="J685" s="90"/>
      <c r="K685" s="296"/>
      <c r="L685" s="296"/>
      <c r="M685" s="296"/>
      <c r="N685" s="296"/>
      <c r="O685" s="296"/>
      <c r="P685" s="296"/>
      <c r="Q685" s="297"/>
      <c r="R685" s="90"/>
      <c r="S685" s="90"/>
      <c r="T685" s="264"/>
      <c r="U685" s="90"/>
      <c r="V685" s="90"/>
      <c r="W685" s="90"/>
      <c r="X685" s="90"/>
      <c r="Y685" s="90"/>
      <c r="Z685" s="90"/>
      <c r="AA685" s="90"/>
    </row>
    <row r="686" ht="15.75" customHeight="1">
      <c r="A686" s="90"/>
      <c r="B686" s="292"/>
      <c r="C686" s="293"/>
      <c r="D686" s="90"/>
      <c r="E686" s="293"/>
      <c r="F686" s="294"/>
      <c r="G686" s="292"/>
      <c r="H686" s="293"/>
      <c r="I686" s="294"/>
      <c r="J686" s="90"/>
      <c r="K686" s="296"/>
      <c r="L686" s="296"/>
      <c r="M686" s="296"/>
      <c r="N686" s="296"/>
      <c r="O686" s="296"/>
      <c r="P686" s="296"/>
      <c r="Q686" s="297"/>
      <c r="R686" s="90"/>
      <c r="S686" s="90"/>
      <c r="T686" s="264"/>
      <c r="U686" s="90"/>
      <c r="V686" s="90"/>
      <c r="W686" s="90"/>
      <c r="X686" s="90"/>
      <c r="Y686" s="90"/>
      <c r="Z686" s="90"/>
      <c r="AA686" s="90"/>
    </row>
    <row r="687" ht="15.75" customHeight="1">
      <c r="A687" s="90"/>
      <c r="B687" s="292"/>
      <c r="C687" s="293"/>
      <c r="D687" s="90"/>
      <c r="E687" s="293"/>
      <c r="F687" s="294"/>
      <c r="G687" s="292"/>
      <c r="H687" s="293"/>
      <c r="I687" s="294"/>
      <c r="J687" s="90"/>
      <c r="K687" s="296"/>
      <c r="L687" s="296"/>
      <c r="M687" s="296"/>
      <c r="N687" s="296"/>
      <c r="O687" s="296"/>
      <c r="P687" s="296"/>
      <c r="Q687" s="297"/>
      <c r="R687" s="90"/>
      <c r="S687" s="90"/>
      <c r="T687" s="264"/>
      <c r="U687" s="90"/>
      <c r="V687" s="90"/>
      <c r="W687" s="90"/>
      <c r="X687" s="90"/>
      <c r="Y687" s="90"/>
      <c r="Z687" s="90"/>
      <c r="AA687" s="90"/>
    </row>
    <row r="688" ht="15.75" customHeight="1">
      <c r="A688" s="90"/>
      <c r="B688" s="292"/>
      <c r="C688" s="293"/>
      <c r="D688" s="90"/>
      <c r="E688" s="293"/>
      <c r="F688" s="294"/>
      <c r="G688" s="292"/>
      <c r="H688" s="293"/>
      <c r="I688" s="294"/>
      <c r="J688" s="90"/>
      <c r="K688" s="296"/>
      <c r="L688" s="296"/>
      <c r="M688" s="296"/>
      <c r="N688" s="296"/>
      <c r="O688" s="296"/>
      <c r="P688" s="296"/>
      <c r="Q688" s="297"/>
      <c r="R688" s="90"/>
      <c r="S688" s="90"/>
      <c r="T688" s="264"/>
      <c r="U688" s="90"/>
      <c r="V688" s="90"/>
      <c r="W688" s="90"/>
      <c r="X688" s="90"/>
      <c r="Y688" s="90"/>
      <c r="Z688" s="90"/>
      <c r="AA688" s="90"/>
    </row>
    <row r="689" ht="15.75" customHeight="1">
      <c r="A689" s="90"/>
      <c r="B689" s="292"/>
      <c r="C689" s="293"/>
      <c r="D689" s="90"/>
      <c r="E689" s="293"/>
      <c r="F689" s="294"/>
      <c r="G689" s="292"/>
      <c r="H689" s="293"/>
      <c r="I689" s="294"/>
      <c r="J689" s="90"/>
      <c r="K689" s="296"/>
      <c r="L689" s="296"/>
      <c r="M689" s="296"/>
      <c r="N689" s="296"/>
      <c r="O689" s="296"/>
      <c r="P689" s="296"/>
      <c r="Q689" s="297"/>
      <c r="R689" s="90"/>
      <c r="S689" s="90"/>
      <c r="T689" s="264"/>
      <c r="U689" s="90"/>
      <c r="V689" s="90"/>
      <c r="W689" s="90"/>
      <c r="X689" s="90"/>
      <c r="Y689" s="90"/>
      <c r="Z689" s="90"/>
      <c r="AA689" s="90"/>
    </row>
    <row r="690" ht="15.75" customHeight="1">
      <c r="A690" s="90"/>
      <c r="B690" s="292"/>
      <c r="C690" s="293"/>
      <c r="D690" s="90"/>
      <c r="E690" s="293"/>
      <c r="F690" s="294"/>
      <c r="G690" s="292"/>
      <c r="H690" s="293"/>
      <c r="I690" s="294"/>
      <c r="J690" s="90"/>
      <c r="K690" s="296"/>
      <c r="L690" s="296"/>
      <c r="M690" s="296"/>
      <c r="N690" s="296"/>
      <c r="O690" s="296"/>
      <c r="P690" s="296"/>
      <c r="Q690" s="297"/>
      <c r="R690" s="90"/>
      <c r="S690" s="90"/>
      <c r="T690" s="264"/>
      <c r="U690" s="90"/>
      <c r="V690" s="90"/>
      <c r="W690" s="90"/>
      <c r="X690" s="90"/>
      <c r="Y690" s="90"/>
      <c r="Z690" s="90"/>
      <c r="AA690" s="90"/>
    </row>
    <row r="691" ht="15.75" customHeight="1">
      <c r="A691" s="90"/>
      <c r="B691" s="292"/>
      <c r="C691" s="293"/>
      <c r="D691" s="90"/>
      <c r="E691" s="293"/>
      <c r="F691" s="294"/>
      <c r="G691" s="292"/>
      <c r="H691" s="293"/>
      <c r="I691" s="294"/>
      <c r="J691" s="90"/>
      <c r="K691" s="296"/>
      <c r="L691" s="296"/>
      <c r="M691" s="296"/>
      <c r="N691" s="296"/>
      <c r="O691" s="296"/>
      <c r="P691" s="296"/>
      <c r="Q691" s="297"/>
      <c r="R691" s="90"/>
      <c r="S691" s="90"/>
      <c r="T691" s="264"/>
      <c r="U691" s="90"/>
      <c r="V691" s="90"/>
      <c r="W691" s="90"/>
      <c r="X691" s="90"/>
      <c r="Y691" s="90"/>
      <c r="Z691" s="90"/>
      <c r="AA691" s="90"/>
    </row>
    <row r="692" ht="15.75" customHeight="1">
      <c r="A692" s="90"/>
      <c r="B692" s="292"/>
      <c r="C692" s="293"/>
      <c r="D692" s="90"/>
      <c r="E692" s="293"/>
      <c r="F692" s="294"/>
      <c r="G692" s="292"/>
      <c r="H692" s="293"/>
      <c r="I692" s="294"/>
      <c r="J692" s="90"/>
      <c r="K692" s="296"/>
      <c r="L692" s="296"/>
      <c r="M692" s="296"/>
      <c r="N692" s="296"/>
      <c r="O692" s="296"/>
      <c r="P692" s="296"/>
      <c r="Q692" s="297"/>
      <c r="R692" s="90"/>
      <c r="S692" s="90"/>
      <c r="T692" s="264"/>
      <c r="U692" s="90"/>
      <c r="V692" s="90"/>
      <c r="W692" s="90"/>
      <c r="X692" s="90"/>
      <c r="Y692" s="90"/>
      <c r="Z692" s="90"/>
      <c r="AA692" s="90"/>
    </row>
    <row r="693" ht="15.75" customHeight="1">
      <c r="A693" s="90"/>
      <c r="B693" s="292"/>
      <c r="C693" s="293"/>
      <c r="D693" s="90"/>
      <c r="E693" s="293"/>
      <c r="F693" s="294"/>
      <c r="G693" s="292"/>
      <c r="H693" s="293"/>
      <c r="I693" s="294"/>
      <c r="J693" s="90"/>
      <c r="K693" s="296"/>
      <c r="L693" s="296"/>
      <c r="M693" s="296"/>
      <c r="N693" s="296"/>
      <c r="O693" s="296"/>
      <c r="P693" s="296"/>
      <c r="Q693" s="297"/>
      <c r="R693" s="90"/>
      <c r="S693" s="90"/>
      <c r="T693" s="264"/>
      <c r="U693" s="90"/>
      <c r="V693" s="90"/>
      <c r="W693" s="90"/>
      <c r="X693" s="90"/>
      <c r="Y693" s="90"/>
      <c r="Z693" s="90"/>
      <c r="AA693" s="90"/>
    </row>
    <row r="694" ht="15.75" customHeight="1">
      <c r="A694" s="90"/>
      <c r="B694" s="292"/>
      <c r="C694" s="293"/>
      <c r="D694" s="90"/>
      <c r="E694" s="293"/>
      <c r="F694" s="294"/>
      <c r="G694" s="292"/>
      <c r="H694" s="293"/>
      <c r="I694" s="294"/>
      <c r="J694" s="90"/>
      <c r="K694" s="296"/>
      <c r="L694" s="296"/>
      <c r="M694" s="296"/>
      <c r="N694" s="296"/>
      <c r="O694" s="296"/>
      <c r="P694" s="296"/>
      <c r="Q694" s="297"/>
      <c r="R694" s="90"/>
      <c r="S694" s="90"/>
      <c r="T694" s="264"/>
      <c r="U694" s="90"/>
      <c r="V694" s="90"/>
      <c r="W694" s="90"/>
      <c r="X694" s="90"/>
      <c r="Y694" s="90"/>
      <c r="Z694" s="90"/>
      <c r="AA694" s="90"/>
    </row>
    <row r="695" ht="15.75" customHeight="1">
      <c r="A695" s="90"/>
      <c r="B695" s="292"/>
      <c r="C695" s="293"/>
      <c r="D695" s="90"/>
      <c r="E695" s="293"/>
      <c r="F695" s="294"/>
      <c r="G695" s="292"/>
      <c r="H695" s="293"/>
      <c r="I695" s="294"/>
      <c r="J695" s="90"/>
      <c r="K695" s="296"/>
      <c r="L695" s="296"/>
      <c r="M695" s="296"/>
      <c r="N695" s="296"/>
      <c r="O695" s="296"/>
      <c r="P695" s="296"/>
      <c r="Q695" s="297"/>
      <c r="R695" s="90"/>
      <c r="S695" s="90"/>
      <c r="T695" s="264"/>
      <c r="U695" s="90"/>
      <c r="V695" s="90"/>
      <c r="W695" s="90"/>
      <c r="X695" s="90"/>
      <c r="Y695" s="90"/>
      <c r="Z695" s="90"/>
      <c r="AA695" s="90"/>
    </row>
    <row r="696" ht="15.75" customHeight="1">
      <c r="A696" s="90"/>
      <c r="B696" s="292"/>
      <c r="C696" s="293"/>
      <c r="D696" s="90"/>
      <c r="E696" s="293"/>
      <c r="F696" s="294"/>
      <c r="G696" s="292"/>
      <c r="H696" s="293"/>
      <c r="I696" s="294"/>
      <c r="J696" s="90"/>
      <c r="K696" s="296"/>
      <c r="L696" s="296"/>
      <c r="M696" s="296"/>
      <c r="N696" s="296"/>
      <c r="O696" s="296"/>
      <c r="P696" s="296"/>
      <c r="Q696" s="297"/>
      <c r="R696" s="90"/>
      <c r="S696" s="90"/>
      <c r="T696" s="264"/>
      <c r="U696" s="90"/>
      <c r="V696" s="90"/>
      <c r="W696" s="90"/>
      <c r="X696" s="90"/>
      <c r="Y696" s="90"/>
      <c r="Z696" s="90"/>
      <c r="AA696" s="90"/>
    </row>
    <row r="697" ht="15.75" customHeight="1">
      <c r="A697" s="90"/>
      <c r="B697" s="292"/>
      <c r="C697" s="293"/>
      <c r="D697" s="90"/>
      <c r="E697" s="293"/>
      <c r="F697" s="294"/>
      <c r="G697" s="292"/>
      <c r="H697" s="293"/>
      <c r="I697" s="294"/>
      <c r="J697" s="90"/>
      <c r="K697" s="296"/>
      <c r="L697" s="296"/>
      <c r="M697" s="296"/>
      <c r="N697" s="296"/>
      <c r="O697" s="296"/>
      <c r="P697" s="296"/>
      <c r="Q697" s="297"/>
      <c r="R697" s="90"/>
      <c r="S697" s="90"/>
      <c r="T697" s="264"/>
      <c r="U697" s="90"/>
      <c r="V697" s="90"/>
      <c r="W697" s="90"/>
      <c r="X697" s="90"/>
      <c r="Y697" s="90"/>
      <c r="Z697" s="90"/>
      <c r="AA697" s="90"/>
    </row>
    <row r="698" ht="15.75" customHeight="1">
      <c r="A698" s="90"/>
      <c r="B698" s="292"/>
      <c r="C698" s="293"/>
      <c r="D698" s="90"/>
      <c r="E698" s="293"/>
      <c r="F698" s="294"/>
      <c r="G698" s="292"/>
      <c r="H698" s="293"/>
      <c r="I698" s="294"/>
      <c r="J698" s="90"/>
      <c r="K698" s="296"/>
      <c r="L698" s="296"/>
      <c r="M698" s="296"/>
      <c r="N698" s="296"/>
      <c r="O698" s="296"/>
      <c r="P698" s="296"/>
      <c r="Q698" s="297"/>
      <c r="R698" s="90"/>
      <c r="S698" s="90"/>
      <c r="T698" s="264"/>
      <c r="U698" s="90"/>
      <c r="V698" s="90"/>
      <c r="W698" s="90"/>
      <c r="X698" s="90"/>
      <c r="Y698" s="90"/>
      <c r="Z698" s="90"/>
      <c r="AA698" s="90"/>
    </row>
    <row r="699" ht="15.75" customHeight="1">
      <c r="A699" s="90"/>
      <c r="B699" s="292"/>
      <c r="C699" s="293"/>
      <c r="D699" s="90"/>
      <c r="E699" s="293"/>
      <c r="F699" s="294"/>
      <c r="G699" s="292"/>
      <c r="H699" s="293"/>
      <c r="I699" s="294"/>
      <c r="J699" s="90"/>
      <c r="K699" s="296"/>
      <c r="L699" s="296"/>
      <c r="M699" s="296"/>
      <c r="N699" s="296"/>
      <c r="O699" s="296"/>
      <c r="P699" s="296"/>
      <c r="Q699" s="297"/>
      <c r="R699" s="90"/>
      <c r="S699" s="90"/>
      <c r="T699" s="264"/>
      <c r="U699" s="90"/>
      <c r="V699" s="90"/>
      <c r="W699" s="90"/>
      <c r="X699" s="90"/>
      <c r="Y699" s="90"/>
      <c r="Z699" s="90"/>
      <c r="AA699" s="90"/>
    </row>
    <row r="700" ht="15.75" customHeight="1">
      <c r="A700" s="90"/>
      <c r="B700" s="292"/>
      <c r="C700" s="293"/>
      <c r="D700" s="90"/>
      <c r="E700" s="293"/>
      <c r="F700" s="294"/>
      <c r="G700" s="292"/>
      <c r="H700" s="293"/>
      <c r="I700" s="294"/>
      <c r="J700" s="90"/>
      <c r="K700" s="296"/>
      <c r="L700" s="296"/>
      <c r="M700" s="296"/>
      <c r="N700" s="296"/>
      <c r="O700" s="296"/>
      <c r="P700" s="296"/>
      <c r="Q700" s="297"/>
      <c r="R700" s="90"/>
      <c r="S700" s="90"/>
      <c r="T700" s="264"/>
      <c r="U700" s="90"/>
      <c r="V700" s="90"/>
      <c r="W700" s="90"/>
      <c r="X700" s="90"/>
      <c r="Y700" s="90"/>
      <c r="Z700" s="90"/>
      <c r="AA700" s="90"/>
    </row>
    <row r="701" ht="15.75" customHeight="1">
      <c r="A701" s="90"/>
      <c r="B701" s="292"/>
      <c r="C701" s="293"/>
      <c r="D701" s="90"/>
      <c r="E701" s="293"/>
      <c r="F701" s="294"/>
      <c r="G701" s="292"/>
      <c r="H701" s="293"/>
      <c r="I701" s="294"/>
      <c r="J701" s="90"/>
      <c r="K701" s="296"/>
      <c r="L701" s="296"/>
      <c r="M701" s="296"/>
      <c r="N701" s="296"/>
      <c r="O701" s="296"/>
      <c r="P701" s="296"/>
      <c r="Q701" s="297"/>
      <c r="R701" s="90"/>
      <c r="S701" s="90"/>
      <c r="T701" s="264"/>
      <c r="U701" s="90"/>
      <c r="V701" s="90"/>
      <c r="W701" s="90"/>
      <c r="X701" s="90"/>
      <c r="Y701" s="90"/>
      <c r="Z701" s="90"/>
      <c r="AA701" s="90"/>
    </row>
    <row r="702" ht="15.75" customHeight="1">
      <c r="A702" s="90"/>
      <c r="B702" s="292"/>
      <c r="C702" s="293"/>
      <c r="D702" s="90"/>
      <c r="E702" s="293"/>
      <c r="F702" s="294"/>
      <c r="G702" s="292"/>
      <c r="H702" s="293"/>
      <c r="I702" s="294"/>
      <c r="J702" s="90"/>
      <c r="K702" s="296"/>
      <c r="L702" s="296"/>
      <c r="M702" s="296"/>
      <c r="N702" s="296"/>
      <c r="O702" s="296"/>
      <c r="P702" s="296"/>
      <c r="Q702" s="297"/>
      <c r="R702" s="90"/>
      <c r="S702" s="90"/>
      <c r="T702" s="264"/>
      <c r="U702" s="90"/>
      <c r="V702" s="90"/>
      <c r="W702" s="90"/>
      <c r="X702" s="90"/>
      <c r="Y702" s="90"/>
      <c r="Z702" s="90"/>
      <c r="AA702" s="90"/>
    </row>
    <row r="703" ht="15.75" customHeight="1">
      <c r="A703" s="90"/>
      <c r="B703" s="292"/>
      <c r="C703" s="293"/>
      <c r="D703" s="90"/>
      <c r="E703" s="293"/>
      <c r="F703" s="294"/>
      <c r="G703" s="292"/>
      <c r="H703" s="293"/>
      <c r="I703" s="294"/>
      <c r="J703" s="90"/>
      <c r="K703" s="296"/>
      <c r="L703" s="296"/>
      <c r="M703" s="296"/>
      <c r="N703" s="296"/>
      <c r="O703" s="296"/>
      <c r="P703" s="296"/>
      <c r="Q703" s="297"/>
      <c r="R703" s="90"/>
      <c r="S703" s="90"/>
      <c r="T703" s="264"/>
      <c r="U703" s="90"/>
      <c r="V703" s="90"/>
      <c r="W703" s="90"/>
      <c r="X703" s="90"/>
      <c r="Y703" s="90"/>
      <c r="Z703" s="90"/>
      <c r="AA703" s="90"/>
    </row>
    <row r="704" ht="15.75" customHeight="1">
      <c r="A704" s="90"/>
      <c r="B704" s="292"/>
      <c r="C704" s="293"/>
      <c r="D704" s="90"/>
      <c r="E704" s="293"/>
      <c r="F704" s="294"/>
      <c r="G704" s="292"/>
      <c r="H704" s="293"/>
      <c r="I704" s="294"/>
      <c r="J704" s="90"/>
      <c r="K704" s="296"/>
      <c r="L704" s="296"/>
      <c r="M704" s="296"/>
      <c r="N704" s="296"/>
      <c r="O704" s="296"/>
      <c r="P704" s="296"/>
      <c r="Q704" s="297"/>
      <c r="R704" s="90"/>
      <c r="S704" s="90"/>
      <c r="T704" s="264"/>
      <c r="U704" s="90"/>
      <c r="V704" s="90"/>
      <c r="W704" s="90"/>
      <c r="X704" s="90"/>
      <c r="Y704" s="90"/>
      <c r="Z704" s="90"/>
      <c r="AA704" s="90"/>
    </row>
    <row r="705" ht="15.75" customHeight="1">
      <c r="A705" s="90"/>
      <c r="B705" s="292"/>
      <c r="C705" s="293"/>
      <c r="D705" s="90"/>
      <c r="E705" s="293"/>
      <c r="F705" s="294"/>
      <c r="G705" s="292"/>
      <c r="H705" s="293"/>
      <c r="I705" s="294"/>
      <c r="J705" s="90"/>
      <c r="K705" s="296"/>
      <c r="L705" s="296"/>
      <c r="M705" s="296"/>
      <c r="N705" s="296"/>
      <c r="O705" s="296"/>
      <c r="P705" s="296"/>
      <c r="Q705" s="297"/>
      <c r="R705" s="90"/>
      <c r="S705" s="90"/>
      <c r="T705" s="264"/>
      <c r="U705" s="90"/>
      <c r="V705" s="90"/>
      <c r="W705" s="90"/>
      <c r="X705" s="90"/>
      <c r="Y705" s="90"/>
      <c r="Z705" s="90"/>
      <c r="AA705" s="90"/>
    </row>
    <row r="706" ht="15.75" customHeight="1">
      <c r="A706" s="90"/>
      <c r="B706" s="292"/>
      <c r="C706" s="293"/>
      <c r="D706" s="90"/>
      <c r="E706" s="293"/>
      <c r="F706" s="294"/>
      <c r="G706" s="292"/>
      <c r="H706" s="293"/>
      <c r="I706" s="294"/>
      <c r="J706" s="90"/>
      <c r="K706" s="296"/>
      <c r="L706" s="296"/>
      <c r="M706" s="296"/>
      <c r="N706" s="296"/>
      <c r="O706" s="296"/>
      <c r="P706" s="296"/>
      <c r="Q706" s="297"/>
      <c r="R706" s="90"/>
      <c r="S706" s="90"/>
      <c r="T706" s="264"/>
      <c r="U706" s="90"/>
      <c r="V706" s="90"/>
      <c r="W706" s="90"/>
      <c r="X706" s="90"/>
      <c r="Y706" s="90"/>
      <c r="Z706" s="90"/>
      <c r="AA706" s="90"/>
    </row>
    <row r="707" ht="15.75" customHeight="1">
      <c r="A707" s="90"/>
      <c r="B707" s="292"/>
      <c r="C707" s="293"/>
      <c r="D707" s="90"/>
      <c r="E707" s="293"/>
      <c r="F707" s="294"/>
      <c r="G707" s="292"/>
      <c r="H707" s="293"/>
      <c r="I707" s="294"/>
      <c r="J707" s="90"/>
      <c r="K707" s="296"/>
      <c r="L707" s="296"/>
      <c r="M707" s="296"/>
      <c r="N707" s="296"/>
      <c r="O707" s="296"/>
      <c r="P707" s="296"/>
      <c r="Q707" s="297"/>
      <c r="R707" s="90"/>
      <c r="S707" s="90"/>
      <c r="T707" s="264"/>
      <c r="U707" s="90"/>
      <c r="V707" s="90"/>
      <c r="W707" s="90"/>
      <c r="X707" s="90"/>
      <c r="Y707" s="90"/>
      <c r="Z707" s="90"/>
      <c r="AA707" s="90"/>
    </row>
    <row r="708" ht="15.75" customHeight="1">
      <c r="A708" s="90"/>
      <c r="B708" s="292"/>
      <c r="C708" s="293"/>
      <c r="D708" s="90"/>
      <c r="E708" s="293"/>
      <c r="F708" s="294"/>
      <c r="G708" s="292"/>
      <c r="H708" s="293"/>
      <c r="I708" s="294"/>
      <c r="J708" s="90"/>
      <c r="K708" s="296"/>
      <c r="L708" s="296"/>
      <c r="M708" s="296"/>
      <c r="N708" s="296"/>
      <c r="O708" s="296"/>
      <c r="P708" s="296"/>
      <c r="Q708" s="297"/>
      <c r="R708" s="90"/>
      <c r="S708" s="90"/>
      <c r="T708" s="264"/>
      <c r="U708" s="90"/>
      <c r="V708" s="90"/>
      <c r="W708" s="90"/>
      <c r="X708" s="90"/>
      <c r="Y708" s="90"/>
      <c r="Z708" s="90"/>
      <c r="AA708" s="90"/>
    </row>
    <row r="709" ht="15.75" customHeight="1">
      <c r="A709" s="90"/>
      <c r="B709" s="292"/>
      <c r="C709" s="293"/>
      <c r="D709" s="90"/>
      <c r="E709" s="293"/>
      <c r="F709" s="294"/>
      <c r="G709" s="292"/>
      <c r="H709" s="293"/>
      <c r="I709" s="294"/>
      <c r="J709" s="90"/>
      <c r="K709" s="296"/>
      <c r="L709" s="296"/>
      <c r="M709" s="296"/>
      <c r="N709" s="296"/>
      <c r="O709" s="296"/>
      <c r="P709" s="296"/>
      <c r="Q709" s="297"/>
      <c r="R709" s="90"/>
      <c r="S709" s="90"/>
      <c r="T709" s="264"/>
      <c r="U709" s="90"/>
      <c r="V709" s="90"/>
      <c r="W709" s="90"/>
      <c r="X709" s="90"/>
      <c r="Y709" s="90"/>
      <c r="Z709" s="90"/>
      <c r="AA709" s="90"/>
    </row>
    <row r="710" ht="15.75" customHeight="1">
      <c r="A710" s="90"/>
      <c r="B710" s="292"/>
      <c r="C710" s="293"/>
      <c r="D710" s="90"/>
      <c r="E710" s="293"/>
      <c r="F710" s="294"/>
      <c r="G710" s="292"/>
      <c r="H710" s="293"/>
      <c r="I710" s="294"/>
      <c r="J710" s="90"/>
      <c r="K710" s="296"/>
      <c r="L710" s="296"/>
      <c r="M710" s="296"/>
      <c r="N710" s="296"/>
      <c r="O710" s="296"/>
      <c r="P710" s="296"/>
      <c r="Q710" s="297"/>
      <c r="R710" s="90"/>
      <c r="S710" s="90"/>
      <c r="T710" s="264"/>
      <c r="U710" s="90"/>
      <c r="V710" s="90"/>
      <c r="W710" s="90"/>
      <c r="X710" s="90"/>
      <c r="Y710" s="90"/>
      <c r="Z710" s="90"/>
      <c r="AA710" s="90"/>
    </row>
    <row r="711" ht="15.75" customHeight="1">
      <c r="A711" s="90"/>
      <c r="B711" s="292"/>
      <c r="C711" s="293"/>
      <c r="D711" s="90"/>
      <c r="E711" s="293"/>
      <c r="F711" s="294"/>
      <c r="G711" s="292"/>
      <c r="H711" s="293"/>
      <c r="I711" s="294"/>
      <c r="J711" s="90"/>
      <c r="K711" s="296"/>
      <c r="L711" s="296"/>
      <c r="M711" s="296"/>
      <c r="N711" s="296"/>
      <c r="O711" s="296"/>
      <c r="P711" s="296"/>
      <c r="Q711" s="297"/>
      <c r="R711" s="90"/>
      <c r="S711" s="90"/>
      <c r="T711" s="264"/>
      <c r="U711" s="90"/>
      <c r="V711" s="90"/>
      <c r="W711" s="90"/>
      <c r="X711" s="90"/>
      <c r="Y711" s="90"/>
      <c r="Z711" s="90"/>
      <c r="AA711" s="90"/>
    </row>
    <row r="712" ht="15.75" customHeight="1">
      <c r="A712" s="90"/>
      <c r="B712" s="292"/>
      <c r="C712" s="293"/>
      <c r="D712" s="90"/>
      <c r="E712" s="293"/>
      <c r="F712" s="294"/>
      <c r="G712" s="292"/>
      <c r="H712" s="293"/>
      <c r="I712" s="294"/>
      <c r="J712" s="90"/>
      <c r="K712" s="296"/>
      <c r="L712" s="296"/>
      <c r="M712" s="296"/>
      <c r="N712" s="296"/>
      <c r="O712" s="296"/>
      <c r="P712" s="296"/>
      <c r="Q712" s="297"/>
      <c r="R712" s="90"/>
      <c r="S712" s="90"/>
      <c r="T712" s="264"/>
      <c r="U712" s="90"/>
      <c r="V712" s="90"/>
      <c r="W712" s="90"/>
      <c r="X712" s="90"/>
      <c r="Y712" s="90"/>
      <c r="Z712" s="90"/>
      <c r="AA712" s="90"/>
    </row>
    <row r="713" ht="15.75" customHeight="1">
      <c r="A713" s="90"/>
      <c r="B713" s="292"/>
      <c r="C713" s="293"/>
      <c r="D713" s="90"/>
      <c r="E713" s="293"/>
      <c r="F713" s="294"/>
      <c r="G713" s="292"/>
      <c r="H713" s="293"/>
      <c r="I713" s="294"/>
      <c r="J713" s="90"/>
      <c r="K713" s="296"/>
      <c r="L713" s="296"/>
      <c r="M713" s="296"/>
      <c r="N713" s="296"/>
      <c r="O713" s="296"/>
      <c r="P713" s="296"/>
      <c r="Q713" s="297"/>
      <c r="R713" s="90"/>
      <c r="S713" s="90"/>
      <c r="T713" s="264"/>
      <c r="U713" s="90"/>
      <c r="V713" s="90"/>
      <c r="W713" s="90"/>
      <c r="X713" s="90"/>
      <c r="Y713" s="90"/>
      <c r="Z713" s="90"/>
      <c r="AA713" s="90"/>
    </row>
    <row r="714" ht="15.75" customHeight="1">
      <c r="A714" s="90"/>
      <c r="B714" s="292"/>
      <c r="C714" s="293"/>
      <c r="D714" s="90"/>
      <c r="E714" s="293"/>
      <c r="F714" s="294"/>
      <c r="G714" s="292"/>
      <c r="H714" s="293"/>
      <c r="I714" s="294"/>
      <c r="J714" s="90"/>
      <c r="K714" s="296"/>
      <c r="L714" s="296"/>
      <c r="M714" s="296"/>
      <c r="N714" s="296"/>
      <c r="O714" s="296"/>
      <c r="P714" s="296"/>
      <c r="Q714" s="297"/>
      <c r="R714" s="90"/>
      <c r="S714" s="90"/>
      <c r="T714" s="264"/>
      <c r="U714" s="90"/>
      <c r="V714" s="90"/>
      <c r="W714" s="90"/>
      <c r="X714" s="90"/>
      <c r="Y714" s="90"/>
      <c r="Z714" s="90"/>
      <c r="AA714" s="90"/>
    </row>
    <row r="715" ht="15.75" customHeight="1">
      <c r="A715" s="90"/>
      <c r="B715" s="292"/>
      <c r="C715" s="293"/>
      <c r="D715" s="90"/>
      <c r="E715" s="293"/>
      <c r="F715" s="294"/>
      <c r="G715" s="292"/>
      <c r="H715" s="293"/>
      <c r="I715" s="294"/>
      <c r="J715" s="90"/>
      <c r="K715" s="296"/>
      <c r="L715" s="296"/>
      <c r="M715" s="296"/>
      <c r="N715" s="296"/>
      <c r="O715" s="296"/>
      <c r="P715" s="296"/>
      <c r="Q715" s="297"/>
      <c r="R715" s="90"/>
      <c r="S715" s="90"/>
      <c r="T715" s="264"/>
      <c r="U715" s="90"/>
      <c r="V715" s="90"/>
      <c r="W715" s="90"/>
      <c r="X715" s="90"/>
      <c r="Y715" s="90"/>
      <c r="Z715" s="90"/>
      <c r="AA715" s="90"/>
    </row>
    <row r="716" ht="15.75" customHeight="1">
      <c r="A716" s="90"/>
      <c r="B716" s="292"/>
      <c r="C716" s="293"/>
      <c r="D716" s="90"/>
      <c r="E716" s="293"/>
      <c r="F716" s="294"/>
      <c r="G716" s="292"/>
      <c r="H716" s="293"/>
      <c r="I716" s="294"/>
      <c r="J716" s="90"/>
      <c r="K716" s="296"/>
      <c r="L716" s="296"/>
      <c r="M716" s="296"/>
      <c r="N716" s="296"/>
      <c r="O716" s="296"/>
      <c r="P716" s="296"/>
      <c r="Q716" s="297"/>
      <c r="R716" s="90"/>
      <c r="S716" s="90"/>
      <c r="T716" s="264"/>
      <c r="U716" s="90"/>
      <c r="V716" s="90"/>
      <c r="W716" s="90"/>
      <c r="X716" s="90"/>
      <c r="Y716" s="90"/>
      <c r="Z716" s="90"/>
      <c r="AA716" s="90"/>
    </row>
    <row r="717" ht="15.75" customHeight="1">
      <c r="A717" s="90"/>
      <c r="B717" s="292"/>
      <c r="C717" s="293"/>
      <c r="D717" s="90"/>
      <c r="E717" s="293"/>
      <c r="F717" s="294"/>
      <c r="G717" s="292"/>
      <c r="H717" s="293"/>
      <c r="I717" s="294"/>
      <c r="J717" s="90"/>
      <c r="K717" s="296"/>
      <c r="L717" s="296"/>
      <c r="M717" s="296"/>
      <c r="N717" s="296"/>
      <c r="O717" s="296"/>
      <c r="P717" s="296"/>
      <c r="Q717" s="297"/>
      <c r="R717" s="90"/>
      <c r="S717" s="90"/>
      <c r="T717" s="264"/>
      <c r="U717" s="90"/>
      <c r="V717" s="90"/>
      <c r="W717" s="90"/>
      <c r="X717" s="90"/>
      <c r="Y717" s="90"/>
      <c r="Z717" s="90"/>
      <c r="AA717" s="90"/>
    </row>
    <row r="718" ht="15.75" customHeight="1">
      <c r="A718" s="90"/>
      <c r="B718" s="292"/>
      <c r="C718" s="293"/>
      <c r="D718" s="90"/>
      <c r="E718" s="293"/>
      <c r="F718" s="294"/>
      <c r="G718" s="292"/>
      <c r="H718" s="293"/>
      <c r="I718" s="294"/>
      <c r="J718" s="90"/>
      <c r="K718" s="296"/>
      <c r="L718" s="296"/>
      <c r="M718" s="296"/>
      <c r="N718" s="296"/>
      <c r="O718" s="296"/>
      <c r="P718" s="296"/>
      <c r="Q718" s="297"/>
      <c r="R718" s="90"/>
      <c r="S718" s="90"/>
      <c r="T718" s="264"/>
      <c r="U718" s="90"/>
      <c r="V718" s="90"/>
      <c r="W718" s="90"/>
      <c r="X718" s="90"/>
      <c r="Y718" s="90"/>
      <c r="Z718" s="90"/>
      <c r="AA718" s="90"/>
    </row>
    <row r="719" ht="15.75" customHeight="1">
      <c r="A719" s="90"/>
      <c r="B719" s="292"/>
      <c r="C719" s="293"/>
      <c r="D719" s="90"/>
      <c r="E719" s="293"/>
      <c r="F719" s="294"/>
      <c r="G719" s="292"/>
      <c r="H719" s="293"/>
      <c r="I719" s="294"/>
      <c r="J719" s="90"/>
      <c r="K719" s="296"/>
      <c r="L719" s="296"/>
      <c r="M719" s="296"/>
      <c r="N719" s="296"/>
      <c r="O719" s="296"/>
      <c r="P719" s="296"/>
      <c r="Q719" s="297"/>
      <c r="R719" s="90"/>
      <c r="S719" s="90"/>
      <c r="T719" s="264"/>
      <c r="U719" s="90"/>
      <c r="V719" s="90"/>
      <c r="W719" s="90"/>
      <c r="X719" s="90"/>
      <c r="Y719" s="90"/>
      <c r="Z719" s="90"/>
      <c r="AA719" s="90"/>
    </row>
    <row r="720" ht="15.75" customHeight="1">
      <c r="A720" s="90"/>
      <c r="B720" s="292"/>
      <c r="C720" s="293"/>
      <c r="D720" s="90"/>
      <c r="E720" s="293"/>
      <c r="F720" s="294"/>
      <c r="G720" s="292"/>
      <c r="H720" s="293"/>
      <c r="I720" s="294"/>
      <c r="J720" s="90"/>
      <c r="K720" s="296"/>
      <c r="L720" s="296"/>
      <c r="M720" s="296"/>
      <c r="N720" s="296"/>
      <c r="O720" s="296"/>
      <c r="P720" s="296"/>
      <c r="Q720" s="297"/>
      <c r="R720" s="90"/>
      <c r="S720" s="90"/>
      <c r="T720" s="264"/>
      <c r="U720" s="90"/>
      <c r="V720" s="90"/>
      <c r="W720" s="90"/>
      <c r="X720" s="90"/>
      <c r="Y720" s="90"/>
      <c r="Z720" s="90"/>
      <c r="AA720" s="90"/>
    </row>
    <row r="721" ht="15.75" customHeight="1">
      <c r="A721" s="90"/>
      <c r="B721" s="292"/>
      <c r="C721" s="293"/>
      <c r="D721" s="90"/>
      <c r="E721" s="293"/>
      <c r="F721" s="294"/>
      <c r="G721" s="292"/>
      <c r="H721" s="293"/>
      <c r="I721" s="294"/>
      <c r="J721" s="90"/>
      <c r="K721" s="296"/>
      <c r="L721" s="296"/>
      <c r="M721" s="296"/>
      <c r="N721" s="296"/>
      <c r="O721" s="296"/>
      <c r="P721" s="296"/>
      <c r="Q721" s="297"/>
      <c r="R721" s="90"/>
      <c r="S721" s="90"/>
      <c r="T721" s="264"/>
      <c r="U721" s="90"/>
      <c r="V721" s="90"/>
      <c r="W721" s="90"/>
      <c r="X721" s="90"/>
      <c r="Y721" s="90"/>
      <c r="Z721" s="90"/>
      <c r="AA721" s="90"/>
    </row>
    <row r="722" ht="15.75" customHeight="1">
      <c r="A722" s="90"/>
      <c r="B722" s="292"/>
      <c r="C722" s="293"/>
      <c r="D722" s="90"/>
      <c r="E722" s="293"/>
      <c r="F722" s="294"/>
      <c r="G722" s="292"/>
      <c r="H722" s="293"/>
      <c r="I722" s="294"/>
      <c r="J722" s="90"/>
      <c r="K722" s="296"/>
      <c r="L722" s="296"/>
      <c r="M722" s="296"/>
      <c r="N722" s="296"/>
      <c r="O722" s="296"/>
      <c r="P722" s="296"/>
      <c r="Q722" s="297"/>
      <c r="R722" s="90"/>
      <c r="S722" s="90"/>
      <c r="T722" s="264"/>
      <c r="U722" s="90"/>
      <c r="V722" s="90"/>
      <c r="W722" s="90"/>
      <c r="X722" s="90"/>
      <c r="Y722" s="90"/>
      <c r="Z722" s="90"/>
      <c r="AA722" s="90"/>
    </row>
    <row r="723" ht="15.75" customHeight="1">
      <c r="A723" s="90"/>
      <c r="B723" s="292"/>
      <c r="C723" s="293"/>
      <c r="D723" s="90"/>
      <c r="E723" s="293"/>
      <c r="F723" s="294"/>
      <c r="G723" s="292"/>
      <c r="H723" s="293"/>
      <c r="I723" s="294"/>
      <c r="J723" s="90"/>
      <c r="K723" s="296"/>
      <c r="L723" s="296"/>
      <c r="M723" s="296"/>
      <c r="N723" s="296"/>
      <c r="O723" s="296"/>
      <c r="P723" s="296"/>
      <c r="Q723" s="297"/>
      <c r="R723" s="90"/>
      <c r="S723" s="90"/>
      <c r="T723" s="264"/>
      <c r="U723" s="90"/>
      <c r="V723" s="90"/>
      <c r="W723" s="90"/>
      <c r="X723" s="90"/>
      <c r="Y723" s="90"/>
      <c r="Z723" s="90"/>
      <c r="AA723" s="90"/>
    </row>
    <row r="724" ht="15.75" customHeight="1">
      <c r="A724" s="90"/>
      <c r="B724" s="292"/>
      <c r="C724" s="293"/>
      <c r="D724" s="90"/>
      <c r="E724" s="293"/>
      <c r="F724" s="294"/>
      <c r="G724" s="292"/>
      <c r="H724" s="293"/>
      <c r="I724" s="294"/>
      <c r="J724" s="90"/>
      <c r="K724" s="296"/>
      <c r="L724" s="296"/>
      <c r="M724" s="296"/>
      <c r="N724" s="296"/>
      <c r="O724" s="296"/>
      <c r="P724" s="296"/>
      <c r="Q724" s="297"/>
      <c r="R724" s="90"/>
      <c r="S724" s="90"/>
      <c r="T724" s="264"/>
      <c r="U724" s="90"/>
      <c r="V724" s="90"/>
      <c r="W724" s="90"/>
      <c r="X724" s="90"/>
      <c r="Y724" s="90"/>
      <c r="Z724" s="90"/>
      <c r="AA724" s="90"/>
    </row>
    <row r="725" ht="15.75" customHeight="1">
      <c r="A725" s="90"/>
      <c r="B725" s="292"/>
      <c r="C725" s="293"/>
      <c r="D725" s="90"/>
      <c r="E725" s="293"/>
      <c r="F725" s="294"/>
      <c r="G725" s="292"/>
      <c r="H725" s="293"/>
      <c r="I725" s="294"/>
      <c r="J725" s="90"/>
      <c r="K725" s="296"/>
      <c r="L725" s="296"/>
      <c r="M725" s="296"/>
      <c r="N725" s="296"/>
      <c r="O725" s="296"/>
      <c r="P725" s="296"/>
      <c r="Q725" s="297"/>
      <c r="R725" s="90"/>
      <c r="S725" s="90"/>
      <c r="T725" s="264"/>
      <c r="U725" s="90"/>
      <c r="V725" s="90"/>
      <c r="W725" s="90"/>
      <c r="X725" s="90"/>
      <c r="Y725" s="90"/>
      <c r="Z725" s="90"/>
      <c r="AA725" s="90"/>
    </row>
    <row r="726" ht="15.75" customHeight="1">
      <c r="A726" s="90"/>
      <c r="B726" s="292"/>
      <c r="C726" s="293"/>
      <c r="D726" s="90"/>
      <c r="E726" s="293"/>
      <c r="F726" s="294"/>
      <c r="G726" s="292"/>
      <c r="H726" s="293"/>
      <c r="I726" s="294"/>
      <c r="J726" s="90"/>
      <c r="K726" s="296"/>
      <c r="L726" s="296"/>
      <c r="M726" s="296"/>
      <c r="N726" s="296"/>
      <c r="O726" s="296"/>
      <c r="P726" s="296"/>
      <c r="Q726" s="297"/>
      <c r="R726" s="90"/>
      <c r="S726" s="90"/>
      <c r="T726" s="264"/>
      <c r="U726" s="90"/>
      <c r="V726" s="90"/>
      <c r="W726" s="90"/>
      <c r="X726" s="90"/>
      <c r="Y726" s="90"/>
      <c r="Z726" s="90"/>
      <c r="AA726" s="90"/>
    </row>
    <row r="727" ht="15.75" customHeight="1">
      <c r="A727" s="90"/>
      <c r="B727" s="292"/>
      <c r="C727" s="293"/>
      <c r="D727" s="90"/>
      <c r="E727" s="293"/>
      <c r="F727" s="294"/>
      <c r="G727" s="292"/>
      <c r="H727" s="293"/>
      <c r="I727" s="294"/>
      <c r="J727" s="90"/>
      <c r="K727" s="296"/>
      <c r="L727" s="296"/>
      <c r="M727" s="296"/>
      <c r="N727" s="296"/>
      <c r="O727" s="296"/>
      <c r="P727" s="296"/>
      <c r="Q727" s="297"/>
      <c r="R727" s="90"/>
      <c r="S727" s="90"/>
      <c r="T727" s="264"/>
      <c r="U727" s="90"/>
      <c r="V727" s="90"/>
      <c r="W727" s="90"/>
      <c r="X727" s="90"/>
      <c r="Y727" s="90"/>
      <c r="Z727" s="90"/>
      <c r="AA727" s="90"/>
    </row>
    <row r="728" ht="15.75" customHeight="1">
      <c r="A728" s="90"/>
      <c r="B728" s="292"/>
      <c r="C728" s="293"/>
      <c r="D728" s="90"/>
      <c r="E728" s="293"/>
      <c r="F728" s="294"/>
      <c r="G728" s="292"/>
      <c r="H728" s="293"/>
      <c r="I728" s="294"/>
      <c r="J728" s="90"/>
      <c r="K728" s="296"/>
      <c r="L728" s="296"/>
      <c r="M728" s="296"/>
      <c r="N728" s="296"/>
      <c r="O728" s="296"/>
      <c r="P728" s="296"/>
      <c r="Q728" s="297"/>
      <c r="R728" s="90"/>
      <c r="S728" s="90"/>
      <c r="T728" s="264"/>
      <c r="U728" s="90"/>
      <c r="V728" s="90"/>
      <c r="W728" s="90"/>
      <c r="X728" s="90"/>
      <c r="Y728" s="90"/>
      <c r="Z728" s="90"/>
      <c r="AA728" s="90"/>
    </row>
    <row r="729" ht="15.75" customHeight="1">
      <c r="A729" s="90"/>
      <c r="B729" s="292"/>
      <c r="C729" s="293"/>
      <c r="D729" s="90"/>
      <c r="E729" s="293"/>
      <c r="F729" s="294"/>
      <c r="G729" s="292"/>
      <c r="H729" s="293"/>
      <c r="I729" s="294"/>
      <c r="J729" s="90"/>
      <c r="K729" s="296"/>
      <c r="L729" s="296"/>
      <c r="M729" s="296"/>
      <c r="N729" s="296"/>
      <c r="O729" s="296"/>
      <c r="P729" s="296"/>
      <c r="Q729" s="297"/>
      <c r="R729" s="90"/>
      <c r="S729" s="90"/>
      <c r="T729" s="264"/>
      <c r="U729" s="90"/>
      <c r="V729" s="90"/>
      <c r="W729" s="90"/>
      <c r="X729" s="90"/>
      <c r="Y729" s="90"/>
      <c r="Z729" s="90"/>
      <c r="AA729" s="90"/>
    </row>
    <row r="730" ht="15.75" customHeight="1">
      <c r="A730" s="90"/>
      <c r="B730" s="292"/>
      <c r="C730" s="293"/>
      <c r="D730" s="90"/>
      <c r="E730" s="293"/>
      <c r="F730" s="294"/>
      <c r="G730" s="292"/>
      <c r="H730" s="293"/>
      <c r="I730" s="294"/>
      <c r="J730" s="90"/>
      <c r="K730" s="296"/>
      <c r="L730" s="296"/>
      <c r="M730" s="296"/>
      <c r="N730" s="296"/>
      <c r="O730" s="296"/>
      <c r="P730" s="296"/>
      <c r="Q730" s="297"/>
      <c r="R730" s="90"/>
      <c r="S730" s="90"/>
      <c r="T730" s="264"/>
      <c r="U730" s="90"/>
      <c r="V730" s="90"/>
      <c r="W730" s="90"/>
      <c r="X730" s="90"/>
      <c r="Y730" s="90"/>
      <c r="Z730" s="90"/>
      <c r="AA730" s="90"/>
    </row>
    <row r="731" ht="15.75" customHeight="1">
      <c r="A731" s="90"/>
      <c r="B731" s="292"/>
      <c r="C731" s="293"/>
      <c r="D731" s="90"/>
      <c r="E731" s="293"/>
      <c r="F731" s="294"/>
      <c r="G731" s="292"/>
      <c r="H731" s="293"/>
      <c r="I731" s="294"/>
      <c r="J731" s="90"/>
      <c r="K731" s="296"/>
      <c r="L731" s="296"/>
      <c r="M731" s="296"/>
      <c r="N731" s="296"/>
      <c r="O731" s="296"/>
      <c r="P731" s="296"/>
      <c r="Q731" s="297"/>
      <c r="R731" s="90"/>
      <c r="S731" s="90"/>
      <c r="T731" s="264"/>
      <c r="U731" s="90"/>
      <c r="V731" s="90"/>
      <c r="W731" s="90"/>
      <c r="X731" s="90"/>
      <c r="Y731" s="90"/>
      <c r="Z731" s="90"/>
      <c r="AA731" s="90"/>
    </row>
    <row r="732" ht="15.75" customHeight="1">
      <c r="A732" s="90"/>
      <c r="B732" s="292"/>
      <c r="C732" s="293"/>
      <c r="D732" s="90"/>
      <c r="E732" s="293"/>
      <c r="F732" s="294"/>
      <c r="G732" s="292"/>
      <c r="H732" s="293"/>
      <c r="I732" s="294"/>
      <c r="J732" s="90"/>
      <c r="K732" s="296"/>
      <c r="L732" s="296"/>
      <c r="M732" s="296"/>
      <c r="N732" s="296"/>
      <c r="O732" s="296"/>
      <c r="P732" s="296"/>
      <c r="Q732" s="297"/>
      <c r="R732" s="90"/>
      <c r="S732" s="90"/>
      <c r="T732" s="264"/>
      <c r="U732" s="90"/>
      <c r="V732" s="90"/>
      <c r="W732" s="90"/>
      <c r="X732" s="90"/>
      <c r="Y732" s="90"/>
      <c r="Z732" s="90"/>
      <c r="AA732" s="90"/>
    </row>
    <row r="733" ht="15.75" customHeight="1">
      <c r="A733" s="90"/>
      <c r="B733" s="292"/>
      <c r="C733" s="293"/>
      <c r="D733" s="90"/>
      <c r="E733" s="293"/>
      <c r="F733" s="294"/>
      <c r="G733" s="292"/>
      <c r="H733" s="293"/>
      <c r="I733" s="294"/>
      <c r="J733" s="90"/>
      <c r="K733" s="296"/>
      <c r="L733" s="296"/>
      <c r="M733" s="296"/>
      <c r="N733" s="296"/>
      <c r="O733" s="296"/>
      <c r="P733" s="296"/>
      <c r="Q733" s="297"/>
      <c r="R733" s="90"/>
      <c r="S733" s="90"/>
      <c r="T733" s="264"/>
      <c r="U733" s="90"/>
      <c r="V733" s="90"/>
      <c r="W733" s="90"/>
      <c r="X733" s="90"/>
      <c r="Y733" s="90"/>
      <c r="Z733" s="90"/>
      <c r="AA733" s="90"/>
    </row>
    <row r="734" ht="15.75" customHeight="1">
      <c r="A734" s="90"/>
      <c r="B734" s="292"/>
      <c r="C734" s="293"/>
      <c r="D734" s="90"/>
      <c r="E734" s="293"/>
      <c r="F734" s="294"/>
      <c r="G734" s="292"/>
      <c r="H734" s="293"/>
      <c r="I734" s="294"/>
      <c r="J734" s="90"/>
      <c r="K734" s="296"/>
      <c r="L734" s="296"/>
      <c r="M734" s="296"/>
      <c r="N734" s="296"/>
      <c r="O734" s="296"/>
      <c r="P734" s="296"/>
      <c r="Q734" s="297"/>
      <c r="R734" s="90"/>
      <c r="S734" s="90"/>
      <c r="T734" s="264"/>
      <c r="U734" s="90"/>
      <c r="V734" s="90"/>
      <c r="W734" s="90"/>
      <c r="X734" s="90"/>
      <c r="Y734" s="90"/>
      <c r="Z734" s="90"/>
      <c r="AA734" s="90"/>
    </row>
    <row r="735" ht="15.75" customHeight="1">
      <c r="A735" s="90"/>
      <c r="B735" s="292"/>
      <c r="C735" s="293"/>
      <c r="D735" s="90"/>
      <c r="E735" s="293"/>
      <c r="F735" s="294"/>
      <c r="G735" s="292"/>
      <c r="H735" s="293"/>
      <c r="I735" s="294"/>
      <c r="J735" s="90"/>
      <c r="K735" s="296"/>
      <c r="L735" s="296"/>
      <c r="M735" s="296"/>
      <c r="N735" s="296"/>
      <c r="O735" s="296"/>
      <c r="P735" s="296"/>
      <c r="Q735" s="297"/>
      <c r="R735" s="90"/>
      <c r="S735" s="90"/>
      <c r="T735" s="264"/>
      <c r="U735" s="90"/>
      <c r="V735" s="90"/>
      <c r="W735" s="90"/>
      <c r="X735" s="90"/>
      <c r="Y735" s="90"/>
      <c r="Z735" s="90"/>
      <c r="AA735" s="90"/>
    </row>
    <row r="736" ht="15.75" customHeight="1">
      <c r="A736" s="90"/>
      <c r="B736" s="292"/>
      <c r="C736" s="293"/>
      <c r="D736" s="90"/>
      <c r="E736" s="293"/>
      <c r="F736" s="294"/>
      <c r="G736" s="292"/>
      <c r="H736" s="293"/>
      <c r="I736" s="294"/>
      <c r="J736" s="90"/>
      <c r="K736" s="296"/>
      <c r="L736" s="296"/>
      <c r="M736" s="296"/>
      <c r="N736" s="296"/>
      <c r="O736" s="296"/>
      <c r="P736" s="296"/>
      <c r="Q736" s="297"/>
      <c r="R736" s="90"/>
      <c r="S736" s="90"/>
      <c r="T736" s="264"/>
      <c r="U736" s="90"/>
      <c r="V736" s="90"/>
      <c r="W736" s="90"/>
      <c r="X736" s="90"/>
      <c r="Y736" s="90"/>
      <c r="Z736" s="90"/>
      <c r="AA736" s="90"/>
    </row>
    <row r="737" ht="15.75" customHeight="1">
      <c r="A737" s="90"/>
      <c r="B737" s="292"/>
      <c r="C737" s="293"/>
      <c r="D737" s="90"/>
      <c r="E737" s="293"/>
      <c r="F737" s="294"/>
      <c r="G737" s="292"/>
      <c r="H737" s="293"/>
      <c r="I737" s="294"/>
      <c r="J737" s="90"/>
      <c r="K737" s="296"/>
      <c r="L737" s="296"/>
      <c r="M737" s="296"/>
      <c r="N737" s="296"/>
      <c r="O737" s="296"/>
      <c r="P737" s="296"/>
      <c r="Q737" s="297"/>
      <c r="R737" s="90"/>
      <c r="S737" s="90"/>
      <c r="T737" s="264"/>
      <c r="U737" s="90"/>
      <c r="V737" s="90"/>
      <c r="W737" s="90"/>
      <c r="X737" s="90"/>
      <c r="Y737" s="90"/>
      <c r="Z737" s="90"/>
      <c r="AA737" s="90"/>
    </row>
    <row r="738" ht="15.75" customHeight="1">
      <c r="A738" s="90"/>
      <c r="B738" s="292"/>
      <c r="C738" s="293"/>
      <c r="D738" s="90"/>
      <c r="E738" s="293"/>
      <c r="F738" s="294"/>
      <c r="G738" s="292"/>
      <c r="H738" s="293"/>
      <c r="I738" s="294"/>
      <c r="J738" s="90"/>
      <c r="K738" s="296"/>
      <c r="L738" s="296"/>
      <c r="M738" s="296"/>
      <c r="N738" s="296"/>
      <c r="O738" s="296"/>
      <c r="P738" s="296"/>
      <c r="Q738" s="297"/>
      <c r="R738" s="90"/>
      <c r="S738" s="90"/>
      <c r="T738" s="264"/>
      <c r="U738" s="90"/>
      <c r="V738" s="90"/>
      <c r="W738" s="90"/>
      <c r="X738" s="90"/>
      <c r="Y738" s="90"/>
      <c r="Z738" s="90"/>
      <c r="AA738" s="90"/>
    </row>
    <row r="739" ht="15.75" customHeight="1">
      <c r="A739" s="90"/>
      <c r="B739" s="292"/>
      <c r="C739" s="293"/>
      <c r="D739" s="90"/>
      <c r="E739" s="293"/>
      <c r="F739" s="294"/>
      <c r="G739" s="292"/>
      <c r="H739" s="293"/>
      <c r="I739" s="294"/>
      <c r="J739" s="90"/>
      <c r="K739" s="296"/>
      <c r="L739" s="296"/>
      <c r="M739" s="296"/>
      <c r="N739" s="296"/>
      <c r="O739" s="296"/>
      <c r="P739" s="296"/>
      <c r="Q739" s="297"/>
      <c r="R739" s="90"/>
      <c r="S739" s="90"/>
      <c r="T739" s="264"/>
      <c r="U739" s="90"/>
      <c r="V739" s="90"/>
      <c r="W739" s="90"/>
      <c r="X739" s="90"/>
      <c r="Y739" s="90"/>
      <c r="Z739" s="90"/>
      <c r="AA739" s="90"/>
    </row>
    <row r="740" ht="15.75" customHeight="1">
      <c r="A740" s="90"/>
      <c r="B740" s="292"/>
      <c r="C740" s="293"/>
      <c r="D740" s="90"/>
      <c r="E740" s="293"/>
      <c r="F740" s="294"/>
      <c r="G740" s="292"/>
      <c r="H740" s="293"/>
      <c r="I740" s="294"/>
      <c r="J740" s="90"/>
      <c r="K740" s="296"/>
      <c r="L740" s="296"/>
      <c r="M740" s="296"/>
      <c r="N740" s="296"/>
      <c r="O740" s="296"/>
      <c r="P740" s="296"/>
      <c r="Q740" s="297"/>
      <c r="R740" s="90"/>
      <c r="S740" s="90"/>
      <c r="T740" s="264"/>
      <c r="U740" s="90"/>
      <c r="V740" s="90"/>
      <c r="W740" s="90"/>
      <c r="X740" s="90"/>
      <c r="Y740" s="90"/>
      <c r="Z740" s="90"/>
      <c r="AA740" s="90"/>
    </row>
    <row r="741" ht="15.75" customHeight="1">
      <c r="A741" s="90"/>
      <c r="B741" s="292"/>
      <c r="C741" s="293"/>
      <c r="D741" s="90"/>
      <c r="E741" s="293"/>
      <c r="F741" s="294"/>
      <c r="G741" s="292"/>
      <c r="H741" s="293"/>
      <c r="I741" s="294"/>
      <c r="J741" s="90"/>
      <c r="K741" s="296"/>
      <c r="L741" s="296"/>
      <c r="M741" s="296"/>
      <c r="N741" s="296"/>
      <c r="O741" s="296"/>
      <c r="P741" s="296"/>
      <c r="Q741" s="297"/>
      <c r="R741" s="90"/>
      <c r="S741" s="90"/>
      <c r="T741" s="264"/>
      <c r="U741" s="90"/>
      <c r="V741" s="90"/>
      <c r="W741" s="90"/>
      <c r="X741" s="90"/>
      <c r="Y741" s="90"/>
      <c r="Z741" s="90"/>
      <c r="AA741" s="90"/>
    </row>
    <row r="742" ht="15.75" customHeight="1">
      <c r="A742" s="90"/>
      <c r="B742" s="292"/>
      <c r="C742" s="293"/>
      <c r="D742" s="90"/>
      <c r="E742" s="293"/>
      <c r="F742" s="294"/>
      <c r="G742" s="292"/>
      <c r="H742" s="293"/>
      <c r="I742" s="294"/>
      <c r="J742" s="90"/>
      <c r="K742" s="296"/>
      <c r="L742" s="296"/>
      <c r="M742" s="296"/>
      <c r="N742" s="296"/>
      <c r="O742" s="296"/>
      <c r="P742" s="296"/>
      <c r="Q742" s="297"/>
      <c r="R742" s="90"/>
      <c r="S742" s="90"/>
      <c r="T742" s="264"/>
      <c r="U742" s="90"/>
      <c r="V742" s="90"/>
      <c r="W742" s="90"/>
      <c r="X742" s="90"/>
      <c r="Y742" s="90"/>
      <c r="Z742" s="90"/>
      <c r="AA742" s="90"/>
    </row>
    <row r="743" ht="15.75" customHeight="1">
      <c r="A743" s="90"/>
      <c r="B743" s="292"/>
      <c r="C743" s="293"/>
      <c r="D743" s="90"/>
      <c r="E743" s="293"/>
      <c r="F743" s="294"/>
      <c r="G743" s="292"/>
      <c r="H743" s="293"/>
      <c r="I743" s="294"/>
      <c r="J743" s="90"/>
      <c r="K743" s="296"/>
      <c r="L743" s="296"/>
      <c r="M743" s="296"/>
      <c r="N743" s="296"/>
      <c r="O743" s="296"/>
      <c r="P743" s="296"/>
      <c r="Q743" s="297"/>
      <c r="R743" s="90"/>
      <c r="S743" s="90"/>
      <c r="T743" s="264"/>
      <c r="U743" s="90"/>
      <c r="V743" s="90"/>
      <c r="W743" s="90"/>
      <c r="X743" s="90"/>
      <c r="Y743" s="90"/>
      <c r="Z743" s="90"/>
      <c r="AA743" s="90"/>
    </row>
    <row r="744" ht="15.75" customHeight="1">
      <c r="A744" s="90"/>
      <c r="B744" s="292"/>
      <c r="C744" s="293"/>
      <c r="D744" s="90"/>
      <c r="E744" s="293"/>
      <c r="F744" s="294"/>
      <c r="G744" s="292"/>
      <c r="H744" s="293"/>
      <c r="I744" s="294"/>
      <c r="J744" s="90"/>
      <c r="K744" s="296"/>
      <c r="L744" s="296"/>
      <c r="M744" s="296"/>
      <c r="N744" s="296"/>
      <c r="O744" s="296"/>
      <c r="P744" s="296"/>
      <c r="Q744" s="297"/>
      <c r="R744" s="90"/>
      <c r="S744" s="90"/>
      <c r="T744" s="264"/>
      <c r="U744" s="90"/>
      <c r="V744" s="90"/>
      <c r="W744" s="90"/>
      <c r="X744" s="90"/>
      <c r="Y744" s="90"/>
      <c r="Z744" s="90"/>
      <c r="AA744" s="90"/>
    </row>
    <row r="745" ht="15.75" customHeight="1">
      <c r="A745" s="90"/>
      <c r="B745" s="292"/>
      <c r="C745" s="293"/>
      <c r="D745" s="90"/>
      <c r="E745" s="293"/>
      <c r="F745" s="294"/>
      <c r="G745" s="292"/>
      <c r="H745" s="293"/>
      <c r="I745" s="294"/>
      <c r="J745" s="90"/>
      <c r="K745" s="296"/>
      <c r="L745" s="296"/>
      <c r="M745" s="296"/>
      <c r="N745" s="296"/>
      <c r="O745" s="296"/>
      <c r="P745" s="296"/>
      <c r="Q745" s="297"/>
      <c r="R745" s="90"/>
      <c r="S745" s="90"/>
      <c r="T745" s="264"/>
      <c r="U745" s="90"/>
      <c r="V745" s="90"/>
      <c r="W745" s="90"/>
      <c r="X745" s="90"/>
      <c r="Y745" s="90"/>
      <c r="Z745" s="90"/>
      <c r="AA745" s="90"/>
    </row>
    <row r="746" ht="15.75" customHeight="1">
      <c r="A746" s="90"/>
      <c r="B746" s="292"/>
      <c r="C746" s="293"/>
      <c r="D746" s="90"/>
      <c r="E746" s="293"/>
      <c r="F746" s="294"/>
      <c r="G746" s="292"/>
      <c r="H746" s="293"/>
      <c r="I746" s="294"/>
      <c r="J746" s="90"/>
      <c r="K746" s="296"/>
      <c r="L746" s="296"/>
      <c r="M746" s="296"/>
      <c r="N746" s="296"/>
      <c r="O746" s="296"/>
      <c r="P746" s="296"/>
      <c r="Q746" s="297"/>
      <c r="R746" s="90"/>
      <c r="S746" s="90"/>
      <c r="T746" s="264"/>
      <c r="U746" s="90"/>
      <c r="V746" s="90"/>
      <c r="W746" s="90"/>
      <c r="X746" s="90"/>
      <c r="Y746" s="90"/>
      <c r="Z746" s="90"/>
      <c r="AA746" s="90"/>
    </row>
    <row r="747" ht="15.75" customHeight="1">
      <c r="A747" s="90"/>
      <c r="B747" s="292"/>
      <c r="C747" s="293"/>
      <c r="D747" s="90"/>
      <c r="E747" s="293"/>
      <c r="F747" s="294"/>
      <c r="G747" s="292"/>
      <c r="H747" s="293"/>
      <c r="I747" s="294"/>
      <c r="J747" s="90"/>
      <c r="K747" s="296"/>
      <c r="L747" s="296"/>
      <c r="M747" s="296"/>
      <c r="N747" s="296"/>
      <c r="O747" s="296"/>
      <c r="P747" s="296"/>
      <c r="Q747" s="297"/>
      <c r="R747" s="90"/>
      <c r="S747" s="90"/>
      <c r="T747" s="264"/>
      <c r="U747" s="90"/>
      <c r="V747" s="90"/>
      <c r="W747" s="90"/>
      <c r="X747" s="90"/>
      <c r="Y747" s="90"/>
      <c r="Z747" s="90"/>
      <c r="AA747" s="90"/>
    </row>
    <row r="748" ht="15.75" customHeight="1">
      <c r="A748" s="90"/>
      <c r="B748" s="292"/>
      <c r="C748" s="293"/>
      <c r="D748" s="90"/>
      <c r="E748" s="293"/>
      <c r="F748" s="294"/>
      <c r="G748" s="292"/>
      <c r="H748" s="293"/>
      <c r="I748" s="294"/>
      <c r="J748" s="90"/>
      <c r="K748" s="296"/>
      <c r="L748" s="296"/>
      <c r="M748" s="296"/>
      <c r="N748" s="296"/>
      <c r="O748" s="296"/>
      <c r="P748" s="296"/>
      <c r="Q748" s="297"/>
      <c r="R748" s="90"/>
      <c r="S748" s="90"/>
      <c r="T748" s="264"/>
      <c r="U748" s="90"/>
      <c r="V748" s="90"/>
      <c r="W748" s="90"/>
      <c r="X748" s="90"/>
      <c r="Y748" s="90"/>
      <c r="Z748" s="90"/>
      <c r="AA748" s="90"/>
    </row>
    <row r="749" ht="15.75" customHeight="1">
      <c r="A749" s="90"/>
      <c r="B749" s="292"/>
      <c r="C749" s="293"/>
      <c r="D749" s="90"/>
      <c r="E749" s="293"/>
      <c r="F749" s="294"/>
      <c r="G749" s="292"/>
      <c r="H749" s="293"/>
      <c r="I749" s="294"/>
      <c r="J749" s="90"/>
      <c r="K749" s="296"/>
      <c r="L749" s="296"/>
      <c r="M749" s="296"/>
      <c r="N749" s="296"/>
      <c r="O749" s="296"/>
      <c r="P749" s="296"/>
      <c r="Q749" s="297"/>
      <c r="R749" s="90"/>
      <c r="S749" s="90"/>
      <c r="T749" s="264"/>
      <c r="U749" s="90"/>
      <c r="V749" s="90"/>
      <c r="W749" s="90"/>
      <c r="X749" s="90"/>
      <c r="Y749" s="90"/>
      <c r="Z749" s="90"/>
      <c r="AA749" s="90"/>
    </row>
    <row r="750" ht="15.75" customHeight="1">
      <c r="A750" s="90"/>
      <c r="B750" s="292"/>
      <c r="C750" s="293"/>
      <c r="D750" s="90"/>
      <c r="E750" s="293"/>
      <c r="F750" s="294"/>
      <c r="G750" s="292"/>
      <c r="H750" s="293"/>
      <c r="I750" s="294"/>
      <c r="J750" s="90"/>
      <c r="K750" s="296"/>
      <c r="L750" s="296"/>
      <c r="M750" s="296"/>
      <c r="N750" s="296"/>
      <c r="O750" s="296"/>
      <c r="P750" s="296"/>
      <c r="Q750" s="297"/>
      <c r="R750" s="90"/>
      <c r="S750" s="90"/>
      <c r="T750" s="264"/>
      <c r="U750" s="90"/>
      <c r="V750" s="90"/>
      <c r="W750" s="90"/>
      <c r="X750" s="90"/>
      <c r="Y750" s="90"/>
      <c r="Z750" s="90"/>
      <c r="AA750" s="90"/>
    </row>
    <row r="751" ht="15.75" customHeight="1">
      <c r="A751" s="90"/>
      <c r="B751" s="292"/>
      <c r="C751" s="293"/>
      <c r="D751" s="90"/>
      <c r="E751" s="293"/>
      <c r="F751" s="294"/>
      <c r="G751" s="292"/>
      <c r="H751" s="293"/>
      <c r="I751" s="294"/>
      <c r="J751" s="90"/>
      <c r="K751" s="296"/>
      <c r="L751" s="296"/>
      <c r="M751" s="296"/>
      <c r="N751" s="296"/>
      <c r="O751" s="296"/>
      <c r="P751" s="296"/>
      <c r="Q751" s="297"/>
      <c r="R751" s="90"/>
      <c r="S751" s="90"/>
      <c r="T751" s="264"/>
      <c r="U751" s="90"/>
      <c r="V751" s="90"/>
      <c r="W751" s="90"/>
      <c r="X751" s="90"/>
      <c r="Y751" s="90"/>
      <c r="Z751" s="90"/>
      <c r="AA751" s="90"/>
    </row>
    <row r="752" ht="15.75" customHeight="1">
      <c r="A752" s="90"/>
      <c r="B752" s="292"/>
      <c r="C752" s="293"/>
      <c r="D752" s="90"/>
      <c r="E752" s="293"/>
      <c r="F752" s="294"/>
      <c r="G752" s="292"/>
      <c r="H752" s="293"/>
      <c r="I752" s="294"/>
      <c r="J752" s="90"/>
      <c r="K752" s="296"/>
      <c r="L752" s="296"/>
      <c r="M752" s="296"/>
      <c r="N752" s="296"/>
      <c r="O752" s="296"/>
      <c r="P752" s="296"/>
      <c r="Q752" s="297"/>
      <c r="R752" s="90"/>
      <c r="S752" s="90"/>
      <c r="T752" s="264"/>
      <c r="U752" s="90"/>
      <c r="V752" s="90"/>
      <c r="W752" s="90"/>
      <c r="X752" s="90"/>
      <c r="Y752" s="90"/>
      <c r="Z752" s="90"/>
      <c r="AA752" s="90"/>
    </row>
    <row r="753" ht="15.75" customHeight="1">
      <c r="A753" s="90"/>
      <c r="B753" s="292"/>
      <c r="C753" s="293"/>
      <c r="D753" s="90"/>
      <c r="E753" s="293"/>
      <c r="F753" s="294"/>
      <c r="G753" s="292"/>
      <c r="H753" s="293"/>
      <c r="I753" s="294"/>
      <c r="J753" s="90"/>
      <c r="K753" s="296"/>
      <c r="L753" s="296"/>
      <c r="M753" s="296"/>
      <c r="N753" s="296"/>
      <c r="O753" s="296"/>
      <c r="P753" s="296"/>
      <c r="Q753" s="297"/>
      <c r="R753" s="90"/>
      <c r="S753" s="90"/>
      <c r="T753" s="264"/>
      <c r="U753" s="90"/>
      <c r="V753" s="90"/>
      <c r="W753" s="90"/>
      <c r="X753" s="90"/>
      <c r="Y753" s="90"/>
      <c r="Z753" s="90"/>
      <c r="AA753" s="90"/>
    </row>
    <row r="754" ht="15.75" customHeight="1">
      <c r="A754" s="90"/>
      <c r="B754" s="292"/>
      <c r="C754" s="293"/>
      <c r="D754" s="90"/>
      <c r="E754" s="293"/>
      <c r="F754" s="294"/>
      <c r="G754" s="292"/>
      <c r="H754" s="293"/>
      <c r="I754" s="294"/>
      <c r="J754" s="90"/>
      <c r="K754" s="296"/>
      <c r="L754" s="296"/>
      <c r="M754" s="296"/>
      <c r="N754" s="296"/>
      <c r="O754" s="296"/>
      <c r="P754" s="296"/>
      <c r="Q754" s="297"/>
      <c r="R754" s="90"/>
      <c r="S754" s="90"/>
      <c r="T754" s="264"/>
      <c r="U754" s="90"/>
      <c r="V754" s="90"/>
      <c r="W754" s="90"/>
      <c r="X754" s="90"/>
      <c r="Y754" s="90"/>
      <c r="Z754" s="90"/>
      <c r="AA754" s="90"/>
    </row>
    <row r="755" ht="15.75" customHeight="1">
      <c r="A755" s="90"/>
      <c r="B755" s="292"/>
      <c r="C755" s="293"/>
      <c r="D755" s="90"/>
      <c r="E755" s="293"/>
      <c r="F755" s="294"/>
      <c r="G755" s="292"/>
      <c r="H755" s="293"/>
      <c r="I755" s="294"/>
      <c r="J755" s="90"/>
      <c r="K755" s="296"/>
      <c r="L755" s="296"/>
      <c r="M755" s="296"/>
      <c r="N755" s="296"/>
      <c r="O755" s="296"/>
      <c r="P755" s="296"/>
      <c r="Q755" s="297"/>
      <c r="R755" s="90"/>
      <c r="S755" s="90"/>
      <c r="T755" s="264"/>
      <c r="U755" s="90"/>
      <c r="V755" s="90"/>
      <c r="W755" s="90"/>
      <c r="X755" s="90"/>
      <c r="Y755" s="90"/>
      <c r="Z755" s="90"/>
      <c r="AA755" s="90"/>
    </row>
    <row r="756" ht="15.75" customHeight="1">
      <c r="A756" s="90"/>
      <c r="B756" s="292"/>
      <c r="C756" s="293"/>
      <c r="D756" s="90"/>
      <c r="E756" s="293"/>
      <c r="F756" s="294"/>
      <c r="G756" s="292"/>
      <c r="H756" s="293"/>
      <c r="I756" s="294"/>
      <c r="J756" s="90"/>
      <c r="K756" s="296"/>
      <c r="L756" s="296"/>
      <c r="M756" s="296"/>
      <c r="N756" s="296"/>
      <c r="O756" s="296"/>
      <c r="P756" s="296"/>
      <c r="Q756" s="297"/>
      <c r="R756" s="90"/>
      <c r="S756" s="90"/>
      <c r="T756" s="264"/>
      <c r="U756" s="90"/>
      <c r="V756" s="90"/>
      <c r="W756" s="90"/>
      <c r="X756" s="90"/>
      <c r="Y756" s="90"/>
      <c r="Z756" s="90"/>
      <c r="AA756" s="90"/>
    </row>
    <row r="757" ht="15.75" customHeight="1">
      <c r="A757" s="90"/>
      <c r="B757" s="292"/>
      <c r="C757" s="293"/>
      <c r="D757" s="90"/>
      <c r="E757" s="293"/>
      <c r="F757" s="294"/>
      <c r="G757" s="292"/>
      <c r="H757" s="293"/>
      <c r="I757" s="294"/>
      <c r="J757" s="90"/>
      <c r="K757" s="296"/>
      <c r="L757" s="296"/>
      <c r="M757" s="296"/>
      <c r="N757" s="296"/>
      <c r="O757" s="296"/>
      <c r="P757" s="296"/>
      <c r="Q757" s="297"/>
      <c r="R757" s="90"/>
      <c r="S757" s="90"/>
      <c r="T757" s="264"/>
      <c r="U757" s="90"/>
      <c r="V757" s="90"/>
      <c r="W757" s="90"/>
      <c r="X757" s="90"/>
      <c r="Y757" s="90"/>
      <c r="Z757" s="90"/>
      <c r="AA757" s="90"/>
    </row>
    <row r="758" ht="15.75" customHeight="1">
      <c r="A758" s="90"/>
      <c r="B758" s="292"/>
      <c r="C758" s="293"/>
      <c r="D758" s="90"/>
      <c r="E758" s="293"/>
      <c r="F758" s="294"/>
      <c r="G758" s="292"/>
      <c r="H758" s="293"/>
      <c r="I758" s="294"/>
      <c r="J758" s="90"/>
      <c r="K758" s="296"/>
      <c r="L758" s="296"/>
      <c r="M758" s="296"/>
      <c r="N758" s="296"/>
      <c r="O758" s="296"/>
      <c r="P758" s="296"/>
      <c r="Q758" s="297"/>
      <c r="R758" s="90"/>
      <c r="S758" s="90"/>
      <c r="T758" s="264"/>
      <c r="U758" s="90"/>
      <c r="V758" s="90"/>
      <c r="W758" s="90"/>
      <c r="X758" s="90"/>
      <c r="Y758" s="90"/>
      <c r="Z758" s="90"/>
      <c r="AA758" s="90"/>
    </row>
    <row r="759" ht="15.75" customHeight="1">
      <c r="A759" s="90"/>
      <c r="B759" s="292"/>
      <c r="C759" s="293"/>
      <c r="D759" s="90"/>
      <c r="E759" s="293"/>
      <c r="F759" s="294"/>
      <c r="G759" s="292"/>
      <c r="H759" s="293"/>
      <c r="I759" s="294"/>
      <c r="J759" s="90"/>
      <c r="K759" s="296"/>
      <c r="L759" s="296"/>
      <c r="M759" s="296"/>
      <c r="N759" s="296"/>
      <c r="O759" s="296"/>
      <c r="P759" s="296"/>
      <c r="Q759" s="297"/>
      <c r="R759" s="90"/>
      <c r="S759" s="90"/>
      <c r="T759" s="264"/>
      <c r="U759" s="90"/>
      <c r="V759" s="90"/>
      <c r="W759" s="90"/>
      <c r="X759" s="90"/>
      <c r="Y759" s="90"/>
      <c r="Z759" s="90"/>
      <c r="AA759" s="90"/>
    </row>
    <row r="760" ht="15.75" customHeight="1">
      <c r="A760" s="90"/>
      <c r="B760" s="292"/>
      <c r="C760" s="293"/>
      <c r="D760" s="90"/>
      <c r="E760" s="293"/>
      <c r="F760" s="294"/>
      <c r="G760" s="292"/>
      <c r="H760" s="293"/>
      <c r="I760" s="294"/>
      <c r="J760" s="90"/>
      <c r="K760" s="296"/>
      <c r="L760" s="296"/>
      <c r="M760" s="296"/>
      <c r="N760" s="296"/>
      <c r="O760" s="296"/>
      <c r="P760" s="296"/>
      <c r="Q760" s="297"/>
      <c r="R760" s="90"/>
      <c r="S760" s="90"/>
      <c r="T760" s="264"/>
      <c r="U760" s="90"/>
      <c r="V760" s="90"/>
      <c r="W760" s="90"/>
      <c r="X760" s="90"/>
      <c r="Y760" s="90"/>
      <c r="Z760" s="90"/>
      <c r="AA760" s="90"/>
    </row>
    <row r="761" ht="15.75" customHeight="1">
      <c r="A761" s="90"/>
      <c r="B761" s="292"/>
      <c r="C761" s="293"/>
      <c r="D761" s="90"/>
      <c r="E761" s="293"/>
      <c r="F761" s="294"/>
      <c r="G761" s="292"/>
      <c r="H761" s="293"/>
      <c r="I761" s="294"/>
      <c r="J761" s="90"/>
      <c r="K761" s="296"/>
      <c r="L761" s="296"/>
      <c r="M761" s="296"/>
      <c r="N761" s="296"/>
      <c r="O761" s="296"/>
      <c r="P761" s="296"/>
      <c r="Q761" s="297"/>
      <c r="R761" s="90"/>
      <c r="S761" s="90"/>
      <c r="T761" s="264"/>
      <c r="U761" s="90"/>
      <c r="V761" s="90"/>
      <c r="W761" s="90"/>
      <c r="X761" s="90"/>
      <c r="Y761" s="90"/>
      <c r="Z761" s="90"/>
      <c r="AA761" s="90"/>
    </row>
    <row r="762" ht="15.75" customHeight="1">
      <c r="A762" s="90"/>
      <c r="B762" s="292"/>
      <c r="C762" s="293"/>
      <c r="D762" s="90"/>
      <c r="E762" s="293"/>
      <c r="F762" s="294"/>
      <c r="G762" s="292"/>
      <c r="H762" s="293"/>
      <c r="I762" s="294"/>
      <c r="J762" s="90"/>
      <c r="K762" s="296"/>
      <c r="L762" s="296"/>
      <c r="M762" s="296"/>
      <c r="N762" s="296"/>
      <c r="O762" s="296"/>
      <c r="P762" s="296"/>
      <c r="Q762" s="297"/>
      <c r="R762" s="90"/>
      <c r="S762" s="90"/>
      <c r="T762" s="264"/>
      <c r="U762" s="90"/>
      <c r="V762" s="90"/>
      <c r="W762" s="90"/>
      <c r="X762" s="90"/>
      <c r="Y762" s="90"/>
      <c r="Z762" s="90"/>
      <c r="AA762" s="90"/>
    </row>
    <row r="763" ht="15.75" customHeight="1">
      <c r="A763" s="90"/>
      <c r="B763" s="292"/>
      <c r="C763" s="293"/>
      <c r="D763" s="90"/>
      <c r="E763" s="293"/>
      <c r="F763" s="294"/>
      <c r="G763" s="292"/>
      <c r="H763" s="293"/>
      <c r="I763" s="294"/>
      <c r="J763" s="90"/>
      <c r="K763" s="296"/>
      <c r="L763" s="296"/>
      <c r="M763" s="296"/>
      <c r="N763" s="296"/>
      <c r="O763" s="296"/>
      <c r="P763" s="296"/>
      <c r="Q763" s="297"/>
      <c r="R763" s="90"/>
      <c r="S763" s="90"/>
      <c r="T763" s="264"/>
      <c r="U763" s="90"/>
      <c r="V763" s="90"/>
      <c r="W763" s="90"/>
      <c r="X763" s="90"/>
      <c r="Y763" s="90"/>
      <c r="Z763" s="90"/>
      <c r="AA763" s="90"/>
    </row>
    <row r="764" ht="15.75" customHeight="1">
      <c r="A764" s="90"/>
      <c r="B764" s="292"/>
      <c r="C764" s="293"/>
      <c r="D764" s="90"/>
      <c r="E764" s="293"/>
      <c r="F764" s="294"/>
      <c r="G764" s="292"/>
      <c r="H764" s="293"/>
      <c r="I764" s="294"/>
      <c r="J764" s="90"/>
      <c r="K764" s="296"/>
      <c r="L764" s="296"/>
      <c r="M764" s="296"/>
      <c r="N764" s="296"/>
      <c r="O764" s="296"/>
      <c r="P764" s="296"/>
      <c r="Q764" s="297"/>
      <c r="R764" s="90"/>
      <c r="S764" s="90"/>
      <c r="T764" s="264"/>
      <c r="U764" s="90"/>
      <c r="V764" s="90"/>
      <c r="W764" s="90"/>
      <c r="X764" s="90"/>
      <c r="Y764" s="90"/>
      <c r="Z764" s="90"/>
      <c r="AA764" s="90"/>
    </row>
    <row r="765" ht="15.75" customHeight="1">
      <c r="A765" s="90"/>
      <c r="B765" s="292"/>
      <c r="C765" s="293"/>
      <c r="D765" s="90"/>
      <c r="E765" s="293"/>
      <c r="F765" s="294"/>
      <c r="G765" s="292"/>
      <c r="H765" s="293"/>
      <c r="I765" s="294"/>
      <c r="J765" s="90"/>
      <c r="K765" s="296"/>
      <c r="L765" s="296"/>
      <c r="M765" s="296"/>
      <c r="N765" s="296"/>
      <c r="O765" s="296"/>
      <c r="P765" s="296"/>
      <c r="Q765" s="297"/>
      <c r="R765" s="90"/>
      <c r="S765" s="90"/>
      <c r="T765" s="264"/>
      <c r="U765" s="90"/>
      <c r="V765" s="90"/>
      <c r="W765" s="90"/>
      <c r="X765" s="90"/>
      <c r="Y765" s="90"/>
      <c r="Z765" s="90"/>
      <c r="AA765" s="90"/>
    </row>
    <row r="766" ht="15.75" customHeight="1">
      <c r="A766" s="90"/>
      <c r="B766" s="292"/>
      <c r="C766" s="293"/>
      <c r="D766" s="90"/>
      <c r="E766" s="293"/>
      <c r="F766" s="294"/>
      <c r="G766" s="292"/>
      <c r="H766" s="293"/>
      <c r="I766" s="294"/>
      <c r="J766" s="90"/>
      <c r="K766" s="296"/>
      <c r="L766" s="296"/>
      <c r="M766" s="296"/>
      <c r="N766" s="296"/>
      <c r="O766" s="296"/>
      <c r="P766" s="296"/>
      <c r="Q766" s="297"/>
      <c r="R766" s="90"/>
      <c r="S766" s="90"/>
      <c r="T766" s="264"/>
      <c r="U766" s="90"/>
      <c r="V766" s="90"/>
      <c r="W766" s="90"/>
      <c r="X766" s="90"/>
      <c r="Y766" s="90"/>
      <c r="Z766" s="90"/>
      <c r="AA766" s="90"/>
    </row>
    <row r="767" ht="15.75" customHeight="1">
      <c r="A767" s="90"/>
      <c r="B767" s="292"/>
      <c r="C767" s="293"/>
      <c r="D767" s="90"/>
      <c r="E767" s="293"/>
      <c r="F767" s="294"/>
      <c r="G767" s="292"/>
      <c r="H767" s="293"/>
      <c r="I767" s="294"/>
      <c r="J767" s="90"/>
      <c r="K767" s="296"/>
      <c r="L767" s="296"/>
      <c r="M767" s="296"/>
      <c r="N767" s="296"/>
      <c r="O767" s="296"/>
      <c r="P767" s="296"/>
      <c r="Q767" s="297"/>
      <c r="R767" s="90"/>
      <c r="S767" s="90"/>
      <c r="T767" s="264"/>
      <c r="U767" s="90"/>
      <c r="V767" s="90"/>
      <c r="W767" s="90"/>
      <c r="X767" s="90"/>
      <c r="Y767" s="90"/>
      <c r="Z767" s="90"/>
      <c r="AA767" s="90"/>
    </row>
    <row r="768" ht="15.75" customHeight="1">
      <c r="A768" s="90"/>
      <c r="B768" s="292"/>
      <c r="C768" s="293"/>
      <c r="D768" s="90"/>
      <c r="E768" s="293"/>
      <c r="F768" s="294"/>
      <c r="G768" s="292"/>
      <c r="H768" s="293"/>
      <c r="I768" s="294"/>
      <c r="J768" s="90"/>
      <c r="K768" s="296"/>
      <c r="L768" s="296"/>
      <c r="M768" s="296"/>
      <c r="N768" s="296"/>
      <c r="O768" s="296"/>
      <c r="P768" s="296"/>
      <c r="Q768" s="297"/>
      <c r="R768" s="90"/>
      <c r="S768" s="90"/>
      <c r="T768" s="264"/>
      <c r="U768" s="90"/>
      <c r="V768" s="90"/>
      <c r="W768" s="90"/>
      <c r="X768" s="90"/>
      <c r="Y768" s="90"/>
      <c r="Z768" s="90"/>
      <c r="AA768" s="90"/>
    </row>
    <row r="769" ht="15.75" customHeight="1">
      <c r="A769" s="90"/>
      <c r="B769" s="292"/>
      <c r="C769" s="293"/>
      <c r="D769" s="90"/>
      <c r="E769" s="293"/>
      <c r="F769" s="294"/>
      <c r="G769" s="292"/>
      <c r="H769" s="293"/>
      <c r="I769" s="294"/>
      <c r="J769" s="90"/>
      <c r="K769" s="296"/>
      <c r="L769" s="296"/>
      <c r="M769" s="296"/>
      <c r="N769" s="296"/>
      <c r="O769" s="296"/>
      <c r="P769" s="296"/>
      <c r="Q769" s="297"/>
      <c r="R769" s="90"/>
      <c r="S769" s="90"/>
      <c r="T769" s="264"/>
      <c r="U769" s="90"/>
      <c r="V769" s="90"/>
      <c r="W769" s="90"/>
      <c r="X769" s="90"/>
      <c r="Y769" s="90"/>
      <c r="Z769" s="90"/>
      <c r="AA769" s="90"/>
    </row>
    <row r="770" ht="15.75" customHeight="1">
      <c r="A770" s="90"/>
      <c r="B770" s="292"/>
      <c r="C770" s="293"/>
      <c r="D770" s="90"/>
      <c r="E770" s="293"/>
      <c r="F770" s="294"/>
      <c r="G770" s="292"/>
      <c r="H770" s="293"/>
      <c r="I770" s="294"/>
      <c r="J770" s="90"/>
      <c r="K770" s="296"/>
      <c r="L770" s="296"/>
      <c r="M770" s="296"/>
      <c r="N770" s="296"/>
      <c r="O770" s="296"/>
      <c r="P770" s="296"/>
      <c r="Q770" s="297"/>
      <c r="R770" s="90"/>
      <c r="S770" s="90"/>
      <c r="T770" s="264"/>
      <c r="U770" s="90"/>
      <c r="V770" s="90"/>
      <c r="W770" s="90"/>
      <c r="X770" s="90"/>
      <c r="Y770" s="90"/>
      <c r="Z770" s="90"/>
      <c r="AA770" s="90"/>
    </row>
    <row r="771" ht="15.75" customHeight="1">
      <c r="A771" s="90"/>
      <c r="B771" s="292"/>
      <c r="C771" s="293"/>
      <c r="D771" s="90"/>
      <c r="E771" s="293"/>
      <c r="F771" s="294"/>
      <c r="G771" s="292"/>
      <c r="H771" s="293"/>
      <c r="I771" s="294"/>
      <c r="J771" s="90"/>
      <c r="K771" s="296"/>
      <c r="L771" s="296"/>
      <c r="M771" s="296"/>
      <c r="N771" s="296"/>
      <c r="O771" s="296"/>
      <c r="P771" s="296"/>
      <c r="Q771" s="297"/>
      <c r="R771" s="90"/>
      <c r="S771" s="90"/>
      <c r="T771" s="264"/>
      <c r="U771" s="90"/>
      <c r="V771" s="90"/>
      <c r="W771" s="90"/>
      <c r="X771" s="90"/>
      <c r="Y771" s="90"/>
      <c r="Z771" s="90"/>
      <c r="AA771" s="90"/>
    </row>
    <row r="772" ht="15.75" customHeight="1">
      <c r="A772" s="90"/>
      <c r="B772" s="292"/>
      <c r="C772" s="293"/>
      <c r="D772" s="90"/>
      <c r="E772" s="293"/>
      <c r="F772" s="294"/>
      <c r="G772" s="292"/>
      <c r="H772" s="293"/>
      <c r="I772" s="294"/>
      <c r="J772" s="90"/>
      <c r="K772" s="296"/>
      <c r="L772" s="296"/>
      <c r="M772" s="296"/>
      <c r="N772" s="296"/>
      <c r="O772" s="296"/>
      <c r="P772" s="296"/>
      <c r="Q772" s="297"/>
      <c r="R772" s="90"/>
      <c r="S772" s="90"/>
      <c r="T772" s="264"/>
      <c r="U772" s="90"/>
      <c r="V772" s="90"/>
      <c r="W772" s="90"/>
      <c r="X772" s="90"/>
      <c r="Y772" s="90"/>
      <c r="Z772" s="90"/>
      <c r="AA772" s="90"/>
    </row>
    <row r="773" ht="15.75" customHeight="1">
      <c r="A773" s="90"/>
      <c r="B773" s="292"/>
      <c r="C773" s="293"/>
      <c r="D773" s="90"/>
      <c r="E773" s="293"/>
      <c r="F773" s="294"/>
      <c r="G773" s="292"/>
      <c r="H773" s="293"/>
      <c r="I773" s="294"/>
      <c r="J773" s="90"/>
      <c r="K773" s="296"/>
      <c r="L773" s="296"/>
      <c r="M773" s="296"/>
      <c r="N773" s="296"/>
      <c r="O773" s="296"/>
      <c r="P773" s="296"/>
      <c r="Q773" s="297"/>
      <c r="R773" s="90"/>
      <c r="S773" s="90"/>
      <c r="T773" s="264"/>
      <c r="U773" s="90"/>
      <c r="V773" s="90"/>
      <c r="W773" s="90"/>
      <c r="X773" s="90"/>
      <c r="Y773" s="90"/>
      <c r="Z773" s="90"/>
      <c r="AA773" s="90"/>
    </row>
    <row r="774" ht="15.75" customHeight="1">
      <c r="A774" s="90"/>
      <c r="B774" s="292"/>
      <c r="C774" s="293"/>
      <c r="D774" s="90"/>
      <c r="E774" s="293"/>
      <c r="F774" s="294"/>
      <c r="G774" s="292"/>
      <c r="H774" s="293"/>
      <c r="I774" s="294"/>
      <c r="J774" s="90"/>
      <c r="K774" s="296"/>
      <c r="L774" s="296"/>
      <c r="M774" s="296"/>
      <c r="N774" s="296"/>
      <c r="O774" s="296"/>
      <c r="P774" s="296"/>
      <c r="Q774" s="297"/>
      <c r="R774" s="90"/>
      <c r="S774" s="90"/>
      <c r="T774" s="264"/>
      <c r="U774" s="90"/>
      <c r="V774" s="90"/>
      <c r="W774" s="90"/>
      <c r="X774" s="90"/>
      <c r="Y774" s="90"/>
      <c r="Z774" s="90"/>
      <c r="AA774" s="90"/>
    </row>
    <row r="775" ht="15.75" customHeight="1">
      <c r="A775" s="90"/>
      <c r="B775" s="292"/>
      <c r="C775" s="293"/>
      <c r="D775" s="90"/>
      <c r="E775" s="293"/>
      <c r="F775" s="294"/>
      <c r="G775" s="292"/>
      <c r="H775" s="293"/>
      <c r="I775" s="294"/>
      <c r="J775" s="90"/>
      <c r="K775" s="296"/>
      <c r="L775" s="296"/>
      <c r="M775" s="296"/>
      <c r="N775" s="296"/>
      <c r="O775" s="296"/>
      <c r="P775" s="296"/>
      <c r="Q775" s="297"/>
      <c r="R775" s="90"/>
      <c r="S775" s="90"/>
      <c r="T775" s="264"/>
      <c r="U775" s="90"/>
      <c r="V775" s="90"/>
      <c r="W775" s="90"/>
      <c r="X775" s="90"/>
      <c r="Y775" s="90"/>
      <c r="Z775" s="90"/>
      <c r="AA775" s="90"/>
    </row>
    <row r="776" ht="15.75" customHeight="1">
      <c r="A776" s="90"/>
      <c r="B776" s="292"/>
      <c r="C776" s="293"/>
      <c r="D776" s="90"/>
      <c r="E776" s="293"/>
      <c r="F776" s="294"/>
      <c r="G776" s="292"/>
      <c r="H776" s="293"/>
      <c r="I776" s="294"/>
      <c r="J776" s="90"/>
      <c r="K776" s="296"/>
      <c r="L776" s="296"/>
      <c r="M776" s="296"/>
      <c r="N776" s="296"/>
      <c r="O776" s="296"/>
      <c r="P776" s="296"/>
      <c r="Q776" s="297"/>
      <c r="R776" s="90"/>
      <c r="S776" s="90"/>
      <c r="T776" s="264"/>
      <c r="U776" s="90"/>
      <c r="V776" s="90"/>
      <c r="W776" s="90"/>
      <c r="X776" s="90"/>
      <c r="Y776" s="90"/>
      <c r="Z776" s="90"/>
      <c r="AA776" s="90"/>
    </row>
    <row r="777" ht="15.75" customHeight="1">
      <c r="A777" s="90"/>
      <c r="B777" s="292"/>
      <c r="C777" s="293"/>
      <c r="D777" s="90"/>
      <c r="E777" s="293"/>
      <c r="F777" s="294"/>
      <c r="G777" s="292"/>
      <c r="H777" s="293"/>
      <c r="I777" s="294"/>
      <c r="J777" s="90"/>
      <c r="K777" s="296"/>
      <c r="L777" s="296"/>
      <c r="M777" s="296"/>
      <c r="N777" s="296"/>
      <c r="O777" s="296"/>
      <c r="P777" s="296"/>
      <c r="Q777" s="297"/>
      <c r="R777" s="90"/>
      <c r="S777" s="90"/>
      <c r="T777" s="264"/>
      <c r="U777" s="90"/>
      <c r="V777" s="90"/>
      <c r="W777" s="90"/>
      <c r="X777" s="90"/>
      <c r="Y777" s="90"/>
      <c r="Z777" s="90"/>
      <c r="AA777" s="90"/>
    </row>
    <row r="778" ht="15.75" customHeight="1">
      <c r="A778" s="90"/>
      <c r="B778" s="292"/>
      <c r="C778" s="293"/>
      <c r="D778" s="90"/>
      <c r="E778" s="293"/>
      <c r="F778" s="294"/>
      <c r="G778" s="292"/>
      <c r="H778" s="293"/>
      <c r="I778" s="294"/>
      <c r="J778" s="90"/>
      <c r="K778" s="296"/>
      <c r="L778" s="296"/>
      <c r="M778" s="296"/>
      <c r="N778" s="296"/>
      <c r="O778" s="296"/>
      <c r="P778" s="296"/>
      <c r="Q778" s="297"/>
      <c r="R778" s="90"/>
      <c r="S778" s="90"/>
      <c r="T778" s="264"/>
      <c r="U778" s="90"/>
      <c r="V778" s="90"/>
      <c r="W778" s="90"/>
      <c r="X778" s="90"/>
      <c r="Y778" s="90"/>
      <c r="Z778" s="90"/>
      <c r="AA778" s="90"/>
    </row>
    <row r="779" ht="15.75" customHeight="1">
      <c r="A779" s="90"/>
      <c r="B779" s="292"/>
      <c r="C779" s="293"/>
      <c r="D779" s="90"/>
      <c r="E779" s="293"/>
      <c r="F779" s="294"/>
      <c r="G779" s="292"/>
      <c r="H779" s="293"/>
      <c r="I779" s="294"/>
      <c r="J779" s="90"/>
      <c r="K779" s="296"/>
      <c r="L779" s="296"/>
      <c r="M779" s="296"/>
      <c r="N779" s="296"/>
      <c r="O779" s="296"/>
      <c r="P779" s="296"/>
      <c r="Q779" s="297"/>
      <c r="R779" s="90"/>
      <c r="S779" s="90"/>
      <c r="T779" s="264"/>
      <c r="U779" s="90"/>
      <c r="V779" s="90"/>
      <c r="W779" s="90"/>
      <c r="X779" s="90"/>
      <c r="Y779" s="90"/>
      <c r="Z779" s="90"/>
      <c r="AA779" s="90"/>
    </row>
    <row r="780" ht="15.75" customHeight="1">
      <c r="A780" s="90"/>
      <c r="B780" s="292"/>
      <c r="C780" s="293"/>
      <c r="D780" s="90"/>
      <c r="E780" s="293"/>
      <c r="F780" s="294"/>
      <c r="G780" s="292"/>
      <c r="H780" s="293"/>
      <c r="I780" s="294"/>
      <c r="J780" s="90"/>
      <c r="K780" s="296"/>
      <c r="L780" s="296"/>
      <c r="M780" s="296"/>
      <c r="N780" s="296"/>
      <c r="O780" s="296"/>
      <c r="P780" s="296"/>
      <c r="Q780" s="297"/>
      <c r="R780" s="90"/>
      <c r="S780" s="90"/>
      <c r="T780" s="264"/>
      <c r="U780" s="90"/>
      <c r="V780" s="90"/>
      <c r="W780" s="90"/>
      <c r="X780" s="90"/>
      <c r="Y780" s="90"/>
      <c r="Z780" s="90"/>
      <c r="AA780" s="90"/>
    </row>
    <row r="781" ht="15.75" customHeight="1">
      <c r="A781" s="90"/>
      <c r="B781" s="292"/>
      <c r="C781" s="293"/>
      <c r="D781" s="90"/>
      <c r="E781" s="293"/>
      <c r="F781" s="294"/>
      <c r="G781" s="292"/>
      <c r="H781" s="293"/>
      <c r="I781" s="294"/>
      <c r="J781" s="90"/>
      <c r="K781" s="296"/>
      <c r="L781" s="296"/>
      <c r="M781" s="296"/>
      <c r="N781" s="296"/>
      <c r="O781" s="296"/>
      <c r="P781" s="296"/>
      <c r="Q781" s="297"/>
      <c r="R781" s="90"/>
      <c r="S781" s="90"/>
      <c r="T781" s="264"/>
      <c r="U781" s="90"/>
      <c r="V781" s="90"/>
      <c r="W781" s="90"/>
      <c r="X781" s="90"/>
      <c r="Y781" s="90"/>
      <c r="Z781" s="90"/>
      <c r="AA781" s="90"/>
    </row>
    <row r="782" ht="15.75" customHeight="1">
      <c r="A782" s="90"/>
      <c r="B782" s="292"/>
      <c r="C782" s="293"/>
      <c r="D782" s="90"/>
      <c r="E782" s="293"/>
      <c r="F782" s="294"/>
      <c r="G782" s="292"/>
      <c r="H782" s="293"/>
      <c r="I782" s="294"/>
      <c r="J782" s="90"/>
      <c r="K782" s="296"/>
      <c r="L782" s="296"/>
      <c r="M782" s="296"/>
      <c r="N782" s="296"/>
      <c r="O782" s="296"/>
      <c r="P782" s="296"/>
      <c r="Q782" s="297"/>
      <c r="R782" s="90"/>
      <c r="S782" s="90"/>
      <c r="T782" s="264"/>
      <c r="U782" s="90"/>
      <c r="V782" s="90"/>
      <c r="W782" s="90"/>
      <c r="X782" s="90"/>
      <c r="Y782" s="90"/>
      <c r="Z782" s="90"/>
      <c r="AA782" s="90"/>
    </row>
    <row r="783" ht="15.75" customHeight="1">
      <c r="A783" s="90"/>
      <c r="B783" s="292"/>
      <c r="C783" s="293"/>
      <c r="D783" s="90"/>
      <c r="E783" s="293"/>
      <c r="F783" s="294"/>
      <c r="G783" s="292"/>
      <c r="H783" s="293"/>
      <c r="I783" s="294"/>
      <c r="J783" s="90"/>
      <c r="K783" s="296"/>
      <c r="L783" s="296"/>
      <c r="M783" s="296"/>
      <c r="N783" s="296"/>
      <c r="O783" s="296"/>
      <c r="P783" s="296"/>
      <c r="Q783" s="297"/>
      <c r="R783" s="90"/>
      <c r="S783" s="90"/>
      <c r="T783" s="264"/>
      <c r="U783" s="90"/>
      <c r="V783" s="90"/>
      <c r="W783" s="90"/>
      <c r="X783" s="90"/>
      <c r="Y783" s="90"/>
      <c r="Z783" s="90"/>
      <c r="AA783" s="90"/>
    </row>
    <row r="784" ht="15.75" customHeight="1">
      <c r="A784" s="90"/>
      <c r="B784" s="292"/>
      <c r="C784" s="293"/>
      <c r="D784" s="90"/>
      <c r="E784" s="293"/>
      <c r="F784" s="294"/>
      <c r="G784" s="292"/>
      <c r="H784" s="293"/>
      <c r="I784" s="294"/>
      <c r="J784" s="90"/>
      <c r="K784" s="296"/>
      <c r="L784" s="296"/>
      <c r="M784" s="296"/>
      <c r="N784" s="296"/>
      <c r="O784" s="296"/>
      <c r="P784" s="296"/>
      <c r="Q784" s="297"/>
      <c r="R784" s="90"/>
      <c r="S784" s="90"/>
      <c r="T784" s="264"/>
      <c r="U784" s="90"/>
      <c r="V784" s="90"/>
      <c r="W784" s="90"/>
      <c r="X784" s="90"/>
      <c r="Y784" s="90"/>
      <c r="Z784" s="90"/>
      <c r="AA784" s="90"/>
    </row>
    <row r="785" ht="15.75" customHeight="1">
      <c r="A785" s="90"/>
      <c r="B785" s="292"/>
      <c r="C785" s="293"/>
      <c r="D785" s="90"/>
      <c r="E785" s="293"/>
      <c r="F785" s="294"/>
      <c r="G785" s="292"/>
      <c r="H785" s="293"/>
      <c r="I785" s="294"/>
      <c r="J785" s="90"/>
      <c r="K785" s="296"/>
      <c r="L785" s="296"/>
      <c r="M785" s="296"/>
      <c r="N785" s="296"/>
      <c r="O785" s="296"/>
      <c r="P785" s="296"/>
      <c r="Q785" s="297"/>
      <c r="R785" s="90"/>
      <c r="S785" s="90"/>
      <c r="T785" s="264"/>
      <c r="U785" s="90"/>
      <c r="V785" s="90"/>
      <c r="W785" s="90"/>
      <c r="X785" s="90"/>
      <c r="Y785" s="90"/>
      <c r="Z785" s="90"/>
      <c r="AA785" s="90"/>
    </row>
    <row r="786" ht="15.75" customHeight="1">
      <c r="A786" s="90"/>
      <c r="B786" s="292"/>
      <c r="C786" s="293"/>
      <c r="D786" s="90"/>
      <c r="E786" s="293"/>
      <c r="F786" s="294"/>
      <c r="G786" s="292"/>
      <c r="H786" s="293"/>
      <c r="I786" s="294"/>
      <c r="J786" s="90"/>
      <c r="K786" s="296"/>
      <c r="L786" s="296"/>
      <c r="M786" s="296"/>
      <c r="N786" s="296"/>
      <c r="O786" s="296"/>
      <c r="P786" s="296"/>
      <c r="Q786" s="297"/>
      <c r="R786" s="90"/>
      <c r="S786" s="90"/>
      <c r="T786" s="264"/>
      <c r="U786" s="90"/>
      <c r="V786" s="90"/>
      <c r="W786" s="90"/>
      <c r="X786" s="90"/>
      <c r="Y786" s="90"/>
      <c r="Z786" s="90"/>
      <c r="AA786" s="90"/>
    </row>
    <row r="787" ht="15.75" customHeight="1">
      <c r="A787" s="90"/>
      <c r="B787" s="292"/>
      <c r="C787" s="293"/>
      <c r="D787" s="90"/>
      <c r="E787" s="293"/>
      <c r="F787" s="294"/>
      <c r="G787" s="292"/>
      <c r="H787" s="293"/>
      <c r="I787" s="294"/>
      <c r="J787" s="90"/>
      <c r="K787" s="296"/>
      <c r="L787" s="296"/>
      <c r="M787" s="296"/>
      <c r="N787" s="296"/>
      <c r="O787" s="296"/>
      <c r="P787" s="296"/>
      <c r="Q787" s="297"/>
      <c r="R787" s="90"/>
      <c r="S787" s="90"/>
      <c r="T787" s="264"/>
      <c r="U787" s="90"/>
      <c r="V787" s="90"/>
      <c r="W787" s="90"/>
      <c r="X787" s="90"/>
      <c r="Y787" s="90"/>
      <c r="Z787" s="90"/>
      <c r="AA787" s="90"/>
    </row>
    <row r="788" ht="15.75" customHeight="1">
      <c r="A788" s="90"/>
      <c r="B788" s="292"/>
      <c r="C788" s="293"/>
      <c r="D788" s="90"/>
      <c r="E788" s="293"/>
      <c r="F788" s="294"/>
      <c r="G788" s="292"/>
      <c r="H788" s="293"/>
      <c r="I788" s="294"/>
      <c r="J788" s="90"/>
      <c r="K788" s="296"/>
      <c r="L788" s="296"/>
      <c r="M788" s="296"/>
      <c r="N788" s="296"/>
      <c r="O788" s="296"/>
      <c r="P788" s="296"/>
      <c r="Q788" s="297"/>
      <c r="R788" s="90"/>
      <c r="S788" s="90"/>
      <c r="T788" s="264"/>
      <c r="U788" s="90"/>
      <c r="V788" s="90"/>
      <c r="W788" s="90"/>
      <c r="X788" s="90"/>
      <c r="Y788" s="90"/>
      <c r="Z788" s="90"/>
      <c r="AA788" s="90"/>
    </row>
    <row r="789" ht="15.75" customHeight="1">
      <c r="A789" s="90"/>
      <c r="B789" s="292"/>
      <c r="C789" s="293"/>
      <c r="D789" s="90"/>
      <c r="E789" s="293"/>
      <c r="F789" s="294"/>
      <c r="G789" s="292"/>
      <c r="H789" s="293"/>
      <c r="I789" s="294"/>
      <c r="J789" s="90"/>
      <c r="K789" s="296"/>
      <c r="L789" s="296"/>
      <c r="M789" s="296"/>
      <c r="N789" s="296"/>
      <c r="O789" s="296"/>
      <c r="P789" s="296"/>
      <c r="Q789" s="297"/>
      <c r="R789" s="90"/>
      <c r="S789" s="90"/>
      <c r="T789" s="264"/>
      <c r="U789" s="90"/>
      <c r="V789" s="90"/>
      <c r="W789" s="90"/>
      <c r="X789" s="90"/>
      <c r="Y789" s="90"/>
      <c r="Z789" s="90"/>
      <c r="AA789" s="90"/>
    </row>
    <row r="790" ht="15.75" customHeight="1">
      <c r="A790" s="90"/>
      <c r="B790" s="292"/>
      <c r="C790" s="293"/>
      <c r="D790" s="90"/>
      <c r="E790" s="293"/>
      <c r="F790" s="294"/>
      <c r="G790" s="292"/>
      <c r="H790" s="293"/>
      <c r="I790" s="294"/>
      <c r="J790" s="90"/>
      <c r="K790" s="296"/>
      <c r="L790" s="296"/>
      <c r="M790" s="296"/>
      <c r="N790" s="296"/>
      <c r="O790" s="296"/>
      <c r="P790" s="296"/>
      <c r="Q790" s="297"/>
      <c r="R790" s="90"/>
      <c r="S790" s="90"/>
      <c r="T790" s="264"/>
      <c r="U790" s="90"/>
      <c r="V790" s="90"/>
      <c r="W790" s="90"/>
      <c r="X790" s="90"/>
      <c r="Y790" s="90"/>
      <c r="Z790" s="90"/>
      <c r="AA790" s="90"/>
    </row>
    <row r="791" ht="15.75" customHeight="1">
      <c r="A791" s="90"/>
      <c r="B791" s="292"/>
      <c r="C791" s="293"/>
      <c r="D791" s="90"/>
      <c r="E791" s="293"/>
      <c r="F791" s="294"/>
      <c r="G791" s="292"/>
      <c r="H791" s="293"/>
      <c r="I791" s="294"/>
      <c r="J791" s="90"/>
      <c r="K791" s="296"/>
      <c r="L791" s="296"/>
      <c r="M791" s="296"/>
      <c r="N791" s="296"/>
      <c r="O791" s="296"/>
      <c r="P791" s="296"/>
      <c r="Q791" s="297"/>
      <c r="R791" s="90"/>
      <c r="S791" s="90"/>
      <c r="T791" s="264"/>
      <c r="U791" s="90"/>
      <c r="V791" s="90"/>
      <c r="W791" s="90"/>
      <c r="X791" s="90"/>
      <c r="Y791" s="90"/>
      <c r="Z791" s="90"/>
      <c r="AA791" s="90"/>
    </row>
    <row r="792" ht="15.75" customHeight="1">
      <c r="A792" s="90"/>
      <c r="B792" s="292"/>
      <c r="C792" s="293"/>
      <c r="D792" s="90"/>
      <c r="E792" s="293"/>
      <c r="F792" s="294"/>
      <c r="G792" s="292"/>
      <c r="H792" s="293"/>
      <c r="I792" s="294"/>
      <c r="J792" s="90"/>
      <c r="K792" s="296"/>
      <c r="L792" s="296"/>
      <c r="M792" s="296"/>
      <c r="N792" s="296"/>
      <c r="O792" s="296"/>
      <c r="P792" s="296"/>
      <c r="Q792" s="297"/>
      <c r="R792" s="90"/>
      <c r="S792" s="90"/>
      <c r="T792" s="264"/>
      <c r="U792" s="90"/>
      <c r="V792" s="90"/>
      <c r="W792" s="90"/>
      <c r="X792" s="90"/>
      <c r="Y792" s="90"/>
      <c r="Z792" s="90"/>
      <c r="AA792" s="90"/>
    </row>
    <row r="793" ht="15.75" customHeight="1">
      <c r="A793" s="90"/>
      <c r="B793" s="292"/>
      <c r="C793" s="293"/>
      <c r="D793" s="90"/>
      <c r="E793" s="293"/>
      <c r="F793" s="294"/>
      <c r="G793" s="292"/>
      <c r="H793" s="293"/>
      <c r="I793" s="294"/>
      <c r="J793" s="90"/>
      <c r="K793" s="296"/>
      <c r="L793" s="296"/>
      <c r="M793" s="296"/>
      <c r="N793" s="296"/>
      <c r="O793" s="296"/>
      <c r="P793" s="296"/>
      <c r="Q793" s="297"/>
      <c r="R793" s="90"/>
      <c r="S793" s="90"/>
      <c r="T793" s="264"/>
      <c r="U793" s="90"/>
      <c r="V793" s="90"/>
      <c r="W793" s="90"/>
      <c r="X793" s="90"/>
      <c r="Y793" s="90"/>
      <c r="Z793" s="90"/>
      <c r="AA793" s="90"/>
    </row>
    <row r="794" ht="15.75" customHeight="1">
      <c r="A794" s="90"/>
      <c r="B794" s="292"/>
      <c r="C794" s="293"/>
      <c r="D794" s="90"/>
      <c r="E794" s="293"/>
      <c r="F794" s="294"/>
      <c r="G794" s="292"/>
      <c r="H794" s="293"/>
      <c r="I794" s="294"/>
      <c r="J794" s="90"/>
      <c r="K794" s="296"/>
      <c r="L794" s="296"/>
      <c r="M794" s="296"/>
      <c r="N794" s="296"/>
      <c r="O794" s="296"/>
      <c r="P794" s="296"/>
      <c r="Q794" s="297"/>
      <c r="R794" s="90"/>
      <c r="S794" s="90"/>
      <c r="T794" s="264"/>
      <c r="U794" s="90"/>
      <c r="V794" s="90"/>
      <c r="W794" s="90"/>
      <c r="X794" s="90"/>
      <c r="Y794" s="90"/>
      <c r="Z794" s="90"/>
      <c r="AA794" s="90"/>
    </row>
    <row r="795" ht="15.75" customHeight="1">
      <c r="A795" s="90"/>
      <c r="B795" s="292"/>
      <c r="C795" s="293"/>
      <c r="D795" s="90"/>
      <c r="E795" s="293"/>
      <c r="F795" s="294"/>
      <c r="G795" s="292"/>
      <c r="H795" s="293"/>
      <c r="I795" s="294"/>
      <c r="J795" s="90"/>
      <c r="K795" s="296"/>
      <c r="L795" s="296"/>
      <c r="M795" s="296"/>
      <c r="N795" s="296"/>
      <c r="O795" s="296"/>
      <c r="P795" s="296"/>
      <c r="Q795" s="297"/>
      <c r="R795" s="90"/>
      <c r="S795" s="90"/>
      <c r="T795" s="264"/>
      <c r="U795" s="90"/>
      <c r="V795" s="90"/>
      <c r="W795" s="90"/>
      <c r="X795" s="90"/>
      <c r="Y795" s="90"/>
      <c r="Z795" s="90"/>
      <c r="AA795" s="90"/>
    </row>
    <row r="796" ht="15.75" customHeight="1">
      <c r="A796" s="90"/>
      <c r="B796" s="292"/>
      <c r="C796" s="293"/>
      <c r="D796" s="90"/>
      <c r="E796" s="293"/>
      <c r="F796" s="294"/>
      <c r="G796" s="292"/>
      <c r="H796" s="293"/>
      <c r="I796" s="294"/>
      <c r="J796" s="90"/>
      <c r="K796" s="296"/>
      <c r="L796" s="296"/>
      <c r="M796" s="296"/>
      <c r="N796" s="296"/>
      <c r="O796" s="296"/>
      <c r="P796" s="296"/>
      <c r="Q796" s="297"/>
      <c r="R796" s="90"/>
      <c r="S796" s="90"/>
      <c r="T796" s="264"/>
      <c r="U796" s="90"/>
      <c r="V796" s="90"/>
      <c r="W796" s="90"/>
      <c r="X796" s="90"/>
      <c r="Y796" s="90"/>
      <c r="Z796" s="90"/>
      <c r="AA796" s="90"/>
    </row>
    <row r="797" ht="15.75" customHeight="1">
      <c r="A797" s="90"/>
      <c r="B797" s="292"/>
      <c r="C797" s="293"/>
      <c r="D797" s="90"/>
      <c r="E797" s="293"/>
      <c r="F797" s="294"/>
      <c r="G797" s="292"/>
      <c r="H797" s="293"/>
      <c r="I797" s="294"/>
      <c r="J797" s="90"/>
      <c r="K797" s="296"/>
      <c r="L797" s="296"/>
      <c r="M797" s="296"/>
      <c r="N797" s="296"/>
      <c r="O797" s="296"/>
      <c r="P797" s="296"/>
      <c r="Q797" s="297"/>
      <c r="R797" s="90"/>
      <c r="S797" s="90"/>
      <c r="T797" s="264"/>
      <c r="U797" s="90"/>
      <c r="V797" s="90"/>
      <c r="W797" s="90"/>
      <c r="X797" s="90"/>
      <c r="Y797" s="90"/>
      <c r="Z797" s="90"/>
      <c r="AA797" s="90"/>
    </row>
    <row r="798" ht="15.75" customHeight="1">
      <c r="A798" s="90"/>
      <c r="B798" s="292"/>
      <c r="C798" s="293"/>
      <c r="D798" s="90"/>
      <c r="E798" s="293"/>
      <c r="F798" s="294"/>
      <c r="G798" s="292"/>
      <c r="H798" s="293"/>
      <c r="I798" s="294"/>
      <c r="J798" s="90"/>
      <c r="K798" s="296"/>
      <c r="L798" s="296"/>
      <c r="M798" s="296"/>
      <c r="N798" s="296"/>
      <c r="O798" s="296"/>
      <c r="P798" s="296"/>
      <c r="Q798" s="297"/>
      <c r="R798" s="90"/>
      <c r="S798" s="90"/>
      <c r="T798" s="264"/>
      <c r="U798" s="90"/>
      <c r="V798" s="90"/>
      <c r="W798" s="90"/>
      <c r="X798" s="90"/>
      <c r="Y798" s="90"/>
      <c r="Z798" s="90"/>
      <c r="AA798" s="90"/>
    </row>
    <row r="799" ht="15.75" customHeight="1">
      <c r="A799" s="90"/>
      <c r="B799" s="292"/>
      <c r="C799" s="293"/>
      <c r="D799" s="90"/>
      <c r="E799" s="293"/>
      <c r="F799" s="294"/>
      <c r="G799" s="292"/>
      <c r="H799" s="293"/>
      <c r="I799" s="294"/>
      <c r="J799" s="90"/>
      <c r="K799" s="296"/>
      <c r="L799" s="296"/>
      <c r="M799" s="296"/>
      <c r="N799" s="296"/>
      <c r="O799" s="296"/>
      <c r="P799" s="296"/>
      <c r="Q799" s="297"/>
      <c r="R799" s="90"/>
      <c r="S799" s="90"/>
      <c r="T799" s="264"/>
      <c r="U799" s="90"/>
      <c r="V799" s="90"/>
      <c r="W799" s="90"/>
      <c r="X799" s="90"/>
      <c r="Y799" s="90"/>
      <c r="Z799" s="90"/>
      <c r="AA799" s="90"/>
    </row>
    <row r="800" ht="15.75" customHeight="1">
      <c r="A800" s="90"/>
      <c r="B800" s="292"/>
      <c r="C800" s="293"/>
      <c r="D800" s="90"/>
      <c r="E800" s="293"/>
      <c r="F800" s="294"/>
      <c r="G800" s="292"/>
      <c r="H800" s="293"/>
      <c r="I800" s="294"/>
      <c r="J800" s="90"/>
      <c r="K800" s="296"/>
      <c r="L800" s="296"/>
      <c r="M800" s="296"/>
      <c r="N800" s="296"/>
      <c r="O800" s="296"/>
      <c r="P800" s="296"/>
      <c r="Q800" s="297"/>
      <c r="R800" s="90"/>
      <c r="S800" s="90"/>
      <c r="T800" s="264"/>
      <c r="U800" s="90"/>
      <c r="V800" s="90"/>
      <c r="W800" s="90"/>
      <c r="X800" s="90"/>
      <c r="Y800" s="90"/>
      <c r="Z800" s="90"/>
      <c r="AA800" s="90"/>
    </row>
    <row r="801" ht="15.75" customHeight="1">
      <c r="A801" s="90"/>
      <c r="B801" s="292"/>
      <c r="C801" s="293"/>
      <c r="D801" s="90"/>
      <c r="E801" s="293"/>
      <c r="F801" s="294"/>
      <c r="G801" s="292"/>
      <c r="H801" s="293"/>
      <c r="I801" s="294"/>
      <c r="J801" s="90"/>
      <c r="K801" s="296"/>
      <c r="L801" s="296"/>
      <c r="M801" s="296"/>
      <c r="N801" s="296"/>
      <c r="O801" s="296"/>
      <c r="P801" s="296"/>
      <c r="Q801" s="297"/>
      <c r="R801" s="90"/>
      <c r="S801" s="90"/>
      <c r="T801" s="264"/>
      <c r="U801" s="90"/>
      <c r="V801" s="90"/>
      <c r="W801" s="90"/>
      <c r="X801" s="90"/>
      <c r="Y801" s="90"/>
      <c r="Z801" s="90"/>
      <c r="AA801" s="90"/>
    </row>
    <row r="802" ht="15.75" customHeight="1">
      <c r="A802" s="90"/>
      <c r="B802" s="292"/>
      <c r="C802" s="293"/>
      <c r="D802" s="90"/>
      <c r="E802" s="293"/>
      <c r="F802" s="294"/>
      <c r="G802" s="292"/>
      <c r="H802" s="293"/>
      <c r="I802" s="294"/>
      <c r="J802" s="90"/>
      <c r="K802" s="296"/>
      <c r="L802" s="296"/>
      <c r="M802" s="296"/>
      <c r="N802" s="296"/>
      <c r="O802" s="296"/>
      <c r="P802" s="296"/>
      <c r="Q802" s="297"/>
      <c r="R802" s="90"/>
      <c r="S802" s="90"/>
      <c r="T802" s="264"/>
      <c r="U802" s="90"/>
      <c r="V802" s="90"/>
      <c r="W802" s="90"/>
      <c r="X802" s="90"/>
      <c r="Y802" s="90"/>
      <c r="Z802" s="90"/>
      <c r="AA802" s="90"/>
    </row>
    <row r="803" ht="15.75" customHeight="1">
      <c r="A803" s="90"/>
      <c r="B803" s="292"/>
      <c r="C803" s="293"/>
      <c r="D803" s="90"/>
      <c r="E803" s="293"/>
      <c r="F803" s="294"/>
      <c r="G803" s="292"/>
      <c r="H803" s="293"/>
      <c r="I803" s="294"/>
      <c r="J803" s="90"/>
      <c r="K803" s="296"/>
      <c r="L803" s="296"/>
      <c r="M803" s="296"/>
      <c r="N803" s="296"/>
      <c r="O803" s="296"/>
      <c r="P803" s="296"/>
      <c r="Q803" s="297"/>
      <c r="R803" s="90"/>
      <c r="S803" s="90"/>
      <c r="T803" s="264"/>
      <c r="U803" s="90"/>
      <c r="V803" s="90"/>
      <c r="W803" s="90"/>
      <c r="X803" s="90"/>
      <c r="Y803" s="90"/>
      <c r="Z803" s="90"/>
      <c r="AA803" s="90"/>
    </row>
    <row r="804" ht="15.75" customHeight="1">
      <c r="A804" s="90"/>
      <c r="B804" s="292"/>
      <c r="C804" s="293"/>
      <c r="D804" s="90"/>
      <c r="E804" s="293"/>
      <c r="F804" s="294"/>
      <c r="G804" s="292"/>
      <c r="H804" s="293"/>
      <c r="I804" s="294"/>
      <c r="J804" s="90"/>
      <c r="K804" s="296"/>
      <c r="L804" s="296"/>
      <c r="M804" s="296"/>
      <c r="N804" s="296"/>
      <c r="O804" s="296"/>
      <c r="P804" s="296"/>
      <c r="Q804" s="297"/>
      <c r="R804" s="90"/>
      <c r="S804" s="90"/>
      <c r="T804" s="264"/>
      <c r="U804" s="90"/>
      <c r="V804" s="90"/>
      <c r="W804" s="90"/>
      <c r="X804" s="90"/>
      <c r="Y804" s="90"/>
      <c r="Z804" s="90"/>
      <c r="AA804" s="90"/>
    </row>
    <row r="805" ht="15.75" customHeight="1">
      <c r="A805" s="90"/>
      <c r="B805" s="292"/>
      <c r="C805" s="293"/>
      <c r="D805" s="90"/>
      <c r="E805" s="293"/>
      <c r="F805" s="294"/>
      <c r="G805" s="292"/>
      <c r="H805" s="293"/>
      <c r="I805" s="294"/>
      <c r="J805" s="90"/>
      <c r="K805" s="296"/>
      <c r="L805" s="296"/>
      <c r="M805" s="296"/>
      <c r="N805" s="296"/>
      <c r="O805" s="296"/>
      <c r="P805" s="296"/>
      <c r="Q805" s="297"/>
      <c r="R805" s="90"/>
      <c r="S805" s="90"/>
      <c r="T805" s="264"/>
      <c r="U805" s="90"/>
      <c r="V805" s="90"/>
      <c r="W805" s="90"/>
      <c r="X805" s="90"/>
      <c r="Y805" s="90"/>
      <c r="Z805" s="90"/>
      <c r="AA805" s="90"/>
    </row>
    <row r="806" ht="15.75" customHeight="1">
      <c r="A806" s="90"/>
      <c r="B806" s="292"/>
      <c r="C806" s="293"/>
      <c r="D806" s="90"/>
      <c r="E806" s="293"/>
      <c r="F806" s="294"/>
      <c r="G806" s="292"/>
      <c r="H806" s="293"/>
      <c r="I806" s="294"/>
      <c r="J806" s="90"/>
      <c r="K806" s="296"/>
      <c r="L806" s="296"/>
      <c r="M806" s="296"/>
      <c r="N806" s="296"/>
      <c r="O806" s="296"/>
      <c r="P806" s="296"/>
      <c r="Q806" s="297"/>
      <c r="R806" s="90"/>
      <c r="S806" s="90"/>
      <c r="T806" s="264"/>
      <c r="U806" s="90"/>
      <c r="V806" s="90"/>
      <c r="W806" s="90"/>
      <c r="X806" s="90"/>
      <c r="Y806" s="90"/>
      <c r="Z806" s="90"/>
      <c r="AA806" s="90"/>
    </row>
    <row r="807" ht="15.75" customHeight="1">
      <c r="A807" s="90"/>
      <c r="B807" s="292"/>
      <c r="C807" s="293"/>
      <c r="D807" s="90"/>
      <c r="E807" s="293"/>
      <c r="F807" s="294"/>
      <c r="G807" s="292"/>
      <c r="H807" s="293"/>
      <c r="I807" s="294"/>
      <c r="J807" s="90"/>
      <c r="K807" s="296"/>
      <c r="L807" s="296"/>
      <c r="M807" s="296"/>
      <c r="N807" s="296"/>
      <c r="O807" s="296"/>
      <c r="P807" s="296"/>
      <c r="Q807" s="297"/>
      <c r="R807" s="90"/>
      <c r="S807" s="90"/>
      <c r="T807" s="264"/>
      <c r="U807" s="90"/>
      <c r="V807" s="90"/>
      <c r="W807" s="90"/>
      <c r="X807" s="90"/>
      <c r="Y807" s="90"/>
      <c r="Z807" s="90"/>
      <c r="AA807" s="90"/>
    </row>
    <row r="808" ht="15.75" customHeight="1">
      <c r="A808" s="90"/>
      <c r="B808" s="292"/>
      <c r="C808" s="293"/>
      <c r="D808" s="90"/>
      <c r="E808" s="293"/>
      <c r="F808" s="294"/>
      <c r="G808" s="292"/>
      <c r="H808" s="293"/>
      <c r="I808" s="294"/>
      <c r="J808" s="90"/>
      <c r="K808" s="296"/>
      <c r="L808" s="296"/>
      <c r="M808" s="296"/>
      <c r="N808" s="296"/>
      <c r="O808" s="296"/>
      <c r="P808" s="296"/>
      <c r="Q808" s="297"/>
      <c r="R808" s="90"/>
      <c r="S808" s="90"/>
      <c r="T808" s="264"/>
      <c r="U808" s="90"/>
      <c r="V808" s="90"/>
      <c r="W808" s="90"/>
      <c r="X808" s="90"/>
      <c r="Y808" s="90"/>
      <c r="Z808" s="90"/>
      <c r="AA808" s="90"/>
    </row>
    <row r="809" ht="15.75" customHeight="1">
      <c r="A809" s="90"/>
      <c r="B809" s="292"/>
      <c r="C809" s="293"/>
      <c r="D809" s="90"/>
      <c r="E809" s="293"/>
      <c r="F809" s="294"/>
      <c r="G809" s="292"/>
      <c r="H809" s="293"/>
      <c r="I809" s="294"/>
      <c r="J809" s="90"/>
      <c r="K809" s="296"/>
      <c r="L809" s="296"/>
      <c r="M809" s="296"/>
      <c r="N809" s="296"/>
      <c r="O809" s="296"/>
      <c r="P809" s="296"/>
      <c r="Q809" s="297"/>
      <c r="R809" s="90"/>
      <c r="S809" s="90"/>
      <c r="T809" s="264"/>
      <c r="U809" s="90"/>
      <c r="V809" s="90"/>
      <c r="W809" s="90"/>
      <c r="X809" s="90"/>
      <c r="Y809" s="90"/>
      <c r="Z809" s="90"/>
      <c r="AA809" s="90"/>
    </row>
    <row r="810" ht="15.75" customHeight="1">
      <c r="A810" s="90"/>
      <c r="B810" s="292"/>
      <c r="C810" s="293"/>
      <c r="D810" s="90"/>
      <c r="E810" s="293"/>
      <c r="F810" s="294"/>
      <c r="G810" s="292"/>
      <c r="H810" s="293"/>
      <c r="I810" s="294"/>
      <c r="J810" s="90"/>
      <c r="K810" s="296"/>
      <c r="L810" s="296"/>
      <c r="M810" s="296"/>
      <c r="N810" s="296"/>
      <c r="O810" s="296"/>
      <c r="P810" s="296"/>
      <c r="Q810" s="297"/>
      <c r="R810" s="90"/>
      <c r="S810" s="90"/>
      <c r="T810" s="264"/>
      <c r="U810" s="90"/>
      <c r="V810" s="90"/>
      <c r="W810" s="90"/>
      <c r="X810" s="90"/>
      <c r="Y810" s="90"/>
      <c r="Z810" s="90"/>
      <c r="AA810" s="90"/>
    </row>
    <row r="811" ht="15.75" customHeight="1">
      <c r="A811" s="90"/>
      <c r="B811" s="292"/>
      <c r="C811" s="293"/>
      <c r="D811" s="90"/>
      <c r="E811" s="293"/>
      <c r="F811" s="294"/>
      <c r="G811" s="292"/>
      <c r="H811" s="293"/>
      <c r="I811" s="294"/>
      <c r="J811" s="90"/>
      <c r="K811" s="296"/>
      <c r="L811" s="296"/>
      <c r="M811" s="296"/>
      <c r="N811" s="296"/>
      <c r="O811" s="296"/>
      <c r="P811" s="296"/>
      <c r="Q811" s="297"/>
      <c r="R811" s="90"/>
      <c r="S811" s="90"/>
      <c r="T811" s="264"/>
      <c r="U811" s="90"/>
      <c r="V811" s="90"/>
      <c r="W811" s="90"/>
      <c r="X811" s="90"/>
      <c r="Y811" s="90"/>
      <c r="Z811" s="90"/>
      <c r="AA811" s="90"/>
    </row>
    <row r="812" ht="15.75" customHeight="1">
      <c r="A812" s="90"/>
      <c r="B812" s="292"/>
      <c r="C812" s="293"/>
      <c r="D812" s="90"/>
      <c r="E812" s="293"/>
      <c r="F812" s="294"/>
      <c r="G812" s="292"/>
      <c r="H812" s="293"/>
      <c r="I812" s="294"/>
      <c r="J812" s="90"/>
      <c r="K812" s="296"/>
      <c r="L812" s="296"/>
      <c r="M812" s="296"/>
      <c r="N812" s="296"/>
      <c r="O812" s="296"/>
      <c r="P812" s="296"/>
      <c r="Q812" s="297"/>
      <c r="R812" s="90"/>
      <c r="S812" s="90"/>
      <c r="T812" s="264"/>
      <c r="U812" s="90"/>
      <c r="V812" s="90"/>
      <c r="W812" s="90"/>
      <c r="X812" s="90"/>
      <c r="Y812" s="90"/>
      <c r="Z812" s="90"/>
      <c r="AA812" s="90"/>
    </row>
    <row r="813" ht="15.75" customHeight="1">
      <c r="A813" s="90"/>
      <c r="B813" s="292"/>
      <c r="C813" s="293"/>
      <c r="D813" s="90"/>
      <c r="E813" s="293"/>
      <c r="F813" s="294"/>
      <c r="G813" s="292"/>
      <c r="H813" s="293"/>
      <c r="I813" s="294"/>
      <c r="J813" s="90"/>
      <c r="K813" s="296"/>
      <c r="L813" s="296"/>
      <c r="M813" s="296"/>
      <c r="N813" s="296"/>
      <c r="O813" s="296"/>
      <c r="P813" s="296"/>
      <c r="Q813" s="297"/>
      <c r="R813" s="90"/>
      <c r="S813" s="90"/>
      <c r="T813" s="264"/>
      <c r="U813" s="90"/>
      <c r="V813" s="90"/>
      <c r="W813" s="90"/>
      <c r="X813" s="90"/>
      <c r="Y813" s="90"/>
      <c r="Z813" s="90"/>
      <c r="AA813" s="90"/>
    </row>
    <row r="814" ht="15.75" customHeight="1">
      <c r="A814" s="90"/>
      <c r="B814" s="292"/>
      <c r="C814" s="293"/>
      <c r="D814" s="90"/>
      <c r="E814" s="293"/>
      <c r="F814" s="294"/>
      <c r="G814" s="292"/>
      <c r="H814" s="293"/>
      <c r="I814" s="294"/>
      <c r="J814" s="90"/>
      <c r="K814" s="296"/>
      <c r="L814" s="296"/>
      <c r="M814" s="296"/>
      <c r="N814" s="296"/>
      <c r="O814" s="296"/>
      <c r="P814" s="296"/>
      <c r="Q814" s="297"/>
      <c r="R814" s="90"/>
      <c r="S814" s="90"/>
      <c r="T814" s="264"/>
      <c r="U814" s="90"/>
      <c r="V814" s="90"/>
      <c r="W814" s="90"/>
      <c r="X814" s="90"/>
      <c r="Y814" s="90"/>
      <c r="Z814" s="90"/>
      <c r="AA814" s="90"/>
    </row>
    <row r="815" ht="15.75" customHeight="1">
      <c r="A815" s="90"/>
      <c r="B815" s="292"/>
      <c r="C815" s="293"/>
      <c r="D815" s="90"/>
      <c r="E815" s="293"/>
      <c r="F815" s="294"/>
      <c r="G815" s="292"/>
      <c r="H815" s="293"/>
      <c r="I815" s="294"/>
      <c r="J815" s="90"/>
      <c r="K815" s="296"/>
      <c r="L815" s="296"/>
      <c r="M815" s="296"/>
      <c r="N815" s="296"/>
      <c r="O815" s="296"/>
      <c r="P815" s="296"/>
      <c r="Q815" s="297"/>
      <c r="R815" s="90"/>
      <c r="S815" s="90"/>
      <c r="T815" s="264"/>
      <c r="U815" s="90"/>
      <c r="V815" s="90"/>
      <c r="W815" s="90"/>
      <c r="X815" s="90"/>
      <c r="Y815" s="90"/>
      <c r="Z815" s="90"/>
      <c r="AA815" s="90"/>
    </row>
    <row r="816" ht="15.75" customHeight="1">
      <c r="A816" s="90"/>
      <c r="B816" s="292"/>
      <c r="C816" s="293"/>
      <c r="D816" s="90"/>
      <c r="E816" s="293"/>
      <c r="F816" s="294"/>
      <c r="G816" s="292"/>
      <c r="H816" s="293"/>
      <c r="I816" s="294"/>
      <c r="J816" s="90"/>
      <c r="K816" s="296"/>
      <c r="L816" s="296"/>
      <c r="M816" s="296"/>
      <c r="N816" s="296"/>
      <c r="O816" s="296"/>
      <c r="P816" s="296"/>
      <c r="Q816" s="297"/>
      <c r="R816" s="90"/>
      <c r="S816" s="90"/>
      <c r="T816" s="264"/>
      <c r="U816" s="90"/>
      <c r="V816" s="90"/>
      <c r="W816" s="90"/>
      <c r="X816" s="90"/>
      <c r="Y816" s="90"/>
      <c r="Z816" s="90"/>
      <c r="AA816" s="90"/>
    </row>
    <row r="817" ht="15.75" customHeight="1">
      <c r="A817" s="90"/>
      <c r="B817" s="292"/>
      <c r="C817" s="293"/>
      <c r="D817" s="90"/>
      <c r="E817" s="293"/>
      <c r="F817" s="294"/>
      <c r="G817" s="292"/>
      <c r="H817" s="293"/>
      <c r="I817" s="294"/>
      <c r="J817" s="90"/>
      <c r="K817" s="296"/>
      <c r="L817" s="296"/>
      <c r="M817" s="296"/>
      <c r="N817" s="296"/>
      <c r="O817" s="296"/>
      <c r="P817" s="296"/>
      <c r="Q817" s="297"/>
      <c r="R817" s="90"/>
      <c r="S817" s="90"/>
      <c r="T817" s="264"/>
      <c r="U817" s="90"/>
      <c r="V817" s="90"/>
      <c r="W817" s="90"/>
      <c r="X817" s="90"/>
      <c r="Y817" s="90"/>
      <c r="Z817" s="90"/>
      <c r="AA817" s="90"/>
    </row>
    <row r="818" ht="15.75" customHeight="1">
      <c r="A818" s="90"/>
      <c r="B818" s="292"/>
      <c r="C818" s="293"/>
      <c r="D818" s="90"/>
      <c r="E818" s="293"/>
      <c r="F818" s="294"/>
      <c r="G818" s="292"/>
      <c r="H818" s="293"/>
      <c r="I818" s="294"/>
      <c r="J818" s="90"/>
      <c r="K818" s="296"/>
      <c r="L818" s="296"/>
      <c r="M818" s="296"/>
      <c r="N818" s="296"/>
      <c r="O818" s="296"/>
      <c r="P818" s="296"/>
      <c r="Q818" s="297"/>
      <c r="R818" s="90"/>
      <c r="S818" s="90"/>
      <c r="T818" s="264"/>
      <c r="U818" s="90"/>
      <c r="V818" s="90"/>
      <c r="W818" s="90"/>
      <c r="X818" s="90"/>
      <c r="Y818" s="90"/>
      <c r="Z818" s="90"/>
      <c r="AA818" s="90"/>
    </row>
    <row r="819" ht="15.75" customHeight="1">
      <c r="A819" s="90"/>
      <c r="B819" s="292"/>
      <c r="C819" s="293"/>
      <c r="D819" s="90"/>
      <c r="E819" s="293"/>
      <c r="F819" s="294"/>
      <c r="G819" s="292"/>
      <c r="H819" s="293"/>
      <c r="I819" s="294"/>
      <c r="J819" s="90"/>
      <c r="K819" s="296"/>
      <c r="L819" s="296"/>
      <c r="M819" s="296"/>
      <c r="N819" s="296"/>
      <c r="O819" s="296"/>
      <c r="P819" s="296"/>
      <c r="Q819" s="297"/>
      <c r="R819" s="90"/>
      <c r="S819" s="90"/>
      <c r="T819" s="264"/>
      <c r="U819" s="90"/>
      <c r="V819" s="90"/>
      <c r="W819" s="90"/>
      <c r="X819" s="90"/>
      <c r="Y819" s="90"/>
      <c r="Z819" s="90"/>
      <c r="AA819" s="90"/>
    </row>
    <row r="820" ht="15.75" customHeight="1">
      <c r="A820" s="90"/>
      <c r="B820" s="292"/>
      <c r="C820" s="293"/>
      <c r="D820" s="90"/>
      <c r="E820" s="293"/>
      <c r="F820" s="294"/>
      <c r="G820" s="292"/>
      <c r="H820" s="293"/>
      <c r="I820" s="294"/>
      <c r="J820" s="90"/>
      <c r="K820" s="296"/>
      <c r="L820" s="296"/>
      <c r="M820" s="296"/>
      <c r="N820" s="296"/>
      <c r="O820" s="296"/>
      <c r="P820" s="296"/>
      <c r="Q820" s="297"/>
      <c r="R820" s="90"/>
      <c r="S820" s="90"/>
      <c r="T820" s="264"/>
      <c r="U820" s="90"/>
      <c r="V820" s="90"/>
      <c r="W820" s="90"/>
      <c r="X820" s="90"/>
      <c r="Y820" s="90"/>
      <c r="Z820" s="90"/>
      <c r="AA820" s="90"/>
    </row>
    <row r="821" ht="15.75" customHeight="1">
      <c r="A821" s="90"/>
      <c r="B821" s="292"/>
      <c r="C821" s="293"/>
      <c r="D821" s="90"/>
      <c r="E821" s="293"/>
      <c r="F821" s="294"/>
      <c r="G821" s="292"/>
      <c r="H821" s="293"/>
      <c r="I821" s="294"/>
      <c r="J821" s="90"/>
      <c r="K821" s="296"/>
      <c r="L821" s="296"/>
      <c r="M821" s="296"/>
      <c r="N821" s="296"/>
      <c r="O821" s="296"/>
      <c r="P821" s="296"/>
      <c r="Q821" s="297"/>
      <c r="R821" s="90"/>
      <c r="S821" s="90"/>
      <c r="T821" s="264"/>
      <c r="U821" s="90"/>
      <c r="V821" s="90"/>
      <c r="W821" s="90"/>
      <c r="X821" s="90"/>
      <c r="Y821" s="90"/>
      <c r="Z821" s="90"/>
      <c r="AA821" s="90"/>
    </row>
    <row r="822" ht="15.75" customHeight="1">
      <c r="A822" s="90"/>
      <c r="B822" s="292"/>
      <c r="C822" s="293"/>
      <c r="D822" s="90"/>
      <c r="E822" s="293"/>
      <c r="F822" s="294"/>
      <c r="G822" s="292"/>
      <c r="H822" s="293"/>
      <c r="I822" s="294"/>
      <c r="J822" s="90"/>
      <c r="K822" s="296"/>
      <c r="L822" s="296"/>
      <c r="M822" s="296"/>
      <c r="N822" s="296"/>
      <c r="O822" s="296"/>
      <c r="P822" s="296"/>
      <c r="Q822" s="297"/>
      <c r="R822" s="90"/>
      <c r="S822" s="90"/>
      <c r="T822" s="264"/>
      <c r="U822" s="90"/>
      <c r="V822" s="90"/>
      <c r="W822" s="90"/>
      <c r="X822" s="90"/>
      <c r="Y822" s="90"/>
      <c r="Z822" s="90"/>
      <c r="AA822" s="90"/>
    </row>
    <row r="823" ht="15.75" customHeight="1">
      <c r="A823" s="90"/>
      <c r="B823" s="292"/>
      <c r="C823" s="293"/>
      <c r="D823" s="90"/>
      <c r="E823" s="293"/>
      <c r="F823" s="294"/>
      <c r="G823" s="292"/>
      <c r="H823" s="293"/>
      <c r="I823" s="294"/>
      <c r="J823" s="90"/>
      <c r="K823" s="296"/>
      <c r="L823" s="296"/>
      <c r="M823" s="296"/>
      <c r="N823" s="296"/>
      <c r="O823" s="296"/>
      <c r="P823" s="296"/>
      <c r="Q823" s="297"/>
      <c r="R823" s="90"/>
      <c r="S823" s="90"/>
      <c r="T823" s="264"/>
      <c r="U823" s="90"/>
      <c r="V823" s="90"/>
      <c r="W823" s="90"/>
      <c r="X823" s="90"/>
      <c r="Y823" s="90"/>
      <c r="Z823" s="90"/>
      <c r="AA823" s="90"/>
    </row>
    <row r="824" ht="15.75" customHeight="1">
      <c r="A824" s="90"/>
      <c r="B824" s="292"/>
      <c r="C824" s="293"/>
      <c r="D824" s="90"/>
      <c r="E824" s="293"/>
      <c r="F824" s="294"/>
      <c r="G824" s="292"/>
      <c r="H824" s="293"/>
      <c r="I824" s="294"/>
      <c r="J824" s="90"/>
      <c r="K824" s="296"/>
      <c r="L824" s="296"/>
      <c r="M824" s="296"/>
      <c r="N824" s="296"/>
      <c r="O824" s="296"/>
      <c r="P824" s="296"/>
      <c r="Q824" s="297"/>
      <c r="R824" s="90"/>
      <c r="S824" s="90"/>
      <c r="T824" s="264"/>
      <c r="U824" s="90"/>
      <c r="V824" s="90"/>
      <c r="W824" s="90"/>
      <c r="X824" s="90"/>
      <c r="Y824" s="90"/>
      <c r="Z824" s="90"/>
      <c r="AA824" s="90"/>
    </row>
    <row r="825" ht="15.75" customHeight="1">
      <c r="A825" s="90"/>
      <c r="B825" s="292"/>
      <c r="C825" s="293"/>
      <c r="D825" s="90"/>
      <c r="E825" s="293"/>
      <c r="F825" s="294"/>
      <c r="G825" s="292"/>
      <c r="H825" s="293"/>
      <c r="I825" s="294"/>
      <c r="J825" s="90"/>
      <c r="K825" s="296"/>
      <c r="L825" s="296"/>
      <c r="M825" s="296"/>
      <c r="N825" s="296"/>
      <c r="O825" s="296"/>
      <c r="P825" s="296"/>
      <c r="Q825" s="297"/>
      <c r="R825" s="90"/>
      <c r="S825" s="90"/>
      <c r="T825" s="264"/>
      <c r="U825" s="90"/>
      <c r="V825" s="90"/>
      <c r="W825" s="90"/>
      <c r="X825" s="90"/>
      <c r="Y825" s="90"/>
      <c r="Z825" s="90"/>
      <c r="AA825" s="90"/>
    </row>
    <row r="826" ht="15.75" customHeight="1">
      <c r="A826" s="90"/>
      <c r="B826" s="292"/>
      <c r="C826" s="293"/>
      <c r="D826" s="90"/>
      <c r="E826" s="293"/>
      <c r="F826" s="294"/>
      <c r="G826" s="292"/>
      <c r="H826" s="293"/>
      <c r="I826" s="294"/>
      <c r="J826" s="90"/>
      <c r="K826" s="296"/>
      <c r="L826" s="296"/>
      <c r="M826" s="296"/>
      <c r="N826" s="296"/>
      <c r="O826" s="296"/>
      <c r="P826" s="296"/>
      <c r="Q826" s="297"/>
      <c r="R826" s="90"/>
      <c r="S826" s="90"/>
      <c r="T826" s="264"/>
      <c r="U826" s="90"/>
      <c r="V826" s="90"/>
      <c r="W826" s="90"/>
      <c r="X826" s="90"/>
      <c r="Y826" s="90"/>
      <c r="Z826" s="90"/>
      <c r="AA826" s="90"/>
    </row>
    <row r="827" ht="15.75" customHeight="1">
      <c r="A827" s="90"/>
      <c r="B827" s="292"/>
      <c r="C827" s="293"/>
      <c r="D827" s="90"/>
      <c r="E827" s="293"/>
      <c r="F827" s="294"/>
      <c r="G827" s="292"/>
      <c r="H827" s="293"/>
      <c r="I827" s="294"/>
      <c r="J827" s="90"/>
      <c r="K827" s="296"/>
      <c r="L827" s="296"/>
      <c r="M827" s="296"/>
      <c r="N827" s="296"/>
      <c r="O827" s="296"/>
      <c r="P827" s="296"/>
      <c r="Q827" s="297"/>
      <c r="R827" s="90"/>
      <c r="S827" s="90"/>
      <c r="T827" s="264"/>
      <c r="U827" s="90"/>
      <c r="V827" s="90"/>
      <c r="W827" s="90"/>
      <c r="X827" s="90"/>
      <c r="Y827" s="90"/>
      <c r="Z827" s="90"/>
      <c r="AA827" s="90"/>
    </row>
    <row r="828" ht="15.75" customHeight="1">
      <c r="A828" s="90"/>
      <c r="B828" s="292"/>
      <c r="C828" s="293"/>
      <c r="D828" s="90"/>
      <c r="E828" s="293"/>
      <c r="F828" s="294"/>
      <c r="G828" s="292"/>
      <c r="H828" s="293"/>
      <c r="I828" s="294"/>
      <c r="J828" s="90"/>
      <c r="K828" s="296"/>
      <c r="L828" s="296"/>
      <c r="M828" s="296"/>
      <c r="N828" s="296"/>
      <c r="O828" s="296"/>
      <c r="P828" s="296"/>
      <c r="Q828" s="297"/>
      <c r="R828" s="90"/>
      <c r="S828" s="90"/>
      <c r="T828" s="264"/>
      <c r="U828" s="90"/>
      <c r="V828" s="90"/>
      <c r="W828" s="90"/>
      <c r="X828" s="90"/>
      <c r="Y828" s="90"/>
      <c r="Z828" s="90"/>
      <c r="AA828" s="90"/>
    </row>
    <row r="829" ht="15.75" customHeight="1">
      <c r="A829" s="90"/>
      <c r="B829" s="292"/>
      <c r="C829" s="293"/>
      <c r="D829" s="90"/>
      <c r="E829" s="293"/>
      <c r="F829" s="294"/>
      <c r="G829" s="292"/>
      <c r="H829" s="293"/>
      <c r="I829" s="294"/>
      <c r="J829" s="90"/>
      <c r="K829" s="296"/>
      <c r="L829" s="296"/>
      <c r="M829" s="296"/>
      <c r="N829" s="296"/>
      <c r="O829" s="296"/>
      <c r="P829" s="296"/>
      <c r="Q829" s="297"/>
      <c r="R829" s="90"/>
      <c r="S829" s="90"/>
      <c r="T829" s="264"/>
      <c r="U829" s="90"/>
      <c r="V829" s="90"/>
      <c r="W829" s="90"/>
      <c r="X829" s="90"/>
      <c r="Y829" s="90"/>
      <c r="Z829" s="90"/>
      <c r="AA829" s="90"/>
    </row>
    <row r="830" ht="15.75" customHeight="1">
      <c r="A830" s="90"/>
      <c r="B830" s="292"/>
      <c r="C830" s="293"/>
      <c r="D830" s="90"/>
      <c r="E830" s="293"/>
      <c r="F830" s="294"/>
      <c r="G830" s="292"/>
      <c r="H830" s="293"/>
      <c r="I830" s="294"/>
      <c r="J830" s="90"/>
      <c r="K830" s="296"/>
      <c r="L830" s="296"/>
      <c r="M830" s="296"/>
      <c r="N830" s="296"/>
      <c r="O830" s="296"/>
      <c r="P830" s="296"/>
      <c r="Q830" s="297"/>
      <c r="R830" s="90"/>
      <c r="S830" s="90"/>
      <c r="T830" s="264"/>
      <c r="U830" s="90"/>
      <c r="V830" s="90"/>
      <c r="W830" s="90"/>
      <c r="X830" s="90"/>
      <c r="Y830" s="90"/>
      <c r="Z830" s="90"/>
      <c r="AA830" s="90"/>
    </row>
    <row r="831" ht="15.75" customHeight="1">
      <c r="A831" s="90"/>
      <c r="B831" s="292"/>
      <c r="C831" s="293"/>
      <c r="D831" s="90"/>
      <c r="E831" s="293"/>
      <c r="F831" s="294"/>
      <c r="G831" s="292"/>
      <c r="H831" s="293"/>
      <c r="I831" s="294"/>
      <c r="J831" s="90"/>
      <c r="K831" s="296"/>
      <c r="L831" s="296"/>
      <c r="M831" s="296"/>
      <c r="N831" s="296"/>
      <c r="O831" s="296"/>
      <c r="P831" s="296"/>
      <c r="Q831" s="297"/>
      <c r="R831" s="90"/>
      <c r="S831" s="90"/>
      <c r="T831" s="264"/>
      <c r="U831" s="90"/>
      <c r="V831" s="90"/>
      <c r="W831" s="90"/>
      <c r="X831" s="90"/>
      <c r="Y831" s="90"/>
      <c r="Z831" s="90"/>
      <c r="AA831" s="90"/>
    </row>
    <row r="832" ht="15.75" customHeight="1">
      <c r="A832" s="90"/>
      <c r="B832" s="292"/>
      <c r="C832" s="293"/>
      <c r="D832" s="90"/>
      <c r="E832" s="293"/>
      <c r="F832" s="294"/>
      <c r="G832" s="292"/>
      <c r="H832" s="293"/>
      <c r="I832" s="294"/>
      <c r="J832" s="90"/>
      <c r="K832" s="296"/>
      <c r="L832" s="296"/>
      <c r="M832" s="296"/>
      <c r="N832" s="296"/>
      <c r="O832" s="296"/>
      <c r="P832" s="296"/>
      <c r="Q832" s="297"/>
      <c r="R832" s="90"/>
      <c r="S832" s="90"/>
      <c r="T832" s="264"/>
      <c r="U832" s="90"/>
      <c r="V832" s="90"/>
      <c r="W832" s="90"/>
      <c r="X832" s="90"/>
      <c r="Y832" s="90"/>
      <c r="Z832" s="90"/>
      <c r="AA832" s="90"/>
    </row>
    <row r="833" ht="15.75" customHeight="1">
      <c r="A833" s="90"/>
      <c r="B833" s="292"/>
      <c r="C833" s="293"/>
      <c r="D833" s="90"/>
      <c r="E833" s="293"/>
      <c r="F833" s="294"/>
      <c r="G833" s="292"/>
      <c r="H833" s="293"/>
      <c r="I833" s="294"/>
      <c r="J833" s="90"/>
      <c r="K833" s="296"/>
      <c r="L833" s="296"/>
      <c r="M833" s="296"/>
      <c r="N833" s="296"/>
      <c r="O833" s="296"/>
      <c r="P833" s="296"/>
      <c r="Q833" s="297"/>
      <c r="R833" s="90"/>
      <c r="S833" s="90"/>
      <c r="T833" s="264"/>
      <c r="U833" s="90"/>
      <c r="V833" s="90"/>
      <c r="W833" s="90"/>
      <c r="X833" s="90"/>
      <c r="Y833" s="90"/>
      <c r="Z833" s="90"/>
      <c r="AA833" s="90"/>
    </row>
    <row r="834" ht="15.75" customHeight="1">
      <c r="A834" s="90"/>
      <c r="B834" s="292"/>
      <c r="C834" s="293"/>
      <c r="D834" s="90"/>
      <c r="E834" s="293"/>
      <c r="F834" s="294"/>
      <c r="G834" s="292"/>
      <c r="H834" s="293"/>
      <c r="I834" s="294"/>
      <c r="J834" s="90"/>
      <c r="K834" s="296"/>
      <c r="L834" s="296"/>
      <c r="M834" s="296"/>
      <c r="N834" s="296"/>
      <c r="O834" s="296"/>
      <c r="P834" s="296"/>
      <c r="Q834" s="297"/>
      <c r="R834" s="90"/>
      <c r="S834" s="90"/>
      <c r="T834" s="264"/>
      <c r="U834" s="90"/>
      <c r="V834" s="90"/>
      <c r="W834" s="90"/>
      <c r="X834" s="90"/>
      <c r="Y834" s="90"/>
      <c r="Z834" s="90"/>
      <c r="AA834" s="90"/>
    </row>
    <row r="835" ht="15.75" customHeight="1">
      <c r="A835" s="90"/>
      <c r="B835" s="292"/>
      <c r="C835" s="293"/>
      <c r="D835" s="90"/>
      <c r="E835" s="293"/>
      <c r="F835" s="294"/>
      <c r="G835" s="292"/>
      <c r="H835" s="293"/>
      <c r="I835" s="294"/>
      <c r="J835" s="90"/>
      <c r="K835" s="296"/>
      <c r="L835" s="296"/>
      <c r="M835" s="296"/>
      <c r="N835" s="296"/>
      <c r="O835" s="296"/>
      <c r="P835" s="296"/>
      <c r="Q835" s="297"/>
      <c r="R835" s="90"/>
      <c r="S835" s="90"/>
      <c r="T835" s="264"/>
      <c r="U835" s="90"/>
      <c r="V835" s="90"/>
      <c r="W835" s="90"/>
      <c r="X835" s="90"/>
      <c r="Y835" s="90"/>
      <c r="Z835" s="90"/>
      <c r="AA835" s="90"/>
    </row>
    <row r="836" ht="15.75" customHeight="1">
      <c r="A836" s="90"/>
      <c r="B836" s="292"/>
      <c r="C836" s="293"/>
      <c r="D836" s="90"/>
      <c r="E836" s="293"/>
      <c r="F836" s="294"/>
      <c r="G836" s="292"/>
      <c r="H836" s="293"/>
      <c r="I836" s="294"/>
      <c r="J836" s="90"/>
      <c r="K836" s="296"/>
      <c r="L836" s="296"/>
      <c r="M836" s="296"/>
      <c r="N836" s="296"/>
      <c r="O836" s="296"/>
      <c r="P836" s="296"/>
      <c r="Q836" s="297"/>
      <c r="R836" s="90"/>
      <c r="S836" s="90"/>
      <c r="T836" s="264"/>
      <c r="U836" s="90"/>
      <c r="V836" s="90"/>
      <c r="W836" s="90"/>
      <c r="X836" s="90"/>
      <c r="Y836" s="90"/>
      <c r="Z836" s="90"/>
      <c r="AA836" s="90"/>
    </row>
    <row r="837" ht="15.75" customHeight="1">
      <c r="A837" s="90"/>
      <c r="B837" s="292"/>
      <c r="C837" s="293"/>
      <c r="D837" s="90"/>
      <c r="E837" s="293"/>
      <c r="F837" s="294"/>
      <c r="G837" s="292"/>
      <c r="H837" s="293"/>
      <c r="I837" s="294"/>
      <c r="J837" s="90"/>
      <c r="K837" s="296"/>
      <c r="L837" s="296"/>
      <c r="M837" s="296"/>
      <c r="N837" s="296"/>
      <c r="O837" s="296"/>
      <c r="P837" s="296"/>
      <c r="Q837" s="297"/>
      <c r="R837" s="90"/>
      <c r="S837" s="90"/>
      <c r="T837" s="264"/>
      <c r="U837" s="90"/>
      <c r="V837" s="90"/>
      <c r="W837" s="90"/>
      <c r="X837" s="90"/>
      <c r="Y837" s="90"/>
      <c r="Z837" s="90"/>
      <c r="AA837" s="90"/>
    </row>
    <row r="838" ht="15.75" customHeight="1">
      <c r="A838" s="90"/>
      <c r="B838" s="292"/>
      <c r="C838" s="293"/>
      <c r="D838" s="90"/>
      <c r="E838" s="293"/>
      <c r="F838" s="294"/>
      <c r="G838" s="292"/>
      <c r="H838" s="293"/>
      <c r="I838" s="294"/>
      <c r="J838" s="90"/>
      <c r="K838" s="296"/>
      <c r="L838" s="296"/>
      <c r="M838" s="296"/>
      <c r="N838" s="296"/>
      <c r="O838" s="296"/>
      <c r="P838" s="296"/>
      <c r="Q838" s="297"/>
      <c r="R838" s="90"/>
      <c r="S838" s="90"/>
      <c r="T838" s="264"/>
      <c r="U838" s="90"/>
      <c r="V838" s="90"/>
      <c r="W838" s="90"/>
      <c r="X838" s="90"/>
      <c r="Y838" s="90"/>
      <c r="Z838" s="90"/>
      <c r="AA838" s="90"/>
    </row>
    <row r="839" ht="15.75" customHeight="1">
      <c r="A839" s="90"/>
      <c r="B839" s="292"/>
      <c r="C839" s="293"/>
      <c r="D839" s="90"/>
      <c r="E839" s="293"/>
      <c r="F839" s="294"/>
      <c r="G839" s="292"/>
      <c r="H839" s="293"/>
      <c r="I839" s="294"/>
      <c r="J839" s="90"/>
      <c r="K839" s="296"/>
      <c r="L839" s="296"/>
      <c r="M839" s="296"/>
      <c r="N839" s="296"/>
      <c r="O839" s="296"/>
      <c r="P839" s="296"/>
      <c r="Q839" s="297"/>
      <c r="R839" s="90"/>
      <c r="S839" s="90"/>
      <c r="T839" s="264"/>
      <c r="U839" s="90"/>
      <c r="V839" s="90"/>
      <c r="W839" s="90"/>
      <c r="X839" s="90"/>
      <c r="Y839" s="90"/>
      <c r="Z839" s="90"/>
      <c r="AA839" s="90"/>
    </row>
    <row r="840" ht="15.75" customHeight="1">
      <c r="A840" s="90"/>
      <c r="B840" s="292"/>
      <c r="C840" s="293"/>
      <c r="D840" s="90"/>
      <c r="E840" s="293"/>
      <c r="F840" s="294"/>
      <c r="G840" s="292"/>
      <c r="H840" s="293"/>
      <c r="I840" s="294"/>
      <c r="J840" s="90"/>
      <c r="K840" s="296"/>
      <c r="L840" s="296"/>
      <c r="M840" s="296"/>
      <c r="N840" s="296"/>
      <c r="O840" s="296"/>
      <c r="P840" s="296"/>
      <c r="Q840" s="297"/>
      <c r="R840" s="90"/>
      <c r="S840" s="90"/>
      <c r="T840" s="264"/>
      <c r="U840" s="90"/>
      <c r="V840" s="90"/>
      <c r="W840" s="90"/>
      <c r="X840" s="90"/>
      <c r="Y840" s="90"/>
      <c r="Z840" s="90"/>
      <c r="AA840" s="90"/>
    </row>
    <row r="841" ht="15.75" customHeight="1">
      <c r="A841" s="90"/>
      <c r="B841" s="292"/>
      <c r="C841" s="293"/>
      <c r="D841" s="90"/>
      <c r="E841" s="293"/>
      <c r="F841" s="294"/>
      <c r="G841" s="292"/>
      <c r="H841" s="293"/>
      <c r="I841" s="294"/>
      <c r="J841" s="90"/>
      <c r="K841" s="296"/>
      <c r="L841" s="296"/>
      <c r="M841" s="296"/>
      <c r="N841" s="296"/>
      <c r="O841" s="296"/>
      <c r="P841" s="296"/>
      <c r="Q841" s="297"/>
      <c r="R841" s="90"/>
      <c r="S841" s="90"/>
      <c r="T841" s="264"/>
      <c r="U841" s="90"/>
      <c r="V841" s="90"/>
      <c r="W841" s="90"/>
      <c r="X841" s="90"/>
      <c r="Y841" s="90"/>
      <c r="Z841" s="90"/>
      <c r="AA841" s="90"/>
    </row>
    <row r="842" ht="15.75" customHeight="1">
      <c r="A842" s="90"/>
      <c r="B842" s="292"/>
      <c r="C842" s="293"/>
      <c r="D842" s="90"/>
      <c r="E842" s="293"/>
      <c r="F842" s="294"/>
      <c r="G842" s="292"/>
      <c r="H842" s="293"/>
      <c r="I842" s="294"/>
      <c r="J842" s="90"/>
      <c r="K842" s="296"/>
      <c r="L842" s="296"/>
      <c r="M842" s="296"/>
      <c r="N842" s="296"/>
      <c r="O842" s="296"/>
      <c r="P842" s="296"/>
      <c r="Q842" s="297"/>
      <c r="R842" s="90"/>
      <c r="S842" s="90"/>
      <c r="T842" s="264"/>
      <c r="U842" s="90"/>
      <c r="V842" s="90"/>
      <c r="W842" s="90"/>
      <c r="X842" s="90"/>
      <c r="Y842" s="90"/>
      <c r="Z842" s="90"/>
      <c r="AA842" s="90"/>
    </row>
    <row r="843" ht="15.75" customHeight="1">
      <c r="A843" s="90"/>
      <c r="B843" s="292"/>
      <c r="C843" s="293"/>
      <c r="D843" s="90"/>
      <c r="E843" s="293"/>
      <c r="F843" s="294"/>
      <c r="G843" s="292"/>
      <c r="H843" s="293"/>
      <c r="I843" s="294"/>
      <c r="J843" s="90"/>
      <c r="K843" s="296"/>
      <c r="L843" s="296"/>
      <c r="M843" s="296"/>
      <c r="N843" s="296"/>
      <c r="O843" s="296"/>
      <c r="P843" s="296"/>
      <c r="Q843" s="297"/>
      <c r="R843" s="90"/>
      <c r="S843" s="90"/>
      <c r="T843" s="264"/>
      <c r="U843" s="90"/>
      <c r="V843" s="90"/>
      <c r="W843" s="90"/>
      <c r="X843" s="90"/>
      <c r="Y843" s="90"/>
      <c r="Z843" s="90"/>
      <c r="AA843" s="90"/>
    </row>
    <row r="844" ht="15.75" customHeight="1">
      <c r="A844" s="90"/>
      <c r="B844" s="292"/>
      <c r="C844" s="293"/>
      <c r="D844" s="90"/>
      <c r="E844" s="293"/>
      <c r="F844" s="294"/>
      <c r="G844" s="292"/>
      <c r="H844" s="293"/>
      <c r="I844" s="294"/>
      <c r="J844" s="90"/>
      <c r="K844" s="296"/>
      <c r="L844" s="296"/>
      <c r="M844" s="296"/>
      <c r="N844" s="296"/>
      <c r="O844" s="296"/>
      <c r="P844" s="296"/>
      <c r="Q844" s="297"/>
      <c r="R844" s="90"/>
      <c r="S844" s="90"/>
      <c r="T844" s="264"/>
      <c r="U844" s="90"/>
      <c r="V844" s="90"/>
      <c r="W844" s="90"/>
      <c r="X844" s="90"/>
      <c r="Y844" s="90"/>
      <c r="Z844" s="90"/>
      <c r="AA844" s="90"/>
    </row>
    <row r="845" ht="15.75" customHeight="1">
      <c r="A845" s="90"/>
      <c r="B845" s="292"/>
      <c r="C845" s="293"/>
      <c r="D845" s="90"/>
      <c r="E845" s="293"/>
      <c r="F845" s="294"/>
      <c r="G845" s="292"/>
      <c r="H845" s="293"/>
      <c r="I845" s="294"/>
      <c r="J845" s="90"/>
      <c r="K845" s="296"/>
      <c r="L845" s="296"/>
      <c r="M845" s="296"/>
      <c r="N845" s="296"/>
      <c r="O845" s="296"/>
      <c r="P845" s="296"/>
      <c r="Q845" s="297"/>
      <c r="R845" s="90"/>
      <c r="S845" s="90"/>
      <c r="T845" s="264"/>
      <c r="U845" s="90"/>
      <c r="V845" s="90"/>
      <c r="W845" s="90"/>
      <c r="X845" s="90"/>
      <c r="Y845" s="90"/>
      <c r="Z845" s="90"/>
      <c r="AA845" s="90"/>
    </row>
    <row r="846" ht="15.75" customHeight="1">
      <c r="A846" s="90"/>
      <c r="B846" s="292"/>
      <c r="C846" s="293"/>
      <c r="D846" s="90"/>
      <c r="E846" s="293"/>
      <c r="F846" s="294"/>
      <c r="G846" s="292"/>
      <c r="H846" s="293"/>
      <c r="I846" s="294"/>
      <c r="J846" s="90"/>
      <c r="K846" s="296"/>
      <c r="L846" s="296"/>
      <c r="M846" s="296"/>
      <c r="N846" s="296"/>
      <c r="O846" s="296"/>
      <c r="P846" s="296"/>
      <c r="Q846" s="297"/>
      <c r="R846" s="90"/>
      <c r="S846" s="90"/>
      <c r="T846" s="264"/>
      <c r="U846" s="90"/>
      <c r="V846" s="90"/>
      <c r="W846" s="90"/>
      <c r="X846" s="90"/>
      <c r="Y846" s="90"/>
      <c r="Z846" s="90"/>
      <c r="AA846" s="90"/>
    </row>
    <row r="847" ht="15.75" customHeight="1">
      <c r="A847" s="90"/>
      <c r="B847" s="292"/>
      <c r="C847" s="293"/>
      <c r="D847" s="90"/>
      <c r="E847" s="293"/>
      <c r="F847" s="294"/>
      <c r="G847" s="292"/>
      <c r="H847" s="293"/>
      <c r="I847" s="294"/>
      <c r="J847" s="90"/>
      <c r="K847" s="296"/>
      <c r="L847" s="296"/>
      <c r="M847" s="296"/>
      <c r="N847" s="296"/>
      <c r="O847" s="296"/>
      <c r="P847" s="296"/>
      <c r="Q847" s="297"/>
      <c r="R847" s="90"/>
      <c r="S847" s="90"/>
      <c r="T847" s="264"/>
      <c r="U847" s="90"/>
      <c r="V847" s="90"/>
      <c r="W847" s="90"/>
      <c r="X847" s="90"/>
      <c r="Y847" s="90"/>
      <c r="Z847" s="90"/>
      <c r="AA847" s="90"/>
    </row>
    <row r="848" ht="15.75" customHeight="1">
      <c r="A848" s="90"/>
      <c r="B848" s="292"/>
      <c r="C848" s="293"/>
      <c r="D848" s="90"/>
      <c r="E848" s="293"/>
      <c r="F848" s="294"/>
      <c r="G848" s="292"/>
      <c r="H848" s="293"/>
      <c r="I848" s="294"/>
      <c r="J848" s="90"/>
      <c r="K848" s="296"/>
      <c r="L848" s="296"/>
      <c r="M848" s="296"/>
      <c r="N848" s="296"/>
      <c r="O848" s="296"/>
      <c r="P848" s="296"/>
      <c r="Q848" s="297"/>
      <c r="R848" s="90"/>
      <c r="S848" s="90"/>
      <c r="T848" s="264"/>
      <c r="U848" s="90"/>
      <c r="V848" s="90"/>
      <c r="W848" s="90"/>
      <c r="X848" s="90"/>
      <c r="Y848" s="90"/>
      <c r="Z848" s="90"/>
      <c r="AA848" s="90"/>
    </row>
    <row r="849" ht="15.75" customHeight="1">
      <c r="A849" s="90"/>
      <c r="B849" s="292"/>
      <c r="C849" s="293"/>
      <c r="D849" s="90"/>
      <c r="E849" s="293"/>
      <c r="F849" s="294"/>
      <c r="G849" s="292"/>
      <c r="H849" s="293"/>
      <c r="I849" s="294"/>
      <c r="J849" s="90"/>
      <c r="K849" s="296"/>
      <c r="L849" s="296"/>
      <c r="M849" s="296"/>
      <c r="N849" s="296"/>
      <c r="O849" s="296"/>
      <c r="P849" s="296"/>
      <c r="Q849" s="297"/>
      <c r="R849" s="90"/>
      <c r="S849" s="90"/>
      <c r="T849" s="264"/>
      <c r="U849" s="90"/>
      <c r="V849" s="90"/>
      <c r="W849" s="90"/>
      <c r="X849" s="90"/>
      <c r="Y849" s="90"/>
      <c r="Z849" s="90"/>
      <c r="AA849" s="90"/>
    </row>
    <row r="850" ht="15.75" customHeight="1">
      <c r="A850" s="90"/>
      <c r="B850" s="292"/>
      <c r="C850" s="293"/>
      <c r="D850" s="90"/>
      <c r="E850" s="293"/>
      <c r="F850" s="294"/>
      <c r="G850" s="292"/>
      <c r="H850" s="293"/>
      <c r="I850" s="294"/>
      <c r="J850" s="90"/>
      <c r="K850" s="296"/>
      <c r="L850" s="296"/>
      <c r="M850" s="296"/>
      <c r="N850" s="296"/>
      <c r="O850" s="296"/>
      <c r="P850" s="296"/>
      <c r="Q850" s="297"/>
      <c r="R850" s="90"/>
      <c r="S850" s="90"/>
      <c r="T850" s="264"/>
      <c r="U850" s="90"/>
      <c r="V850" s="90"/>
      <c r="W850" s="90"/>
      <c r="X850" s="90"/>
      <c r="Y850" s="90"/>
      <c r="Z850" s="90"/>
      <c r="AA850" s="90"/>
    </row>
    <row r="851" ht="15.75" customHeight="1">
      <c r="A851" s="90"/>
      <c r="B851" s="292"/>
      <c r="C851" s="293"/>
      <c r="D851" s="90"/>
      <c r="E851" s="293"/>
      <c r="F851" s="294"/>
      <c r="G851" s="292"/>
      <c r="H851" s="293"/>
      <c r="I851" s="294"/>
      <c r="J851" s="90"/>
      <c r="K851" s="296"/>
      <c r="L851" s="296"/>
      <c r="M851" s="296"/>
      <c r="N851" s="296"/>
      <c r="O851" s="296"/>
      <c r="P851" s="296"/>
      <c r="Q851" s="297"/>
      <c r="R851" s="90"/>
      <c r="S851" s="90"/>
      <c r="T851" s="264"/>
      <c r="U851" s="90"/>
      <c r="V851" s="90"/>
      <c r="W851" s="90"/>
      <c r="X851" s="90"/>
      <c r="Y851" s="90"/>
      <c r="Z851" s="90"/>
      <c r="AA851" s="90"/>
    </row>
    <row r="852" ht="15.75" customHeight="1">
      <c r="A852" s="90"/>
      <c r="B852" s="292"/>
      <c r="C852" s="293"/>
      <c r="D852" s="90"/>
      <c r="E852" s="293"/>
      <c r="F852" s="294"/>
      <c r="G852" s="292"/>
      <c r="H852" s="293"/>
      <c r="I852" s="294"/>
      <c r="J852" s="90"/>
      <c r="K852" s="296"/>
      <c r="L852" s="296"/>
      <c r="M852" s="296"/>
      <c r="N852" s="296"/>
      <c r="O852" s="296"/>
      <c r="P852" s="296"/>
      <c r="Q852" s="297"/>
      <c r="R852" s="90"/>
      <c r="S852" s="90"/>
      <c r="T852" s="264"/>
      <c r="U852" s="90"/>
      <c r="V852" s="90"/>
      <c r="W852" s="90"/>
      <c r="X852" s="90"/>
      <c r="Y852" s="90"/>
      <c r="Z852" s="90"/>
      <c r="AA852" s="90"/>
    </row>
    <row r="853" ht="15.75" customHeight="1">
      <c r="A853" s="90"/>
      <c r="B853" s="292"/>
      <c r="C853" s="293"/>
      <c r="D853" s="90"/>
      <c r="E853" s="293"/>
      <c r="F853" s="294"/>
      <c r="G853" s="292"/>
      <c r="H853" s="293"/>
      <c r="I853" s="294"/>
      <c r="J853" s="90"/>
      <c r="K853" s="296"/>
      <c r="L853" s="296"/>
      <c r="M853" s="296"/>
      <c r="N853" s="296"/>
      <c r="O853" s="296"/>
      <c r="P853" s="296"/>
      <c r="Q853" s="297"/>
      <c r="R853" s="90"/>
      <c r="S853" s="90"/>
      <c r="T853" s="264"/>
      <c r="U853" s="90"/>
      <c r="V853" s="90"/>
      <c r="W853" s="90"/>
      <c r="X853" s="90"/>
      <c r="Y853" s="90"/>
      <c r="Z853" s="90"/>
      <c r="AA853" s="90"/>
    </row>
    <row r="854" ht="15.75" customHeight="1">
      <c r="A854" s="90"/>
      <c r="B854" s="292"/>
      <c r="C854" s="293"/>
      <c r="D854" s="90"/>
      <c r="E854" s="293"/>
      <c r="F854" s="294"/>
      <c r="G854" s="292"/>
      <c r="H854" s="293"/>
      <c r="I854" s="294"/>
      <c r="J854" s="90"/>
      <c r="K854" s="296"/>
      <c r="L854" s="296"/>
      <c r="M854" s="296"/>
      <c r="N854" s="296"/>
      <c r="O854" s="296"/>
      <c r="P854" s="296"/>
      <c r="Q854" s="297"/>
      <c r="R854" s="90"/>
      <c r="S854" s="90"/>
      <c r="T854" s="264"/>
      <c r="U854" s="90"/>
      <c r="V854" s="90"/>
      <c r="W854" s="90"/>
      <c r="X854" s="90"/>
      <c r="Y854" s="90"/>
      <c r="Z854" s="90"/>
      <c r="AA854" s="90"/>
    </row>
    <row r="855" ht="15.75" customHeight="1">
      <c r="A855" s="90"/>
      <c r="B855" s="292"/>
      <c r="C855" s="293"/>
      <c r="D855" s="90"/>
      <c r="E855" s="293"/>
      <c r="F855" s="294"/>
      <c r="G855" s="292"/>
      <c r="H855" s="293"/>
      <c r="I855" s="294"/>
      <c r="J855" s="90"/>
      <c r="K855" s="296"/>
      <c r="L855" s="296"/>
      <c r="M855" s="296"/>
      <c r="N855" s="296"/>
      <c r="O855" s="296"/>
      <c r="P855" s="296"/>
      <c r="Q855" s="297"/>
      <c r="R855" s="90"/>
      <c r="S855" s="90"/>
      <c r="T855" s="264"/>
      <c r="U855" s="90"/>
      <c r="V855" s="90"/>
      <c r="W855" s="90"/>
      <c r="X855" s="90"/>
      <c r="Y855" s="90"/>
      <c r="Z855" s="90"/>
      <c r="AA855" s="90"/>
    </row>
    <row r="856" ht="15.75" customHeight="1">
      <c r="A856" s="90"/>
      <c r="B856" s="292"/>
      <c r="C856" s="293"/>
      <c r="D856" s="90"/>
      <c r="E856" s="293"/>
      <c r="F856" s="294"/>
      <c r="G856" s="292"/>
      <c r="H856" s="293"/>
      <c r="I856" s="294"/>
      <c r="J856" s="90"/>
      <c r="K856" s="296"/>
      <c r="L856" s="296"/>
      <c r="M856" s="296"/>
      <c r="N856" s="296"/>
      <c r="O856" s="296"/>
      <c r="P856" s="296"/>
      <c r="Q856" s="297"/>
      <c r="R856" s="90"/>
      <c r="S856" s="90"/>
      <c r="T856" s="264"/>
      <c r="U856" s="90"/>
      <c r="V856" s="90"/>
      <c r="W856" s="90"/>
      <c r="X856" s="90"/>
      <c r="Y856" s="90"/>
      <c r="Z856" s="90"/>
      <c r="AA856" s="90"/>
    </row>
    <row r="857" ht="15.75" customHeight="1">
      <c r="A857" s="90"/>
      <c r="B857" s="292"/>
      <c r="C857" s="293"/>
      <c r="D857" s="90"/>
      <c r="E857" s="293"/>
      <c r="F857" s="294"/>
      <c r="G857" s="292"/>
      <c r="H857" s="293"/>
      <c r="I857" s="294"/>
      <c r="J857" s="90"/>
      <c r="K857" s="296"/>
      <c r="L857" s="296"/>
      <c r="M857" s="296"/>
      <c r="N857" s="296"/>
      <c r="O857" s="296"/>
      <c r="P857" s="296"/>
      <c r="Q857" s="297"/>
      <c r="R857" s="90"/>
      <c r="S857" s="90"/>
      <c r="T857" s="264"/>
      <c r="U857" s="90"/>
      <c r="V857" s="90"/>
      <c r="W857" s="90"/>
      <c r="X857" s="90"/>
      <c r="Y857" s="90"/>
      <c r="Z857" s="90"/>
      <c r="AA857" s="90"/>
    </row>
    <row r="858" ht="15.75" customHeight="1">
      <c r="A858" s="90"/>
      <c r="B858" s="292"/>
      <c r="C858" s="293"/>
      <c r="D858" s="90"/>
      <c r="E858" s="293"/>
      <c r="F858" s="294"/>
      <c r="G858" s="292"/>
      <c r="H858" s="293"/>
      <c r="I858" s="294"/>
      <c r="J858" s="90"/>
      <c r="K858" s="296"/>
      <c r="L858" s="296"/>
      <c r="M858" s="296"/>
      <c r="N858" s="296"/>
      <c r="O858" s="296"/>
      <c r="P858" s="296"/>
      <c r="Q858" s="297"/>
      <c r="R858" s="90"/>
      <c r="S858" s="90"/>
      <c r="T858" s="264"/>
      <c r="U858" s="90"/>
      <c r="V858" s="90"/>
      <c r="W858" s="90"/>
      <c r="X858" s="90"/>
      <c r="Y858" s="90"/>
      <c r="Z858" s="90"/>
      <c r="AA858" s="90"/>
    </row>
    <row r="859" ht="15.75" customHeight="1">
      <c r="A859" s="90"/>
      <c r="B859" s="292"/>
      <c r="C859" s="293"/>
      <c r="D859" s="90"/>
      <c r="E859" s="293"/>
      <c r="F859" s="294"/>
      <c r="G859" s="292"/>
      <c r="H859" s="293"/>
      <c r="I859" s="294"/>
      <c r="J859" s="90"/>
      <c r="K859" s="296"/>
      <c r="L859" s="296"/>
      <c r="M859" s="296"/>
      <c r="N859" s="296"/>
      <c r="O859" s="296"/>
      <c r="P859" s="296"/>
      <c r="Q859" s="297"/>
      <c r="R859" s="90"/>
      <c r="S859" s="90"/>
      <c r="T859" s="264"/>
      <c r="U859" s="90"/>
      <c r="V859" s="90"/>
      <c r="W859" s="90"/>
      <c r="X859" s="90"/>
      <c r="Y859" s="90"/>
      <c r="Z859" s="90"/>
      <c r="AA859" s="90"/>
    </row>
    <row r="860" ht="15.75" customHeight="1">
      <c r="A860" s="90"/>
      <c r="B860" s="292"/>
      <c r="C860" s="293"/>
      <c r="D860" s="90"/>
      <c r="E860" s="293"/>
      <c r="F860" s="294"/>
      <c r="G860" s="292"/>
      <c r="H860" s="293"/>
      <c r="I860" s="294"/>
      <c r="J860" s="90"/>
      <c r="K860" s="296"/>
      <c r="L860" s="296"/>
      <c r="M860" s="296"/>
      <c r="N860" s="296"/>
      <c r="O860" s="296"/>
      <c r="P860" s="296"/>
      <c r="Q860" s="297"/>
      <c r="R860" s="90"/>
      <c r="S860" s="90"/>
      <c r="T860" s="264"/>
      <c r="U860" s="90"/>
      <c r="V860" s="90"/>
      <c r="W860" s="90"/>
      <c r="X860" s="90"/>
      <c r="Y860" s="90"/>
      <c r="Z860" s="90"/>
      <c r="AA860" s="90"/>
    </row>
    <row r="861" ht="15.75" customHeight="1">
      <c r="A861" s="90"/>
      <c r="B861" s="292"/>
      <c r="C861" s="293"/>
      <c r="D861" s="90"/>
      <c r="E861" s="293"/>
      <c r="F861" s="294"/>
      <c r="G861" s="292"/>
      <c r="H861" s="293"/>
      <c r="I861" s="294"/>
      <c r="J861" s="90"/>
      <c r="K861" s="296"/>
      <c r="L861" s="296"/>
      <c r="M861" s="296"/>
      <c r="N861" s="296"/>
      <c r="O861" s="296"/>
      <c r="P861" s="296"/>
      <c r="Q861" s="297"/>
      <c r="R861" s="90"/>
      <c r="S861" s="90"/>
      <c r="T861" s="264"/>
      <c r="U861" s="90"/>
      <c r="V861" s="90"/>
      <c r="W861" s="90"/>
      <c r="X861" s="90"/>
      <c r="Y861" s="90"/>
      <c r="Z861" s="90"/>
      <c r="AA861" s="90"/>
    </row>
    <row r="862" ht="15.75" customHeight="1">
      <c r="A862" s="90"/>
      <c r="B862" s="292"/>
      <c r="C862" s="293"/>
      <c r="D862" s="90"/>
      <c r="E862" s="293"/>
      <c r="F862" s="294"/>
      <c r="G862" s="292"/>
      <c r="H862" s="293"/>
      <c r="I862" s="294"/>
      <c r="J862" s="90"/>
      <c r="K862" s="296"/>
      <c r="L862" s="296"/>
      <c r="M862" s="296"/>
      <c r="N862" s="296"/>
      <c r="O862" s="296"/>
      <c r="P862" s="296"/>
      <c r="Q862" s="297"/>
      <c r="R862" s="90"/>
      <c r="S862" s="90"/>
      <c r="T862" s="264"/>
      <c r="U862" s="90"/>
      <c r="V862" s="90"/>
      <c r="W862" s="90"/>
      <c r="X862" s="90"/>
      <c r="Y862" s="90"/>
      <c r="Z862" s="90"/>
      <c r="AA862" s="90"/>
    </row>
    <row r="863" ht="15.75" customHeight="1">
      <c r="A863" s="90"/>
      <c r="B863" s="292"/>
      <c r="C863" s="293"/>
      <c r="D863" s="90"/>
      <c r="E863" s="293"/>
      <c r="F863" s="294"/>
      <c r="G863" s="292"/>
      <c r="H863" s="293"/>
      <c r="I863" s="294"/>
      <c r="J863" s="90"/>
      <c r="K863" s="296"/>
      <c r="L863" s="296"/>
      <c r="M863" s="296"/>
      <c r="N863" s="296"/>
      <c r="O863" s="296"/>
      <c r="P863" s="296"/>
      <c r="Q863" s="297"/>
      <c r="R863" s="90"/>
      <c r="S863" s="90"/>
      <c r="T863" s="264"/>
      <c r="U863" s="90"/>
      <c r="V863" s="90"/>
      <c r="W863" s="90"/>
      <c r="X863" s="90"/>
      <c r="Y863" s="90"/>
      <c r="Z863" s="90"/>
      <c r="AA863" s="90"/>
    </row>
    <row r="864" ht="15.75" customHeight="1">
      <c r="A864" s="90"/>
      <c r="B864" s="292"/>
      <c r="C864" s="293"/>
      <c r="D864" s="90"/>
      <c r="E864" s="293"/>
      <c r="F864" s="294"/>
      <c r="G864" s="292"/>
      <c r="H864" s="293"/>
      <c r="I864" s="294"/>
      <c r="J864" s="90"/>
      <c r="K864" s="296"/>
      <c r="L864" s="296"/>
      <c r="M864" s="296"/>
      <c r="N864" s="296"/>
      <c r="O864" s="296"/>
      <c r="P864" s="296"/>
      <c r="Q864" s="297"/>
      <c r="R864" s="90"/>
      <c r="S864" s="90"/>
      <c r="T864" s="264"/>
      <c r="U864" s="90"/>
      <c r="V864" s="90"/>
      <c r="W864" s="90"/>
      <c r="X864" s="90"/>
      <c r="Y864" s="90"/>
      <c r="Z864" s="90"/>
      <c r="AA864" s="90"/>
    </row>
    <row r="865" ht="15.75" customHeight="1">
      <c r="A865" s="90"/>
      <c r="B865" s="292"/>
      <c r="C865" s="293"/>
      <c r="D865" s="90"/>
      <c r="E865" s="293"/>
      <c r="F865" s="294"/>
      <c r="G865" s="292"/>
      <c r="H865" s="293"/>
      <c r="I865" s="294"/>
      <c r="J865" s="90"/>
      <c r="K865" s="296"/>
      <c r="L865" s="296"/>
      <c r="M865" s="296"/>
      <c r="N865" s="296"/>
      <c r="O865" s="296"/>
      <c r="P865" s="296"/>
      <c r="Q865" s="297"/>
      <c r="R865" s="90"/>
      <c r="S865" s="90"/>
      <c r="T865" s="264"/>
      <c r="U865" s="90"/>
      <c r="V865" s="90"/>
      <c r="W865" s="90"/>
      <c r="X865" s="90"/>
      <c r="Y865" s="90"/>
      <c r="Z865" s="90"/>
      <c r="AA865" s="90"/>
    </row>
    <row r="866" ht="15.75" customHeight="1">
      <c r="A866" s="90"/>
      <c r="B866" s="292"/>
      <c r="C866" s="293"/>
      <c r="D866" s="90"/>
      <c r="E866" s="293"/>
      <c r="F866" s="294"/>
      <c r="G866" s="292"/>
      <c r="H866" s="293"/>
      <c r="I866" s="294"/>
      <c r="J866" s="90"/>
      <c r="K866" s="296"/>
      <c r="L866" s="296"/>
      <c r="M866" s="296"/>
      <c r="N866" s="296"/>
      <c r="O866" s="296"/>
      <c r="P866" s="296"/>
      <c r="Q866" s="297"/>
      <c r="R866" s="90"/>
      <c r="S866" s="90"/>
      <c r="T866" s="264"/>
      <c r="U866" s="90"/>
      <c r="V866" s="90"/>
      <c r="W866" s="90"/>
      <c r="X866" s="90"/>
      <c r="Y866" s="90"/>
      <c r="Z866" s="90"/>
      <c r="AA866" s="90"/>
    </row>
    <row r="867" ht="15.75" customHeight="1">
      <c r="A867" s="90"/>
      <c r="B867" s="292"/>
      <c r="C867" s="293"/>
      <c r="D867" s="90"/>
      <c r="E867" s="293"/>
      <c r="F867" s="294"/>
      <c r="G867" s="292"/>
      <c r="H867" s="293"/>
      <c r="I867" s="294"/>
      <c r="J867" s="90"/>
      <c r="K867" s="296"/>
      <c r="L867" s="296"/>
      <c r="M867" s="296"/>
      <c r="N867" s="296"/>
      <c r="O867" s="296"/>
      <c r="P867" s="296"/>
      <c r="Q867" s="297"/>
      <c r="R867" s="90"/>
      <c r="S867" s="90"/>
      <c r="T867" s="264"/>
      <c r="U867" s="90"/>
      <c r="V867" s="90"/>
      <c r="W867" s="90"/>
      <c r="X867" s="90"/>
      <c r="Y867" s="90"/>
      <c r="Z867" s="90"/>
      <c r="AA867" s="90"/>
    </row>
    <row r="868" ht="15.75" customHeight="1">
      <c r="A868" s="90"/>
      <c r="B868" s="292"/>
      <c r="C868" s="293"/>
      <c r="D868" s="90"/>
      <c r="E868" s="293"/>
      <c r="F868" s="294"/>
      <c r="G868" s="292"/>
      <c r="H868" s="293"/>
      <c r="I868" s="294"/>
      <c r="J868" s="90"/>
      <c r="K868" s="296"/>
      <c r="L868" s="296"/>
      <c r="M868" s="296"/>
      <c r="N868" s="296"/>
      <c r="O868" s="296"/>
      <c r="P868" s="296"/>
      <c r="Q868" s="297"/>
      <c r="R868" s="90"/>
      <c r="S868" s="90"/>
      <c r="T868" s="264"/>
      <c r="U868" s="90"/>
      <c r="V868" s="90"/>
      <c r="W868" s="90"/>
      <c r="X868" s="90"/>
      <c r="Y868" s="90"/>
      <c r="Z868" s="90"/>
      <c r="AA868" s="90"/>
    </row>
    <row r="869" ht="15.75" customHeight="1">
      <c r="A869" s="90"/>
      <c r="B869" s="292"/>
      <c r="C869" s="293"/>
      <c r="D869" s="90"/>
      <c r="E869" s="293"/>
      <c r="F869" s="294"/>
      <c r="G869" s="292"/>
      <c r="H869" s="293"/>
      <c r="I869" s="294"/>
      <c r="J869" s="90"/>
      <c r="K869" s="296"/>
      <c r="L869" s="296"/>
      <c r="M869" s="296"/>
      <c r="N869" s="296"/>
      <c r="O869" s="296"/>
      <c r="P869" s="296"/>
      <c r="Q869" s="297"/>
      <c r="R869" s="90"/>
      <c r="S869" s="90"/>
      <c r="T869" s="264"/>
      <c r="U869" s="90"/>
      <c r="V869" s="90"/>
      <c r="W869" s="90"/>
      <c r="X869" s="90"/>
      <c r="Y869" s="90"/>
      <c r="Z869" s="90"/>
      <c r="AA869" s="90"/>
    </row>
    <row r="870" ht="15.75" customHeight="1">
      <c r="A870" s="90"/>
      <c r="B870" s="292"/>
      <c r="C870" s="293"/>
      <c r="D870" s="90"/>
      <c r="E870" s="293"/>
      <c r="F870" s="294"/>
      <c r="G870" s="292"/>
      <c r="H870" s="293"/>
      <c r="I870" s="294"/>
      <c r="J870" s="90"/>
      <c r="K870" s="296"/>
      <c r="L870" s="296"/>
      <c r="M870" s="296"/>
      <c r="N870" s="296"/>
      <c r="O870" s="296"/>
      <c r="P870" s="296"/>
      <c r="Q870" s="297"/>
      <c r="R870" s="90"/>
      <c r="S870" s="90"/>
      <c r="T870" s="264"/>
      <c r="U870" s="90"/>
      <c r="V870" s="90"/>
      <c r="W870" s="90"/>
      <c r="X870" s="90"/>
      <c r="Y870" s="90"/>
      <c r="Z870" s="90"/>
      <c r="AA870" s="90"/>
    </row>
    <row r="871" ht="15.75" customHeight="1">
      <c r="A871" s="90"/>
      <c r="B871" s="292"/>
      <c r="C871" s="293"/>
      <c r="D871" s="90"/>
      <c r="E871" s="293"/>
      <c r="F871" s="294"/>
      <c r="G871" s="292"/>
      <c r="H871" s="293"/>
      <c r="I871" s="294"/>
      <c r="J871" s="90"/>
      <c r="K871" s="296"/>
      <c r="L871" s="296"/>
      <c r="M871" s="296"/>
      <c r="N871" s="296"/>
      <c r="O871" s="296"/>
      <c r="P871" s="296"/>
      <c r="Q871" s="297"/>
      <c r="R871" s="90"/>
      <c r="S871" s="90"/>
      <c r="T871" s="264"/>
      <c r="U871" s="90"/>
      <c r="V871" s="90"/>
      <c r="W871" s="90"/>
      <c r="X871" s="90"/>
      <c r="Y871" s="90"/>
      <c r="Z871" s="90"/>
      <c r="AA871" s="90"/>
    </row>
    <row r="872" ht="15.75" customHeight="1">
      <c r="A872" s="90"/>
      <c r="B872" s="292"/>
      <c r="C872" s="293"/>
      <c r="D872" s="90"/>
      <c r="E872" s="293"/>
      <c r="F872" s="294"/>
      <c r="G872" s="292"/>
      <c r="H872" s="293"/>
      <c r="I872" s="294"/>
      <c r="J872" s="90"/>
      <c r="K872" s="296"/>
      <c r="L872" s="296"/>
      <c r="M872" s="296"/>
      <c r="N872" s="296"/>
      <c r="O872" s="296"/>
      <c r="P872" s="296"/>
      <c r="Q872" s="297"/>
      <c r="R872" s="90"/>
      <c r="S872" s="90"/>
      <c r="T872" s="264"/>
      <c r="U872" s="90"/>
      <c r="V872" s="90"/>
      <c r="W872" s="90"/>
      <c r="X872" s="90"/>
      <c r="Y872" s="90"/>
      <c r="Z872" s="90"/>
      <c r="AA872" s="90"/>
    </row>
    <row r="873" ht="15.75" customHeight="1">
      <c r="A873" s="90"/>
      <c r="B873" s="292"/>
      <c r="C873" s="293"/>
      <c r="D873" s="90"/>
      <c r="E873" s="293"/>
      <c r="F873" s="294"/>
      <c r="G873" s="292"/>
      <c r="H873" s="293"/>
      <c r="I873" s="294"/>
      <c r="J873" s="90"/>
      <c r="K873" s="296"/>
      <c r="L873" s="296"/>
      <c r="M873" s="296"/>
      <c r="N873" s="296"/>
      <c r="O873" s="296"/>
      <c r="P873" s="296"/>
      <c r="Q873" s="297"/>
      <c r="R873" s="90"/>
      <c r="S873" s="90"/>
      <c r="T873" s="264"/>
      <c r="U873" s="90"/>
      <c r="V873" s="90"/>
      <c r="W873" s="90"/>
      <c r="X873" s="90"/>
      <c r="Y873" s="90"/>
      <c r="Z873" s="90"/>
      <c r="AA873" s="90"/>
    </row>
    <row r="874" ht="15.75" customHeight="1">
      <c r="A874" s="90"/>
      <c r="B874" s="292"/>
      <c r="C874" s="293"/>
      <c r="D874" s="90"/>
      <c r="E874" s="293"/>
      <c r="F874" s="294"/>
      <c r="G874" s="292"/>
      <c r="H874" s="293"/>
      <c r="I874" s="294"/>
      <c r="J874" s="90"/>
      <c r="K874" s="296"/>
      <c r="L874" s="296"/>
      <c r="M874" s="296"/>
      <c r="N874" s="296"/>
      <c r="O874" s="296"/>
      <c r="P874" s="296"/>
      <c r="Q874" s="297"/>
      <c r="R874" s="90"/>
      <c r="S874" s="90"/>
      <c r="T874" s="264"/>
      <c r="U874" s="90"/>
      <c r="V874" s="90"/>
      <c r="W874" s="90"/>
      <c r="X874" s="90"/>
      <c r="Y874" s="90"/>
      <c r="Z874" s="90"/>
      <c r="AA874" s="90"/>
    </row>
    <row r="875" ht="15.75" customHeight="1">
      <c r="A875" s="90"/>
      <c r="B875" s="292"/>
      <c r="C875" s="293"/>
      <c r="D875" s="90"/>
      <c r="E875" s="293"/>
      <c r="F875" s="294"/>
      <c r="G875" s="292"/>
      <c r="H875" s="293"/>
      <c r="I875" s="294"/>
      <c r="J875" s="90"/>
      <c r="K875" s="296"/>
      <c r="L875" s="296"/>
      <c r="M875" s="296"/>
      <c r="N875" s="296"/>
      <c r="O875" s="296"/>
      <c r="P875" s="296"/>
      <c r="Q875" s="297"/>
      <c r="R875" s="90"/>
      <c r="S875" s="90"/>
      <c r="T875" s="264"/>
      <c r="U875" s="90"/>
      <c r="V875" s="90"/>
      <c r="W875" s="90"/>
      <c r="X875" s="90"/>
      <c r="Y875" s="90"/>
      <c r="Z875" s="90"/>
      <c r="AA875" s="90"/>
    </row>
    <row r="876" ht="15.75" customHeight="1">
      <c r="A876" s="90"/>
      <c r="B876" s="292"/>
      <c r="C876" s="293"/>
      <c r="D876" s="90"/>
      <c r="E876" s="293"/>
      <c r="F876" s="294"/>
      <c r="G876" s="292"/>
      <c r="H876" s="293"/>
      <c r="I876" s="294"/>
      <c r="J876" s="90"/>
      <c r="K876" s="296"/>
      <c r="L876" s="296"/>
      <c r="M876" s="296"/>
      <c r="N876" s="296"/>
      <c r="O876" s="296"/>
      <c r="P876" s="296"/>
      <c r="Q876" s="297"/>
      <c r="R876" s="90"/>
      <c r="S876" s="90"/>
      <c r="T876" s="264"/>
      <c r="U876" s="90"/>
      <c r="V876" s="90"/>
      <c r="W876" s="90"/>
      <c r="X876" s="90"/>
      <c r="Y876" s="90"/>
      <c r="Z876" s="90"/>
      <c r="AA876" s="90"/>
    </row>
    <row r="877" ht="15.75" customHeight="1">
      <c r="A877" s="90"/>
      <c r="B877" s="292"/>
      <c r="C877" s="293"/>
      <c r="D877" s="90"/>
      <c r="E877" s="293"/>
      <c r="F877" s="294"/>
      <c r="G877" s="292"/>
      <c r="H877" s="293"/>
      <c r="I877" s="294"/>
      <c r="J877" s="90"/>
      <c r="K877" s="296"/>
      <c r="L877" s="296"/>
      <c r="M877" s="296"/>
      <c r="N877" s="296"/>
      <c r="O877" s="296"/>
      <c r="P877" s="296"/>
      <c r="Q877" s="297"/>
      <c r="R877" s="90"/>
      <c r="S877" s="90"/>
      <c r="T877" s="264"/>
      <c r="U877" s="90"/>
      <c r="V877" s="90"/>
      <c r="W877" s="90"/>
      <c r="X877" s="90"/>
      <c r="Y877" s="90"/>
      <c r="Z877" s="90"/>
      <c r="AA877" s="90"/>
    </row>
    <row r="878" ht="15.75" customHeight="1">
      <c r="A878" s="90"/>
      <c r="B878" s="292"/>
      <c r="C878" s="293"/>
      <c r="D878" s="90"/>
      <c r="E878" s="293"/>
      <c r="F878" s="294"/>
      <c r="G878" s="292"/>
      <c r="H878" s="293"/>
      <c r="I878" s="294"/>
      <c r="J878" s="90"/>
      <c r="K878" s="296"/>
      <c r="L878" s="296"/>
      <c r="M878" s="296"/>
      <c r="N878" s="296"/>
      <c r="O878" s="296"/>
      <c r="P878" s="296"/>
      <c r="Q878" s="297"/>
      <c r="R878" s="90"/>
      <c r="S878" s="90"/>
      <c r="T878" s="264"/>
      <c r="U878" s="90"/>
      <c r="V878" s="90"/>
      <c r="W878" s="90"/>
      <c r="X878" s="90"/>
      <c r="Y878" s="90"/>
      <c r="Z878" s="90"/>
      <c r="AA878" s="90"/>
    </row>
    <row r="879" ht="15.75" customHeight="1">
      <c r="A879" s="90"/>
      <c r="B879" s="292"/>
      <c r="C879" s="293"/>
      <c r="D879" s="90"/>
      <c r="E879" s="293"/>
      <c r="F879" s="294"/>
      <c r="G879" s="292"/>
      <c r="H879" s="293"/>
      <c r="I879" s="294"/>
      <c r="J879" s="90"/>
      <c r="K879" s="296"/>
      <c r="L879" s="296"/>
      <c r="M879" s="296"/>
      <c r="N879" s="296"/>
      <c r="O879" s="296"/>
      <c r="P879" s="296"/>
      <c r="Q879" s="297"/>
      <c r="R879" s="90"/>
      <c r="S879" s="90"/>
      <c r="T879" s="264"/>
      <c r="U879" s="90"/>
      <c r="V879" s="90"/>
      <c r="W879" s="90"/>
      <c r="X879" s="90"/>
      <c r="Y879" s="90"/>
      <c r="Z879" s="90"/>
      <c r="AA879" s="90"/>
    </row>
    <row r="880" ht="15.75" customHeight="1">
      <c r="A880" s="90"/>
      <c r="B880" s="292"/>
      <c r="C880" s="293"/>
      <c r="D880" s="90"/>
      <c r="E880" s="293"/>
      <c r="F880" s="294"/>
      <c r="G880" s="292"/>
      <c r="H880" s="293"/>
      <c r="I880" s="294"/>
      <c r="J880" s="90"/>
      <c r="K880" s="296"/>
      <c r="L880" s="296"/>
      <c r="M880" s="296"/>
      <c r="N880" s="296"/>
      <c r="O880" s="296"/>
      <c r="P880" s="296"/>
      <c r="Q880" s="297"/>
      <c r="R880" s="90"/>
      <c r="S880" s="90"/>
      <c r="T880" s="264"/>
      <c r="U880" s="90"/>
      <c r="V880" s="90"/>
      <c r="W880" s="90"/>
      <c r="X880" s="90"/>
      <c r="Y880" s="90"/>
      <c r="Z880" s="90"/>
      <c r="AA880" s="90"/>
    </row>
    <row r="881" ht="15.75" customHeight="1">
      <c r="A881" s="90"/>
      <c r="B881" s="292"/>
      <c r="C881" s="293"/>
      <c r="D881" s="90"/>
      <c r="E881" s="293"/>
      <c r="F881" s="294"/>
      <c r="G881" s="292"/>
      <c r="H881" s="293"/>
      <c r="I881" s="294"/>
      <c r="J881" s="90"/>
      <c r="K881" s="296"/>
      <c r="L881" s="296"/>
      <c r="M881" s="296"/>
      <c r="N881" s="296"/>
      <c r="O881" s="296"/>
      <c r="P881" s="296"/>
      <c r="Q881" s="297"/>
      <c r="R881" s="90"/>
      <c r="S881" s="90"/>
      <c r="T881" s="264"/>
      <c r="U881" s="90"/>
      <c r="V881" s="90"/>
      <c r="W881" s="90"/>
      <c r="X881" s="90"/>
      <c r="Y881" s="90"/>
      <c r="Z881" s="90"/>
      <c r="AA881" s="90"/>
    </row>
    <row r="882" ht="15.75" customHeight="1">
      <c r="A882" s="90"/>
      <c r="B882" s="292"/>
      <c r="C882" s="293"/>
      <c r="D882" s="90"/>
      <c r="E882" s="293"/>
      <c r="F882" s="294"/>
      <c r="G882" s="292"/>
      <c r="H882" s="293"/>
      <c r="I882" s="294"/>
      <c r="J882" s="90"/>
      <c r="K882" s="296"/>
      <c r="L882" s="296"/>
      <c r="M882" s="296"/>
      <c r="N882" s="296"/>
      <c r="O882" s="296"/>
      <c r="P882" s="296"/>
      <c r="Q882" s="297"/>
      <c r="R882" s="90"/>
      <c r="S882" s="90"/>
      <c r="T882" s="264"/>
      <c r="U882" s="90"/>
      <c r="V882" s="90"/>
      <c r="W882" s="90"/>
      <c r="X882" s="90"/>
      <c r="Y882" s="90"/>
      <c r="Z882" s="90"/>
      <c r="AA882" s="90"/>
    </row>
    <row r="883" ht="15.75" customHeight="1">
      <c r="A883" s="90"/>
      <c r="B883" s="292"/>
      <c r="C883" s="293"/>
      <c r="D883" s="90"/>
      <c r="E883" s="293"/>
      <c r="F883" s="294"/>
      <c r="G883" s="292"/>
      <c r="H883" s="293"/>
      <c r="I883" s="294"/>
      <c r="J883" s="90"/>
      <c r="K883" s="296"/>
      <c r="L883" s="296"/>
      <c r="M883" s="296"/>
      <c r="N883" s="296"/>
      <c r="O883" s="296"/>
      <c r="P883" s="296"/>
      <c r="Q883" s="297"/>
      <c r="R883" s="90"/>
      <c r="S883" s="90"/>
      <c r="T883" s="264"/>
      <c r="U883" s="90"/>
      <c r="V883" s="90"/>
      <c r="W883" s="90"/>
      <c r="X883" s="90"/>
      <c r="Y883" s="90"/>
      <c r="Z883" s="90"/>
      <c r="AA883" s="90"/>
    </row>
    <row r="884" ht="15.75" customHeight="1">
      <c r="A884" s="90"/>
      <c r="B884" s="292"/>
      <c r="C884" s="293"/>
      <c r="D884" s="90"/>
      <c r="E884" s="293"/>
      <c r="F884" s="294"/>
      <c r="G884" s="292"/>
      <c r="H884" s="293"/>
      <c r="I884" s="294"/>
      <c r="J884" s="90"/>
      <c r="K884" s="296"/>
      <c r="L884" s="296"/>
      <c r="M884" s="296"/>
      <c r="N884" s="296"/>
      <c r="O884" s="296"/>
      <c r="P884" s="296"/>
      <c r="Q884" s="297"/>
      <c r="R884" s="90"/>
      <c r="S884" s="90"/>
      <c r="T884" s="264"/>
      <c r="U884" s="90"/>
      <c r="V884" s="90"/>
      <c r="W884" s="90"/>
      <c r="X884" s="90"/>
      <c r="Y884" s="90"/>
      <c r="Z884" s="90"/>
      <c r="AA884" s="90"/>
    </row>
    <row r="885" ht="15.75" customHeight="1">
      <c r="A885" s="90"/>
      <c r="B885" s="292"/>
      <c r="C885" s="293"/>
      <c r="D885" s="90"/>
      <c r="E885" s="293"/>
      <c r="F885" s="294"/>
      <c r="G885" s="292"/>
      <c r="H885" s="293"/>
      <c r="I885" s="294"/>
      <c r="J885" s="90"/>
      <c r="K885" s="296"/>
      <c r="L885" s="296"/>
      <c r="M885" s="296"/>
      <c r="N885" s="296"/>
      <c r="O885" s="296"/>
      <c r="P885" s="296"/>
      <c r="Q885" s="297"/>
      <c r="R885" s="90"/>
      <c r="S885" s="90"/>
      <c r="T885" s="264"/>
      <c r="U885" s="90"/>
      <c r="V885" s="90"/>
      <c r="W885" s="90"/>
      <c r="X885" s="90"/>
      <c r="Y885" s="90"/>
      <c r="Z885" s="90"/>
      <c r="AA885" s="90"/>
    </row>
    <row r="886" ht="15.75" customHeight="1">
      <c r="A886" s="90"/>
      <c r="B886" s="292"/>
      <c r="C886" s="293"/>
      <c r="D886" s="90"/>
      <c r="E886" s="293"/>
      <c r="F886" s="294"/>
      <c r="G886" s="292"/>
      <c r="H886" s="293"/>
      <c r="I886" s="294"/>
      <c r="J886" s="90"/>
      <c r="K886" s="296"/>
      <c r="L886" s="296"/>
      <c r="M886" s="296"/>
      <c r="N886" s="296"/>
      <c r="O886" s="296"/>
      <c r="P886" s="296"/>
      <c r="Q886" s="297"/>
      <c r="R886" s="90"/>
      <c r="S886" s="90"/>
      <c r="T886" s="264"/>
      <c r="U886" s="90"/>
      <c r="V886" s="90"/>
      <c r="W886" s="90"/>
      <c r="X886" s="90"/>
      <c r="Y886" s="90"/>
      <c r="Z886" s="90"/>
      <c r="AA886" s="90"/>
    </row>
    <row r="887" ht="15.75" customHeight="1">
      <c r="A887" s="90"/>
      <c r="B887" s="292"/>
      <c r="C887" s="293"/>
      <c r="D887" s="90"/>
      <c r="E887" s="293"/>
      <c r="F887" s="294"/>
      <c r="G887" s="292"/>
      <c r="H887" s="293"/>
      <c r="I887" s="294"/>
      <c r="J887" s="90"/>
      <c r="K887" s="296"/>
      <c r="L887" s="296"/>
      <c r="M887" s="296"/>
      <c r="N887" s="296"/>
      <c r="O887" s="296"/>
      <c r="P887" s="296"/>
      <c r="Q887" s="297"/>
      <c r="R887" s="90"/>
      <c r="S887" s="90"/>
      <c r="T887" s="264"/>
      <c r="U887" s="90"/>
      <c r="V887" s="90"/>
      <c r="W887" s="90"/>
      <c r="X887" s="90"/>
      <c r="Y887" s="90"/>
      <c r="Z887" s="90"/>
      <c r="AA887" s="90"/>
    </row>
    <row r="888" ht="15.75" customHeight="1">
      <c r="A888" s="90"/>
      <c r="B888" s="292"/>
      <c r="C888" s="293"/>
      <c r="D888" s="90"/>
      <c r="E888" s="293"/>
      <c r="F888" s="294"/>
      <c r="G888" s="292"/>
      <c r="H888" s="293"/>
      <c r="I888" s="294"/>
      <c r="J888" s="90"/>
      <c r="K888" s="296"/>
      <c r="L888" s="296"/>
      <c r="M888" s="296"/>
      <c r="N888" s="296"/>
      <c r="O888" s="296"/>
      <c r="P888" s="296"/>
      <c r="Q888" s="297"/>
      <c r="R888" s="90"/>
      <c r="S888" s="90"/>
      <c r="T888" s="264"/>
      <c r="U888" s="90"/>
      <c r="V888" s="90"/>
      <c r="W888" s="90"/>
      <c r="X888" s="90"/>
      <c r="Y888" s="90"/>
      <c r="Z888" s="90"/>
      <c r="AA888" s="90"/>
    </row>
    <row r="889" ht="15.75" customHeight="1">
      <c r="A889" s="90"/>
      <c r="B889" s="292"/>
      <c r="C889" s="293"/>
      <c r="D889" s="90"/>
      <c r="E889" s="293"/>
      <c r="F889" s="294"/>
      <c r="G889" s="292"/>
      <c r="H889" s="293"/>
      <c r="I889" s="294"/>
      <c r="J889" s="90"/>
      <c r="K889" s="296"/>
      <c r="L889" s="296"/>
      <c r="M889" s="296"/>
      <c r="N889" s="296"/>
      <c r="O889" s="296"/>
      <c r="P889" s="296"/>
      <c r="Q889" s="297"/>
      <c r="R889" s="90"/>
      <c r="S889" s="90"/>
      <c r="T889" s="264"/>
      <c r="U889" s="90"/>
      <c r="V889" s="90"/>
      <c r="W889" s="90"/>
      <c r="X889" s="90"/>
      <c r="Y889" s="90"/>
      <c r="Z889" s="90"/>
      <c r="AA889" s="90"/>
    </row>
    <row r="890" ht="15.75" customHeight="1">
      <c r="A890" s="90"/>
      <c r="B890" s="292"/>
      <c r="C890" s="293"/>
      <c r="D890" s="90"/>
      <c r="E890" s="293"/>
      <c r="F890" s="294"/>
      <c r="G890" s="292"/>
      <c r="H890" s="293"/>
      <c r="I890" s="294"/>
      <c r="J890" s="90"/>
      <c r="K890" s="296"/>
      <c r="L890" s="296"/>
      <c r="M890" s="296"/>
      <c r="N890" s="296"/>
      <c r="O890" s="296"/>
      <c r="P890" s="296"/>
      <c r="Q890" s="297"/>
      <c r="R890" s="90"/>
      <c r="S890" s="90"/>
      <c r="T890" s="264"/>
      <c r="U890" s="90"/>
      <c r="V890" s="90"/>
      <c r="W890" s="90"/>
      <c r="X890" s="90"/>
      <c r="Y890" s="90"/>
      <c r="Z890" s="90"/>
      <c r="AA890" s="90"/>
    </row>
    <row r="891" ht="15.75" customHeight="1">
      <c r="A891" s="90"/>
      <c r="B891" s="292"/>
      <c r="C891" s="293"/>
      <c r="D891" s="90"/>
      <c r="E891" s="293"/>
      <c r="F891" s="294"/>
      <c r="G891" s="292"/>
      <c r="H891" s="293"/>
      <c r="I891" s="294"/>
      <c r="J891" s="90"/>
      <c r="K891" s="296"/>
      <c r="L891" s="296"/>
      <c r="M891" s="296"/>
      <c r="N891" s="296"/>
      <c r="O891" s="296"/>
      <c r="P891" s="296"/>
      <c r="Q891" s="297"/>
      <c r="R891" s="90"/>
      <c r="S891" s="90"/>
      <c r="T891" s="264"/>
      <c r="U891" s="90"/>
      <c r="V891" s="90"/>
      <c r="W891" s="90"/>
      <c r="X891" s="90"/>
      <c r="Y891" s="90"/>
      <c r="Z891" s="90"/>
      <c r="AA891" s="90"/>
    </row>
    <row r="892" ht="15.75" customHeight="1">
      <c r="A892" s="90"/>
      <c r="B892" s="292"/>
      <c r="C892" s="293"/>
      <c r="D892" s="90"/>
      <c r="E892" s="293"/>
      <c r="F892" s="294"/>
      <c r="G892" s="292"/>
      <c r="H892" s="293"/>
      <c r="I892" s="294"/>
      <c r="J892" s="90"/>
      <c r="K892" s="296"/>
      <c r="L892" s="296"/>
      <c r="M892" s="296"/>
      <c r="N892" s="296"/>
      <c r="O892" s="296"/>
      <c r="P892" s="296"/>
      <c r="Q892" s="297"/>
      <c r="R892" s="90"/>
      <c r="S892" s="90"/>
      <c r="T892" s="264"/>
      <c r="U892" s="90"/>
      <c r="V892" s="90"/>
      <c r="W892" s="90"/>
      <c r="X892" s="90"/>
      <c r="Y892" s="90"/>
      <c r="Z892" s="90"/>
      <c r="AA892" s="90"/>
    </row>
    <row r="893" ht="15.75" customHeight="1">
      <c r="A893" s="90"/>
      <c r="B893" s="292"/>
      <c r="C893" s="293"/>
      <c r="D893" s="90"/>
      <c r="E893" s="293"/>
      <c r="F893" s="294"/>
      <c r="G893" s="292"/>
      <c r="H893" s="293"/>
      <c r="I893" s="294"/>
      <c r="J893" s="90"/>
      <c r="K893" s="296"/>
      <c r="L893" s="296"/>
      <c r="M893" s="296"/>
      <c r="N893" s="296"/>
      <c r="O893" s="296"/>
      <c r="P893" s="296"/>
      <c r="Q893" s="297"/>
      <c r="R893" s="90"/>
      <c r="S893" s="90"/>
      <c r="T893" s="264"/>
      <c r="U893" s="90"/>
      <c r="V893" s="90"/>
      <c r="W893" s="90"/>
      <c r="X893" s="90"/>
      <c r="Y893" s="90"/>
      <c r="Z893" s="90"/>
      <c r="AA893" s="90"/>
    </row>
    <row r="894" ht="15.75" customHeight="1">
      <c r="A894" s="90"/>
      <c r="B894" s="292"/>
      <c r="C894" s="293"/>
      <c r="D894" s="90"/>
      <c r="E894" s="293"/>
      <c r="F894" s="294"/>
      <c r="G894" s="292"/>
      <c r="H894" s="293"/>
      <c r="I894" s="294"/>
      <c r="J894" s="90"/>
      <c r="K894" s="296"/>
      <c r="L894" s="296"/>
      <c r="M894" s="296"/>
      <c r="N894" s="296"/>
      <c r="O894" s="296"/>
      <c r="P894" s="296"/>
      <c r="Q894" s="297"/>
      <c r="R894" s="90"/>
      <c r="S894" s="90"/>
      <c r="T894" s="264"/>
      <c r="U894" s="90"/>
      <c r="V894" s="90"/>
      <c r="W894" s="90"/>
      <c r="X894" s="90"/>
      <c r="Y894" s="90"/>
      <c r="Z894" s="90"/>
      <c r="AA894" s="90"/>
    </row>
    <row r="895" ht="15.75" customHeight="1">
      <c r="A895" s="90"/>
      <c r="B895" s="292"/>
      <c r="C895" s="293"/>
      <c r="D895" s="90"/>
      <c r="E895" s="293"/>
      <c r="F895" s="294"/>
      <c r="G895" s="292"/>
      <c r="H895" s="293"/>
      <c r="I895" s="294"/>
      <c r="J895" s="90"/>
      <c r="K895" s="296"/>
      <c r="L895" s="296"/>
      <c r="M895" s="296"/>
      <c r="N895" s="296"/>
      <c r="O895" s="296"/>
      <c r="P895" s="296"/>
      <c r="Q895" s="297"/>
      <c r="R895" s="90"/>
      <c r="S895" s="90"/>
      <c r="T895" s="264"/>
      <c r="U895" s="90"/>
      <c r="V895" s="90"/>
      <c r="W895" s="90"/>
      <c r="X895" s="90"/>
      <c r="Y895" s="90"/>
      <c r="Z895" s="90"/>
      <c r="AA895" s="90"/>
    </row>
    <row r="896" ht="15.75" customHeight="1">
      <c r="A896" s="90"/>
      <c r="B896" s="292"/>
      <c r="C896" s="293"/>
      <c r="D896" s="90"/>
      <c r="E896" s="293"/>
      <c r="F896" s="294"/>
      <c r="G896" s="292"/>
      <c r="H896" s="293"/>
      <c r="I896" s="294"/>
      <c r="J896" s="90"/>
      <c r="K896" s="296"/>
      <c r="L896" s="296"/>
      <c r="M896" s="296"/>
      <c r="N896" s="296"/>
      <c r="O896" s="296"/>
      <c r="P896" s="296"/>
      <c r="Q896" s="297"/>
      <c r="R896" s="90"/>
      <c r="S896" s="90"/>
      <c r="T896" s="264"/>
      <c r="U896" s="90"/>
      <c r="V896" s="90"/>
      <c r="W896" s="90"/>
      <c r="X896" s="90"/>
      <c r="Y896" s="90"/>
      <c r="Z896" s="90"/>
      <c r="AA896" s="90"/>
    </row>
    <row r="897" ht="15.75" customHeight="1">
      <c r="A897" s="90"/>
      <c r="B897" s="292"/>
      <c r="C897" s="293"/>
      <c r="D897" s="90"/>
      <c r="E897" s="293"/>
      <c r="F897" s="294"/>
      <c r="G897" s="292"/>
      <c r="H897" s="293"/>
      <c r="I897" s="294"/>
      <c r="J897" s="90"/>
      <c r="K897" s="296"/>
      <c r="L897" s="296"/>
      <c r="M897" s="296"/>
      <c r="N897" s="296"/>
      <c r="O897" s="296"/>
      <c r="P897" s="296"/>
      <c r="Q897" s="297"/>
      <c r="R897" s="90"/>
      <c r="S897" s="90"/>
      <c r="T897" s="264"/>
      <c r="U897" s="90"/>
      <c r="V897" s="90"/>
      <c r="W897" s="90"/>
      <c r="X897" s="90"/>
      <c r="Y897" s="90"/>
      <c r="Z897" s="90"/>
      <c r="AA897" s="90"/>
    </row>
    <row r="898" ht="15.75" customHeight="1">
      <c r="A898" s="90"/>
      <c r="B898" s="292"/>
      <c r="C898" s="293"/>
      <c r="D898" s="90"/>
      <c r="E898" s="293"/>
      <c r="F898" s="294"/>
      <c r="G898" s="292"/>
      <c r="H898" s="293"/>
      <c r="I898" s="294"/>
      <c r="J898" s="90"/>
      <c r="K898" s="296"/>
      <c r="L898" s="296"/>
      <c r="M898" s="296"/>
      <c r="N898" s="296"/>
      <c r="O898" s="296"/>
      <c r="P898" s="296"/>
      <c r="Q898" s="297"/>
      <c r="R898" s="90"/>
      <c r="S898" s="90"/>
      <c r="T898" s="264"/>
      <c r="U898" s="90"/>
      <c r="V898" s="90"/>
      <c r="W898" s="90"/>
      <c r="X898" s="90"/>
      <c r="Y898" s="90"/>
      <c r="Z898" s="90"/>
      <c r="AA898" s="90"/>
    </row>
    <row r="899" ht="15.75" customHeight="1">
      <c r="A899" s="90"/>
      <c r="B899" s="292"/>
      <c r="C899" s="293"/>
      <c r="D899" s="90"/>
      <c r="E899" s="293"/>
      <c r="F899" s="294"/>
      <c r="G899" s="292"/>
      <c r="H899" s="293"/>
      <c r="I899" s="294"/>
      <c r="J899" s="90"/>
      <c r="K899" s="296"/>
      <c r="L899" s="296"/>
      <c r="M899" s="296"/>
      <c r="N899" s="296"/>
      <c r="O899" s="296"/>
      <c r="P899" s="296"/>
      <c r="Q899" s="297"/>
      <c r="R899" s="90"/>
      <c r="S899" s="90"/>
      <c r="T899" s="264"/>
      <c r="U899" s="90"/>
      <c r="V899" s="90"/>
      <c r="W899" s="90"/>
      <c r="X899" s="90"/>
      <c r="Y899" s="90"/>
      <c r="Z899" s="90"/>
      <c r="AA899" s="90"/>
    </row>
    <row r="900" ht="15.75" customHeight="1">
      <c r="A900" s="90"/>
      <c r="B900" s="292"/>
      <c r="C900" s="293"/>
      <c r="D900" s="90"/>
      <c r="E900" s="293"/>
      <c r="F900" s="294"/>
      <c r="G900" s="292"/>
      <c r="H900" s="293"/>
      <c r="I900" s="294"/>
      <c r="J900" s="90"/>
      <c r="K900" s="296"/>
      <c r="L900" s="296"/>
      <c r="M900" s="296"/>
      <c r="N900" s="296"/>
      <c r="O900" s="296"/>
      <c r="P900" s="296"/>
      <c r="Q900" s="297"/>
      <c r="R900" s="90"/>
      <c r="S900" s="90"/>
      <c r="T900" s="264"/>
      <c r="U900" s="90"/>
      <c r="V900" s="90"/>
      <c r="W900" s="90"/>
      <c r="X900" s="90"/>
      <c r="Y900" s="90"/>
      <c r="Z900" s="90"/>
      <c r="AA900" s="90"/>
    </row>
    <row r="901" ht="15.75" customHeight="1">
      <c r="A901" s="90"/>
      <c r="B901" s="292"/>
      <c r="C901" s="293"/>
      <c r="D901" s="90"/>
      <c r="E901" s="293"/>
      <c r="F901" s="294"/>
      <c r="G901" s="292"/>
      <c r="H901" s="293"/>
      <c r="I901" s="294"/>
      <c r="J901" s="90"/>
      <c r="K901" s="296"/>
      <c r="L901" s="296"/>
      <c r="M901" s="296"/>
      <c r="N901" s="296"/>
      <c r="O901" s="296"/>
      <c r="P901" s="296"/>
      <c r="Q901" s="297"/>
      <c r="R901" s="90"/>
      <c r="S901" s="90"/>
      <c r="T901" s="264"/>
      <c r="U901" s="90"/>
      <c r="V901" s="90"/>
      <c r="W901" s="90"/>
      <c r="X901" s="90"/>
      <c r="Y901" s="90"/>
      <c r="Z901" s="90"/>
      <c r="AA901" s="90"/>
    </row>
    <row r="902" ht="15.75" customHeight="1">
      <c r="A902" s="90"/>
      <c r="B902" s="292"/>
      <c r="C902" s="293"/>
      <c r="D902" s="90"/>
      <c r="E902" s="293"/>
      <c r="F902" s="294"/>
      <c r="G902" s="292"/>
      <c r="H902" s="293"/>
      <c r="I902" s="294"/>
      <c r="J902" s="90"/>
      <c r="K902" s="296"/>
      <c r="L902" s="296"/>
      <c r="M902" s="296"/>
      <c r="N902" s="296"/>
      <c r="O902" s="296"/>
      <c r="P902" s="296"/>
      <c r="Q902" s="297"/>
      <c r="R902" s="90"/>
      <c r="S902" s="90"/>
      <c r="T902" s="264"/>
      <c r="U902" s="90"/>
      <c r="V902" s="90"/>
      <c r="W902" s="90"/>
      <c r="X902" s="90"/>
      <c r="Y902" s="90"/>
      <c r="Z902" s="90"/>
      <c r="AA902" s="90"/>
    </row>
    <row r="903" ht="15.75" customHeight="1">
      <c r="A903" s="90"/>
      <c r="B903" s="292"/>
      <c r="C903" s="293"/>
      <c r="D903" s="90"/>
      <c r="E903" s="293"/>
      <c r="F903" s="294"/>
      <c r="G903" s="292"/>
      <c r="H903" s="293"/>
      <c r="I903" s="294"/>
      <c r="J903" s="90"/>
      <c r="K903" s="296"/>
      <c r="L903" s="296"/>
      <c r="M903" s="296"/>
      <c r="N903" s="296"/>
      <c r="O903" s="296"/>
      <c r="P903" s="296"/>
      <c r="Q903" s="297"/>
      <c r="R903" s="90"/>
      <c r="S903" s="90"/>
      <c r="T903" s="264"/>
      <c r="U903" s="90"/>
      <c r="V903" s="90"/>
      <c r="W903" s="90"/>
      <c r="X903" s="90"/>
      <c r="Y903" s="90"/>
      <c r="Z903" s="90"/>
      <c r="AA903" s="90"/>
    </row>
    <row r="904" ht="15.75" customHeight="1">
      <c r="A904" s="90"/>
      <c r="B904" s="292"/>
      <c r="C904" s="293"/>
      <c r="D904" s="90"/>
      <c r="E904" s="293"/>
      <c r="F904" s="294"/>
      <c r="G904" s="292"/>
      <c r="H904" s="293"/>
      <c r="I904" s="294"/>
      <c r="J904" s="90"/>
      <c r="K904" s="296"/>
      <c r="L904" s="296"/>
      <c r="M904" s="296"/>
      <c r="N904" s="296"/>
      <c r="O904" s="296"/>
      <c r="P904" s="296"/>
      <c r="Q904" s="297"/>
      <c r="R904" s="90"/>
      <c r="S904" s="90"/>
      <c r="T904" s="264"/>
      <c r="U904" s="90"/>
      <c r="V904" s="90"/>
      <c r="W904" s="90"/>
      <c r="X904" s="90"/>
      <c r="Y904" s="90"/>
      <c r="Z904" s="90"/>
      <c r="AA904" s="90"/>
    </row>
    <row r="905" ht="15.75" customHeight="1">
      <c r="A905" s="90"/>
      <c r="B905" s="292"/>
      <c r="C905" s="293"/>
      <c r="D905" s="90"/>
      <c r="E905" s="293"/>
      <c r="F905" s="294"/>
      <c r="G905" s="292"/>
      <c r="H905" s="293"/>
      <c r="I905" s="294"/>
      <c r="J905" s="90"/>
      <c r="K905" s="296"/>
      <c r="L905" s="296"/>
      <c r="M905" s="296"/>
      <c r="N905" s="296"/>
      <c r="O905" s="296"/>
      <c r="P905" s="296"/>
      <c r="Q905" s="297"/>
      <c r="R905" s="90"/>
      <c r="S905" s="90"/>
      <c r="T905" s="264"/>
      <c r="U905" s="90"/>
      <c r="V905" s="90"/>
      <c r="W905" s="90"/>
      <c r="X905" s="90"/>
      <c r="Y905" s="90"/>
      <c r="Z905" s="90"/>
      <c r="AA905" s="90"/>
    </row>
    <row r="906" ht="15.75" customHeight="1">
      <c r="A906" s="90"/>
      <c r="B906" s="292"/>
      <c r="C906" s="293"/>
      <c r="D906" s="90"/>
      <c r="E906" s="293"/>
      <c r="F906" s="294"/>
      <c r="G906" s="292"/>
      <c r="H906" s="293"/>
      <c r="I906" s="294"/>
      <c r="J906" s="90"/>
      <c r="K906" s="296"/>
      <c r="L906" s="296"/>
      <c r="M906" s="296"/>
      <c r="N906" s="296"/>
      <c r="O906" s="296"/>
      <c r="P906" s="296"/>
      <c r="Q906" s="297"/>
      <c r="R906" s="90"/>
      <c r="S906" s="90"/>
      <c r="T906" s="264"/>
      <c r="U906" s="90"/>
      <c r="V906" s="90"/>
      <c r="W906" s="90"/>
      <c r="X906" s="90"/>
      <c r="Y906" s="90"/>
      <c r="Z906" s="90"/>
      <c r="AA906" s="90"/>
    </row>
    <row r="907" ht="15.75" customHeight="1">
      <c r="A907" s="90"/>
      <c r="B907" s="292"/>
      <c r="C907" s="293"/>
      <c r="D907" s="90"/>
      <c r="E907" s="293"/>
      <c r="F907" s="294"/>
      <c r="G907" s="292"/>
      <c r="H907" s="293"/>
      <c r="I907" s="294"/>
      <c r="J907" s="90"/>
      <c r="K907" s="296"/>
      <c r="L907" s="296"/>
      <c r="M907" s="296"/>
      <c r="N907" s="296"/>
      <c r="O907" s="296"/>
      <c r="P907" s="296"/>
      <c r="Q907" s="297"/>
      <c r="R907" s="90"/>
      <c r="S907" s="90"/>
      <c r="T907" s="264"/>
      <c r="U907" s="90"/>
      <c r="V907" s="90"/>
      <c r="W907" s="90"/>
      <c r="X907" s="90"/>
      <c r="Y907" s="90"/>
      <c r="Z907" s="90"/>
      <c r="AA907" s="90"/>
    </row>
    <row r="908" ht="15.75" customHeight="1">
      <c r="A908" s="90"/>
      <c r="B908" s="292"/>
      <c r="C908" s="293"/>
      <c r="D908" s="90"/>
      <c r="E908" s="293"/>
      <c r="F908" s="294"/>
      <c r="G908" s="292"/>
      <c r="H908" s="293"/>
      <c r="I908" s="294"/>
      <c r="J908" s="90"/>
      <c r="K908" s="296"/>
      <c r="L908" s="296"/>
      <c r="M908" s="296"/>
      <c r="N908" s="296"/>
      <c r="O908" s="296"/>
      <c r="P908" s="296"/>
      <c r="Q908" s="297"/>
      <c r="R908" s="90"/>
      <c r="S908" s="90"/>
      <c r="T908" s="264"/>
      <c r="U908" s="90"/>
      <c r="V908" s="90"/>
      <c r="W908" s="90"/>
      <c r="X908" s="90"/>
      <c r="Y908" s="90"/>
      <c r="Z908" s="90"/>
      <c r="AA908" s="90"/>
    </row>
    <row r="909" ht="15.75" customHeight="1">
      <c r="A909" s="90"/>
      <c r="B909" s="292"/>
      <c r="C909" s="293"/>
      <c r="D909" s="90"/>
      <c r="E909" s="293"/>
      <c r="F909" s="294"/>
      <c r="G909" s="292"/>
      <c r="H909" s="293"/>
      <c r="I909" s="294"/>
      <c r="J909" s="90"/>
      <c r="K909" s="296"/>
      <c r="L909" s="296"/>
      <c r="M909" s="296"/>
      <c r="N909" s="296"/>
      <c r="O909" s="296"/>
      <c r="P909" s="296"/>
      <c r="Q909" s="297"/>
      <c r="R909" s="90"/>
      <c r="S909" s="90"/>
      <c r="T909" s="264"/>
      <c r="U909" s="90"/>
      <c r="V909" s="90"/>
      <c r="W909" s="90"/>
      <c r="X909" s="90"/>
      <c r="Y909" s="90"/>
      <c r="Z909" s="90"/>
      <c r="AA909" s="90"/>
    </row>
    <row r="910" ht="15.75" customHeight="1">
      <c r="A910" s="90"/>
      <c r="B910" s="292"/>
      <c r="C910" s="293"/>
      <c r="D910" s="90"/>
      <c r="E910" s="293"/>
      <c r="F910" s="294"/>
      <c r="G910" s="292"/>
      <c r="H910" s="293"/>
      <c r="I910" s="294"/>
      <c r="J910" s="90"/>
      <c r="K910" s="296"/>
      <c r="L910" s="296"/>
      <c r="M910" s="296"/>
      <c r="N910" s="296"/>
      <c r="O910" s="296"/>
      <c r="P910" s="296"/>
      <c r="Q910" s="297"/>
      <c r="R910" s="90"/>
      <c r="S910" s="90"/>
      <c r="T910" s="264"/>
      <c r="U910" s="90"/>
      <c r="V910" s="90"/>
      <c r="W910" s="90"/>
      <c r="X910" s="90"/>
      <c r="Y910" s="90"/>
      <c r="Z910" s="90"/>
      <c r="AA910" s="90"/>
    </row>
    <row r="911" ht="15.75" customHeight="1">
      <c r="A911" s="90"/>
      <c r="B911" s="292"/>
      <c r="C911" s="293"/>
      <c r="D911" s="90"/>
      <c r="E911" s="293"/>
      <c r="F911" s="294"/>
      <c r="G911" s="292"/>
      <c r="H911" s="293"/>
      <c r="I911" s="294"/>
      <c r="J911" s="90"/>
      <c r="K911" s="296"/>
      <c r="L911" s="296"/>
      <c r="M911" s="296"/>
      <c r="N911" s="296"/>
      <c r="O911" s="296"/>
      <c r="P911" s="296"/>
      <c r="Q911" s="297"/>
      <c r="R911" s="90"/>
      <c r="S911" s="90"/>
      <c r="T911" s="264"/>
      <c r="U911" s="90"/>
      <c r="V911" s="90"/>
      <c r="W911" s="90"/>
      <c r="X911" s="90"/>
      <c r="Y911" s="90"/>
      <c r="Z911" s="90"/>
      <c r="AA911" s="90"/>
    </row>
    <row r="912" ht="15.75" customHeight="1">
      <c r="A912" s="90"/>
      <c r="B912" s="292"/>
      <c r="C912" s="293"/>
      <c r="D912" s="90"/>
      <c r="E912" s="293"/>
      <c r="F912" s="294"/>
      <c r="G912" s="292"/>
      <c r="H912" s="293"/>
      <c r="I912" s="294"/>
      <c r="J912" s="90"/>
      <c r="K912" s="296"/>
      <c r="L912" s="296"/>
      <c r="M912" s="296"/>
      <c r="N912" s="296"/>
      <c r="O912" s="296"/>
      <c r="P912" s="296"/>
      <c r="Q912" s="297"/>
      <c r="R912" s="90"/>
      <c r="S912" s="90"/>
      <c r="T912" s="264"/>
      <c r="U912" s="90"/>
      <c r="V912" s="90"/>
      <c r="W912" s="90"/>
      <c r="X912" s="90"/>
      <c r="Y912" s="90"/>
      <c r="Z912" s="90"/>
      <c r="AA912" s="90"/>
    </row>
    <row r="913" ht="15.75" customHeight="1">
      <c r="A913" s="90"/>
      <c r="B913" s="292"/>
      <c r="C913" s="293"/>
      <c r="D913" s="90"/>
      <c r="E913" s="293"/>
      <c r="F913" s="294"/>
      <c r="G913" s="292"/>
      <c r="H913" s="293"/>
      <c r="I913" s="294"/>
      <c r="J913" s="90"/>
      <c r="K913" s="296"/>
      <c r="L913" s="296"/>
      <c r="M913" s="296"/>
      <c r="N913" s="296"/>
      <c r="O913" s="296"/>
      <c r="P913" s="296"/>
      <c r="Q913" s="297"/>
      <c r="R913" s="90"/>
      <c r="S913" s="90"/>
      <c r="T913" s="264"/>
      <c r="U913" s="90"/>
      <c r="V913" s="90"/>
      <c r="W913" s="90"/>
      <c r="X913" s="90"/>
      <c r="Y913" s="90"/>
      <c r="Z913" s="90"/>
      <c r="AA913" s="90"/>
    </row>
    <row r="914" ht="15.75" customHeight="1">
      <c r="A914" s="90"/>
      <c r="B914" s="292"/>
      <c r="C914" s="293"/>
      <c r="D914" s="90"/>
      <c r="E914" s="293"/>
      <c r="F914" s="294"/>
      <c r="G914" s="292"/>
      <c r="H914" s="293"/>
      <c r="I914" s="294"/>
      <c r="J914" s="90"/>
      <c r="K914" s="296"/>
      <c r="L914" s="296"/>
      <c r="M914" s="296"/>
      <c r="N914" s="296"/>
      <c r="O914" s="296"/>
      <c r="P914" s="296"/>
      <c r="Q914" s="297"/>
      <c r="R914" s="90"/>
      <c r="S914" s="90"/>
      <c r="T914" s="264"/>
      <c r="U914" s="90"/>
      <c r="V914" s="90"/>
      <c r="W914" s="90"/>
      <c r="X914" s="90"/>
      <c r="Y914" s="90"/>
      <c r="Z914" s="90"/>
      <c r="AA914" s="90"/>
    </row>
    <row r="915" ht="15.75" customHeight="1">
      <c r="A915" s="90"/>
      <c r="B915" s="292"/>
      <c r="C915" s="293"/>
      <c r="D915" s="90"/>
      <c r="E915" s="293"/>
      <c r="F915" s="294"/>
      <c r="G915" s="292"/>
      <c r="H915" s="293"/>
      <c r="I915" s="294"/>
      <c r="J915" s="90"/>
      <c r="K915" s="296"/>
      <c r="L915" s="296"/>
      <c r="M915" s="296"/>
      <c r="N915" s="296"/>
      <c r="O915" s="296"/>
      <c r="P915" s="296"/>
      <c r="Q915" s="297"/>
      <c r="R915" s="90"/>
      <c r="S915" s="90"/>
      <c r="T915" s="264"/>
      <c r="U915" s="90"/>
      <c r="V915" s="90"/>
      <c r="W915" s="90"/>
      <c r="X915" s="90"/>
      <c r="Y915" s="90"/>
      <c r="Z915" s="90"/>
      <c r="AA915" s="90"/>
    </row>
    <row r="916" ht="15.75" customHeight="1">
      <c r="A916" s="90"/>
      <c r="B916" s="292"/>
      <c r="C916" s="293"/>
      <c r="D916" s="90"/>
      <c r="E916" s="293"/>
      <c r="F916" s="294"/>
      <c r="G916" s="292"/>
      <c r="H916" s="293"/>
      <c r="I916" s="294"/>
      <c r="J916" s="90"/>
      <c r="K916" s="296"/>
      <c r="L916" s="296"/>
      <c r="M916" s="296"/>
      <c r="N916" s="296"/>
      <c r="O916" s="296"/>
      <c r="P916" s="296"/>
      <c r="Q916" s="297"/>
      <c r="R916" s="90"/>
      <c r="S916" s="90"/>
      <c r="T916" s="264"/>
      <c r="U916" s="90"/>
      <c r="V916" s="90"/>
      <c r="W916" s="90"/>
      <c r="X916" s="90"/>
      <c r="Y916" s="90"/>
      <c r="Z916" s="90"/>
      <c r="AA916" s="90"/>
    </row>
    <row r="917" ht="15.75" customHeight="1">
      <c r="A917" s="90"/>
      <c r="B917" s="292"/>
      <c r="C917" s="293"/>
      <c r="D917" s="90"/>
      <c r="E917" s="293"/>
      <c r="F917" s="294"/>
      <c r="G917" s="292"/>
      <c r="H917" s="293"/>
      <c r="I917" s="294"/>
      <c r="J917" s="90"/>
      <c r="K917" s="296"/>
      <c r="L917" s="296"/>
      <c r="M917" s="296"/>
      <c r="N917" s="296"/>
      <c r="O917" s="296"/>
      <c r="P917" s="296"/>
      <c r="Q917" s="297"/>
      <c r="R917" s="90"/>
      <c r="S917" s="90"/>
      <c r="T917" s="264"/>
      <c r="U917" s="90"/>
      <c r="V917" s="90"/>
      <c r="W917" s="90"/>
      <c r="X917" s="90"/>
      <c r="Y917" s="90"/>
      <c r="Z917" s="90"/>
      <c r="AA917" s="90"/>
    </row>
    <row r="918" ht="15.75" customHeight="1">
      <c r="A918" s="90"/>
      <c r="B918" s="292"/>
      <c r="C918" s="293"/>
      <c r="D918" s="90"/>
      <c r="E918" s="293"/>
      <c r="F918" s="294"/>
      <c r="G918" s="292"/>
      <c r="H918" s="293"/>
      <c r="I918" s="294"/>
      <c r="J918" s="90"/>
      <c r="K918" s="296"/>
      <c r="L918" s="296"/>
      <c r="M918" s="296"/>
      <c r="N918" s="296"/>
      <c r="O918" s="296"/>
      <c r="P918" s="296"/>
      <c r="Q918" s="297"/>
      <c r="R918" s="90"/>
      <c r="S918" s="90"/>
      <c r="T918" s="264"/>
      <c r="U918" s="90"/>
      <c r="V918" s="90"/>
      <c r="W918" s="90"/>
      <c r="X918" s="90"/>
      <c r="Y918" s="90"/>
      <c r="Z918" s="90"/>
      <c r="AA918" s="90"/>
    </row>
    <row r="919" ht="15.75" customHeight="1">
      <c r="A919" s="90"/>
      <c r="B919" s="292"/>
      <c r="C919" s="293"/>
      <c r="D919" s="90"/>
      <c r="E919" s="293"/>
      <c r="F919" s="294"/>
      <c r="G919" s="292"/>
      <c r="H919" s="293"/>
      <c r="I919" s="294"/>
      <c r="J919" s="90"/>
      <c r="K919" s="296"/>
      <c r="L919" s="296"/>
      <c r="M919" s="296"/>
      <c r="N919" s="296"/>
      <c r="O919" s="296"/>
      <c r="P919" s="296"/>
      <c r="Q919" s="297"/>
      <c r="R919" s="90"/>
      <c r="S919" s="90"/>
      <c r="T919" s="264"/>
      <c r="U919" s="90"/>
      <c r="V919" s="90"/>
      <c r="W919" s="90"/>
      <c r="X919" s="90"/>
      <c r="Y919" s="90"/>
      <c r="Z919" s="90"/>
      <c r="AA919" s="90"/>
    </row>
    <row r="920" ht="15.75" customHeight="1">
      <c r="A920" s="90"/>
      <c r="B920" s="292"/>
      <c r="C920" s="293"/>
      <c r="D920" s="90"/>
      <c r="E920" s="293"/>
      <c r="F920" s="294"/>
      <c r="G920" s="292"/>
      <c r="H920" s="293"/>
      <c r="I920" s="294"/>
      <c r="J920" s="90"/>
      <c r="K920" s="296"/>
      <c r="L920" s="296"/>
      <c r="M920" s="296"/>
      <c r="N920" s="296"/>
      <c r="O920" s="296"/>
      <c r="P920" s="296"/>
      <c r="Q920" s="297"/>
      <c r="R920" s="90"/>
      <c r="S920" s="90"/>
      <c r="T920" s="264"/>
      <c r="U920" s="90"/>
      <c r="V920" s="90"/>
      <c r="W920" s="90"/>
      <c r="X920" s="90"/>
      <c r="Y920" s="90"/>
      <c r="Z920" s="90"/>
      <c r="AA920" s="90"/>
    </row>
    <row r="921" ht="15.75" customHeight="1">
      <c r="A921" s="90"/>
      <c r="B921" s="292"/>
      <c r="C921" s="293"/>
      <c r="D921" s="90"/>
      <c r="E921" s="293"/>
      <c r="F921" s="294"/>
      <c r="G921" s="292"/>
      <c r="H921" s="293"/>
      <c r="I921" s="294"/>
      <c r="J921" s="90"/>
      <c r="K921" s="296"/>
      <c r="L921" s="296"/>
      <c r="M921" s="296"/>
      <c r="N921" s="296"/>
      <c r="O921" s="296"/>
      <c r="P921" s="296"/>
      <c r="Q921" s="297"/>
      <c r="R921" s="90"/>
      <c r="S921" s="90"/>
      <c r="T921" s="264"/>
      <c r="U921" s="90"/>
      <c r="V921" s="90"/>
      <c r="W921" s="90"/>
      <c r="X921" s="90"/>
      <c r="Y921" s="90"/>
      <c r="Z921" s="90"/>
      <c r="AA921" s="90"/>
    </row>
    <row r="922" ht="15.75" customHeight="1">
      <c r="A922" s="90"/>
      <c r="B922" s="292"/>
      <c r="C922" s="293"/>
      <c r="D922" s="90"/>
      <c r="E922" s="293"/>
      <c r="F922" s="294"/>
      <c r="G922" s="292"/>
      <c r="H922" s="293"/>
      <c r="I922" s="294"/>
      <c r="J922" s="90"/>
      <c r="K922" s="296"/>
      <c r="L922" s="296"/>
      <c r="M922" s="296"/>
      <c r="N922" s="296"/>
      <c r="O922" s="296"/>
      <c r="P922" s="296"/>
      <c r="Q922" s="297"/>
      <c r="R922" s="90"/>
      <c r="S922" s="90"/>
      <c r="T922" s="264"/>
      <c r="U922" s="90"/>
      <c r="V922" s="90"/>
      <c r="W922" s="90"/>
      <c r="X922" s="90"/>
      <c r="Y922" s="90"/>
      <c r="Z922" s="90"/>
      <c r="AA922" s="90"/>
    </row>
    <row r="923" ht="15.75" customHeight="1">
      <c r="A923" s="90"/>
      <c r="B923" s="292"/>
      <c r="C923" s="293"/>
      <c r="D923" s="90"/>
      <c r="E923" s="293"/>
      <c r="F923" s="294"/>
      <c r="G923" s="292"/>
      <c r="H923" s="293"/>
      <c r="I923" s="294"/>
      <c r="J923" s="90"/>
      <c r="K923" s="296"/>
      <c r="L923" s="296"/>
      <c r="M923" s="296"/>
      <c r="N923" s="296"/>
      <c r="O923" s="296"/>
      <c r="P923" s="296"/>
      <c r="Q923" s="297"/>
      <c r="R923" s="90"/>
      <c r="S923" s="90"/>
      <c r="T923" s="264"/>
      <c r="U923" s="90"/>
      <c r="V923" s="90"/>
      <c r="W923" s="90"/>
      <c r="X923" s="90"/>
      <c r="Y923" s="90"/>
      <c r="Z923" s="90"/>
      <c r="AA923" s="90"/>
    </row>
    <row r="924" ht="15.75" customHeight="1">
      <c r="A924" s="90"/>
      <c r="B924" s="292"/>
      <c r="C924" s="293"/>
      <c r="D924" s="90"/>
      <c r="E924" s="293"/>
      <c r="F924" s="294"/>
      <c r="G924" s="292"/>
      <c r="H924" s="293"/>
      <c r="I924" s="294"/>
      <c r="J924" s="90"/>
      <c r="K924" s="296"/>
      <c r="L924" s="296"/>
      <c r="M924" s="296"/>
      <c r="N924" s="296"/>
      <c r="O924" s="296"/>
      <c r="P924" s="296"/>
      <c r="Q924" s="297"/>
      <c r="R924" s="90"/>
      <c r="S924" s="90"/>
      <c r="T924" s="264"/>
      <c r="U924" s="90"/>
      <c r="V924" s="90"/>
      <c r="W924" s="90"/>
      <c r="X924" s="90"/>
      <c r="Y924" s="90"/>
      <c r="Z924" s="90"/>
      <c r="AA924" s="90"/>
    </row>
    <row r="925" ht="15.75" customHeight="1">
      <c r="A925" s="90"/>
      <c r="B925" s="292"/>
      <c r="C925" s="293"/>
      <c r="D925" s="90"/>
      <c r="E925" s="293"/>
      <c r="F925" s="294"/>
      <c r="G925" s="292"/>
      <c r="H925" s="293"/>
      <c r="I925" s="294"/>
      <c r="J925" s="90"/>
      <c r="K925" s="296"/>
      <c r="L925" s="296"/>
      <c r="M925" s="296"/>
      <c r="N925" s="296"/>
      <c r="O925" s="296"/>
      <c r="P925" s="296"/>
      <c r="Q925" s="297"/>
      <c r="R925" s="90"/>
      <c r="S925" s="90"/>
      <c r="T925" s="264"/>
      <c r="U925" s="90"/>
      <c r="V925" s="90"/>
      <c r="W925" s="90"/>
      <c r="X925" s="90"/>
      <c r="Y925" s="90"/>
      <c r="Z925" s="90"/>
      <c r="AA925" s="90"/>
    </row>
    <row r="926" ht="15.75" customHeight="1">
      <c r="A926" s="90"/>
      <c r="B926" s="292"/>
      <c r="C926" s="293"/>
      <c r="D926" s="90"/>
      <c r="E926" s="293"/>
      <c r="F926" s="294"/>
      <c r="G926" s="292"/>
      <c r="H926" s="293"/>
      <c r="I926" s="294"/>
      <c r="J926" s="90"/>
      <c r="K926" s="296"/>
      <c r="L926" s="296"/>
      <c r="M926" s="296"/>
      <c r="N926" s="296"/>
      <c r="O926" s="296"/>
      <c r="P926" s="296"/>
      <c r="Q926" s="297"/>
      <c r="R926" s="90"/>
      <c r="S926" s="90"/>
      <c r="T926" s="264"/>
      <c r="U926" s="90"/>
      <c r="V926" s="90"/>
      <c r="W926" s="90"/>
      <c r="X926" s="90"/>
      <c r="Y926" s="90"/>
      <c r="Z926" s="90"/>
      <c r="AA926" s="90"/>
    </row>
    <row r="927" ht="15.75" customHeight="1">
      <c r="A927" s="90"/>
      <c r="B927" s="292"/>
      <c r="C927" s="293"/>
      <c r="D927" s="90"/>
      <c r="E927" s="293"/>
      <c r="F927" s="294"/>
      <c r="G927" s="292"/>
      <c r="H927" s="293"/>
      <c r="I927" s="294"/>
      <c r="J927" s="90"/>
      <c r="K927" s="296"/>
      <c r="L927" s="296"/>
      <c r="M927" s="296"/>
      <c r="N927" s="296"/>
      <c r="O927" s="296"/>
      <c r="P927" s="296"/>
      <c r="Q927" s="297"/>
      <c r="R927" s="90"/>
      <c r="S927" s="90"/>
      <c r="T927" s="264"/>
      <c r="U927" s="90"/>
      <c r="V927" s="90"/>
      <c r="W927" s="90"/>
      <c r="X927" s="90"/>
      <c r="Y927" s="90"/>
      <c r="Z927" s="90"/>
      <c r="AA927" s="90"/>
    </row>
    <row r="928" ht="15.75" customHeight="1">
      <c r="A928" s="90"/>
      <c r="B928" s="292"/>
      <c r="C928" s="293"/>
      <c r="D928" s="90"/>
      <c r="E928" s="293"/>
      <c r="F928" s="294"/>
      <c r="G928" s="292"/>
      <c r="H928" s="293"/>
      <c r="I928" s="294"/>
      <c r="J928" s="90"/>
      <c r="K928" s="296"/>
      <c r="L928" s="296"/>
      <c r="M928" s="296"/>
      <c r="N928" s="296"/>
      <c r="O928" s="296"/>
      <c r="P928" s="296"/>
      <c r="Q928" s="297"/>
      <c r="R928" s="90"/>
      <c r="S928" s="90"/>
      <c r="T928" s="264"/>
      <c r="U928" s="90"/>
      <c r="V928" s="90"/>
      <c r="W928" s="90"/>
      <c r="X928" s="90"/>
      <c r="Y928" s="90"/>
      <c r="Z928" s="90"/>
      <c r="AA928" s="90"/>
    </row>
    <row r="929" ht="15.75" customHeight="1">
      <c r="A929" s="90"/>
      <c r="B929" s="292"/>
      <c r="C929" s="293"/>
      <c r="D929" s="90"/>
      <c r="E929" s="293"/>
      <c r="F929" s="294"/>
      <c r="G929" s="292"/>
      <c r="H929" s="293"/>
      <c r="I929" s="294"/>
      <c r="J929" s="90"/>
      <c r="K929" s="296"/>
      <c r="L929" s="296"/>
      <c r="M929" s="296"/>
      <c r="N929" s="296"/>
      <c r="O929" s="296"/>
      <c r="P929" s="296"/>
      <c r="Q929" s="297"/>
      <c r="R929" s="90"/>
      <c r="S929" s="90"/>
      <c r="T929" s="264"/>
      <c r="U929" s="90"/>
      <c r="V929" s="90"/>
      <c r="W929" s="90"/>
      <c r="X929" s="90"/>
      <c r="Y929" s="90"/>
      <c r="Z929" s="90"/>
      <c r="AA929" s="90"/>
    </row>
    <row r="930" ht="15.75" customHeight="1">
      <c r="A930" s="90"/>
      <c r="B930" s="292"/>
      <c r="C930" s="293"/>
      <c r="D930" s="90"/>
      <c r="E930" s="293"/>
      <c r="F930" s="294"/>
      <c r="G930" s="292"/>
      <c r="H930" s="293"/>
      <c r="I930" s="294"/>
      <c r="J930" s="90"/>
      <c r="K930" s="296"/>
      <c r="L930" s="296"/>
      <c r="M930" s="296"/>
      <c r="N930" s="296"/>
      <c r="O930" s="296"/>
      <c r="P930" s="296"/>
      <c r="Q930" s="297"/>
      <c r="R930" s="90"/>
      <c r="S930" s="90"/>
      <c r="T930" s="264"/>
      <c r="U930" s="90"/>
      <c r="V930" s="90"/>
      <c r="W930" s="90"/>
      <c r="X930" s="90"/>
      <c r="Y930" s="90"/>
      <c r="Z930" s="90"/>
      <c r="AA930" s="90"/>
    </row>
    <row r="931" ht="15.75" customHeight="1">
      <c r="A931" s="90"/>
      <c r="B931" s="292"/>
      <c r="C931" s="293"/>
      <c r="D931" s="90"/>
      <c r="E931" s="293"/>
      <c r="F931" s="294"/>
      <c r="G931" s="292"/>
      <c r="H931" s="293"/>
      <c r="I931" s="294"/>
      <c r="J931" s="90"/>
      <c r="K931" s="296"/>
      <c r="L931" s="296"/>
      <c r="M931" s="296"/>
      <c r="N931" s="296"/>
      <c r="O931" s="296"/>
      <c r="P931" s="296"/>
      <c r="Q931" s="297"/>
      <c r="R931" s="90"/>
      <c r="S931" s="90"/>
      <c r="T931" s="264"/>
      <c r="U931" s="90"/>
      <c r="V931" s="90"/>
      <c r="W931" s="90"/>
      <c r="X931" s="90"/>
      <c r="Y931" s="90"/>
      <c r="Z931" s="90"/>
      <c r="AA931" s="90"/>
    </row>
    <row r="932" ht="15.75" customHeight="1">
      <c r="A932" s="90"/>
      <c r="B932" s="292"/>
      <c r="C932" s="293"/>
      <c r="D932" s="90"/>
      <c r="E932" s="293"/>
      <c r="F932" s="294"/>
      <c r="G932" s="292"/>
      <c r="H932" s="293"/>
      <c r="I932" s="294"/>
      <c r="J932" s="90"/>
      <c r="K932" s="296"/>
      <c r="L932" s="296"/>
      <c r="M932" s="296"/>
      <c r="N932" s="296"/>
      <c r="O932" s="296"/>
      <c r="P932" s="296"/>
      <c r="Q932" s="297"/>
      <c r="R932" s="90"/>
      <c r="S932" s="90"/>
      <c r="T932" s="264"/>
      <c r="U932" s="90"/>
      <c r="V932" s="90"/>
      <c r="W932" s="90"/>
      <c r="X932" s="90"/>
      <c r="Y932" s="90"/>
      <c r="Z932" s="90"/>
      <c r="AA932" s="90"/>
    </row>
    <row r="933" ht="15.75" customHeight="1">
      <c r="A933" s="90"/>
      <c r="B933" s="292"/>
      <c r="C933" s="293"/>
      <c r="D933" s="90"/>
      <c r="E933" s="293"/>
      <c r="F933" s="294"/>
      <c r="G933" s="292"/>
      <c r="H933" s="293"/>
      <c r="I933" s="294"/>
      <c r="J933" s="90"/>
      <c r="K933" s="296"/>
      <c r="L933" s="296"/>
      <c r="M933" s="296"/>
      <c r="N933" s="296"/>
      <c r="O933" s="296"/>
      <c r="P933" s="296"/>
      <c r="Q933" s="297"/>
      <c r="R933" s="90"/>
      <c r="S933" s="90"/>
      <c r="T933" s="264"/>
      <c r="U933" s="90"/>
      <c r="V933" s="90"/>
      <c r="W933" s="90"/>
      <c r="X933" s="90"/>
      <c r="Y933" s="90"/>
      <c r="Z933" s="90"/>
      <c r="AA933" s="90"/>
    </row>
    <row r="934" ht="15.75" customHeight="1">
      <c r="A934" s="90"/>
      <c r="B934" s="292"/>
      <c r="C934" s="293"/>
      <c r="D934" s="90"/>
      <c r="E934" s="293"/>
      <c r="F934" s="294"/>
      <c r="G934" s="292"/>
      <c r="H934" s="293"/>
      <c r="I934" s="294"/>
      <c r="J934" s="90"/>
      <c r="K934" s="296"/>
      <c r="L934" s="296"/>
      <c r="M934" s="296"/>
      <c r="N934" s="296"/>
      <c r="O934" s="296"/>
      <c r="P934" s="296"/>
      <c r="Q934" s="297"/>
      <c r="R934" s="90"/>
      <c r="S934" s="90"/>
      <c r="T934" s="264"/>
      <c r="U934" s="90"/>
      <c r="V934" s="90"/>
      <c r="W934" s="90"/>
      <c r="X934" s="90"/>
      <c r="Y934" s="90"/>
      <c r="Z934" s="90"/>
      <c r="AA934" s="90"/>
    </row>
    <row r="935" ht="15.75" customHeight="1">
      <c r="A935" s="90"/>
      <c r="B935" s="292"/>
      <c r="C935" s="293"/>
      <c r="D935" s="90"/>
      <c r="E935" s="293"/>
      <c r="F935" s="294"/>
      <c r="G935" s="292"/>
      <c r="H935" s="293"/>
      <c r="I935" s="294"/>
      <c r="J935" s="90"/>
      <c r="K935" s="296"/>
      <c r="L935" s="296"/>
      <c r="M935" s="296"/>
      <c r="N935" s="296"/>
      <c r="O935" s="296"/>
      <c r="P935" s="296"/>
      <c r="Q935" s="297"/>
      <c r="R935" s="90"/>
      <c r="S935" s="90"/>
      <c r="T935" s="264"/>
      <c r="U935" s="90"/>
      <c r="V935" s="90"/>
      <c r="W935" s="90"/>
      <c r="X935" s="90"/>
      <c r="Y935" s="90"/>
      <c r="Z935" s="90"/>
      <c r="AA935" s="90"/>
    </row>
    <row r="936" ht="15.75" customHeight="1">
      <c r="A936" s="90"/>
      <c r="B936" s="292"/>
      <c r="C936" s="293"/>
      <c r="D936" s="90"/>
      <c r="E936" s="293"/>
      <c r="F936" s="294"/>
      <c r="G936" s="292"/>
      <c r="H936" s="293"/>
      <c r="I936" s="294"/>
      <c r="J936" s="90"/>
      <c r="K936" s="296"/>
      <c r="L936" s="296"/>
      <c r="M936" s="296"/>
      <c r="N936" s="296"/>
      <c r="O936" s="296"/>
      <c r="P936" s="296"/>
      <c r="Q936" s="297"/>
      <c r="R936" s="90"/>
      <c r="S936" s="90"/>
      <c r="T936" s="264"/>
      <c r="U936" s="90"/>
      <c r="V936" s="90"/>
      <c r="W936" s="90"/>
      <c r="X936" s="90"/>
      <c r="Y936" s="90"/>
      <c r="Z936" s="90"/>
      <c r="AA936" s="90"/>
    </row>
    <row r="937" ht="15.75" customHeight="1">
      <c r="A937" s="90"/>
      <c r="B937" s="292"/>
      <c r="C937" s="293"/>
      <c r="D937" s="90"/>
      <c r="E937" s="293"/>
      <c r="F937" s="294"/>
      <c r="G937" s="292"/>
      <c r="H937" s="293"/>
      <c r="I937" s="294"/>
      <c r="J937" s="90"/>
      <c r="K937" s="296"/>
      <c r="L937" s="296"/>
      <c r="M937" s="296"/>
      <c r="N937" s="296"/>
      <c r="O937" s="296"/>
      <c r="P937" s="296"/>
      <c r="Q937" s="297"/>
      <c r="R937" s="90"/>
      <c r="S937" s="90"/>
      <c r="T937" s="264"/>
      <c r="U937" s="90"/>
      <c r="V937" s="90"/>
      <c r="W937" s="90"/>
      <c r="X937" s="90"/>
      <c r="Y937" s="90"/>
      <c r="Z937" s="90"/>
      <c r="AA937" s="90"/>
    </row>
    <row r="938" ht="15.75" customHeight="1">
      <c r="A938" s="90"/>
      <c r="B938" s="292"/>
      <c r="C938" s="293"/>
      <c r="D938" s="90"/>
      <c r="E938" s="293"/>
      <c r="F938" s="294"/>
      <c r="G938" s="292"/>
      <c r="H938" s="293"/>
      <c r="I938" s="294"/>
      <c r="J938" s="90"/>
      <c r="K938" s="296"/>
      <c r="L938" s="296"/>
      <c r="M938" s="296"/>
      <c r="N938" s="296"/>
      <c r="O938" s="296"/>
      <c r="P938" s="296"/>
      <c r="Q938" s="297"/>
      <c r="R938" s="90"/>
      <c r="S938" s="90"/>
      <c r="T938" s="264"/>
      <c r="U938" s="90"/>
      <c r="V938" s="90"/>
      <c r="W938" s="90"/>
      <c r="X938" s="90"/>
      <c r="Y938" s="90"/>
      <c r="Z938" s="90"/>
      <c r="AA938" s="90"/>
    </row>
    <row r="939" ht="15.75" customHeight="1">
      <c r="A939" s="90"/>
      <c r="B939" s="292"/>
      <c r="C939" s="293"/>
      <c r="D939" s="90"/>
      <c r="E939" s="293"/>
      <c r="F939" s="294"/>
      <c r="G939" s="292"/>
      <c r="H939" s="293"/>
      <c r="I939" s="294"/>
      <c r="J939" s="90"/>
      <c r="K939" s="296"/>
      <c r="L939" s="296"/>
      <c r="M939" s="296"/>
      <c r="N939" s="296"/>
      <c r="O939" s="296"/>
      <c r="P939" s="296"/>
      <c r="Q939" s="297"/>
      <c r="R939" s="90"/>
      <c r="S939" s="90"/>
      <c r="T939" s="264"/>
      <c r="U939" s="90"/>
      <c r="V939" s="90"/>
      <c r="W939" s="90"/>
      <c r="X939" s="90"/>
      <c r="Y939" s="90"/>
      <c r="Z939" s="90"/>
      <c r="AA939" s="90"/>
    </row>
    <row r="940" ht="15.75" customHeight="1">
      <c r="A940" s="90"/>
      <c r="B940" s="292"/>
      <c r="C940" s="293"/>
      <c r="D940" s="90"/>
      <c r="E940" s="293"/>
      <c r="F940" s="294"/>
      <c r="G940" s="292"/>
      <c r="H940" s="293"/>
      <c r="I940" s="294"/>
      <c r="J940" s="90"/>
      <c r="K940" s="296"/>
      <c r="L940" s="296"/>
      <c r="M940" s="296"/>
      <c r="N940" s="296"/>
      <c r="O940" s="296"/>
      <c r="P940" s="296"/>
      <c r="Q940" s="297"/>
      <c r="R940" s="90"/>
      <c r="S940" s="90"/>
      <c r="T940" s="264"/>
      <c r="U940" s="90"/>
      <c r="V940" s="90"/>
      <c r="W940" s="90"/>
      <c r="X940" s="90"/>
      <c r="Y940" s="90"/>
      <c r="Z940" s="90"/>
      <c r="AA940" s="90"/>
    </row>
    <row r="941" ht="15.75" customHeight="1">
      <c r="A941" s="90"/>
      <c r="B941" s="292"/>
      <c r="C941" s="293"/>
      <c r="D941" s="90"/>
      <c r="E941" s="293"/>
      <c r="F941" s="294"/>
      <c r="G941" s="292"/>
      <c r="H941" s="293"/>
      <c r="I941" s="294"/>
      <c r="J941" s="90"/>
      <c r="K941" s="296"/>
      <c r="L941" s="296"/>
      <c r="M941" s="296"/>
      <c r="N941" s="296"/>
      <c r="O941" s="296"/>
      <c r="P941" s="296"/>
      <c r="Q941" s="297"/>
      <c r="R941" s="90"/>
      <c r="S941" s="90"/>
      <c r="T941" s="264"/>
      <c r="U941" s="90"/>
      <c r="V941" s="90"/>
      <c r="W941" s="90"/>
      <c r="X941" s="90"/>
      <c r="Y941" s="90"/>
      <c r="Z941" s="90"/>
      <c r="AA941" s="90"/>
    </row>
    <row r="942" ht="15.75" customHeight="1">
      <c r="A942" s="90"/>
      <c r="B942" s="292"/>
      <c r="C942" s="293"/>
      <c r="D942" s="90"/>
      <c r="E942" s="293"/>
      <c r="F942" s="294"/>
      <c r="G942" s="292"/>
      <c r="H942" s="293"/>
      <c r="I942" s="294"/>
      <c r="J942" s="90"/>
      <c r="K942" s="296"/>
      <c r="L942" s="296"/>
      <c r="M942" s="296"/>
      <c r="N942" s="296"/>
      <c r="O942" s="296"/>
      <c r="P942" s="296"/>
      <c r="Q942" s="297"/>
      <c r="R942" s="90"/>
      <c r="S942" s="90"/>
      <c r="T942" s="264"/>
      <c r="U942" s="90"/>
      <c r="V942" s="90"/>
      <c r="W942" s="90"/>
      <c r="X942" s="90"/>
      <c r="Y942" s="90"/>
      <c r="Z942" s="90"/>
      <c r="AA942" s="90"/>
    </row>
    <row r="943" ht="15.75" customHeight="1">
      <c r="A943" s="90"/>
      <c r="B943" s="292"/>
      <c r="C943" s="293"/>
      <c r="D943" s="90"/>
      <c r="E943" s="293"/>
      <c r="F943" s="294"/>
      <c r="G943" s="292"/>
      <c r="H943" s="293"/>
      <c r="I943" s="294"/>
      <c r="J943" s="90"/>
      <c r="K943" s="296"/>
      <c r="L943" s="296"/>
      <c r="M943" s="296"/>
      <c r="N943" s="296"/>
      <c r="O943" s="296"/>
      <c r="P943" s="296"/>
      <c r="Q943" s="297"/>
      <c r="R943" s="90"/>
      <c r="S943" s="90"/>
      <c r="T943" s="264"/>
      <c r="U943" s="90"/>
      <c r="V943" s="90"/>
      <c r="W943" s="90"/>
      <c r="X943" s="90"/>
      <c r="Y943" s="90"/>
      <c r="Z943" s="90"/>
      <c r="AA943" s="90"/>
    </row>
    <row r="944" ht="15.75" customHeight="1">
      <c r="A944" s="90"/>
      <c r="B944" s="292"/>
      <c r="C944" s="293"/>
      <c r="D944" s="90"/>
      <c r="E944" s="293"/>
      <c r="F944" s="294"/>
      <c r="G944" s="292"/>
      <c r="H944" s="293"/>
      <c r="I944" s="294"/>
      <c r="J944" s="90"/>
      <c r="K944" s="296"/>
      <c r="L944" s="296"/>
      <c r="M944" s="296"/>
      <c r="N944" s="296"/>
      <c r="O944" s="296"/>
      <c r="P944" s="296"/>
      <c r="Q944" s="297"/>
      <c r="R944" s="90"/>
      <c r="S944" s="90"/>
      <c r="T944" s="264"/>
      <c r="U944" s="90"/>
      <c r="V944" s="90"/>
      <c r="W944" s="90"/>
      <c r="X944" s="90"/>
      <c r="Y944" s="90"/>
      <c r="Z944" s="90"/>
      <c r="AA944" s="90"/>
    </row>
    <row r="945" ht="15.75" customHeight="1">
      <c r="A945" s="90"/>
      <c r="B945" s="292"/>
      <c r="C945" s="293"/>
      <c r="D945" s="90"/>
      <c r="E945" s="293"/>
      <c r="F945" s="294"/>
      <c r="G945" s="292"/>
      <c r="H945" s="293"/>
      <c r="I945" s="294"/>
      <c r="J945" s="90"/>
      <c r="K945" s="296"/>
      <c r="L945" s="296"/>
      <c r="M945" s="296"/>
      <c r="N945" s="296"/>
      <c r="O945" s="296"/>
      <c r="P945" s="296"/>
      <c r="Q945" s="297"/>
      <c r="R945" s="90"/>
      <c r="S945" s="90"/>
      <c r="T945" s="264"/>
      <c r="U945" s="90"/>
      <c r="V945" s="90"/>
      <c r="W945" s="90"/>
      <c r="X945" s="90"/>
      <c r="Y945" s="90"/>
      <c r="Z945" s="90"/>
      <c r="AA945" s="90"/>
    </row>
    <row r="946" ht="15.75" customHeight="1">
      <c r="A946" s="90"/>
      <c r="B946" s="292"/>
      <c r="C946" s="293"/>
      <c r="D946" s="90"/>
      <c r="E946" s="293"/>
      <c r="F946" s="294"/>
      <c r="G946" s="292"/>
      <c r="H946" s="293"/>
      <c r="I946" s="294"/>
      <c r="J946" s="90"/>
      <c r="K946" s="296"/>
      <c r="L946" s="296"/>
      <c r="M946" s="296"/>
      <c r="N946" s="296"/>
      <c r="O946" s="296"/>
      <c r="P946" s="296"/>
      <c r="Q946" s="297"/>
      <c r="R946" s="90"/>
      <c r="S946" s="90"/>
      <c r="T946" s="264"/>
      <c r="U946" s="90"/>
      <c r="V946" s="90"/>
      <c r="W946" s="90"/>
      <c r="X946" s="90"/>
      <c r="Y946" s="90"/>
      <c r="Z946" s="90"/>
      <c r="AA946" s="90"/>
    </row>
    <row r="947" ht="15.75" customHeight="1">
      <c r="A947" s="90"/>
      <c r="B947" s="292"/>
      <c r="C947" s="293"/>
      <c r="D947" s="90"/>
      <c r="E947" s="293"/>
      <c r="F947" s="294"/>
      <c r="G947" s="292"/>
      <c r="H947" s="293"/>
      <c r="I947" s="294"/>
      <c r="J947" s="90"/>
      <c r="K947" s="296"/>
      <c r="L947" s="296"/>
      <c r="M947" s="296"/>
      <c r="N947" s="296"/>
      <c r="O947" s="296"/>
      <c r="P947" s="296"/>
      <c r="Q947" s="297"/>
      <c r="R947" s="90"/>
      <c r="S947" s="90"/>
      <c r="T947" s="264"/>
      <c r="U947" s="90"/>
      <c r="V947" s="90"/>
      <c r="W947" s="90"/>
      <c r="X947" s="90"/>
      <c r="Y947" s="90"/>
      <c r="Z947" s="90"/>
      <c r="AA947" s="90"/>
    </row>
    <row r="948" ht="15.75" customHeight="1">
      <c r="A948" s="90"/>
      <c r="B948" s="292"/>
      <c r="C948" s="293"/>
      <c r="D948" s="90"/>
      <c r="E948" s="293"/>
      <c r="F948" s="294"/>
      <c r="G948" s="292"/>
      <c r="H948" s="293"/>
      <c r="I948" s="294"/>
      <c r="J948" s="90"/>
      <c r="K948" s="296"/>
      <c r="L948" s="296"/>
      <c r="M948" s="296"/>
      <c r="N948" s="296"/>
      <c r="O948" s="296"/>
      <c r="P948" s="296"/>
      <c r="Q948" s="297"/>
      <c r="R948" s="90"/>
      <c r="S948" s="90"/>
      <c r="T948" s="264"/>
      <c r="U948" s="90"/>
      <c r="V948" s="90"/>
      <c r="W948" s="90"/>
      <c r="X948" s="90"/>
      <c r="Y948" s="90"/>
      <c r="Z948" s="90"/>
      <c r="AA948" s="90"/>
    </row>
    <row r="949" ht="15.75" customHeight="1">
      <c r="A949" s="90"/>
      <c r="B949" s="292"/>
      <c r="C949" s="293"/>
      <c r="D949" s="90"/>
      <c r="E949" s="293"/>
      <c r="F949" s="294"/>
      <c r="G949" s="292"/>
      <c r="H949" s="293"/>
      <c r="I949" s="294"/>
      <c r="J949" s="90"/>
      <c r="K949" s="296"/>
      <c r="L949" s="296"/>
      <c r="M949" s="296"/>
      <c r="N949" s="296"/>
      <c r="O949" s="296"/>
      <c r="P949" s="296"/>
      <c r="Q949" s="297"/>
      <c r="R949" s="90"/>
      <c r="S949" s="90"/>
      <c r="T949" s="264"/>
      <c r="U949" s="90"/>
      <c r="V949" s="90"/>
      <c r="W949" s="90"/>
      <c r="X949" s="90"/>
      <c r="Y949" s="90"/>
      <c r="Z949" s="90"/>
      <c r="AA949" s="90"/>
    </row>
    <row r="950" ht="15.75" customHeight="1">
      <c r="A950" s="90"/>
      <c r="B950" s="292"/>
      <c r="C950" s="293"/>
      <c r="D950" s="90"/>
      <c r="E950" s="293"/>
      <c r="F950" s="294"/>
      <c r="G950" s="292"/>
      <c r="H950" s="293"/>
      <c r="I950" s="294"/>
      <c r="J950" s="90"/>
      <c r="K950" s="296"/>
      <c r="L950" s="296"/>
      <c r="M950" s="296"/>
      <c r="N950" s="296"/>
      <c r="O950" s="296"/>
      <c r="P950" s="296"/>
      <c r="Q950" s="297"/>
      <c r="R950" s="90"/>
      <c r="S950" s="90"/>
      <c r="T950" s="264"/>
      <c r="U950" s="90"/>
      <c r="V950" s="90"/>
      <c r="W950" s="90"/>
      <c r="X950" s="90"/>
      <c r="Y950" s="90"/>
      <c r="Z950" s="90"/>
      <c r="AA950" s="90"/>
    </row>
    <row r="951" ht="15.75" customHeight="1">
      <c r="A951" s="90"/>
      <c r="B951" s="292"/>
      <c r="C951" s="293"/>
      <c r="D951" s="90"/>
      <c r="E951" s="293"/>
      <c r="F951" s="294"/>
      <c r="G951" s="292"/>
      <c r="H951" s="293"/>
      <c r="I951" s="294"/>
      <c r="J951" s="90"/>
      <c r="K951" s="296"/>
      <c r="L951" s="296"/>
      <c r="M951" s="296"/>
      <c r="N951" s="296"/>
      <c r="O951" s="296"/>
      <c r="P951" s="296"/>
      <c r="Q951" s="297"/>
      <c r="R951" s="90"/>
      <c r="S951" s="90"/>
      <c r="T951" s="264"/>
      <c r="U951" s="90"/>
      <c r="V951" s="90"/>
      <c r="W951" s="90"/>
      <c r="X951" s="90"/>
      <c r="Y951" s="90"/>
      <c r="Z951" s="90"/>
      <c r="AA951" s="90"/>
    </row>
    <row r="952" ht="15.75" customHeight="1">
      <c r="A952" s="90"/>
      <c r="B952" s="292"/>
      <c r="C952" s="293"/>
      <c r="D952" s="90"/>
      <c r="E952" s="293"/>
      <c r="F952" s="294"/>
      <c r="G952" s="292"/>
      <c r="H952" s="293"/>
      <c r="I952" s="294"/>
      <c r="J952" s="90"/>
      <c r="K952" s="296"/>
      <c r="L952" s="296"/>
      <c r="M952" s="296"/>
      <c r="N952" s="296"/>
      <c r="O952" s="296"/>
      <c r="P952" s="296"/>
      <c r="Q952" s="297"/>
      <c r="R952" s="90"/>
      <c r="S952" s="90"/>
      <c r="T952" s="264"/>
      <c r="U952" s="90"/>
      <c r="V952" s="90"/>
      <c r="W952" s="90"/>
      <c r="X952" s="90"/>
      <c r="Y952" s="90"/>
      <c r="Z952" s="90"/>
      <c r="AA952" s="90"/>
    </row>
    <row r="953" ht="15.75" customHeight="1">
      <c r="A953" s="90"/>
      <c r="B953" s="292"/>
      <c r="C953" s="293"/>
      <c r="D953" s="90"/>
      <c r="E953" s="293"/>
      <c r="F953" s="294"/>
      <c r="G953" s="292"/>
      <c r="H953" s="293"/>
      <c r="I953" s="294"/>
      <c r="J953" s="90"/>
      <c r="K953" s="296"/>
      <c r="L953" s="296"/>
      <c r="M953" s="296"/>
      <c r="N953" s="296"/>
      <c r="O953" s="296"/>
      <c r="P953" s="296"/>
      <c r="Q953" s="297"/>
      <c r="R953" s="90"/>
      <c r="S953" s="90"/>
      <c r="T953" s="264"/>
      <c r="U953" s="90"/>
      <c r="V953" s="90"/>
      <c r="W953" s="90"/>
      <c r="X953" s="90"/>
      <c r="Y953" s="90"/>
      <c r="Z953" s="90"/>
      <c r="AA953" s="90"/>
    </row>
    <row r="954" ht="15.75" customHeight="1">
      <c r="A954" s="90"/>
      <c r="B954" s="292"/>
      <c r="C954" s="293"/>
      <c r="D954" s="90"/>
      <c r="E954" s="293"/>
      <c r="F954" s="294"/>
      <c r="G954" s="292"/>
      <c r="H954" s="293"/>
      <c r="I954" s="294"/>
      <c r="J954" s="90"/>
      <c r="K954" s="296"/>
      <c r="L954" s="296"/>
      <c r="M954" s="296"/>
      <c r="N954" s="296"/>
      <c r="O954" s="296"/>
      <c r="P954" s="296"/>
      <c r="Q954" s="297"/>
      <c r="R954" s="90"/>
      <c r="S954" s="90"/>
      <c r="T954" s="264"/>
      <c r="U954" s="90"/>
      <c r="V954" s="90"/>
      <c r="W954" s="90"/>
      <c r="X954" s="90"/>
      <c r="Y954" s="90"/>
      <c r="Z954" s="90"/>
      <c r="AA954" s="90"/>
    </row>
    <row r="955" ht="15.75" customHeight="1">
      <c r="A955" s="90"/>
      <c r="B955" s="292"/>
      <c r="C955" s="293"/>
      <c r="D955" s="90"/>
      <c r="E955" s="293"/>
      <c r="F955" s="294"/>
      <c r="G955" s="292"/>
      <c r="H955" s="293"/>
      <c r="I955" s="294"/>
      <c r="J955" s="90"/>
      <c r="K955" s="296"/>
      <c r="L955" s="296"/>
      <c r="M955" s="296"/>
      <c r="N955" s="296"/>
      <c r="O955" s="296"/>
      <c r="P955" s="296"/>
      <c r="Q955" s="297"/>
      <c r="R955" s="90"/>
      <c r="S955" s="90"/>
      <c r="T955" s="264"/>
      <c r="U955" s="90"/>
      <c r="V955" s="90"/>
      <c r="W955" s="90"/>
      <c r="X955" s="90"/>
      <c r="Y955" s="90"/>
      <c r="Z955" s="90"/>
      <c r="AA955" s="90"/>
    </row>
    <row r="956" ht="15.75" customHeight="1">
      <c r="A956" s="90"/>
      <c r="B956" s="292"/>
      <c r="C956" s="293"/>
      <c r="D956" s="90"/>
      <c r="E956" s="293"/>
      <c r="F956" s="294"/>
      <c r="G956" s="292"/>
      <c r="H956" s="293"/>
      <c r="I956" s="294"/>
      <c r="J956" s="90"/>
      <c r="K956" s="296"/>
      <c r="L956" s="296"/>
      <c r="M956" s="296"/>
      <c r="N956" s="296"/>
      <c r="O956" s="296"/>
      <c r="P956" s="296"/>
      <c r="Q956" s="297"/>
      <c r="R956" s="90"/>
      <c r="S956" s="90"/>
      <c r="T956" s="264"/>
      <c r="U956" s="90"/>
      <c r="V956" s="90"/>
      <c r="W956" s="90"/>
      <c r="X956" s="90"/>
      <c r="Y956" s="90"/>
      <c r="Z956" s="90"/>
      <c r="AA956" s="90"/>
    </row>
    <row r="957" ht="15.75" customHeight="1">
      <c r="A957" s="90"/>
      <c r="B957" s="292"/>
      <c r="C957" s="293"/>
      <c r="D957" s="90"/>
      <c r="E957" s="293"/>
      <c r="F957" s="294"/>
      <c r="G957" s="292"/>
      <c r="H957" s="293"/>
      <c r="I957" s="294"/>
      <c r="J957" s="90"/>
      <c r="K957" s="296"/>
      <c r="L957" s="296"/>
      <c r="M957" s="296"/>
      <c r="N957" s="296"/>
      <c r="O957" s="296"/>
      <c r="P957" s="296"/>
      <c r="Q957" s="297"/>
      <c r="R957" s="90"/>
      <c r="S957" s="90"/>
      <c r="T957" s="264"/>
      <c r="U957" s="90"/>
      <c r="V957" s="90"/>
      <c r="W957" s="90"/>
      <c r="X957" s="90"/>
      <c r="Y957" s="90"/>
      <c r="Z957" s="90"/>
      <c r="AA957" s="90"/>
    </row>
    <row r="958" ht="15.75" customHeight="1">
      <c r="A958" s="90"/>
      <c r="B958" s="292"/>
      <c r="C958" s="293"/>
      <c r="D958" s="90"/>
      <c r="E958" s="293"/>
      <c r="F958" s="294"/>
      <c r="G958" s="292"/>
      <c r="H958" s="293"/>
      <c r="I958" s="294"/>
      <c r="J958" s="90"/>
      <c r="K958" s="296"/>
      <c r="L958" s="296"/>
      <c r="M958" s="296"/>
      <c r="N958" s="296"/>
      <c r="O958" s="296"/>
      <c r="P958" s="296"/>
      <c r="Q958" s="297"/>
      <c r="R958" s="90"/>
      <c r="S958" s="90"/>
      <c r="T958" s="264"/>
      <c r="U958" s="90"/>
      <c r="V958" s="90"/>
      <c r="W958" s="90"/>
      <c r="X958" s="90"/>
      <c r="Y958" s="90"/>
      <c r="Z958" s="90"/>
      <c r="AA958" s="90"/>
    </row>
    <row r="959" ht="15.75" customHeight="1">
      <c r="A959" s="90"/>
      <c r="B959" s="292"/>
      <c r="C959" s="293"/>
      <c r="D959" s="90"/>
      <c r="E959" s="293"/>
      <c r="F959" s="294"/>
      <c r="G959" s="292"/>
      <c r="H959" s="293"/>
      <c r="I959" s="294"/>
      <c r="J959" s="90"/>
      <c r="K959" s="296"/>
      <c r="L959" s="296"/>
      <c r="M959" s="296"/>
      <c r="N959" s="296"/>
      <c r="O959" s="296"/>
      <c r="P959" s="296"/>
      <c r="Q959" s="297"/>
      <c r="R959" s="90"/>
      <c r="S959" s="90"/>
      <c r="T959" s="264"/>
      <c r="U959" s="90"/>
      <c r="V959" s="90"/>
      <c r="W959" s="90"/>
      <c r="X959" s="90"/>
      <c r="Y959" s="90"/>
      <c r="Z959" s="90"/>
      <c r="AA959" s="90"/>
    </row>
    <row r="960" ht="15.75" customHeight="1">
      <c r="A960" s="90"/>
      <c r="B960" s="292"/>
      <c r="C960" s="293"/>
      <c r="D960" s="90"/>
      <c r="E960" s="293"/>
      <c r="F960" s="294"/>
      <c r="G960" s="292"/>
      <c r="H960" s="293"/>
      <c r="I960" s="294"/>
      <c r="J960" s="90"/>
      <c r="K960" s="296"/>
      <c r="L960" s="296"/>
      <c r="M960" s="296"/>
      <c r="N960" s="296"/>
      <c r="O960" s="296"/>
      <c r="P960" s="296"/>
      <c r="Q960" s="297"/>
      <c r="R960" s="90"/>
      <c r="S960" s="90"/>
      <c r="T960" s="264"/>
      <c r="U960" s="90"/>
      <c r="V960" s="90"/>
      <c r="W960" s="90"/>
      <c r="X960" s="90"/>
      <c r="Y960" s="90"/>
      <c r="Z960" s="90"/>
      <c r="AA960" s="90"/>
    </row>
    <row r="961" ht="15.75" customHeight="1">
      <c r="A961" s="90"/>
      <c r="B961" s="292"/>
      <c r="C961" s="293"/>
      <c r="D961" s="90"/>
      <c r="E961" s="293"/>
      <c r="F961" s="294"/>
      <c r="G961" s="292"/>
      <c r="H961" s="293"/>
      <c r="I961" s="294"/>
      <c r="J961" s="90"/>
      <c r="K961" s="296"/>
      <c r="L961" s="296"/>
      <c r="M961" s="296"/>
      <c r="N961" s="296"/>
      <c r="O961" s="296"/>
      <c r="P961" s="296"/>
      <c r="Q961" s="297"/>
      <c r="R961" s="90"/>
      <c r="S961" s="90"/>
      <c r="T961" s="264"/>
      <c r="U961" s="90"/>
      <c r="V961" s="90"/>
      <c r="W961" s="90"/>
      <c r="X961" s="90"/>
      <c r="Y961" s="90"/>
      <c r="Z961" s="90"/>
      <c r="AA961" s="90"/>
    </row>
    <row r="962" ht="15.75" customHeight="1">
      <c r="A962" s="90"/>
      <c r="B962" s="292"/>
      <c r="C962" s="293"/>
      <c r="D962" s="90"/>
      <c r="E962" s="293"/>
      <c r="F962" s="294"/>
      <c r="G962" s="292"/>
      <c r="H962" s="293"/>
      <c r="I962" s="294"/>
      <c r="J962" s="90"/>
      <c r="K962" s="296"/>
      <c r="L962" s="296"/>
      <c r="M962" s="296"/>
      <c r="N962" s="296"/>
      <c r="O962" s="296"/>
      <c r="P962" s="296"/>
      <c r="Q962" s="297"/>
      <c r="R962" s="90"/>
      <c r="S962" s="90"/>
      <c r="T962" s="264"/>
      <c r="U962" s="90"/>
      <c r="V962" s="90"/>
      <c r="W962" s="90"/>
      <c r="X962" s="90"/>
      <c r="Y962" s="90"/>
      <c r="Z962" s="90"/>
      <c r="AA962" s="90"/>
    </row>
    <row r="963" ht="15.75" customHeight="1">
      <c r="A963" s="90"/>
      <c r="B963" s="292"/>
      <c r="C963" s="293"/>
      <c r="D963" s="90"/>
      <c r="E963" s="293"/>
      <c r="F963" s="294"/>
      <c r="G963" s="292"/>
      <c r="H963" s="293"/>
      <c r="I963" s="294"/>
      <c r="J963" s="90"/>
      <c r="K963" s="296"/>
      <c r="L963" s="296"/>
      <c r="M963" s="296"/>
      <c r="N963" s="296"/>
      <c r="O963" s="296"/>
      <c r="P963" s="296"/>
      <c r="Q963" s="297"/>
      <c r="R963" s="90"/>
      <c r="S963" s="90"/>
      <c r="T963" s="264"/>
      <c r="U963" s="90"/>
      <c r="V963" s="90"/>
      <c r="W963" s="90"/>
      <c r="X963" s="90"/>
      <c r="Y963" s="90"/>
      <c r="Z963" s="90"/>
      <c r="AA963" s="90"/>
    </row>
    <row r="964" ht="15.75" customHeight="1">
      <c r="A964" s="90"/>
      <c r="B964" s="292"/>
      <c r="C964" s="293"/>
      <c r="D964" s="90"/>
      <c r="E964" s="293"/>
      <c r="F964" s="294"/>
      <c r="G964" s="292"/>
      <c r="H964" s="293"/>
      <c r="I964" s="294"/>
      <c r="J964" s="90"/>
      <c r="K964" s="296"/>
      <c r="L964" s="296"/>
      <c r="M964" s="296"/>
      <c r="N964" s="296"/>
      <c r="O964" s="296"/>
      <c r="P964" s="296"/>
      <c r="Q964" s="297"/>
      <c r="R964" s="90"/>
      <c r="S964" s="90"/>
      <c r="T964" s="264"/>
      <c r="U964" s="90"/>
      <c r="V964" s="90"/>
      <c r="W964" s="90"/>
      <c r="X964" s="90"/>
      <c r="Y964" s="90"/>
      <c r="Z964" s="90"/>
      <c r="AA964" s="90"/>
    </row>
    <row r="965" ht="15.75" customHeight="1">
      <c r="A965" s="90"/>
      <c r="B965" s="292"/>
      <c r="C965" s="293"/>
      <c r="D965" s="90"/>
      <c r="E965" s="293"/>
      <c r="F965" s="294"/>
      <c r="G965" s="292"/>
      <c r="H965" s="293"/>
      <c r="I965" s="294"/>
      <c r="J965" s="90"/>
      <c r="K965" s="296"/>
      <c r="L965" s="296"/>
      <c r="M965" s="296"/>
      <c r="N965" s="296"/>
      <c r="O965" s="296"/>
      <c r="P965" s="296"/>
      <c r="Q965" s="297"/>
      <c r="R965" s="90"/>
      <c r="S965" s="90"/>
      <c r="T965" s="264"/>
      <c r="U965" s="90"/>
      <c r="V965" s="90"/>
      <c r="W965" s="90"/>
      <c r="X965" s="90"/>
      <c r="Y965" s="90"/>
      <c r="Z965" s="90"/>
      <c r="AA965" s="90"/>
    </row>
    <row r="966" ht="15.75" customHeight="1">
      <c r="A966" s="90"/>
      <c r="B966" s="292"/>
      <c r="C966" s="293"/>
      <c r="D966" s="90"/>
      <c r="E966" s="293"/>
      <c r="F966" s="294"/>
      <c r="G966" s="292"/>
      <c r="H966" s="293"/>
      <c r="I966" s="294"/>
      <c r="J966" s="90"/>
      <c r="K966" s="296"/>
      <c r="L966" s="296"/>
      <c r="M966" s="296"/>
      <c r="N966" s="296"/>
      <c r="O966" s="296"/>
      <c r="P966" s="296"/>
      <c r="Q966" s="297"/>
      <c r="R966" s="90"/>
      <c r="S966" s="90"/>
      <c r="T966" s="264"/>
      <c r="U966" s="90"/>
      <c r="V966" s="90"/>
      <c r="W966" s="90"/>
      <c r="X966" s="90"/>
      <c r="Y966" s="90"/>
      <c r="Z966" s="90"/>
      <c r="AA966" s="90"/>
    </row>
    <row r="967" ht="15.75" customHeight="1">
      <c r="A967" s="90"/>
      <c r="B967" s="292"/>
      <c r="C967" s="293"/>
      <c r="D967" s="90"/>
      <c r="E967" s="293"/>
      <c r="F967" s="294"/>
      <c r="G967" s="292"/>
      <c r="H967" s="293"/>
      <c r="I967" s="294"/>
      <c r="J967" s="90"/>
      <c r="K967" s="296"/>
      <c r="L967" s="296"/>
      <c r="M967" s="296"/>
      <c r="N967" s="296"/>
      <c r="O967" s="296"/>
      <c r="P967" s="296"/>
      <c r="Q967" s="297"/>
      <c r="R967" s="90"/>
      <c r="S967" s="90"/>
      <c r="T967" s="264"/>
      <c r="U967" s="90"/>
      <c r="V967" s="90"/>
      <c r="W967" s="90"/>
      <c r="X967" s="90"/>
      <c r="Y967" s="90"/>
      <c r="Z967" s="90"/>
      <c r="AA967" s="90"/>
    </row>
    <row r="968" ht="15.75" customHeight="1">
      <c r="A968" s="90"/>
      <c r="B968" s="292"/>
      <c r="C968" s="293"/>
      <c r="D968" s="90"/>
      <c r="E968" s="293"/>
      <c r="F968" s="294"/>
      <c r="G968" s="292"/>
      <c r="H968" s="293"/>
      <c r="I968" s="294"/>
      <c r="J968" s="90"/>
      <c r="K968" s="296"/>
      <c r="L968" s="296"/>
      <c r="M968" s="296"/>
      <c r="N968" s="296"/>
      <c r="O968" s="296"/>
      <c r="P968" s="296"/>
      <c r="Q968" s="297"/>
      <c r="R968" s="90"/>
      <c r="S968" s="90"/>
      <c r="T968" s="264"/>
      <c r="U968" s="90"/>
      <c r="V968" s="90"/>
      <c r="W968" s="90"/>
      <c r="X968" s="90"/>
      <c r="Y968" s="90"/>
      <c r="Z968" s="90"/>
      <c r="AA968" s="90"/>
    </row>
    <row r="969" ht="15.75" customHeight="1">
      <c r="A969" s="90"/>
      <c r="B969" s="292"/>
      <c r="C969" s="293"/>
      <c r="D969" s="90"/>
      <c r="E969" s="293"/>
      <c r="F969" s="294"/>
      <c r="G969" s="292"/>
      <c r="H969" s="293"/>
      <c r="I969" s="294"/>
      <c r="J969" s="90"/>
      <c r="K969" s="296"/>
      <c r="L969" s="296"/>
      <c r="M969" s="296"/>
      <c r="N969" s="296"/>
      <c r="O969" s="296"/>
      <c r="P969" s="296"/>
      <c r="Q969" s="297"/>
      <c r="R969" s="90"/>
      <c r="S969" s="90"/>
      <c r="T969" s="264"/>
      <c r="U969" s="90"/>
      <c r="V969" s="90"/>
      <c r="W969" s="90"/>
      <c r="X969" s="90"/>
      <c r="Y969" s="90"/>
      <c r="Z969" s="90"/>
      <c r="AA969" s="90"/>
    </row>
    <row r="970" ht="15.75" customHeight="1">
      <c r="A970" s="90"/>
      <c r="B970" s="292"/>
      <c r="C970" s="293"/>
      <c r="D970" s="90"/>
      <c r="E970" s="293"/>
      <c r="F970" s="294"/>
      <c r="G970" s="292"/>
      <c r="H970" s="293"/>
      <c r="I970" s="294"/>
      <c r="J970" s="90"/>
      <c r="K970" s="296"/>
      <c r="L970" s="296"/>
      <c r="M970" s="296"/>
      <c r="N970" s="296"/>
      <c r="O970" s="296"/>
      <c r="P970" s="296"/>
      <c r="Q970" s="297"/>
      <c r="R970" s="90"/>
      <c r="S970" s="90"/>
      <c r="T970" s="264"/>
      <c r="U970" s="90"/>
      <c r="V970" s="90"/>
      <c r="W970" s="90"/>
      <c r="X970" s="90"/>
      <c r="Y970" s="90"/>
      <c r="Z970" s="90"/>
      <c r="AA970" s="90"/>
    </row>
    <row r="971" ht="15.75" customHeight="1">
      <c r="A971" s="90"/>
      <c r="B971" s="292"/>
      <c r="C971" s="293"/>
      <c r="D971" s="90"/>
      <c r="E971" s="293"/>
      <c r="F971" s="294"/>
      <c r="G971" s="292"/>
      <c r="H971" s="293"/>
      <c r="I971" s="294"/>
      <c r="J971" s="90"/>
      <c r="K971" s="296"/>
      <c r="L971" s="296"/>
      <c r="M971" s="296"/>
      <c r="N971" s="296"/>
      <c r="O971" s="296"/>
      <c r="P971" s="296"/>
      <c r="Q971" s="297"/>
      <c r="R971" s="90"/>
      <c r="S971" s="90"/>
      <c r="T971" s="264"/>
      <c r="U971" s="90"/>
      <c r="V971" s="90"/>
      <c r="W971" s="90"/>
      <c r="X971" s="90"/>
      <c r="Y971" s="90"/>
      <c r="Z971" s="90"/>
      <c r="AA971" s="90"/>
    </row>
    <row r="972" ht="15.75" customHeight="1">
      <c r="A972" s="90"/>
      <c r="B972" s="292"/>
      <c r="C972" s="293"/>
      <c r="D972" s="90"/>
      <c r="E972" s="293"/>
      <c r="F972" s="294"/>
      <c r="G972" s="292"/>
      <c r="H972" s="293"/>
      <c r="I972" s="294"/>
      <c r="J972" s="90"/>
      <c r="K972" s="296"/>
      <c r="L972" s="296"/>
      <c r="M972" s="296"/>
      <c r="N972" s="296"/>
      <c r="O972" s="296"/>
      <c r="P972" s="296"/>
      <c r="Q972" s="297"/>
      <c r="R972" s="90"/>
      <c r="S972" s="90"/>
      <c r="T972" s="264"/>
      <c r="U972" s="90"/>
      <c r="V972" s="90"/>
      <c r="W972" s="90"/>
      <c r="X972" s="90"/>
      <c r="Y972" s="90"/>
      <c r="Z972" s="90"/>
      <c r="AA972" s="90"/>
    </row>
    <row r="973" ht="15.75" customHeight="1">
      <c r="A973" s="90"/>
      <c r="B973" s="292"/>
      <c r="C973" s="293"/>
      <c r="D973" s="90"/>
      <c r="E973" s="293"/>
      <c r="F973" s="294"/>
      <c r="G973" s="292"/>
      <c r="H973" s="293"/>
      <c r="I973" s="294"/>
      <c r="J973" s="90"/>
      <c r="K973" s="296"/>
      <c r="L973" s="296"/>
      <c r="M973" s="296"/>
      <c r="N973" s="296"/>
      <c r="O973" s="296"/>
      <c r="P973" s="296"/>
      <c r="Q973" s="297"/>
      <c r="R973" s="90"/>
      <c r="S973" s="90"/>
      <c r="T973" s="264"/>
      <c r="U973" s="90"/>
      <c r="V973" s="90"/>
      <c r="W973" s="90"/>
      <c r="X973" s="90"/>
      <c r="Y973" s="90"/>
      <c r="Z973" s="90"/>
      <c r="AA973" s="90"/>
    </row>
    <row r="974" ht="15.75" customHeight="1">
      <c r="A974" s="90"/>
      <c r="B974" s="292"/>
      <c r="C974" s="293"/>
      <c r="D974" s="90"/>
      <c r="E974" s="293"/>
      <c r="F974" s="294"/>
      <c r="G974" s="292"/>
      <c r="H974" s="293"/>
      <c r="I974" s="294"/>
      <c r="J974" s="90"/>
      <c r="K974" s="296"/>
      <c r="L974" s="296"/>
      <c r="M974" s="296"/>
      <c r="N974" s="296"/>
      <c r="O974" s="296"/>
      <c r="P974" s="296"/>
      <c r="Q974" s="297"/>
      <c r="R974" s="90"/>
      <c r="S974" s="90"/>
      <c r="T974" s="264"/>
      <c r="U974" s="90"/>
      <c r="V974" s="90"/>
      <c r="W974" s="90"/>
      <c r="X974" s="90"/>
      <c r="Y974" s="90"/>
      <c r="Z974" s="90"/>
      <c r="AA974" s="90"/>
    </row>
    <row r="975" ht="15.75" customHeight="1">
      <c r="A975" s="90"/>
      <c r="B975" s="292"/>
      <c r="C975" s="293"/>
      <c r="D975" s="90"/>
      <c r="E975" s="293"/>
      <c r="F975" s="294"/>
      <c r="G975" s="292"/>
      <c r="H975" s="293"/>
      <c r="I975" s="294"/>
      <c r="J975" s="90"/>
      <c r="K975" s="296"/>
      <c r="L975" s="296"/>
      <c r="M975" s="296"/>
      <c r="N975" s="296"/>
      <c r="O975" s="296"/>
      <c r="P975" s="296"/>
      <c r="Q975" s="297"/>
      <c r="R975" s="90"/>
      <c r="S975" s="90"/>
      <c r="T975" s="264"/>
      <c r="U975" s="90"/>
      <c r="V975" s="90"/>
      <c r="W975" s="90"/>
      <c r="X975" s="90"/>
      <c r="Y975" s="90"/>
      <c r="Z975" s="90"/>
      <c r="AA975" s="90"/>
    </row>
    <row r="976" ht="15.75" customHeight="1">
      <c r="A976" s="90"/>
      <c r="B976" s="292"/>
      <c r="C976" s="293"/>
      <c r="D976" s="90"/>
      <c r="E976" s="293"/>
      <c r="F976" s="294"/>
      <c r="G976" s="292"/>
      <c r="H976" s="293"/>
      <c r="I976" s="294"/>
      <c r="J976" s="90"/>
      <c r="K976" s="296"/>
      <c r="L976" s="296"/>
      <c r="M976" s="296"/>
      <c r="N976" s="296"/>
      <c r="O976" s="296"/>
      <c r="P976" s="296"/>
      <c r="Q976" s="297"/>
      <c r="R976" s="90"/>
      <c r="S976" s="90"/>
      <c r="T976" s="264"/>
      <c r="U976" s="90"/>
      <c r="V976" s="90"/>
      <c r="W976" s="90"/>
      <c r="X976" s="90"/>
      <c r="Y976" s="90"/>
      <c r="Z976" s="90"/>
      <c r="AA976" s="90"/>
    </row>
    <row r="977" ht="15.75" customHeight="1">
      <c r="A977" s="90"/>
      <c r="B977" s="292"/>
      <c r="C977" s="293"/>
      <c r="D977" s="90"/>
      <c r="E977" s="293"/>
      <c r="F977" s="294"/>
      <c r="G977" s="292"/>
      <c r="H977" s="293"/>
      <c r="I977" s="294"/>
      <c r="J977" s="90"/>
      <c r="K977" s="296"/>
      <c r="L977" s="296"/>
      <c r="M977" s="296"/>
      <c r="N977" s="296"/>
      <c r="O977" s="296"/>
      <c r="P977" s="296"/>
      <c r="Q977" s="297"/>
      <c r="R977" s="90"/>
      <c r="S977" s="90"/>
      <c r="T977" s="264"/>
      <c r="U977" s="90"/>
      <c r="V977" s="90"/>
      <c r="W977" s="90"/>
      <c r="X977" s="90"/>
      <c r="Y977" s="90"/>
      <c r="Z977" s="90"/>
      <c r="AA977" s="90"/>
    </row>
    <row r="978" ht="15.75" customHeight="1">
      <c r="A978" s="90"/>
      <c r="B978" s="292"/>
      <c r="C978" s="293"/>
      <c r="D978" s="90"/>
      <c r="E978" s="293"/>
      <c r="F978" s="294"/>
      <c r="G978" s="292"/>
      <c r="H978" s="293"/>
      <c r="I978" s="294"/>
      <c r="J978" s="90"/>
      <c r="K978" s="296"/>
      <c r="L978" s="296"/>
      <c r="M978" s="296"/>
      <c r="N978" s="296"/>
      <c r="O978" s="296"/>
      <c r="P978" s="296"/>
      <c r="Q978" s="297"/>
      <c r="R978" s="90"/>
      <c r="S978" s="90"/>
      <c r="T978" s="264"/>
      <c r="U978" s="90"/>
      <c r="V978" s="90"/>
      <c r="W978" s="90"/>
      <c r="X978" s="90"/>
      <c r="Y978" s="90"/>
      <c r="Z978" s="90"/>
      <c r="AA978" s="90"/>
    </row>
    <row r="979" ht="15.75" customHeight="1">
      <c r="A979" s="90"/>
      <c r="B979" s="292"/>
      <c r="C979" s="293"/>
      <c r="D979" s="90"/>
      <c r="E979" s="293"/>
      <c r="F979" s="294"/>
      <c r="G979" s="292"/>
      <c r="H979" s="293"/>
      <c r="I979" s="294"/>
      <c r="J979" s="90"/>
      <c r="K979" s="296"/>
      <c r="L979" s="296"/>
      <c r="M979" s="296"/>
      <c r="N979" s="296"/>
      <c r="O979" s="296"/>
      <c r="P979" s="296"/>
      <c r="Q979" s="297"/>
      <c r="R979" s="90"/>
      <c r="S979" s="90"/>
      <c r="T979" s="264"/>
      <c r="U979" s="90"/>
      <c r="V979" s="90"/>
      <c r="W979" s="90"/>
      <c r="X979" s="90"/>
      <c r="Y979" s="90"/>
      <c r="Z979" s="90"/>
      <c r="AA979" s="90"/>
    </row>
    <row r="980" ht="15.75" customHeight="1">
      <c r="A980" s="90"/>
      <c r="B980" s="292"/>
      <c r="C980" s="293"/>
      <c r="D980" s="90"/>
      <c r="E980" s="293"/>
      <c r="F980" s="294"/>
      <c r="G980" s="292"/>
      <c r="H980" s="293"/>
      <c r="I980" s="294"/>
      <c r="J980" s="90"/>
      <c r="K980" s="296"/>
      <c r="L980" s="296"/>
      <c r="M980" s="296"/>
      <c r="N980" s="296"/>
      <c r="O980" s="296"/>
      <c r="P980" s="296"/>
      <c r="Q980" s="297"/>
      <c r="R980" s="90"/>
      <c r="S980" s="90"/>
      <c r="T980" s="264"/>
      <c r="U980" s="90"/>
      <c r="V980" s="90"/>
      <c r="W980" s="90"/>
      <c r="X980" s="90"/>
      <c r="Y980" s="90"/>
      <c r="Z980" s="90"/>
      <c r="AA980" s="90"/>
    </row>
    <row r="981" ht="15.75" customHeight="1">
      <c r="A981" s="90"/>
      <c r="B981" s="292"/>
      <c r="C981" s="293"/>
      <c r="D981" s="90"/>
      <c r="E981" s="293"/>
      <c r="F981" s="294"/>
      <c r="G981" s="292"/>
      <c r="H981" s="293"/>
      <c r="I981" s="294"/>
      <c r="J981" s="90"/>
      <c r="K981" s="296"/>
      <c r="L981" s="296"/>
      <c r="M981" s="296"/>
      <c r="N981" s="296"/>
      <c r="O981" s="296"/>
      <c r="P981" s="296"/>
      <c r="Q981" s="297"/>
      <c r="R981" s="90"/>
      <c r="S981" s="90"/>
      <c r="T981" s="264"/>
      <c r="U981" s="90"/>
      <c r="V981" s="90"/>
      <c r="W981" s="90"/>
      <c r="X981" s="90"/>
      <c r="Y981" s="90"/>
      <c r="Z981" s="90"/>
      <c r="AA981" s="90"/>
    </row>
    <row r="982" ht="15.75" customHeight="1">
      <c r="A982" s="90"/>
      <c r="B982" s="292"/>
      <c r="C982" s="293"/>
      <c r="D982" s="90"/>
      <c r="E982" s="293"/>
      <c r="F982" s="294"/>
      <c r="G982" s="292"/>
      <c r="H982" s="293"/>
      <c r="I982" s="294"/>
      <c r="J982" s="90"/>
      <c r="K982" s="296"/>
      <c r="L982" s="296"/>
      <c r="M982" s="296"/>
      <c r="N982" s="296"/>
      <c r="O982" s="296"/>
      <c r="P982" s="296"/>
      <c r="Q982" s="297"/>
      <c r="R982" s="90"/>
      <c r="S982" s="90"/>
      <c r="T982" s="264"/>
      <c r="U982" s="90"/>
      <c r="V982" s="90"/>
      <c r="W982" s="90"/>
      <c r="X982" s="90"/>
      <c r="Y982" s="90"/>
      <c r="Z982" s="90"/>
      <c r="AA982" s="90"/>
    </row>
    <row r="983" ht="15.75" customHeight="1">
      <c r="A983" s="90"/>
      <c r="B983" s="292"/>
      <c r="C983" s="293"/>
      <c r="D983" s="90"/>
      <c r="E983" s="293"/>
      <c r="F983" s="294"/>
      <c r="G983" s="292"/>
      <c r="H983" s="293"/>
      <c r="I983" s="294"/>
      <c r="J983" s="90"/>
      <c r="K983" s="296"/>
      <c r="L983" s="296"/>
      <c r="M983" s="296"/>
      <c r="N983" s="296"/>
      <c r="O983" s="296"/>
      <c r="P983" s="296"/>
      <c r="Q983" s="297"/>
      <c r="R983" s="90"/>
      <c r="S983" s="90"/>
      <c r="T983" s="264"/>
      <c r="U983" s="90"/>
      <c r="V983" s="90"/>
      <c r="W983" s="90"/>
      <c r="X983" s="90"/>
      <c r="Y983" s="90"/>
      <c r="Z983" s="90"/>
      <c r="AA983" s="90"/>
    </row>
    <row r="984" ht="15.75" customHeight="1">
      <c r="A984" s="90"/>
      <c r="B984" s="292"/>
      <c r="C984" s="293"/>
      <c r="D984" s="90"/>
      <c r="E984" s="293"/>
      <c r="F984" s="294"/>
      <c r="G984" s="292"/>
      <c r="H984" s="293"/>
      <c r="I984" s="294"/>
      <c r="J984" s="90"/>
      <c r="K984" s="296"/>
      <c r="L984" s="296"/>
      <c r="M984" s="296"/>
      <c r="N984" s="296"/>
      <c r="O984" s="296"/>
      <c r="P984" s="296"/>
      <c r="Q984" s="297"/>
      <c r="R984" s="90"/>
      <c r="S984" s="90"/>
      <c r="T984" s="264"/>
      <c r="U984" s="90"/>
      <c r="V984" s="90"/>
      <c r="W984" s="90"/>
      <c r="X984" s="90"/>
      <c r="Y984" s="90"/>
      <c r="Z984" s="90"/>
      <c r="AA984" s="90"/>
    </row>
    <row r="985" ht="15.75" customHeight="1">
      <c r="A985" s="90"/>
      <c r="B985" s="292"/>
      <c r="C985" s="293"/>
      <c r="D985" s="90"/>
      <c r="E985" s="293"/>
      <c r="F985" s="294"/>
      <c r="G985" s="292"/>
      <c r="H985" s="293"/>
      <c r="I985" s="294"/>
      <c r="J985" s="90"/>
      <c r="K985" s="296"/>
      <c r="L985" s="296"/>
      <c r="M985" s="296"/>
      <c r="N985" s="296"/>
      <c r="O985" s="296"/>
      <c r="P985" s="296"/>
      <c r="Q985" s="297"/>
      <c r="R985" s="90"/>
      <c r="S985" s="90"/>
      <c r="T985" s="264"/>
      <c r="U985" s="90"/>
      <c r="V985" s="90"/>
      <c r="W985" s="90"/>
      <c r="X985" s="90"/>
      <c r="Y985" s="90"/>
      <c r="Z985" s="90"/>
      <c r="AA985" s="90"/>
    </row>
    <row r="986" ht="15.75" customHeight="1">
      <c r="A986" s="90"/>
      <c r="B986" s="292"/>
      <c r="C986" s="293"/>
      <c r="D986" s="90"/>
      <c r="E986" s="293"/>
      <c r="F986" s="294"/>
      <c r="G986" s="292"/>
      <c r="H986" s="293"/>
      <c r="I986" s="294"/>
      <c r="J986" s="90"/>
      <c r="K986" s="296"/>
      <c r="L986" s="296"/>
      <c r="M986" s="296"/>
      <c r="N986" s="296"/>
      <c r="O986" s="296"/>
      <c r="P986" s="296"/>
      <c r="Q986" s="297"/>
      <c r="R986" s="90"/>
      <c r="S986" s="90"/>
      <c r="T986" s="264"/>
      <c r="U986" s="90"/>
      <c r="V986" s="90"/>
      <c r="W986" s="90"/>
      <c r="X986" s="90"/>
      <c r="Y986" s="90"/>
      <c r="Z986" s="90"/>
      <c r="AA986" s="90"/>
    </row>
  </sheetData>
  <mergeCells count="2">
    <mergeCell ref="T21:T22"/>
    <mergeCell ref="T32:T34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1.22" defaultRowHeight="15.0"/>
  <cols>
    <col customWidth="1" min="1" max="1" width="11.11"/>
    <col customWidth="1" min="2" max="2" width="12.11"/>
    <col customWidth="1" min="3" max="3" width="12.44"/>
    <col customWidth="1" min="4" max="4" width="12.0"/>
    <col customWidth="1" min="5" max="5" width="12.11"/>
    <col customWidth="1" min="6" max="6" width="8.78"/>
    <col customWidth="1" min="7" max="8" width="7.11"/>
    <col customWidth="1" min="9" max="9" width="11.44"/>
    <col customWidth="1" min="10" max="20" width="11.11"/>
  </cols>
  <sheetData>
    <row r="1" ht="27.75" customHeight="1">
      <c r="A1" s="298" t="s">
        <v>0</v>
      </c>
      <c r="B1" s="298" t="s">
        <v>426</v>
      </c>
      <c r="C1" s="299" t="s">
        <v>427</v>
      </c>
      <c r="D1" s="298" t="s">
        <v>428</v>
      </c>
      <c r="E1" s="299" t="s">
        <v>429</v>
      </c>
      <c r="F1" s="300" t="s">
        <v>430</v>
      </c>
      <c r="G1" s="301" t="s">
        <v>7</v>
      </c>
      <c r="H1" s="301" t="s">
        <v>8</v>
      </c>
      <c r="I1" s="301" t="s">
        <v>9</v>
      </c>
    </row>
    <row r="2">
      <c r="A2" s="275" t="s">
        <v>431</v>
      </c>
      <c r="B2" s="302">
        <v>45531.0</v>
      </c>
      <c r="C2" s="72">
        <v>0.3090277777777778</v>
      </c>
      <c r="D2" s="65">
        <v>45531.0</v>
      </c>
      <c r="E2" s="303">
        <v>0.5347222222222222</v>
      </c>
      <c r="F2" s="304">
        <v>0.02</v>
      </c>
      <c r="G2" s="305" t="s">
        <v>12</v>
      </c>
      <c r="H2" s="305" t="s">
        <v>282</v>
      </c>
      <c r="I2" s="306"/>
    </row>
    <row r="3">
      <c r="A3" s="307" t="s">
        <v>432</v>
      </c>
      <c r="B3" s="302">
        <v>45531.0</v>
      </c>
      <c r="C3" s="72">
        <v>0.325</v>
      </c>
      <c r="D3" s="65">
        <v>45531.0</v>
      </c>
      <c r="E3" s="303">
        <v>0.5361111111111111</v>
      </c>
      <c r="F3" s="304">
        <v>0.01</v>
      </c>
      <c r="G3" s="305" t="s">
        <v>12</v>
      </c>
      <c r="H3" s="305" t="s">
        <v>13</v>
      </c>
      <c r="I3" s="306"/>
    </row>
    <row r="4">
      <c r="A4" s="307" t="s">
        <v>433</v>
      </c>
      <c r="B4" s="302">
        <v>45531.0</v>
      </c>
      <c r="C4" s="72">
        <v>0.3347222222222222</v>
      </c>
      <c r="D4" s="65">
        <v>45531.0</v>
      </c>
      <c r="E4" s="303">
        <v>0.5625</v>
      </c>
      <c r="F4" s="304">
        <v>0.08</v>
      </c>
      <c r="G4" s="305" t="s">
        <v>12</v>
      </c>
      <c r="H4" s="305" t="s">
        <v>13</v>
      </c>
      <c r="I4" s="306"/>
    </row>
    <row r="5">
      <c r="A5" s="307" t="s">
        <v>434</v>
      </c>
      <c r="B5" s="302">
        <v>45531.0</v>
      </c>
      <c r="C5" s="72">
        <v>0.37430555555555556</v>
      </c>
      <c r="D5" s="65">
        <v>45531.0</v>
      </c>
      <c r="E5" s="303">
        <v>0.5645833333333333</v>
      </c>
      <c r="F5" s="304">
        <v>0.27</v>
      </c>
      <c r="G5" s="305" t="s">
        <v>12</v>
      </c>
      <c r="H5" s="305" t="s">
        <v>13</v>
      </c>
      <c r="I5" s="306"/>
    </row>
    <row r="6">
      <c r="A6" s="307" t="s">
        <v>435</v>
      </c>
      <c r="B6" s="302">
        <v>45531.0</v>
      </c>
      <c r="C6" s="72">
        <v>0.38472222222222224</v>
      </c>
      <c r="D6" s="65">
        <v>45531.0</v>
      </c>
      <c r="E6" s="303">
        <v>0.5666666666666667</v>
      </c>
      <c r="F6" s="304">
        <v>0.24</v>
      </c>
      <c r="G6" s="305" t="s">
        <v>12</v>
      </c>
      <c r="H6" s="305" t="s">
        <v>13</v>
      </c>
      <c r="I6" s="306"/>
    </row>
    <row r="7">
      <c r="A7" s="275" t="s">
        <v>436</v>
      </c>
      <c r="B7" s="302">
        <v>45531.0</v>
      </c>
      <c r="C7" s="72">
        <v>0.3951388888888889</v>
      </c>
      <c r="D7" s="65">
        <v>45531.0</v>
      </c>
      <c r="E7" s="303">
        <v>0.5694444444444444</v>
      </c>
      <c r="F7" s="304">
        <v>0.11</v>
      </c>
      <c r="G7" s="305" t="s">
        <v>12</v>
      </c>
      <c r="H7" s="305" t="s">
        <v>13</v>
      </c>
      <c r="I7" s="306"/>
    </row>
    <row r="8">
      <c r="A8" s="307" t="s">
        <v>437</v>
      </c>
      <c r="B8" s="302">
        <v>45531.0</v>
      </c>
      <c r="C8" s="72">
        <v>0.4201388888888889</v>
      </c>
      <c r="D8" s="65">
        <v>45531.0</v>
      </c>
      <c r="E8" s="303">
        <v>0.5708333333333333</v>
      </c>
      <c r="F8" s="304">
        <v>0.16</v>
      </c>
      <c r="G8" s="305" t="s">
        <v>12</v>
      </c>
      <c r="H8" s="305" t="s">
        <v>13</v>
      </c>
      <c r="I8" s="306"/>
    </row>
    <row r="9">
      <c r="A9" s="307" t="s">
        <v>438</v>
      </c>
      <c r="B9" s="302">
        <v>45531.0</v>
      </c>
      <c r="C9" s="72">
        <v>0.43680555555555556</v>
      </c>
      <c r="D9" s="65">
        <v>45531.0</v>
      </c>
      <c r="E9" s="303">
        <v>0.5736111111111111</v>
      </c>
      <c r="F9" s="304">
        <v>0.14</v>
      </c>
      <c r="G9" s="305" t="s">
        <v>12</v>
      </c>
      <c r="H9" s="305" t="s">
        <v>13</v>
      </c>
      <c r="I9" s="306"/>
    </row>
    <row r="10">
      <c r="A10" s="307" t="s">
        <v>439</v>
      </c>
      <c r="B10" s="302">
        <v>45532.0</v>
      </c>
      <c r="C10" s="72">
        <v>0.2847222222222222</v>
      </c>
      <c r="D10" s="65">
        <v>45532.0</v>
      </c>
      <c r="E10" s="303">
        <v>0.5444444444444444</v>
      </c>
      <c r="F10" s="308">
        <v>0.08</v>
      </c>
      <c r="G10" s="305" t="s">
        <v>12</v>
      </c>
      <c r="H10" s="305" t="s">
        <v>282</v>
      </c>
      <c r="I10" s="306"/>
    </row>
    <row r="11">
      <c r="A11" s="307" t="s">
        <v>440</v>
      </c>
      <c r="B11" s="302">
        <v>45532.0</v>
      </c>
      <c r="C11" s="72">
        <v>0.2986111111111111</v>
      </c>
      <c r="D11" s="65">
        <v>45532.0</v>
      </c>
      <c r="E11" s="303">
        <v>0.5479166666666667</v>
      </c>
      <c r="F11" s="304">
        <v>0.05</v>
      </c>
      <c r="G11" s="305" t="s">
        <v>12</v>
      </c>
      <c r="H11" s="305" t="s">
        <v>282</v>
      </c>
      <c r="I11" s="306"/>
    </row>
    <row r="12">
      <c r="A12" s="307" t="s">
        <v>441</v>
      </c>
      <c r="B12" s="302">
        <v>45532.0</v>
      </c>
      <c r="C12" s="309">
        <v>0.3229166666666667</v>
      </c>
      <c r="D12" s="65">
        <v>45532.0</v>
      </c>
      <c r="E12" s="72">
        <v>0.5451388888888888</v>
      </c>
      <c r="F12" s="304">
        <v>0.05</v>
      </c>
      <c r="G12" s="305" t="s">
        <v>12</v>
      </c>
      <c r="H12" s="305" t="s">
        <v>282</v>
      </c>
      <c r="I12" s="306"/>
    </row>
    <row r="13">
      <c r="A13" s="307" t="s">
        <v>442</v>
      </c>
      <c r="B13" s="302">
        <v>45532.0</v>
      </c>
      <c r="C13" s="309">
        <v>0.3326388888888889</v>
      </c>
      <c r="D13" s="65">
        <v>45532.0</v>
      </c>
      <c r="E13" s="79">
        <v>0.5319444444444444</v>
      </c>
      <c r="F13" s="304">
        <v>0.03</v>
      </c>
      <c r="G13" s="305" t="s">
        <v>12</v>
      </c>
      <c r="H13" s="305" t="s">
        <v>282</v>
      </c>
      <c r="I13" s="306"/>
    </row>
    <row r="14">
      <c r="A14" s="307" t="s">
        <v>443</v>
      </c>
      <c r="B14" s="302">
        <v>45532.0</v>
      </c>
      <c r="C14" s="72">
        <v>0.34930555555555554</v>
      </c>
      <c r="D14" s="65">
        <v>45532.0</v>
      </c>
      <c r="E14" s="72">
        <v>0.5354166666666667</v>
      </c>
      <c r="F14" s="304">
        <v>0.01</v>
      </c>
      <c r="G14" s="305" t="s">
        <v>12</v>
      </c>
      <c r="H14" s="305" t="s">
        <v>282</v>
      </c>
      <c r="I14" s="306"/>
    </row>
    <row r="15">
      <c r="A15" s="307" t="s">
        <v>444</v>
      </c>
      <c r="B15" s="302">
        <v>45532.0</v>
      </c>
      <c r="C15" s="310">
        <v>0.3597222222222222</v>
      </c>
      <c r="D15" s="65">
        <v>45532.0</v>
      </c>
      <c r="E15" s="72">
        <v>0.5263888888888889</v>
      </c>
      <c r="F15" s="311">
        <v>0.0</v>
      </c>
      <c r="G15" s="305" t="s">
        <v>12</v>
      </c>
      <c r="H15" s="305" t="s">
        <v>282</v>
      </c>
      <c r="I15" s="306"/>
    </row>
    <row r="16">
      <c r="A16" s="307" t="s">
        <v>445</v>
      </c>
      <c r="B16" s="302">
        <v>45532.0</v>
      </c>
      <c r="C16" s="72">
        <v>0.37777777777777777</v>
      </c>
      <c r="D16" s="65">
        <v>45532.0</v>
      </c>
      <c r="E16" s="72">
        <v>0.5548611111111111</v>
      </c>
      <c r="F16" s="311">
        <v>0.0</v>
      </c>
      <c r="G16" s="305" t="s">
        <v>12</v>
      </c>
      <c r="H16" s="305" t="s">
        <v>282</v>
      </c>
      <c r="I16" s="306"/>
    </row>
    <row r="17">
      <c r="A17" s="307" t="s">
        <v>446</v>
      </c>
      <c r="B17" s="302">
        <v>45532.0</v>
      </c>
      <c r="C17" s="312">
        <v>0.3888888888888889</v>
      </c>
      <c r="D17" s="65">
        <v>45532.0</v>
      </c>
      <c r="E17" s="72">
        <v>0.5597222222222222</v>
      </c>
      <c r="F17" s="311">
        <v>0.22</v>
      </c>
      <c r="G17" s="313" t="s">
        <v>12</v>
      </c>
      <c r="H17" s="305" t="s">
        <v>282</v>
      </c>
      <c r="I17" s="306"/>
    </row>
    <row r="18">
      <c r="A18" s="307" t="s">
        <v>447</v>
      </c>
      <c r="B18" s="65">
        <v>45542.0</v>
      </c>
      <c r="C18" s="309">
        <v>0.4409722222222222</v>
      </c>
      <c r="D18" s="65">
        <v>45542.0</v>
      </c>
      <c r="E18" s="72">
        <v>0.3611111111111111</v>
      </c>
      <c r="F18" s="311">
        <v>0.0</v>
      </c>
      <c r="G18" s="313" t="s">
        <v>12</v>
      </c>
      <c r="H18" s="313" t="s">
        <v>13</v>
      </c>
      <c r="I18" s="306"/>
    </row>
    <row r="19">
      <c r="A19" s="307" t="s">
        <v>448</v>
      </c>
      <c r="B19" s="65">
        <v>45542.0</v>
      </c>
      <c r="C19" s="309">
        <v>0.48125</v>
      </c>
      <c r="D19" s="65">
        <v>45542.0</v>
      </c>
      <c r="E19" s="72">
        <v>0.3638888888888889</v>
      </c>
      <c r="F19" s="311">
        <v>0.0</v>
      </c>
      <c r="G19" s="313" t="s">
        <v>12</v>
      </c>
      <c r="H19" s="313" t="s">
        <v>13</v>
      </c>
      <c r="I19" s="306"/>
    </row>
    <row r="20">
      <c r="A20" s="307" t="s">
        <v>449</v>
      </c>
      <c r="B20" s="65">
        <v>45542.0</v>
      </c>
      <c r="C20" s="309">
        <v>0.5472222222222223</v>
      </c>
      <c r="D20" s="65">
        <v>45542.0</v>
      </c>
      <c r="E20" s="72">
        <v>0.36527777777777776</v>
      </c>
      <c r="F20" s="311">
        <v>0.0</v>
      </c>
      <c r="G20" s="313" t="s">
        <v>12</v>
      </c>
      <c r="H20" s="313" t="s">
        <v>13</v>
      </c>
      <c r="I20" s="306"/>
    </row>
    <row r="21">
      <c r="A21" s="307" t="s">
        <v>450</v>
      </c>
      <c r="B21" s="65">
        <v>45543.0</v>
      </c>
      <c r="C21" s="314">
        <v>0.3284722222222222</v>
      </c>
      <c r="D21" s="65">
        <v>45543.0</v>
      </c>
      <c r="E21" s="72">
        <v>0.8826388888888889</v>
      </c>
      <c r="F21" s="311">
        <v>0.36</v>
      </c>
      <c r="G21" s="313" t="s">
        <v>12</v>
      </c>
      <c r="H21" s="313" t="s">
        <v>13</v>
      </c>
      <c r="I21" s="306"/>
    </row>
    <row r="22">
      <c r="A22" s="307" t="s">
        <v>451</v>
      </c>
      <c r="B22" s="65">
        <v>45543.0</v>
      </c>
      <c r="C22" s="309">
        <v>0.3541666666666667</v>
      </c>
      <c r="D22" s="65">
        <v>45543.0</v>
      </c>
      <c r="E22" s="72">
        <v>0.8819444444444444</v>
      </c>
      <c r="F22" s="311">
        <v>0.05</v>
      </c>
      <c r="G22" s="313" t="s">
        <v>12</v>
      </c>
      <c r="H22" s="313" t="s">
        <v>13</v>
      </c>
      <c r="I22" s="306"/>
    </row>
    <row r="23">
      <c r="A23" s="307" t="s">
        <v>452</v>
      </c>
      <c r="B23" s="65">
        <v>45543.0</v>
      </c>
      <c r="C23" s="309">
        <v>0.39444444444444443</v>
      </c>
      <c r="D23" s="65">
        <v>45543.0</v>
      </c>
      <c r="E23" s="72">
        <v>0.8895833333333333</v>
      </c>
      <c r="F23" s="311">
        <v>0.0</v>
      </c>
      <c r="G23" s="313" t="s">
        <v>12</v>
      </c>
      <c r="H23" s="313" t="s">
        <v>13</v>
      </c>
      <c r="I23" s="306"/>
    </row>
    <row r="24">
      <c r="A24" s="307" t="s">
        <v>453</v>
      </c>
      <c r="B24" s="65">
        <v>45543.0</v>
      </c>
      <c r="C24" s="309">
        <v>0.44305555555555554</v>
      </c>
      <c r="D24" s="65">
        <v>45543.0</v>
      </c>
      <c r="E24" s="72">
        <v>0.8902777777777777</v>
      </c>
      <c r="F24" s="311">
        <v>0.02</v>
      </c>
      <c r="G24" s="313" t="s">
        <v>12</v>
      </c>
      <c r="H24" s="313" t="s">
        <v>13</v>
      </c>
      <c r="I24" s="306"/>
    </row>
    <row r="25">
      <c r="A25" s="307" t="s">
        <v>454</v>
      </c>
      <c r="B25" s="65">
        <v>45543.0</v>
      </c>
      <c r="C25" s="72">
        <v>0.4597222222222222</v>
      </c>
      <c r="D25" s="65">
        <v>45543.0</v>
      </c>
      <c r="E25" s="72">
        <v>0.8909722222222223</v>
      </c>
      <c r="F25" s="311">
        <v>0.3</v>
      </c>
      <c r="G25" s="313" t="s">
        <v>12</v>
      </c>
      <c r="H25" s="313" t="s">
        <v>13</v>
      </c>
      <c r="I25" s="306"/>
    </row>
    <row r="26">
      <c r="A26" s="307" t="s">
        <v>455</v>
      </c>
      <c r="B26" s="65">
        <v>45543.0</v>
      </c>
      <c r="C26" s="303">
        <v>0.4895833333333333</v>
      </c>
      <c r="D26" s="65">
        <v>45543.0</v>
      </c>
      <c r="E26" s="72">
        <v>0.8916666666666667</v>
      </c>
      <c r="F26" s="311">
        <v>0.21</v>
      </c>
      <c r="G26" s="313" t="s">
        <v>12</v>
      </c>
      <c r="H26" s="313" t="s">
        <v>13</v>
      </c>
      <c r="I26" s="306"/>
    </row>
    <row r="27">
      <c r="A27" s="307" t="s">
        <v>456</v>
      </c>
      <c r="B27" s="65">
        <v>45545.0</v>
      </c>
      <c r="C27" s="72">
        <v>0.29444444444444445</v>
      </c>
      <c r="D27" s="65">
        <v>45545.0</v>
      </c>
      <c r="E27" s="72">
        <v>0.5944444444444444</v>
      </c>
      <c r="F27" s="308">
        <v>0.01</v>
      </c>
      <c r="G27" s="313" t="s">
        <v>12</v>
      </c>
      <c r="H27" s="305" t="s">
        <v>282</v>
      </c>
      <c r="I27" s="306"/>
    </row>
    <row r="28">
      <c r="A28" s="307" t="s">
        <v>457</v>
      </c>
      <c r="B28" s="65">
        <v>45545.0</v>
      </c>
      <c r="C28" s="303">
        <v>0.3145833333333333</v>
      </c>
      <c r="D28" s="65">
        <v>45545.0</v>
      </c>
      <c r="E28" s="72">
        <v>0.5965277777777778</v>
      </c>
      <c r="F28" s="308">
        <v>0.08</v>
      </c>
      <c r="G28" s="313" t="s">
        <v>12</v>
      </c>
      <c r="H28" s="305" t="s">
        <v>282</v>
      </c>
      <c r="I28" s="306"/>
    </row>
    <row r="29">
      <c r="A29" s="307" t="s">
        <v>458</v>
      </c>
      <c r="B29" s="65">
        <v>45545.0</v>
      </c>
      <c r="C29" s="303">
        <v>0.3326388888888889</v>
      </c>
      <c r="D29" s="65">
        <v>45545.0</v>
      </c>
      <c r="E29" s="72">
        <v>0.6013888888888889</v>
      </c>
      <c r="F29" s="308">
        <v>0.04</v>
      </c>
      <c r="G29" s="313" t="s">
        <v>12</v>
      </c>
      <c r="H29" s="305" t="s">
        <v>282</v>
      </c>
      <c r="I29" s="306"/>
    </row>
    <row r="30">
      <c r="A30" s="307" t="s">
        <v>459</v>
      </c>
      <c r="B30" s="65">
        <v>45545.0</v>
      </c>
      <c r="C30" s="315">
        <v>0.3472222222222222</v>
      </c>
      <c r="D30" s="65">
        <v>45545.0</v>
      </c>
      <c r="E30" s="72">
        <v>0.6041666666666666</v>
      </c>
      <c r="F30" s="308">
        <v>0.15</v>
      </c>
      <c r="G30" s="313" t="s">
        <v>12</v>
      </c>
      <c r="H30" s="305" t="s">
        <v>282</v>
      </c>
      <c r="I30" s="306"/>
    </row>
    <row r="31">
      <c r="A31" s="307" t="s">
        <v>460</v>
      </c>
      <c r="B31" s="65">
        <v>45545.0</v>
      </c>
      <c r="C31" s="315">
        <v>0.36736111111111114</v>
      </c>
      <c r="D31" s="65">
        <v>45545.0</v>
      </c>
      <c r="E31" s="72">
        <v>0.60625</v>
      </c>
      <c r="F31" s="308">
        <v>0.18</v>
      </c>
      <c r="G31" s="313" t="s">
        <v>12</v>
      </c>
      <c r="H31" s="305" t="s">
        <v>282</v>
      </c>
      <c r="I31" s="306"/>
    </row>
    <row r="32">
      <c r="A32" s="307" t="s">
        <v>461</v>
      </c>
      <c r="B32" s="65">
        <v>45545.0</v>
      </c>
      <c r="C32" s="315">
        <v>0.38055555555555554</v>
      </c>
      <c r="D32" s="65">
        <v>45545.0</v>
      </c>
      <c r="E32" s="72">
        <v>0.6118055555555556</v>
      </c>
      <c r="F32" s="316">
        <v>0.13</v>
      </c>
      <c r="G32" s="313" t="s">
        <v>12</v>
      </c>
      <c r="H32" s="305" t="s">
        <v>282</v>
      </c>
      <c r="I32" s="317"/>
      <c r="J32" s="318"/>
      <c r="K32" s="318"/>
      <c r="L32" s="318"/>
      <c r="M32" s="318"/>
      <c r="N32" s="318"/>
      <c r="O32" s="318"/>
      <c r="P32" s="318"/>
      <c r="Q32" s="318"/>
      <c r="R32" s="318"/>
      <c r="S32" s="318"/>
      <c r="T32" s="318"/>
    </row>
    <row r="33">
      <c r="A33" s="307" t="s">
        <v>462</v>
      </c>
      <c r="B33" s="65">
        <v>45545.0</v>
      </c>
      <c r="C33" s="315">
        <v>0.4013888888888889</v>
      </c>
      <c r="D33" s="65">
        <v>45545.0</v>
      </c>
      <c r="E33" s="72">
        <v>0.6152777777777778</v>
      </c>
      <c r="F33" s="316">
        <v>4.47</v>
      </c>
      <c r="G33" s="313" t="s">
        <v>12</v>
      </c>
      <c r="H33" s="305" t="s">
        <v>282</v>
      </c>
      <c r="I33" s="317"/>
    </row>
    <row r="34">
      <c r="A34" s="307" t="s">
        <v>463</v>
      </c>
      <c r="B34" s="65">
        <v>45545.0</v>
      </c>
      <c r="C34" s="72">
        <v>0.4395833333333333</v>
      </c>
      <c r="D34" s="65">
        <v>45545.0</v>
      </c>
      <c r="E34" s="72">
        <v>0.6173611111111111</v>
      </c>
      <c r="F34" s="316">
        <v>0.11</v>
      </c>
      <c r="G34" s="313" t="s">
        <v>12</v>
      </c>
      <c r="H34" s="305" t="s">
        <v>282</v>
      </c>
      <c r="I34" s="317"/>
    </row>
    <row r="35">
      <c r="A35" s="307" t="s">
        <v>464</v>
      </c>
      <c r="B35" s="65">
        <v>45545.0</v>
      </c>
      <c r="C35" s="72">
        <v>0.46597222222222223</v>
      </c>
      <c r="D35" s="65">
        <v>45545.0</v>
      </c>
      <c r="E35" s="72">
        <v>0.6194444444444445</v>
      </c>
      <c r="F35" s="316">
        <v>0.34</v>
      </c>
      <c r="G35" s="313" t="s">
        <v>12</v>
      </c>
      <c r="H35" s="305" t="s">
        <v>282</v>
      </c>
      <c r="I35" s="317"/>
    </row>
    <row r="36">
      <c r="A36" s="319" t="s">
        <v>465</v>
      </c>
      <c r="B36" s="320">
        <v>45547.0</v>
      </c>
      <c r="C36" s="72">
        <v>0.34791666666666665</v>
      </c>
      <c r="D36" s="320">
        <v>45547.0</v>
      </c>
      <c r="E36" s="321">
        <v>0.7055555555555556</v>
      </c>
      <c r="F36" s="316">
        <v>0.13</v>
      </c>
      <c r="G36" s="313" t="s">
        <v>12</v>
      </c>
      <c r="H36" s="313" t="s">
        <v>13</v>
      </c>
      <c r="I36" s="317"/>
    </row>
    <row r="37">
      <c r="A37" s="313" t="s">
        <v>466</v>
      </c>
      <c r="B37" s="320">
        <v>45547.0</v>
      </c>
      <c r="C37" s="72">
        <v>0.36319444444444443</v>
      </c>
      <c r="D37" s="320">
        <v>45547.0</v>
      </c>
      <c r="E37" s="321">
        <v>0.7069444444444445</v>
      </c>
      <c r="F37" s="316">
        <v>0.1</v>
      </c>
      <c r="G37" s="313" t="s">
        <v>12</v>
      </c>
      <c r="H37" s="313" t="s">
        <v>13</v>
      </c>
      <c r="I37" s="317"/>
    </row>
    <row r="38">
      <c r="A38" s="313" t="s">
        <v>467</v>
      </c>
      <c r="B38" s="320">
        <v>45547.0</v>
      </c>
      <c r="C38" s="72">
        <v>0.4041666666666667</v>
      </c>
      <c r="D38" s="320">
        <v>45547.0</v>
      </c>
      <c r="E38" s="321">
        <v>0.7083333333333334</v>
      </c>
      <c r="F38" s="316">
        <v>0.21</v>
      </c>
      <c r="G38" s="313" t="s">
        <v>12</v>
      </c>
      <c r="H38" s="313" t="s">
        <v>13</v>
      </c>
      <c r="I38" s="317"/>
    </row>
    <row r="39">
      <c r="A39" s="313" t="s">
        <v>468</v>
      </c>
      <c r="B39" s="320">
        <v>45547.0</v>
      </c>
      <c r="C39" s="72">
        <v>0.4270833333333333</v>
      </c>
      <c r="D39" s="320">
        <v>45547.0</v>
      </c>
      <c r="E39" s="321">
        <v>0.7097222222222223</v>
      </c>
      <c r="F39" s="316">
        <v>0.006</v>
      </c>
      <c r="G39" s="313" t="s">
        <v>12</v>
      </c>
      <c r="H39" s="313" t="s">
        <v>13</v>
      </c>
      <c r="I39" s="322"/>
    </row>
    <row r="40">
      <c r="A40" s="313" t="s">
        <v>469</v>
      </c>
      <c r="B40" s="320">
        <v>45547.0</v>
      </c>
      <c r="C40" s="72">
        <v>0.45694444444444443</v>
      </c>
      <c r="D40" s="320">
        <v>45547.0</v>
      </c>
      <c r="E40" s="321">
        <v>0.7104166666666667</v>
      </c>
      <c r="F40" s="316">
        <v>0.14</v>
      </c>
      <c r="G40" s="313" t="s">
        <v>12</v>
      </c>
      <c r="H40" s="313" t="s">
        <v>13</v>
      </c>
      <c r="I40" s="317"/>
    </row>
    <row r="41">
      <c r="A41" s="313" t="s">
        <v>470</v>
      </c>
      <c r="B41" s="320">
        <v>45547.0</v>
      </c>
      <c r="C41" s="72">
        <v>0.4673611111111111</v>
      </c>
      <c r="D41" s="320">
        <v>45547.0</v>
      </c>
      <c r="E41" s="321">
        <v>0.7111111111111111</v>
      </c>
      <c r="F41" s="316">
        <v>0.15</v>
      </c>
      <c r="G41" s="313" t="s">
        <v>12</v>
      </c>
      <c r="H41" s="313" t="s">
        <v>13</v>
      </c>
      <c r="I41" s="317"/>
    </row>
    <row r="42">
      <c r="A42" s="313" t="s">
        <v>471</v>
      </c>
      <c r="B42" s="320">
        <v>45547.0</v>
      </c>
      <c r="C42" s="72">
        <v>0.4791666666666667</v>
      </c>
      <c r="D42" s="320">
        <v>45547.0</v>
      </c>
      <c r="E42" s="321">
        <v>0.7125</v>
      </c>
      <c r="F42" s="316">
        <v>0.26</v>
      </c>
      <c r="G42" s="313" t="s">
        <v>12</v>
      </c>
      <c r="H42" s="313" t="s">
        <v>13</v>
      </c>
      <c r="I42" s="322"/>
    </row>
    <row r="43">
      <c r="A43" s="313" t="s">
        <v>472</v>
      </c>
      <c r="B43" s="320">
        <v>45547.0</v>
      </c>
      <c r="C43" s="323">
        <v>0.4895833333333333</v>
      </c>
      <c r="D43" s="320">
        <v>45547.0</v>
      </c>
      <c r="E43" s="321">
        <v>0.7131944444444445</v>
      </c>
      <c r="F43" s="316">
        <v>0.2</v>
      </c>
      <c r="G43" s="313" t="s">
        <v>12</v>
      </c>
      <c r="H43" s="313" t="s">
        <v>13</v>
      </c>
      <c r="I43" s="317"/>
    </row>
    <row r="44">
      <c r="A44" s="313" t="s">
        <v>473</v>
      </c>
      <c r="B44" s="65">
        <v>45551.0</v>
      </c>
      <c r="C44" s="72">
        <v>0.2638888888888889</v>
      </c>
      <c r="D44" s="65">
        <v>45551.0</v>
      </c>
      <c r="E44" s="321">
        <v>0.6805555555555556</v>
      </c>
      <c r="F44" s="308">
        <v>0.13</v>
      </c>
      <c r="G44" s="313" t="s">
        <v>12</v>
      </c>
      <c r="H44" s="313" t="s">
        <v>13</v>
      </c>
      <c r="I44" s="306"/>
    </row>
    <row r="45">
      <c r="A45" s="313" t="s">
        <v>474</v>
      </c>
      <c r="B45" s="65">
        <v>45551.0</v>
      </c>
      <c r="C45" s="72">
        <v>0.2708333333333333</v>
      </c>
      <c r="D45" s="65">
        <v>45551.0</v>
      </c>
      <c r="E45" s="321">
        <v>0.18125</v>
      </c>
      <c r="F45" s="308">
        <v>0.16</v>
      </c>
      <c r="G45" s="313" t="s">
        <v>12</v>
      </c>
      <c r="H45" s="313" t="s">
        <v>13</v>
      </c>
      <c r="I45" s="306"/>
    </row>
    <row r="46">
      <c r="A46" s="313" t="s">
        <v>475</v>
      </c>
      <c r="B46" s="65">
        <v>45551.0</v>
      </c>
      <c r="C46" s="72">
        <v>0.3854166666666667</v>
      </c>
      <c r="D46" s="65">
        <v>45551.0</v>
      </c>
      <c r="E46" s="321">
        <v>0.68125</v>
      </c>
      <c r="F46" s="308">
        <v>0.07</v>
      </c>
      <c r="G46" s="313" t="s">
        <v>12</v>
      </c>
      <c r="H46" s="313" t="s">
        <v>13</v>
      </c>
      <c r="I46" s="306"/>
    </row>
    <row r="47">
      <c r="A47" s="313" t="s">
        <v>476</v>
      </c>
      <c r="B47" s="65">
        <v>45551.0</v>
      </c>
      <c r="C47" s="72">
        <v>0.39444444444444443</v>
      </c>
      <c r="D47" s="65">
        <v>45551.0</v>
      </c>
      <c r="E47" s="324">
        <v>0.6819444444444445</v>
      </c>
      <c r="F47" s="325">
        <v>0.06</v>
      </c>
      <c r="G47" s="313" t="s">
        <v>12</v>
      </c>
      <c r="H47" s="313" t="s">
        <v>13</v>
      </c>
      <c r="I47" s="306"/>
    </row>
    <row r="48">
      <c r="B48" s="326"/>
      <c r="C48" s="327"/>
      <c r="E48" s="327"/>
      <c r="F48" s="328"/>
      <c r="I48" s="329"/>
    </row>
    <row r="49">
      <c r="B49" s="326"/>
      <c r="C49" s="327"/>
      <c r="E49" s="327"/>
      <c r="F49" s="328"/>
      <c r="I49" s="329"/>
    </row>
    <row r="50">
      <c r="B50" s="326"/>
      <c r="C50" s="327"/>
      <c r="E50" s="327"/>
      <c r="F50" s="328"/>
      <c r="I50" s="329"/>
    </row>
    <row r="51">
      <c r="B51" s="326"/>
      <c r="C51" s="327"/>
      <c r="E51" s="327"/>
      <c r="F51" s="328"/>
      <c r="I51" s="329"/>
    </row>
    <row r="52">
      <c r="B52" s="326"/>
      <c r="C52" s="327"/>
      <c r="E52" s="327"/>
      <c r="F52" s="328"/>
      <c r="I52" s="329"/>
    </row>
    <row r="53">
      <c r="B53" s="326"/>
      <c r="C53" s="327"/>
      <c r="E53" s="327"/>
      <c r="F53" s="328"/>
      <c r="I53" s="329"/>
    </row>
    <row r="54">
      <c r="B54" s="326"/>
      <c r="C54" s="327"/>
      <c r="E54" s="327"/>
      <c r="F54" s="328"/>
      <c r="I54" s="329"/>
    </row>
    <row r="55">
      <c r="B55" s="326"/>
      <c r="C55" s="327"/>
      <c r="E55" s="327"/>
      <c r="F55" s="328"/>
      <c r="I55" s="329"/>
    </row>
    <row r="56">
      <c r="B56" s="326"/>
      <c r="C56" s="327"/>
      <c r="E56" s="327"/>
      <c r="F56" s="328"/>
      <c r="I56" s="329"/>
    </row>
    <row r="57">
      <c r="B57" s="326"/>
      <c r="C57" s="327"/>
      <c r="E57" s="327"/>
      <c r="F57" s="328"/>
      <c r="I57" s="329"/>
    </row>
    <row r="58">
      <c r="B58" s="326"/>
      <c r="C58" s="327"/>
      <c r="E58" s="327"/>
      <c r="F58" s="328"/>
      <c r="I58" s="329"/>
    </row>
    <row r="59">
      <c r="B59" s="326"/>
      <c r="C59" s="327"/>
      <c r="E59" s="327"/>
      <c r="F59" s="328"/>
      <c r="I59" s="329"/>
    </row>
    <row r="60">
      <c r="B60" s="326"/>
      <c r="C60" s="327"/>
      <c r="E60" s="327"/>
      <c r="F60" s="328"/>
      <c r="I60" s="329"/>
    </row>
    <row r="61">
      <c r="B61" s="326"/>
      <c r="C61" s="327"/>
      <c r="E61" s="327"/>
      <c r="F61" s="328"/>
      <c r="I61" s="329"/>
    </row>
    <row r="62">
      <c r="B62" s="326"/>
      <c r="C62" s="327"/>
      <c r="E62" s="327"/>
      <c r="F62" s="328"/>
      <c r="I62" s="329"/>
    </row>
    <row r="63">
      <c r="B63" s="326"/>
      <c r="C63" s="327"/>
      <c r="E63" s="327"/>
      <c r="F63" s="328"/>
      <c r="I63" s="329"/>
    </row>
    <row r="64">
      <c r="B64" s="326"/>
      <c r="C64" s="327"/>
      <c r="E64" s="327"/>
      <c r="F64" s="328"/>
      <c r="I64" s="329"/>
    </row>
    <row r="65">
      <c r="B65" s="326"/>
      <c r="C65" s="327"/>
      <c r="E65" s="327"/>
      <c r="F65" s="328"/>
      <c r="I65" s="329"/>
    </row>
    <row r="66">
      <c r="B66" s="326"/>
      <c r="C66" s="327"/>
      <c r="E66" s="327"/>
      <c r="F66" s="328"/>
      <c r="I66" s="329"/>
    </row>
    <row r="67">
      <c r="B67" s="326"/>
      <c r="C67" s="327"/>
      <c r="E67" s="327"/>
      <c r="F67" s="328"/>
      <c r="I67" s="329"/>
    </row>
    <row r="68">
      <c r="B68" s="326"/>
      <c r="C68" s="327"/>
      <c r="E68" s="327"/>
      <c r="F68" s="328"/>
      <c r="I68" s="329"/>
    </row>
    <row r="69">
      <c r="B69" s="326"/>
      <c r="C69" s="327"/>
      <c r="E69" s="327"/>
      <c r="F69" s="328"/>
      <c r="I69" s="329"/>
    </row>
    <row r="70">
      <c r="B70" s="326"/>
      <c r="C70" s="327"/>
      <c r="E70" s="327"/>
      <c r="F70" s="328"/>
      <c r="I70" s="329"/>
    </row>
    <row r="71">
      <c r="B71" s="326"/>
      <c r="C71" s="327"/>
      <c r="E71" s="327"/>
      <c r="F71" s="328"/>
      <c r="I71" s="329"/>
    </row>
    <row r="72">
      <c r="B72" s="326"/>
      <c r="C72" s="327"/>
      <c r="E72" s="327"/>
      <c r="F72" s="328"/>
      <c r="I72" s="329"/>
    </row>
    <row r="73">
      <c r="B73" s="326"/>
      <c r="C73" s="327"/>
      <c r="E73" s="327"/>
      <c r="F73" s="328"/>
      <c r="I73" s="329"/>
    </row>
    <row r="74">
      <c r="B74" s="326"/>
      <c r="C74" s="327"/>
      <c r="E74" s="327"/>
      <c r="F74" s="328"/>
      <c r="I74" s="329"/>
    </row>
    <row r="75">
      <c r="B75" s="326"/>
      <c r="C75" s="327"/>
      <c r="E75" s="327"/>
      <c r="F75" s="328"/>
      <c r="I75" s="329"/>
    </row>
    <row r="76">
      <c r="B76" s="326"/>
      <c r="C76" s="327"/>
      <c r="E76" s="327"/>
      <c r="F76" s="328"/>
      <c r="I76" s="329"/>
    </row>
    <row r="77">
      <c r="B77" s="326"/>
      <c r="C77" s="327"/>
      <c r="E77" s="327"/>
      <c r="F77" s="328"/>
      <c r="I77" s="329"/>
    </row>
    <row r="78">
      <c r="B78" s="326"/>
      <c r="C78" s="327"/>
      <c r="E78" s="327"/>
      <c r="F78" s="328"/>
      <c r="I78" s="329"/>
    </row>
    <row r="79">
      <c r="B79" s="326"/>
      <c r="C79" s="327"/>
      <c r="E79" s="327"/>
      <c r="F79" s="328"/>
      <c r="I79" s="329"/>
    </row>
    <row r="80">
      <c r="B80" s="326"/>
      <c r="C80" s="327"/>
      <c r="E80" s="327"/>
      <c r="F80" s="328"/>
      <c r="I80" s="329"/>
    </row>
    <row r="81">
      <c r="B81" s="326"/>
      <c r="C81" s="327"/>
      <c r="E81" s="327"/>
      <c r="F81" s="328"/>
      <c r="I81" s="329"/>
    </row>
    <row r="82">
      <c r="B82" s="326"/>
      <c r="C82" s="327"/>
      <c r="E82" s="327"/>
      <c r="F82" s="328"/>
      <c r="I82" s="329"/>
    </row>
    <row r="83">
      <c r="B83" s="326"/>
      <c r="C83" s="327"/>
      <c r="E83" s="327"/>
      <c r="F83" s="328"/>
      <c r="I83" s="329"/>
    </row>
    <row r="84">
      <c r="B84" s="326"/>
      <c r="C84" s="327"/>
      <c r="E84" s="327"/>
      <c r="F84" s="328"/>
      <c r="I84" s="329"/>
    </row>
    <row r="85">
      <c r="B85" s="326"/>
      <c r="C85" s="327"/>
      <c r="E85" s="327"/>
      <c r="F85" s="328"/>
      <c r="I85" s="329"/>
    </row>
    <row r="86">
      <c r="B86" s="326"/>
      <c r="C86" s="327"/>
      <c r="E86" s="327"/>
      <c r="F86" s="328"/>
      <c r="I86" s="329"/>
    </row>
    <row r="87">
      <c r="B87" s="326"/>
      <c r="C87" s="327"/>
      <c r="E87" s="327"/>
      <c r="F87" s="328"/>
      <c r="I87" s="329"/>
    </row>
    <row r="88">
      <c r="B88" s="326"/>
      <c r="C88" s="327"/>
      <c r="E88" s="327"/>
      <c r="F88" s="328"/>
      <c r="I88" s="329"/>
    </row>
    <row r="89">
      <c r="B89" s="326"/>
      <c r="C89" s="327"/>
      <c r="E89" s="327"/>
      <c r="F89" s="328"/>
      <c r="I89" s="329"/>
    </row>
    <row r="90">
      <c r="B90" s="326"/>
      <c r="C90" s="327"/>
      <c r="E90" s="327"/>
      <c r="F90" s="328"/>
      <c r="I90" s="329"/>
    </row>
    <row r="91">
      <c r="B91" s="326"/>
      <c r="C91" s="327"/>
      <c r="E91" s="327"/>
      <c r="F91" s="328"/>
      <c r="I91" s="329"/>
    </row>
    <row r="92">
      <c r="B92" s="326"/>
      <c r="C92" s="327"/>
      <c r="E92" s="327"/>
      <c r="F92" s="328"/>
      <c r="I92" s="329"/>
    </row>
    <row r="93">
      <c r="B93" s="326"/>
      <c r="C93" s="327"/>
      <c r="E93" s="327"/>
      <c r="F93" s="328"/>
      <c r="I93" s="329"/>
    </row>
    <row r="94">
      <c r="B94" s="326"/>
      <c r="C94" s="327"/>
      <c r="E94" s="327"/>
      <c r="F94" s="328"/>
      <c r="I94" s="329"/>
    </row>
    <row r="95">
      <c r="B95" s="326"/>
      <c r="C95" s="327"/>
      <c r="E95" s="327"/>
      <c r="F95" s="328"/>
      <c r="I95" s="329"/>
    </row>
    <row r="96">
      <c r="B96" s="326"/>
      <c r="C96" s="327"/>
      <c r="E96" s="327"/>
      <c r="F96" s="328"/>
      <c r="I96" s="329"/>
    </row>
    <row r="97">
      <c r="B97" s="326"/>
      <c r="C97" s="327"/>
      <c r="E97" s="327"/>
      <c r="F97" s="328"/>
      <c r="I97" s="329"/>
    </row>
    <row r="98">
      <c r="B98" s="326"/>
      <c r="C98" s="327"/>
      <c r="E98" s="327"/>
      <c r="F98" s="328"/>
      <c r="I98" s="329"/>
    </row>
    <row r="99">
      <c r="B99" s="326"/>
      <c r="C99" s="327"/>
      <c r="E99" s="327"/>
      <c r="F99" s="328"/>
      <c r="I99" s="329"/>
    </row>
    <row r="100">
      <c r="B100" s="326"/>
      <c r="C100" s="327"/>
      <c r="E100" s="327"/>
      <c r="F100" s="328"/>
      <c r="I100" s="329"/>
    </row>
    <row r="101">
      <c r="B101" s="326"/>
      <c r="C101" s="327"/>
      <c r="E101" s="327"/>
      <c r="F101" s="328"/>
      <c r="I101" s="329"/>
    </row>
    <row r="102">
      <c r="B102" s="326"/>
      <c r="C102" s="327"/>
      <c r="E102" s="327"/>
      <c r="F102" s="328"/>
      <c r="I102" s="329"/>
    </row>
    <row r="103">
      <c r="B103" s="326"/>
      <c r="C103" s="327"/>
      <c r="E103" s="327"/>
      <c r="F103" s="328"/>
      <c r="I103" s="329"/>
    </row>
    <row r="104">
      <c r="B104" s="326"/>
      <c r="C104" s="327"/>
      <c r="E104" s="327"/>
      <c r="F104" s="328"/>
      <c r="I104" s="329"/>
    </row>
    <row r="105">
      <c r="B105" s="326"/>
      <c r="C105" s="327"/>
      <c r="E105" s="327"/>
      <c r="F105" s="328"/>
      <c r="I105" s="329"/>
    </row>
    <row r="106">
      <c r="B106" s="326"/>
      <c r="C106" s="327"/>
      <c r="E106" s="327"/>
      <c r="F106" s="328"/>
      <c r="I106" s="329"/>
    </row>
    <row r="107">
      <c r="B107" s="326"/>
      <c r="C107" s="327"/>
      <c r="E107" s="327"/>
      <c r="F107" s="328"/>
      <c r="I107" s="329"/>
    </row>
    <row r="108">
      <c r="B108" s="326"/>
      <c r="C108" s="327"/>
      <c r="E108" s="327"/>
      <c r="F108" s="328"/>
      <c r="I108" s="329"/>
    </row>
    <row r="109">
      <c r="B109" s="326"/>
      <c r="C109" s="327"/>
      <c r="E109" s="327"/>
      <c r="F109" s="328"/>
      <c r="I109" s="329"/>
    </row>
    <row r="110">
      <c r="B110" s="326"/>
      <c r="C110" s="327"/>
      <c r="E110" s="327"/>
      <c r="F110" s="328"/>
      <c r="I110" s="329"/>
    </row>
    <row r="111">
      <c r="B111" s="326"/>
      <c r="C111" s="327"/>
      <c r="E111" s="327"/>
      <c r="F111" s="328"/>
      <c r="I111" s="329"/>
    </row>
    <row r="112">
      <c r="B112" s="326"/>
      <c r="C112" s="327"/>
      <c r="E112" s="327"/>
      <c r="F112" s="328"/>
      <c r="I112" s="329"/>
    </row>
    <row r="113">
      <c r="B113" s="326"/>
      <c r="C113" s="327"/>
      <c r="E113" s="327"/>
      <c r="F113" s="328"/>
      <c r="I113" s="329"/>
    </row>
    <row r="114">
      <c r="B114" s="326"/>
      <c r="C114" s="327"/>
      <c r="E114" s="327"/>
      <c r="F114" s="328"/>
      <c r="I114" s="329"/>
    </row>
    <row r="115">
      <c r="B115" s="326"/>
      <c r="C115" s="327"/>
      <c r="E115" s="327"/>
      <c r="F115" s="328"/>
      <c r="I115" s="329"/>
    </row>
    <row r="116">
      <c r="B116" s="326"/>
      <c r="C116" s="327"/>
      <c r="E116" s="327"/>
      <c r="F116" s="328"/>
      <c r="I116" s="329"/>
    </row>
    <row r="117">
      <c r="B117" s="326"/>
      <c r="C117" s="327"/>
      <c r="E117" s="327"/>
      <c r="F117" s="328"/>
      <c r="I117" s="329"/>
    </row>
    <row r="118">
      <c r="B118" s="326"/>
      <c r="C118" s="327"/>
      <c r="E118" s="327"/>
      <c r="F118" s="328"/>
      <c r="I118" s="329"/>
    </row>
    <row r="119">
      <c r="B119" s="326"/>
      <c r="C119" s="327"/>
      <c r="E119" s="327"/>
      <c r="F119" s="328"/>
      <c r="I119" s="329"/>
    </row>
    <row r="120">
      <c r="B120" s="326"/>
      <c r="C120" s="327"/>
      <c r="E120" s="327"/>
      <c r="F120" s="328"/>
      <c r="I120" s="329"/>
    </row>
    <row r="121">
      <c r="B121" s="326"/>
      <c r="C121" s="327"/>
      <c r="E121" s="327"/>
      <c r="F121" s="328"/>
      <c r="I121" s="329"/>
    </row>
    <row r="122">
      <c r="B122" s="326"/>
      <c r="C122" s="327"/>
      <c r="E122" s="327"/>
      <c r="F122" s="328"/>
      <c r="I122" s="329"/>
    </row>
    <row r="123">
      <c r="B123" s="326"/>
      <c r="C123" s="327"/>
      <c r="E123" s="327"/>
      <c r="F123" s="328"/>
      <c r="I123" s="329"/>
    </row>
    <row r="124">
      <c r="B124" s="326"/>
      <c r="C124" s="327"/>
      <c r="E124" s="327"/>
      <c r="F124" s="328"/>
      <c r="I124" s="329"/>
    </row>
    <row r="125">
      <c r="B125" s="326"/>
      <c r="C125" s="327"/>
      <c r="E125" s="327"/>
      <c r="F125" s="328"/>
      <c r="I125" s="329"/>
    </row>
    <row r="126">
      <c r="B126" s="326"/>
      <c r="C126" s="327"/>
      <c r="E126" s="327"/>
      <c r="F126" s="328"/>
      <c r="I126" s="329"/>
    </row>
    <row r="127">
      <c r="B127" s="326"/>
      <c r="C127" s="327"/>
      <c r="E127" s="327"/>
      <c r="F127" s="328"/>
      <c r="I127" s="329"/>
    </row>
    <row r="128">
      <c r="B128" s="326"/>
      <c r="C128" s="327"/>
      <c r="E128" s="327"/>
      <c r="F128" s="328"/>
      <c r="I128" s="329"/>
    </row>
    <row r="129">
      <c r="B129" s="326"/>
      <c r="C129" s="327"/>
      <c r="E129" s="327"/>
      <c r="F129" s="328"/>
      <c r="I129" s="329"/>
    </row>
    <row r="130">
      <c r="B130" s="326"/>
      <c r="C130" s="327"/>
      <c r="E130" s="327"/>
      <c r="F130" s="328"/>
      <c r="I130" s="329"/>
    </row>
    <row r="131">
      <c r="B131" s="326"/>
      <c r="C131" s="327"/>
      <c r="E131" s="327"/>
      <c r="F131" s="328"/>
      <c r="I131" s="329"/>
    </row>
    <row r="132">
      <c r="B132" s="326"/>
      <c r="C132" s="327"/>
      <c r="E132" s="327"/>
      <c r="F132" s="328"/>
      <c r="I132" s="329"/>
    </row>
    <row r="133">
      <c r="B133" s="326"/>
      <c r="C133" s="327"/>
      <c r="E133" s="327"/>
      <c r="F133" s="328"/>
      <c r="I133" s="329"/>
    </row>
    <row r="134">
      <c r="B134" s="326"/>
      <c r="C134" s="327"/>
      <c r="E134" s="327"/>
      <c r="F134" s="328"/>
      <c r="I134" s="329"/>
    </row>
    <row r="135">
      <c r="B135" s="326"/>
      <c r="C135" s="327"/>
      <c r="E135" s="327"/>
      <c r="F135" s="328"/>
      <c r="I135" s="329"/>
    </row>
    <row r="136">
      <c r="B136" s="326"/>
      <c r="C136" s="327"/>
      <c r="E136" s="327"/>
      <c r="F136" s="328"/>
      <c r="I136" s="329"/>
    </row>
    <row r="137">
      <c r="B137" s="326"/>
      <c r="C137" s="327"/>
      <c r="E137" s="327"/>
      <c r="F137" s="328"/>
      <c r="I137" s="329"/>
    </row>
    <row r="138">
      <c r="B138" s="326"/>
      <c r="C138" s="327"/>
      <c r="E138" s="327"/>
      <c r="F138" s="328"/>
      <c r="I138" s="329"/>
    </row>
    <row r="139">
      <c r="B139" s="326"/>
      <c r="C139" s="327"/>
      <c r="E139" s="327"/>
      <c r="F139" s="328"/>
      <c r="I139" s="329"/>
    </row>
    <row r="140">
      <c r="B140" s="326"/>
      <c r="C140" s="327"/>
      <c r="E140" s="327"/>
      <c r="F140" s="328"/>
      <c r="I140" s="329"/>
    </row>
    <row r="141">
      <c r="B141" s="326"/>
      <c r="C141" s="327"/>
      <c r="E141" s="327"/>
      <c r="F141" s="328"/>
      <c r="I141" s="329"/>
    </row>
    <row r="142">
      <c r="B142" s="326"/>
      <c r="C142" s="327"/>
      <c r="E142" s="327"/>
      <c r="F142" s="328"/>
      <c r="I142" s="329"/>
    </row>
    <row r="143">
      <c r="B143" s="326"/>
      <c r="C143" s="327"/>
      <c r="E143" s="327"/>
      <c r="F143" s="328"/>
      <c r="I143" s="329"/>
    </row>
    <row r="144">
      <c r="B144" s="326"/>
      <c r="C144" s="327"/>
      <c r="E144" s="327"/>
      <c r="F144" s="328"/>
      <c r="I144" s="329"/>
    </row>
    <row r="145">
      <c r="B145" s="326"/>
      <c r="C145" s="327"/>
      <c r="E145" s="327"/>
      <c r="F145" s="328"/>
      <c r="I145" s="329"/>
    </row>
    <row r="146">
      <c r="B146" s="326"/>
      <c r="C146" s="327"/>
      <c r="E146" s="327"/>
      <c r="F146" s="328"/>
      <c r="I146" s="329"/>
    </row>
    <row r="147">
      <c r="B147" s="326"/>
      <c r="C147" s="327"/>
      <c r="E147" s="327"/>
      <c r="F147" s="328"/>
      <c r="I147" s="329"/>
    </row>
    <row r="148">
      <c r="B148" s="326"/>
      <c r="C148" s="327"/>
      <c r="E148" s="327"/>
      <c r="F148" s="328"/>
      <c r="I148" s="329"/>
    </row>
    <row r="149">
      <c r="B149" s="326"/>
      <c r="C149" s="327"/>
      <c r="E149" s="327"/>
      <c r="F149" s="328"/>
      <c r="I149" s="329"/>
    </row>
    <row r="150">
      <c r="B150" s="326"/>
      <c r="C150" s="327"/>
      <c r="E150" s="327"/>
      <c r="F150" s="328"/>
      <c r="I150" s="329"/>
    </row>
    <row r="151">
      <c r="B151" s="326"/>
      <c r="C151" s="327"/>
      <c r="E151" s="327"/>
      <c r="F151" s="328"/>
      <c r="I151" s="329"/>
    </row>
    <row r="152">
      <c r="B152" s="326"/>
      <c r="C152" s="327"/>
      <c r="E152" s="327"/>
      <c r="F152" s="328"/>
      <c r="I152" s="329"/>
    </row>
    <row r="153">
      <c r="B153" s="326"/>
      <c r="C153" s="327"/>
      <c r="E153" s="327"/>
      <c r="F153" s="328"/>
      <c r="I153" s="329"/>
    </row>
    <row r="154">
      <c r="B154" s="326"/>
      <c r="C154" s="327"/>
      <c r="E154" s="327"/>
      <c r="F154" s="328"/>
      <c r="I154" s="329"/>
    </row>
    <row r="155">
      <c r="B155" s="326"/>
      <c r="C155" s="327"/>
      <c r="E155" s="327"/>
      <c r="F155" s="328"/>
      <c r="I155" s="329"/>
    </row>
    <row r="156">
      <c r="B156" s="326"/>
      <c r="C156" s="327"/>
      <c r="E156" s="327"/>
      <c r="F156" s="328"/>
      <c r="I156" s="329"/>
    </row>
    <row r="157">
      <c r="B157" s="326"/>
      <c r="C157" s="327"/>
      <c r="E157" s="327"/>
      <c r="F157" s="328"/>
      <c r="I157" s="329"/>
    </row>
    <row r="158">
      <c r="B158" s="326"/>
      <c r="C158" s="327"/>
      <c r="E158" s="327"/>
      <c r="F158" s="328"/>
      <c r="I158" s="329"/>
    </row>
    <row r="159">
      <c r="B159" s="326"/>
      <c r="C159" s="327"/>
      <c r="E159" s="327"/>
      <c r="F159" s="328"/>
      <c r="I159" s="329"/>
    </row>
    <row r="160">
      <c r="B160" s="326"/>
      <c r="C160" s="327"/>
      <c r="E160" s="327"/>
      <c r="F160" s="328"/>
      <c r="I160" s="329"/>
    </row>
    <row r="161">
      <c r="B161" s="326"/>
      <c r="C161" s="327"/>
      <c r="E161" s="327"/>
      <c r="F161" s="328"/>
      <c r="I161" s="329"/>
    </row>
    <row r="162">
      <c r="B162" s="326"/>
      <c r="C162" s="327"/>
      <c r="E162" s="327"/>
      <c r="F162" s="328"/>
      <c r="I162" s="329"/>
    </row>
    <row r="163">
      <c r="B163" s="326"/>
      <c r="C163" s="327"/>
      <c r="E163" s="327"/>
      <c r="F163" s="328"/>
      <c r="I163" s="329"/>
    </row>
    <row r="164">
      <c r="B164" s="326"/>
      <c r="C164" s="327"/>
      <c r="E164" s="327"/>
      <c r="F164" s="328"/>
      <c r="I164" s="329"/>
    </row>
    <row r="165">
      <c r="B165" s="326"/>
      <c r="C165" s="327"/>
      <c r="E165" s="327"/>
      <c r="F165" s="328"/>
      <c r="I165" s="329"/>
    </row>
    <row r="166">
      <c r="B166" s="326"/>
      <c r="C166" s="327"/>
      <c r="E166" s="327"/>
      <c r="F166" s="328"/>
      <c r="I166" s="329"/>
    </row>
    <row r="167">
      <c r="B167" s="326"/>
      <c r="C167" s="327"/>
      <c r="E167" s="327"/>
      <c r="F167" s="328"/>
      <c r="I167" s="329"/>
    </row>
    <row r="168">
      <c r="B168" s="326"/>
      <c r="C168" s="327"/>
      <c r="E168" s="327"/>
      <c r="F168" s="328"/>
      <c r="I168" s="329"/>
    </row>
    <row r="169">
      <c r="B169" s="326"/>
      <c r="C169" s="327"/>
      <c r="E169" s="327"/>
      <c r="F169" s="328"/>
      <c r="I169" s="329"/>
    </row>
    <row r="170">
      <c r="B170" s="326"/>
      <c r="C170" s="327"/>
      <c r="E170" s="327"/>
      <c r="F170" s="328"/>
      <c r="I170" s="329"/>
    </row>
    <row r="171">
      <c r="B171" s="326"/>
      <c r="C171" s="327"/>
      <c r="E171" s="327"/>
      <c r="F171" s="328"/>
      <c r="I171" s="329"/>
    </row>
    <row r="172">
      <c r="B172" s="326"/>
      <c r="C172" s="327"/>
      <c r="E172" s="327"/>
      <c r="F172" s="328"/>
      <c r="I172" s="329"/>
    </row>
    <row r="173">
      <c r="B173" s="326"/>
      <c r="C173" s="327"/>
      <c r="E173" s="327"/>
      <c r="F173" s="328"/>
      <c r="I173" s="329"/>
    </row>
    <row r="174">
      <c r="B174" s="326"/>
      <c r="C174" s="327"/>
      <c r="E174" s="327"/>
      <c r="F174" s="328"/>
      <c r="I174" s="329"/>
    </row>
    <row r="175">
      <c r="B175" s="326"/>
      <c r="C175" s="327"/>
      <c r="E175" s="327"/>
      <c r="F175" s="328"/>
      <c r="I175" s="329"/>
    </row>
    <row r="176">
      <c r="B176" s="326"/>
      <c r="C176" s="327"/>
      <c r="E176" s="327"/>
      <c r="F176" s="328"/>
      <c r="I176" s="329"/>
    </row>
    <row r="177">
      <c r="B177" s="326"/>
      <c r="C177" s="327"/>
      <c r="E177" s="327"/>
      <c r="F177" s="328"/>
      <c r="I177" s="329"/>
    </row>
    <row r="178">
      <c r="B178" s="326"/>
      <c r="C178" s="327"/>
      <c r="E178" s="327"/>
      <c r="F178" s="328"/>
      <c r="I178" s="329"/>
    </row>
    <row r="179">
      <c r="B179" s="326"/>
      <c r="C179" s="327"/>
      <c r="E179" s="327"/>
      <c r="F179" s="328"/>
      <c r="I179" s="329"/>
    </row>
    <row r="180">
      <c r="B180" s="326"/>
      <c r="C180" s="327"/>
      <c r="E180" s="327"/>
      <c r="F180" s="328"/>
      <c r="I180" s="329"/>
    </row>
    <row r="181">
      <c r="B181" s="326"/>
      <c r="C181" s="327"/>
      <c r="E181" s="327"/>
      <c r="F181" s="328"/>
      <c r="I181" s="329"/>
    </row>
    <row r="182">
      <c r="B182" s="326"/>
      <c r="C182" s="327"/>
      <c r="E182" s="327"/>
      <c r="F182" s="328"/>
      <c r="I182" s="329"/>
    </row>
    <row r="183">
      <c r="B183" s="326"/>
      <c r="C183" s="327"/>
      <c r="E183" s="327"/>
      <c r="F183" s="328"/>
      <c r="I183" s="329"/>
    </row>
    <row r="184">
      <c r="B184" s="326"/>
      <c r="C184" s="327"/>
      <c r="E184" s="327"/>
      <c r="F184" s="328"/>
      <c r="I184" s="329"/>
    </row>
    <row r="185">
      <c r="B185" s="326"/>
      <c r="C185" s="327"/>
      <c r="E185" s="327"/>
      <c r="F185" s="328"/>
      <c r="I185" s="329"/>
    </row>
    <row r="186">
      <c r="B186" s="326"/>
      <c r="C186" s="327"/>
      <c r="E186" s="327"/>
      <c r="F186" s="328"/>
      <c r="I186" s="329"/>
    </row>
    <row r="187">
      <c r="B187" s="326"/>
      <c r="C187" s="327"/>
      <c r="E187" s="327"/>
      <c r="F187" s="328"/>
      <c r="I187" s="329"/>
    </row>
    <row r="188">
      <c r="B188" s="326"/>
      <c r="C188" s="327"/>
      <c r="E188" s="327"/>
      <c r="F188" s="328"/>
      <c r="I188" s="329"/>
    </row>
    <row r="189">
      <c r="B189" s="326"/>
      <c r="C189" s="327"/>
      <c r="E189" s="327"/>
      <c r="F189" s="328"/>
      <c r="I189" s="329"/>
    </row>
    <row r="190">
      <c r="B190" s="326"/>
      <c r="C190" s="327"/>
      <c r="E190" s="327"/>
      <c r="F190" s="328"/>
      <c r="I190" s="329"/>
    </row>
    <row r="191">
      <c r="B191" s="326"/>
      <c r="C191" s="327"/>
      <c r="E191" s="327"/>
      <c r="F191" s="328"/>
      <c r="I191" s="329"/>
    </row>
    <row r="192">
      <c r="B192" s="326"/>
      <c r="C192" s="327"/>
      <c r="E192" s="327"/>
      <c r="F192" s="328"/>
      <c r="I192" s="329"/>
    </row>
    <row r="193">
      <c r="B193" s="326"/>
      <c r="C193" s="327"/>
      <c r="E193" s="327"/>
      <c r="F193" s="328"/>
      <c r="I193" s="329"/>
    </row>
    <row r="194">
      <c r="B194" s="326"/>
      <c r="C194" s="327"/>
      <c r="E194" s="327"/>
      <c r="F194" s="328"/>
      <c r="I194" s="329"/>
    </row>
    <row r="195">
      <c r="B195" s="326"/>
      <c r="C195" s="327"/>
      <c r="E195" s="327"/>
      <c r="F195" s="328"/>
      <c r="I195" s="329"/>
    </row>
    <row r="196">
      <c r="B196" s="326"/>
      <c r="C196" s="327"/>
      <c r="E196" s="327"/>
      <c r="F196" s="328"/>
      <c r="I196" s="329"/>
    </row>
    <row r="197">
      <c r="B197" s="326"/>
      <c r="C197" s="327"/>
      <c r="E197" s="327"/>
      <c r="F197" s="328"/>
      <c r="I197" s="329"/>
    </row>
    <row r="198">
      <c r="B198" s="326"/>
      <c r="C198" s="327"/>
      <c r="E198" s="327"/>
      <c r="F198" s="328"/>
      <c r="I198" s="329"/>
    </row>
    <row r="199">
      <c r="B199" s="326"/>
      <c r="C199" s="327"/>
      <c r="E199" s="327"/>
      <c r="F199" s="328"/>
      <c r="I199" s="329"/>
    </row>
    <row r="200">
      <c r="B200" s="326"/>
      <c r="C200" s="327"/>
      <c r="E200" s="327"/>
      <c r="F200" s="328"/>
      <c r="I200" s="329"/>
    </row>
    <row r="201">
      <c r="B201" s="326"/>
      <c r="C201" s="327"/>
      <c r="E201" s="327"/>
      <c r="F201" s="328"/>
      <c r="I201" s="329"/>
    </row>
    <row r="202">
      <c r="B202" s="326"/>
      <c r="C202" s="327"/>
      <c r="E202" s="327"/>
      <c r="F202" s="328"/>
      <c r="I202" s="329"/>
    </row>
    <row r="203">
      <c r="B203" s="326"/>
      <c r="C203" s="327"/>
      <c r="E203" s="327"/>
      <c r="F203" s="328"/>
      <c r="I203" s="329"/>
    </row>
    <row r="204">
      <c r="B204" s="326"/>
      <c r="C204" s="327"/>
      <c r="E204" s="327"/>
      <c r="F204" s="328"/>
      <c r="I204" s="329"/>
    </row>
    <row r="205">
      <c r="B205" s="326"/>
      <c r="C205" s="327"/>
      <c r="E205" s="327"/>
      <c r="F205" s="328"/>
      <c r="I205" s="329"/>
    </row>
    <row r="206">
      <c r="B206" s="326"/>
      <c r="C206" s="327"/>
      <c r="E206" s="327"/>
      <c r="F206" s="328"/>
      <c r="I206" s="329"/>
    </row>
    <row r="207">
      <c r="B207" s="326"/>
      <c r="C207" s="327"/>
      <c r="E207" s="327"/>
      <c r="F207" s="328"/>
      <c r="I207" s="329"/>
    </row>
    <row r="208">
      <c r="B208" s="326"/>
      <c r="C208" s="327"/>
      <c r="E208" s="327"/>
      <c r="F208" s="328"/>
      <c r="I208" s="329"/>
    </row>
    <row r="209">
      <c r="B209" s="326"/>
      <c r="C209" s="327"/>
      <c r="E209" s="327"/>
      <c r="F209" s="328"/>
      <c r="I209" s="329"/>
    </row>
    <row r="210">
      <c r="B210" s="326"/>
      <c r="C210" s="327"/>
      <c r="E210" s="327"/>
      <c r="F210" s="328"/>
      <c r="I210" s="329"/>
    </row>
    <row r="211">
      <c r="B211" s="326"/>
      <c r="C211" s="327"/>
      <c r="E211" s="327"/>
      <c r="F211" s="328"/>
      <c r="I211" s="329"/>
    </row>
    <row r="212">
      <c r="B212" s="326"/>
      <c r="C212" s="327"/>
      <c r="E212" s="327"/>
      <c r="F212" s="328"/>
      <c r="I212" s="329"/>
    </row>
    <row r="213">
      <c r="B213" s="326"/>
      <c r="C213" s="327"/>
      <c r="E213" s="327"/>
      <c r="F213" s="328"/>
      <c r="I213" s="329"/>
    </row>
    <row r="214">
      <c r="B214" s="326"/>
      <c r="C214" s="327"/>
      <c r="E214" s="327"/>
      <c r="F214" s="328"/>
      <c r="I214" s="329"/>
    </row>
    <row r="215">
      <c r="B215" s="326"/>
      <c r="C215" s="327"/>
      <c r="E215" s="327"/>
      <c r="F215" s="328"/>
      <c r="I215" s="329"/>
    </row>
    <row r="216">
      <c r="B216" s="326"/>
      <c r="C216" s="327"/>
      <c r="E216" s="327"/>
      <c r="F216" s="328"/>
      <c r="I216" s="329"/>
    </row>
    <row r="217">
      <c r="B217" s="326"/>
      <c r="C217" s="327"/>
      <c r="E217" s="327"/>
      <c r="F217" s="328"/>
      <c r="I217" s="329"/>
    </row>
    <row r="218">
      <c r="B218" s="326"/>
      <c r="C218" s="327"/>
      <c r="E218" s="327"/>
      <c r="F218" s="328"/>
      <c r="I218" s="329"/>
    </row>
    <row r="219">
      <c r="B219" s="326"/>
      <c r="C219" s="327"/>
      <c r="E219" s="327"/>
      <c r="F219" s="328"/>
      <c r="I219" s="329"/>
    </row>
    <row r="220">
      <c r="B220" s="326"/>
      <c r="C220" s="327"/>
      <c r="E220" s="327"/>
      <c r="F220" s="328"/>
      <c r="I220" s="329"/>
    </row>
    <row r="221">
      <c r="B221" s="326"/>
      <c r="C221" s="327"/>
      <c r="E221" s="327"/>
      <c r="F221" s="328"/>
      <c r="I221" s="329"/>
    </row>
    <row r="222">
      <c r="B222" s="326"/>
      <c r="C222" s="327"/>
      <c r="E222" s="327"/>
      <c r="F222" s="328"/>
      <c r="I222" s="329"/>
    </row>
    <row r="223">
      <c r="B223" s="326"/>
      <c r="C223" s="327"/>
      <c r="E223" s="327"/>
      <c r="F223" s="328"/>
      <c r="I223" s="329"/>
    </row>
    <row r="224">
      <c r="B224" s="326"/>
      <c r="C224" s="327"/>
      <c r="E224" s="327"/>
      <c r="F224" s="328"/>
      <c r="I224" s="329"/>
    </row>
    <row r="225">
      <c r="B225" s="326"/>
      <c r="C225" s="327"/>
      <c r="E225" s="327"/>
      <c r="F225" s="328"/>
      <c r="I225" s="329"/>
    </row>
    <row r="226">
      <c r="B226" s="326"/>
      <c r="C226" s="327"/>
      <c r="E226" s="327"/>
      <c r="F226" s="328"/>
      <c r="I226" s="329"/>
    </row>
    <row r="227">
      <c r="B227" s="326"/>
      <c r="C227" s="327"/>
      <c r="E227" s="327"/>
      <c r="F227" s="328"/>
      <c r="I227" s="329"/>
    </row>
    <row r="228">
      <c r="B228" s="326"/>
      <c r="C228" s="327"/>
      <c r="E228" s="327"/>
      <c r="F228" s="328"/>
      <c r="I228" s="329"/>
    </row>
    <row r="229">
      <c r="B229" s="326"/>
      <c r="C229" s="327"/>
      <c r="E229" s="327"/>
      <c r="F229" s="328"/>
      <c r="I229" s="329"/>
    </row>
    <row r="230">
      <c r="B230" s="326"/>
      <c r="C230" s="327"/>
      <c r="E230" s="327"/>
      <c r="F230" s="328"/>
      <c r="I230" s="329"/>
    </row>
    <row r="231">
      <c r="B231" s="326"/>
      <c r="C231" s="327"/>
      <c r="E231" s="327"/>
      <c r="F231" s="328"/>
      <c r="I231" s="329"/>
    </row>
    <row r="232">
      <c r="B232" s="326"/>
      <c r="C232" s="327"/>
      <c r="E232" s="327"/>
      <c r="F232" s="328"/>
      <c r="I232" s="329"/>
    </row>
    <row r="233">
      <c r="B233" s="326"/>
      <c r="C233" s="327"/>
      <c r="E233" s="327"/>
      <c r="F233" s="328"/>
      <c r="I233" s="329"/>
    </row>
    <row r="234">
      <c r="B234" s="326"/>
      <c r="C234" s="327"/>
      <c r="E234" s="327"/>
      <c r="F234" s="328"/>
      <c r="I234" s="329"/>
    </row>
    <row r="235">
      <c r="B235" s="326"/>
      <c r="C235" s="327"/>
      <c r="E235" s="327"/>
      <c r="F235" s="328"/>
      <c r="I235" s="329"/>
    </row>
    <row r="236">
      <c r="B236" s="326"/>
      <c r="C236" s="327"/>
      <c r="E236" s="327"/>
      <c r="F236" s="328"/>
      <c r="I236" s="329"/>
    </row>
    <row r="237">
      <c r="B237" s="326"/>
      <c r="C237" s="327"/>
      <c r="E237" s="327"/>
      <c r="F237" s="328"/>
      <c r="I237" s="329"/>
    </row>
    <row r="238">
      <c r="B238" s="326"/>
      <c r="C238" s="327"/>
      <c r="E238" s="327"/>
      <c r="F238" s="328"/>
      <c r="I238" s="329"/>
    </row>
    <row r="239">
      <c r="B239" s="326"/>
      <c r="C239" s="327"/>
      <c r="E239" s="327"/>
      <c r="F239" s="328"/>
      <c r="I239" s="329"/>
    </row>
    <row r="240">
      <c r="B240" s="326"/>
      <c r="C240" s="327"/>
      <c r="E240" s="327"/>
      <c r="F240" s="328"/>
      <c r="I240" s="329"/>
    </row>
    <row r="241">
      <c r="B241" s="326"/>
      <c r="C241" s="327"/>
      <c r="E241" s="327"/>
      <c r="F241" s="328"/>
      <c r="I241" s="329"/>
    </row>
    <row r="242">
      <c r="B242" s="326"/>
      <c r="C242" s="327"/>
      <c r="E242" s="327"/>
      <c r="F242" s="328"/>
      <c r="I242" s="329"/>
    </row>
    <row r="243">
      <c r="B243" s="326"/>
      <c r="C243" s="327"/>
      <c r="E243" s="327"/>
      <c r="F243" s="328"/>
      <c r="I243" s="329"/>
    </row>
    <row r="244">
      <c r="B244" s="326"/>
      <c r="C244" s="327"/>
      <c r="E244" s="327"/>
      <c r="F244" s="328"/>
      <c r="I244" s="329"/>
    </row>
    <row r="245">
      <c r="B245" s="326"/>
      <c r="C245" s="327"/>
      <c r="E245" s="327"/>
      <c r="F245" s="328"/>
      <c r="I245" s="329"/>
    </row>
    <row r="246">
      <c r="B246" s="326"/>
      <c r="C246" s="327"/>
      <c r="E246" s="327"/>
      <c r="F246" s="328"/>
      <c r="I246" s="329"/>
    </row>
    <row r="247">
      <c r="B247" s="326"/>
      <c r="C247" s="327"/>
      <c r="E247" s="327"/>
      <c r="F247" s="328"/>
      <c r="I247" s="329"/>
    </row>
    <row r="248">
      <c r="B248" s="326"/>
      <c r="C248" s="327"/>
      <c r="E248" s="327"/>
      <c r="F248" s="328"/>
      <c r="I248" s="329"/>
    </row>
    <row r="249">
      <c r="B249" s="326"/>
      <c r="C249" s="327"/>
      <c r="E249" s="327"/>
      <c r="F249" s="328"/>
      <c r="I249" s="329"/>
    </row>
    <row r="250">
      <c r="B250" s="326"/>
      <c r="C250" s="327"/>
      <c r="E250" s="327"/>
      <c r="F250" s="328"/>
      <c r="I250" s="329"/>
    </row>
    <row r="251">
      <c r="B251" s="326"/>
      <c r="C251" s="327"/>
      <c r="E251" s="327"/>
      <c r="F251" s="328"/>
      <c r="I251" s="329"/>
    </row>
    <row r="252">
      <c r="B252" s="326"/>
      <c r="C252" s="327"/>
      <c r="E252" s="327"/>
      <c r="F252" s="328"/>
      <c r="I252" s="329"/>
    </row>
    <row r="253">
      <c r="B253" s="326"/>
      <c r="C253" s="327"/>
      <c r="E253" s="327"/>
      <c r="F253" s="328"/>
      <c r="I253" s="329"/>
    </row>
    <row r="254">
      <c r="B254" s="326"/>
      <c r="C254" s="327"/>
      <c r="E254" s="327"/>
      <c r="F254" s="328"/>
      <c r="I254" s="329"/>
    </row>
    <row r="255">
      <c r="B255" s="326"/>
      <c r="C255" s="327"/>
      <c r="E255" s="327"/>
      <c r="F255" s="328"/>
      <c r="I255" s="329"/>
    </row>
    <row r="256">
      <c r="B256" s="326"/>
      <c r="C256" s="327"/>
      <c r="E256" s="327"/>
      <c r="F256" s="328"/>
      <c r="I256" s="329"/>
    </row>
    <row r="257">
      <c r="B257" s="326"/>
      <c r="C257" s="327"/>
      <c r="E257" s="327"/>
      <c r="F257" s="328"/>
      <c r="I257" s="329"/>
    </row>
    <row r="258">
      <c r="B258" s="326"/>
      <c r="C258" s="327"/>
      <c r="E258" s="327"/>
      <c r="F258" s="328"/>
      <c r="I258" s="329"/>
    </row>
    <row r="259">
      <c r="B259" s="326"/>
      <c r="C259" s="327"/>
      <c r="E259" s="327"/>
      <c r="F259" s="328"/>
      <c r="I259" s="329"/>
    </row>
    <row r="260">
      <c r="B260" s="326"/>
      <c r="C260" s="327"/>
      <c r="E260" s="327"/>
      <c r="F260" s="328"/>
      <c r="I260" s="329"/>
    </row>
    <row r="261">
      <c r="B261" s="326"/>
      <c r="C261" s="327"/>
      <c r="E261" s="327"/>
      <c r="F261" s="328"/>
      <c r="I261" s="329"/>
    </row>
    <row r="262">
      <c r="B262" s="326"/>
      <c r="C262" s="327"/>
      <c r="E262" s="327"/>
      <c r="F262" s="328"/>
      <c r="I262" s="329"/>
    </row>
    <row r="263">
      <c r="B263" s="326"/>
      <c r="C263" s="327"/>
      <c r="E263" s="327"/>
      <c r="F263" s="328"/>
      <c r="I263" s="329"/>
    </row>
    <row r="264">
      <c r="B264" s="326"/>
      <c r="C264" s="327"/>
      <c r="E264" s="327"/>
      <c r="F264" s="328"/>
      <c r="I264" s="329"/>
    </row>
    <row r="265">
      <c r="B265" s="326"/>
      <c r="C265" s="327"/>
      <c r="E265" s="327"/>
      <c r="F265" s="328"/>
      <c r="I265" s="329"/>
    </row>
    <row r="266">
      <c r="B266" s="326"/>
      <c r="C266" s="327"/>
      <c r="E266" s="327"/>
      <c r="F266" s="328"/>
      <c r="I266" s="329"/>
    </row>
    <row r="267">
      <c r="B267" s="326"/>
      <c r="C267" s="327"/>
      <c r="E267" s="327"/>
      <c r="F267" s="328"/>
      <c r="I267" s="329"/>
    </row>
    <row r="268">
      <c r="B268" s="326"/>
      <c r="C268" s="327"/>
      <c r="E268" s="327"/>
      <c r="F268" s="328"/>
      <c r="I268" s="329"/>
    </row>
    <row r="269">
      <c r="B269" s="326"/>
      <c r="C269" s="327"/>
      <c r="E269" s="327"/>
      <c r="F269" s="328"/>
      <c r="I269" s="329"/>
    </row>
    <row r="270">
      <c r="B270" s="326"/>
      <c r="C270" s="327"/>
      <c r="E270" s="327"/>
      <c r="F270" s="328"/>
      <c r="I270" s="329"/>
    </row>
    <row r="271">
      <c r="B271" s="326"/>
      <c r="C271" s="327"/>
      <c r="E271" s="327"/>
      <c r="F271" s="328"/>
      <c r="I271" s="329"/>
    </row>
    <row r="272">
      <c r="B272" s="326"/>
      <c r="C272" s="327"/>
      <c r="E272" s="327"/>
      <c r="F272" s="328"/>
      <c r="I272" s="329"/>
    </row>
    <row r="273">
      <c r="B273" s="326"/>
      <c r="C273" s="327"/>
      <c r="E273" s="327"/>
      <c r="F273" s="328"/>
      <c r="I273" s="329"/>
    </row>
    <row r="274">
      <c r="B274" s="326"/>
      <c r="C274" s="327"/>
      <c r="E274" s="327"/>
      <c r="F274" s="328"/>
      <c r="I274" s="329"/>
    </row>
    <row r="275">
      <c r="B275" s="326"/>
      <c r="C275" s="327"/>
      <c r="E275" s="327"/>
      <c r="F275" s="328"/>
      <c r="I275" s="329"/>
    </row>
    <row r="276">
      <c r="B276" s="326"/>
      <c r="C276" s="327"/>
      <c r="E276" s="327"/>
      <c r="F276" s="328"/>
      <c r="I276" s="329"/>
    </row>
    <row r="277">
      <c r="B277" s="326"/>
      <c r="C277" s="327"/>
      <c r="E277" s="327"/>
      <c r="F277" s="328"/>
      <c r="I277" s="329"/>
    </row>
    <row r="278">
      <c r="B278" s="326"/>
      <c r="C278" s="327"/>
      <c r="E278" s="327"/>
      <c r="F278" s="328"/>
      <c r="I278" s="329"/>
    </row>
    <row r="279">
      <c r="B279" s="326"/>
      <c r="C279" s="327"/>
      <c r="E279" s="327"/>
      <c r="F279" s="328"/>
      <c r="I279" s="329"/>
    </row>
    <row r="280">
      <c r="B280" s="326"/>
      <c r="C280" s="327"/>
      <c r="E280" s="327"/>
      <c r="F280" s="328"/>
      <c r="I280" s="329"/>
    </row>
    <row r="281">
      <c r="B281" s="326"/>
      <c r="C281" s="327"/>
      <c r="E281" s="327"/>
      <c r="F281" s="328"/>
      <c r="I281" s="329"/>
    </row>
    <row r="282">
      <c r="B282" s="326"/>
      <c r="C282" s="327"/>
      <c r="E282" s="327"/>
      <c r="F282" s="328"/>
      <c r="I282" s="329"/>
    </row>
    <row r="283">
      <c r="B283" s="326"/>
      <c r="C283" s="327"/>
      <c r="E283" s="327"/>
      <c r="F283" s="328"/>
      <c r="I283" s="329"/>
    </row>
    <row r="284">
      <c r="B284" s="326"/>
      <c r="C284" s="327"/>
      <c r="E284" s="327"/>
      <c r="F284" s="328"/>
      <c r="I284" s="329"/>
    </row>
    <row r="285">
      <c r="B285" s="326"/>
      <c r="C285" s="327"/>
      <c r="E285" s="327"/>
      <c r="F285" s="328"/>
      <c r="I285" s="329"/>
    </row>
    <row r="286">
      <c r="B286" s="326"/>
      <c r="C286" s="327"/>
      <c r="E286" s="327"/>
      <c r="F286" s="328"/>
      <c r="I286" s="329"/>
    </row>
    <row r="287">
      <c r="B287" s="326"/>
      <c r="C287" s="327"/>
      <c r="E287" s="327"/>
      <c r="F287" s="328"/>
      <c r="I287" s="329"/>
    </row>
    <row r="288">
      <c r="B288" s="326"/>
      <c r="C288" s="327"/>
      <c r="E288" s="327"/>
      <c r="F288" s="328"/>
      <c r="I288" s="329"/>
    </row>
    <row r="289">
      <c r="B289" s="326"/>
      <c r="C289" s="327"/>
      <c r="E289" s="327"/>
      <c r="F289" s="328"/>
      <c r="I289" s="329"/>
    </row>
    <row r="290">
      <c r="B290" s="326"/>
      <c r="C290" s="327"/>
      <c r="E290" s="327"/>
      <c r="F290" s="328"/>
      <c r="I290" s="329"/>
    </row>
    <row r="291">
      <c r="B291" s="326"/>
      <c r="C291" s="327"/>
      <c r="E291" s="327"/>
      <c r="F291" s="328"/>
      <c r="I291" s="329"/>
    </row>
    <row r="292">
      <c r="B292" s="326"/>
      <c r="C292" s="327"/>
      <c r="E292" s="327"/>
      <c r="F292" s="328"/>
      <c r="I292" s="329"/>
    </row>
    <row r="293">
      <c r="B293" s="326"/>
      <c r="C293" s="327"/>
      <c r="E293" s="327"/>
      <c r="F293" s="328"/>
      <c r="I293" s="329"/>
    </row>
    <row r="294">
      <c r="B294" s="326"/>
      <c r="C294" s="327"/>
      <c r="E294" s="327"/>
      <c r="F294" s="328"/>
      <c r="I294" s="329"/>
    </row>
    <row r="295">
      <c r="B295" s="326"/>
      <c r="C295" s="327"/>
      <c r="E295" s="327"/>
      <c r="F295" s="328"/>
      <c r="I295" s="329"/>
    </row>
    <row r="296">
      <c r="B296" s="326"/>
      <c r="C296" s="327"/>
      <c r="E296" s="327"/>
      <c r="F296" s="328"/>
      <c r="I296" s="329"/>
    </row>
    <row r="297">
      <c r="B297" s="326"/>
      <c r="C297" s="327"/>
      <c r="E297" s="327"/>
      <c r="F297" s="328"/>
      <c r="I297" s="329"/>
    </row>
    <row r="298">
      <c r="B298" s="326"/>
      <c r="C298" s="327"/>
      <c r="E298" s="327"/>
      <c r="F298" s="328"/>
      <c r="I298" s="329"/>
    </row>
    <row r="299">
      <c r="B299" s="326"/>
      <c r="C299" s="327"/>
      <c r="E299" s="327"/>
      <c r="F299" s="328"/>
      <c r="I299" s="329"/>
    </row>
    <row r="300">
      <c r="B300" s="326"/>
      <c r="C300" s="327"/>
      <c r="E300" s="327"/>
      <c r="F300" s="328"/>
      <c r="I300" s="329"/>
    </row>
    <row r="301">
      <c r="B301" s="326"/>
      <c r="C301" s="327"/>
      <c r="E301" s="327"/>
      <c r="F301" s="328"/>
      <c r="I301" s="329"/>
    </row>
    <row r="302">
      <c r="B302" s="326"/>
      <c r="C302" s="327"/>
      <c r="E302" s="327"/>
      <c r="F302" s="328"/>
      <c r="I302" s="329"/>
    </row>
    <row r="303">
      <c r="B303" s="326"/>
      <c r="C303" s="327"/>
      <c r="E303" s="327"/>
      <c r="F303" s="328"/>
      <c r="I303" s="329"/>
    </row>
    <row r="304">
      <c r="B304" s="326"/>
      <c r="C304" s="327"/>
      <c r="E304" s="327"/>
      <c r="F304" s="328"/>
      <c r="I304" s="329"/>
    </row>
    <row r="305">
      <c r="B305" s="326"/>
      <c r="C305" s="327"/>
      <c r="E305" s="327"/>
      <c r="F305" s="328"/>
      <c r="I305" s="329"/>
    </row>
    <row r="306">
      <c r="B306" s="326"/>
      <c r="C306" s="327"/>
      <c r="E306" s="327"/>
      <c r="F306" s="328"/>
      <c r="I306" s="329"/>
    </row>
    <row r="307">
      <c r="B307" s="326"/>
      <c r="C307" s="327"/>
      <c r="E307" s="327"/>
      <c r="F307" s="328"/>
      <c r="I307" s="329"/>
    </row>
    <row r="308">
      <c r="B308" s="326"/>
      <c r="C308" s="327"/>
      <c r="E308" s="327"/>
      <c r="F308" s="328"/>
      <c r="I308" s="329"/>
    </row>
    <row r="309">
      <c r="B309" s="326"/>
      <c r="C309" s="327"/>
      <c r="E309" s="327"/>
      <c r="F309" s="328"/>
      <c r="I309" s="329"/>
    </row>
    <row r="310">
      <c r="B310" s="326"/>
      <c r="C310" s="327"/>
      <c r="E310" s="327"/>
      <c r="F310" s="328"/>
      <c r="I310" s="329"/>
    </row>
    <row r="311">
      <c r="B311" s="326"/>
      <c r="C311" s="327"/>
      <c r="E311" s="327"/>
      <c r="F311" s="328"/>
      <c r="I311" s="329"/>
    </row>
    <row r="312">
      <c r="B312" s="326"/>
      <c r="C312" s="327"/>
      <c r="E312" s="327"/>
      <c r="F312" s="328"/>
      <c r="I312" s="329"/>
    </row>
    <row r="313">
      <c r="B313" s="326"/>
      <c r="C313" s="327"/>
      <c r="E313" s="327"/>
      <c r="F313" s="328"/>
      <c r="I313" s="329"/>
    </row>
    <row r="314">
      <c r="B314" s="326"/>
      <c r="C314" s="327"/>
      <c r="E314" s="327"/>
      <c r="F314" s="328"/>
      <c r="I314" s="329"/>
    </row>
    <row r="315">
      <c r="B315" s="326"/>
      <c r="C315" s="327"/>
      <c r="E315" s="327"/>
      <c r="F315" s="328"/>
      <c r="I315" s="329"/>
    </row>
    <row r="316">
      <c r="B316" s="326"/>
      <c r="C316" s="327"/>
      <c r="E316" s="327"/>
      <c r="F316" s="328"/>
      <c r="I316" s="329"/>
    </row>
    <row r="317">
      <c r="B317" s="326"/>
      <c r="C317" s="327"/>
      <c r="E317" s="327"/>
      <c r="F317" s="328"/>
      <c r="I317" s="329"/>
    </row>
    <row r="318">
      <c r="B318" s="326"/>
      <c r="C318" s="327"/>
      <c r="E318" s="327"/>
      <c r="F318" s="328"/>
      <c r="I318" s="329"/>
    </row>
    <row r="319">
      <c r="B319" s="326"/>
      <c r="C319" s="327"/>
      <c r="E319" s="327"/>
      <c r="F319" s="328"/>
      <c r="I319" s="329"/>
    </row>
    <row r="320">
      <c r="B320" s="326"/>
      <c r="C320" s="327"/>
      <c r="E320" s="327"/>
      <c r="F320" s="328"/>
      <c r="I320" s="329"/>
    </row>
    <row r="321">
      <c r="B321" s="326"/>
      <c r="C321" s="327"/>
      <c r="E321" s="327"/>
      <c r="F321" s="328"/>
      <c r="I321" s="329"/>
    </row>
    <row r="322">
      <c r="B322" s="326"/>
      <c r="C322" s="327"/>
      <c r="E322" s="327"/>
      <c r="F322" s="328"/>
      <c r="I322" s="329"/>
    </row>
    <row r="323">
      <c r="B323" s="326"/>
      <c r="C323" s="327"/>
      <c r="E323" s="327"/>
      <c r="F323" s="328"/>
      <c r="I323" s="329"/>
    </row>
    <row r="324">
      <c r="B324" s="326"/>
      <c r="C324" s="327"/>
      <c r="E324" s="327"/>
      <c r="F324" s="328"/>
      <c r="I324" s="329"/>
    </row>
    <row r="325">
      <c r="B325" s="326"/>
      <c r="C325" s="327"/>
      <c r="E325" s="327"/>
      <c r="F325" s="328"/>
      <c r="I325" s="329"/>
    </row>
    <row r="326">
      <c r="B326" s="326"/>
      <c r="C326" s="327"/>
      <c r="E326" s="327"/>
      <c r="F326" s="328"/>
      <c r="I326" s="329"/>
    </row>
    <row r="327">
      <c r="B327" s="326"/>
      <c r="C327" s="327"/>
      <c r="E327" s="327"/>
      <c r="F327" s="328"/>
      <c r="I327" s="329"/>
    </row>
    <row r="328">
      <c r="B328" s="326"/>
      <c r="C328" s="327"/>
      <c r="E328" s="327"/>
      <c r="F328" s="328"/>
      <c r="I328" s="329"/>
    </row>
    <row r="329">
      <c r="B329" s="326"/>
      <c r="C329" s="327"/>
      <c r="E329" s="327"/>
      <c r="F329" s="328"/>
      <c r="I329" s="329"/>
    </row>
    <row r="330">
      <c r="B330" s="326"/>
      <c r="C330" s="327"/>
      <c r="E330" s="327"/>
      <c r="F330" s="328"/>
      <c r="I330" s="329"/>
    </row>
    <row r="331">
      <c r="B331" s="326"/>
      <c r="C331" s="327"/>
      <c r="E331" s="327"/>
      <c r="F331" s="328"/>
      <c r="I331" s="329"/>
    </row>
    <row r="332">
      <c r="B332" s="326"/>
      <c r="C332" s="327"/>
      <c r="E332" s="327"/>
      <c r="F332" s="328"/>
      <c r="I332" s="329"/>
    </row>
    <row r="333">
      <c r="B333" s="326"/>
      <c r="C333" s="327"/>
      <c r="E333" s="327"/>
      <c r="F333" s="328"/>
      <c r="I333" s="329"/>
    </row>
    <row r="334">
      <c r="B334" s="326"/>
      <c r="C334" s="327"/>
      <c r="E334" s="327"/>
      <c r="F334" s="328"/>
      <c r="I334" s="329"/>
    </row>
    <row r="335">
      <c r="B335" s="326"/>
      <c r="C335" s="327"/>
      <c r="E335" s="327"/>
      <c r="F335" s="328"/>
      <c r="I335" s="329"/>
    </row>
    <row r="336">
      <c r="B336" s="326"/>
      <c r="C336" s="327"/>
      <c r="E336" s="327"/>
      <c r="F336" s="328"/>
      <c r="I336" s="329"/>
    </row>
    <row r="337">
      <c r="B337" s="326"/>
      <c r="C337" s="327"/>
      <c r="E337" s="327"/>
      <c r="F337" s="328"/>
      <c r="I337" s="329"/>
    </row>
    <row r="338">
      <c r="B338" s="326"/>
      <c r="C338" s="327"/>
      <c r="E338" s="327"/>
      <c r="F338" s="328"/>
      <c r="I338" s="329"/>
    </row>
    <row r="339">
      <c r="B339" s="326"/>
      <c r="C339" s="327"/>
      <c r="E339" s="327"/>
      <c r="F339" s="328"/>
      <c r="I339" s="329"/>
    </row>
    <row r="340">
      <c r="B340" s="326"/>
      <c r="C340" s="327"/>
      <c r="E340" s="327"/>
      <c r="F340" s="328"/>
      <c r="I340" s="329"/>
    </row>
    <row r="341">
      <c r="B341" s="326"/>
      <c r="C341" s="327"/>
      <c r="E341" s="327"/>
      <c r="F341" s="328"/>
      <c r="I341" s="329"/>
    </row>
    <row r="342">
      <c r="B342" s="326"/>
      <c r="C342" s="327"/>
      <c r="E342" s="327"/>
      <c r="F342" s="328"/>
      <c r="I342" s="329"/>
    </row>
    <row r="343">
      <c r="B343" s="326"/>
      <c r="C343" s="327"/>
      <c r="E343" s="327"/>
      <c r="F343" s="328"/>
      <c r="I343" s="329"/>
    </row>
    <row r="344">
      <c r="B344" s="326"/>
      <c r="C344" s="327"/>
      <c r="E344" s="327"/>
      <c r="F344" s="328"/>
      <c r="I344" s="329"/>
    </row>
    <row r="345">
      <c r="B345" s="326"/>
      <c r="C345" s="327"/>
      <c r="E345" s="327"/>
      <c r="F345" s="328"/>
      <c r="I345" s="329"/>
    </row>
    <row r="346">
      <c r="B346" s="326"/>
      <c r="C346" s="327"/>
      <c r="E346" s="327"/>
      <c r="F346" s="328"/>
      <c r="I346" s="329"/>
    </row>
    <row r="347">
      <c r="B347" s="326"/>
      <c r="C347" s="327"/>
      <c r="E347" s="327"/>
      <c r="F347" s="328"/>
      <c r="I347" s="329"/>
    </row>
    <row r="348">
      <c r="B348" s="326"/>
      <c r="C348" s="327"/>
      <c r="E348" s="327"/>
      <c r="F348" s="328"/>
      <c r="I348" s="329"/>
    </row>
    <row r="349">
      <c r="B349" s="326"/>
      <c r="C349" s="327"/>
      <c r="E349" s="327"/>
      <c r="F349" s="328"/>
      <c r="I349" s="329"/>
    </row>
    <row r="350">
      <c r="B350" s="326"/>
      <c r="C350" s="327"/>
      <c r="E350" s="327"/>
      <c r="F350" s="328"/>
      <c r="I350" s="329"/>
    </row>
    <row r="351">
      <c r="B351" s="326"/>
      <c r="C351" s="327"/>
      <c r="E351" s="327"/>
      <c r="F351" s="328"/>
      <c r="I351" s="329"/>
    </row>
    <row r="352">
      <c r="B352" s="326"/>
      <c r="C352" s="327"/>
      <c r="E352" s="327"/>
      <c r="F352" s="328"/>
      <c r="I352" s="329"/>
    </row>
    <row r="353">
      <c r="B353" s="326"/>
      <c r="C353" s="327"/>
      <c r="E353" s="327"/>
      <c r="F353" s="328"/>
      <c r="I353" s="329"/>
    </row>
    <row r="354">
      <c r="B354" s="326"/>
      <c r="C354" s="327"/>
      <c r="E354" s="327"/>
      <c r="F354" s="328"/>
      <c r="I354" s="329"/>
    </row>
    <row r="355">
      <c r="B355" s="326"/>
      <c r="C355" s="327"/>
      <c r="E355" s="327"/>
      <c r="F355" s="328"/>
      <c r="I355" s="329"/>
    </row>
    <row r="356">
      <c r="B356" s="326"/>
      <c r="C356" s="327"/>
      <c r="E356" s="327"/>
      <c r="F356" s="328"/>
      <c r="I356" s="329"/>
    </row>
    <row r="357">
      <c r="B357" s="326"/>
      <c r="C357" s="327"/>
      <c r="E357" s="327"/>
      <c r="F357" s="328"/>
      <c r="I357" s="329"/>
    </row>
    <row r="358">
      <c r="B358" s="326"/>
      <c r="C358" s="327"/>
      <c r="E358" s="327"/>
      <c r="F358" s="328"/>
      <c r="I358" s="329"/>
    </row>
    <row r="359">
      <c r="B359" s="326"/>
      <c r="C359" s="327"/>
      <c r="E359" s="327"/>
      <c r="F359" s="328"/>
      <c r="I359" s="329"/>
    </row>
    <row r="360">
      <c r="B360" s="326"/>
      <c r="C360" s="327"/>
      <c r="E360" s="327"/>
      <c r="F360" s="328"/>
      <c r="I360" s="329"/>
    </row>
    <row r="361">
      <c r="B361" s="326"/>
      <c r="C361" s="327"/>
      <c r="E361" s="327"/>
      <c r="F361" s="328"/>
      <c r="I361" s="329"/>
    </row>
    <row r="362">
      <c r="B362" s="326"/>
      <c r="C362" s="327"/>
      <c r="E362" s="327"/>
      <c r="F362" s="328"/>
      <c r="I362" s="329"/>
    </row>
    <row r="363">
      <c r="B363" s="326"/>
      <c r="C363" s="327"/>
      <c r="E363" s="327"/>
      <c r="F363" s="328"/>
      <c r="I363" s="329"/>
    </row>
    <row r="364">
      <c r="B364" s="326"/>
      <c r="C364" s="327"/>
      <c r="E364" s="327"/>
      <c r="F364" s="328"/>
      <c r="I364" s="329"/>
    </row>
    <row r="365">
      <c r="B365" s="326"/>
      <c r="C365" s="327"/>
      <c r="E365" s="327"/>
      <c r="F365" s="328"/>
      <c r="I365" s="329"/>
    </row>
    <row r="366">
      <c r="B366" s="326"/>
      <c r="C366" s="327"/>
      <c r="E366" s="327"/>
      <c r="F366" s="328"/>
      <c r="I366" s="329"/>
    </row>
    <row r="367">
      <c r="B367" s="326"/>
      <c r="C367" s="327"/>
      <c r="E367" s="327"/>
      <c r="F367" s="328"/>
      <c r="I367" s="329"/>
    </row>
    <row r="368">
      <c r="B368" s="326"/>
      <c r="C368" s="327"/>
      <c r="E368" s="327"/>
      <c r="F368" s="328"/>
      <c r="I368" s="329"/>
    </row>
    <row r="369">
      <c r="B369" s="326"/>
      <c r="C369" s="327"/>
      <c r="E369" s="327"/>
      <c r="F369" s="328"/>
      <c r="I369" s="329"/>
    </row>
    <row r="370">
      <c r="B370" s="326"/>
      <c r="C370" s="327"/>
      <c r="E370" s="327"/>
      <c r="F370" s="328"/>
      <c r="I370" s="329"/>
    </row>
    <row r="371">
      <c r="B371" s="326"/>
      <c r="C371" s="327"/>
      <c r="E371" s="327"/>
      <c r="F371" s="328"/>
      <c r="I371" s="329"/>
    </row>
    <row r="372">
      <c r="B372" s="326"/>
      <c r="C372" s="327"/>
      <c r="E372" s="327"/>
      <c r="F372" s="328"/>
      <c r="I372" s="329"/>
    </row>
    <row r="373">
      <c r="B373" s="326"/>
      <c r="C373" s="327"/>
      <c r="E373" s="327"/>
      <c r="F373" s="328"/>
      <c r="I373" s="329"/>
    </row>
    <row r="374">
      <c r="B374" s="326"/>
      <c r="C374" s="327"/>
      <c r="E374" s="327"/>
      <c r="F374" s="328"/>
      <c r="I374" s="329"/>
    </row>
    <row r="375">
      <c r="B375" s="326"/>
      <c r="C375" s="327"/>
      <c r="E375" s="327"/>
      <c r="F375" s="328"/>
      <c r="I375" s="329"/>
    </row>
    <row r="376">
      <c r="B376" s="326"/>
      <c r="C376" s="327"/>
      <c r="E376" s="327"/>
      <c r="F376" s="328"/>
      <c r="I376" s="329"/>
    </row>
    <row r="377">
      <c r="B377" s="326"/>
      <c r="C377" s="327"/>
      <c r="E377" s="327"/>
      <c r="F377" s="328"/>
      <c r="I377" s="329"/>
    </row>
    <row r="378">
      <c r="B378" s="326"/>
      <c r="C378" s="327"/>
      <c r="E378" s="327"/>
      <c r="F378" s="328"/>
      <c r="I378" s="329"/>
    </row>
    <row r="379">
      <c r="B379" s="326"/>
      <c r="C379" s="327"/>
      <c r="E379" s="327"/>
      <c r="F379" s="328"/>
      <c r="I379" s="329"/>
    </row>
    <row r="380">
      <c r="B380" s="326"/>
      <c r="C380" s="327"/>
      <c r="E380" s="327"/>
      <c r="F380" s="328"/>
      <c r="I380" s="329"/>
    </row>
    <row r="381">
      <c r="B381" s="326"/>
      <c r="C381" s="327"/>
      <c r="E381" s="327"/>
      <c r="F381" s="328"/>
      <c r="I381" s="329"/>
    </row>
    <row r="382">
      <c r="B382" s="326"/>
      <c r="C382" s="327"/>
      <c r="E382" s="327"/>
      <c r="F382" s="328"/>
      <c r="I382" s="329"/>
    </row>
    <row r="383">
      <c r="B383" s="326"/>
      <c r="C383" s="327"/>
      <c r="E383" s="327"/>
      <c r="F383" s="328"/>
      <c r="I383" s="329"/>
    </row>
    <row r="384">
      <c r="B384" s="326"/>
      <c r="C384" s="327"/>
      <c r="E384" s="327"/>
      <c r="F384" s="328"/>
      <c r="I384" s="329"/>
    </row>
    <row r="385">
      <c r="B385" s="326"/>
      <c r="C385" s="327"/>
      <c r="E385" s="327"/>
      <c r="F385" s="328"/>
      <c r="I385" s="329"/>
    </row>
    <row r="386">
      <c r="B386" s="326"/>
      <c r="C386" s="327"/>
      <c r="E386" s="327"/>
      <c r="F386" s="328"/>
      <c r="I386" s="329"/>
    </row>
    <row r="387">
      <c r="B387" s="326"/>
      <c r="C387" s="327"/>
      <c r="E387" s="327"/>
      <c r="F387" s="328"/>
      <c r="I387" s="329"/>
    </row>
    <row r="388">
      <c r="B388" s="326"/>
      <c r="C388" s="327"/>
      <c r="E388" s="327"/>
      <c r="F388" s="328"/>
      <c r="I388" s="329"/>
    </row>
    <row r="389">
      <c r="B389" s="326"/>
      <c r="C389" s="327"/>
      <c r="E389" s="327"/>
      <c r="F389" s="328"/>
      <c r="I389" s="329"/>
    </row>
    <row r="390">
      <c r="B390" s="326"/>
      <c r="C390" s="327"/>
      <c r="E390" s="327"/>
      <c r="F390" s="328"/>
      <c r="I390" s="329"/>
    </row>
    <row r="391">
      <c r="B391" s="326"/>
      <c r="C391" s="327"/>
      <c r="E391" s="327"/>
      <c r="F391" s="328"/>
      <c r="I391" s="329"/>
    </row>
    <row r="392">
      <c r="B392" s="326"/>
      <c r="C392" s="327"/>
      <c r="E392" s="327"/>
      <c r="F392" s="328"/>
      <c r="I392" s="329"/>
    </row>
    <row r="393">
      <c r="B393" s="326"/>
      <c r="C393" s="327"/>
      <c r="E393" s="327"/>
      <c r="F393" s="328"/>
      <c r="I393" s="329"/>
    </row>
    <row r="394">
      <c r="B394" s="326"/>
      <c r="C394" s="327"/>
      <c r="E394" s="327"/>
      <c r="F394" s="328"/>
      <c r="I394" s="329"/>
    </row>
    <row r="395">
      <c r="B395" s="326"/>
      <c r="C395" s="327"/>
      <c r="E395" s="327"/>
      <c r="F395" s="328"/>
      <c r="I395" s="329"/>
    </row>
    <row r="396">
      <c r="B396" s="326"/>
      <c r="C396" s="327"/>
      <c r="E396" s="327"/>
      <c r="F396" s="328"/>
      <c r="I396" s="329"/>
    </row>
    <row r="397">
      <c r="B397" s="326"/>
      <c r="C397" s="327"/>
      <c r="E397" s="327"/>
      <c r="F397" s="328"/>
      <c r="I397" s="329"/>
    </row>
    <row r="398">
      <c r="B398" s="326"/>
      <c r="C398" s="327"/>
      <c r="E398" s="327"/>
      <c r="F398" s="328"/>
      <c r="I398" s="329"/>
    </row>
    <row r="399">
      <c r="B399" s="326"/>
      <c r="C399" s="327"/>
      <c r="E399" s="327"/>
      <c r="F399" s="328"/>
      <c r="I399" s="329"/>
    </row>
    <row r="400">
      <c r="B400" s="326"/>
      <c r="C400" s="327"/>
      <c r="E400" s="327"/>
      <c r="F400" s="328"/>
      <c r="I400" s="329"/>
    </row>
    <row r="401">
      <c r="B401" s="326"/>
      <c r="C401" s="327"/>
      <c r="E401" s="327"/>
      <c r="F401" s="328"/>
      <c r="I401" s="329"/>
    </row>
    <row r="402">
      <c r="B402" s="326"/>
      <c r="C402" s="327"/>
      <c r="E402" s="327"/>
      <c r="F402" s="328"/>
      <c r="I402" s="329"/>
    </row>
    <row r="403">
      <c r="B403" s="326"/>
      <c r="C403" s="327"/>
      <c r="E403" s="327"/>
      <c r="F403" s="328"/>
      <c r="I403" s="329"/>
    </row>
    <row r="404">
      <c r="B404" s="326"/>
      <c r="C404" s="327"/>
      <c r="E404" s="327"/>
      <c r="F404" s="328"/>
      <c r="I404" s="329"/>
    </row>
    <row r="405">
      <c r="B405" s="326"/>
      <c r="C405" s="327"/>
      <c r="E405" s="327"/>
      <c r="F405" s="328"/>
      <c r="I405" s="329"/>
    </row>
    <row r="406">
      <c r="B406" s="326"/>
      <c r="C406" s="327"/>
      <c r="E406" s="327"/>
      <c r="F406" s="328"/>
      <c r="I406" s="329"/>
    </row>
    <row r="407">
      <c r="B407" s="326"/>
      <c r="C407" s="327"/>
      <c r="E407" s="327"/>
      <c r="F407" s="328"/>
      <c r="I407" s="329"/>
    </row>
    <row r="408">
      <c r="B408" s="326"/>
      <c r="C408" s="327"/>
      <c r="E408" s="327"/>
      <c r="F408" s="328"/>
      <c r="I408" s="329"/>
    </row>
    <row r="409">
      <c r="B409" s="326"/>
      <c r="C409" s="327"/>
      <c r="E409" s="327"/>
      <c r="F409" s="328"/>
      <c r="I409" s="329"/>
    </row>
    <row r="410">
      <c r="B410" s="326"/>
      <c r="C410" s="327"/>
      <c r="E410" s="327"/>
      <c r="F410" s="328"/>
      <c r="I410" s="329"/>
    </row>
    <row r="411">
      <c r="B411" s="326"/>
      <c r="C411" s="327"/>
      <c r="E411" s="327"/>
      <c r="F411" s="328"/>
      <c r="I411" s="329"/>
    </row>
    <row r="412">
      <c r="B412" s="326"/>
      <c r="C412" s="327"/>
      <c r="E412" s="327"/>
      <c r="F412" s="328"/>
      <c r="I412" s="329"/>
    </row>
    <row r="413">
      <c r="B413" s="326"/>
      <c r="C413" s="327"/>
      <c r="E413" s="327"/>
      <c r="F413" s="328"/>
      <c r="I413" s="329"/>
    </row>
    <row r="414">
      <c r="B414" s="326"/>
      <c r="C414" s="327"/>
      <c r="E414" s="327"/>
      <c r="F414" s="328"/>
      <c r="I414" s="329"/>
    </row>
    <row r="415">
      <c r="B415" s="326"/>
      <c r="C415" s="327"/>
      <c r="E415" s="327"/>
      <c r="F415" s="328"/>
      <c r="I415" s="329"/>
    </row>
    <row r="416">
      <c r="B416" s="326"/>
      <c r="C416" s="327"/>
      <c r="E416" s="327"/>
      <c r="F416" s="328"/>
      <c r="I416" s="329"/>
    </row>
    <row r="417">
      <c r="B417" s="326"/>
      <c r="C417" s="327"/>
      <c r="E417" s="327"/>
      <c r="F417" s="328"/>
      <c r="I417" s="329"/>
    </row>
    <row r="418">
      <c r="B418" s="326"/>
      <c r="C418" s="327"/>
      <c r="E418" s="327"/>
      <c r="F418" s="328"/>
      <c r="I418" s="329"/>
    </row>
    <row r="419">
      <c r="B419" s="326"/>
      <c r="C419" s="327"/>
      <c r="E419" s="327"/>
      <c r="F419" s="328"/>
      <c r="I419" s="329"/>
    </row>
    <row r="420">
      <c r="B420" s="326"/>
      <c r="C420" s="327"/>
      <c r="E420" s="327"/>
      <c r="F420" s="328"/>
      <c r="I420" s="329"/>
    </row>
    <row r="421">
      <c r="B421" s="326"/>
      <c r="C421" s="327"/>
      <c r="E421" s="327"/>
      <c r="F421" s="328"/>
      <c r="I421" s="329"/>
    </row>
    <row r="422">
      <c r="B422" s="326"/>
      <c r="C422" s="327"/>
      <c r="E422" s="327"/>
      <c r="F422" s="328"/>
      <c r="I422" s="329"/>
    </row>
    <row r="423">
      <c r="B423" s="326"/>
      <c r="C423" s="327"/>
      <c r="E423" s="327"/>
      <c r="F423" s="328"/>
      <c r="I423" s="329"/>
    </row>
    <row r="424">
      <c r="B424" s="326"/>
      <c r="C424" s="327"/>
      <c r="E424" s="327"/>
      <c r="F424" s="328"/>
      <c r="I424" s="329"/>
    </row>
    <row r="425">
      <c r="B425" s="326"/>
      <c r="C425" s="327"/>
      <c r="E425" s="327"/>
      <c r="F425" s="328"/>
      <c r="I425" s="329"/>
    </row>
    <row r="426">
      <c r="B426" s="326"/>
      <c r="C426" s="327"/>
      <c r="E426" s="327"/>
      <c r="F426" s="328"/>
      <c r="I426" s="329"/>
    </row>
    <row r="427">
      <c r="B427" s="326"/>
      <c r="C427" s="327"/>
      <c r="E427" s="327"/>
      <c r="F427" s="328"/>
      <c r="I427" s="329"/>
    </row>
    <row r="428">
      <c r="B428" s="326"/>
      <c r="C428" s="327"/>
      <c r="E428" s="327"/>
      <c r="F428" s="328"/>
      <c r="I428" s="329"/>
    </row>
    <row r="429">
      <c r="B429" s="326"/>
      <c r="C429" s="327"/>
      <c r="E429" s="327"/>
      <c r="F429" s="328"/>
      <c r="I429" s="329"/>
    </row>
    <row r="430">
      <c r="B430" s="326"/>
      <c r="C430" s="327"/>
      <c r="E430" s="327"/>
      <c r="F430" s="328"/>
      <c r="I430" s="329"/>
    </row>
    <row r="431">
      <c r="B431" s="326"/>
      <c r="C431" s="327"/>
      <c r="E431" s="327"/>
      <c r="F431" s="328"/>
      <c r="I431" s="329"/>
    </row>
    <row r="432">
      <c r="B432" s="326"/>
      <c r="C432" s="327"/>
      <c r="E432" s="327"/>
      <c r="F432" s="328"/>
      <c r="I432" s="329"/>
    </row>
    <row r="433">
      <c r="B433" s="326"/>
      <c r="C433" s="327"/>
      <c r="E433" s="327"/>
      <c r="F433" s="328"/>
      <c r="I433" s="329"/>
    </row>
    <row r="434">
      <c r="B434" s="326"/>
      <c r="C434" s="327"/>
      <c r="E434" s="327"/>
      <c r="F434" s="328"/>
      <c r="I434" s="329"/>
    </row>
    <row r="435">
      <c r="B435" s="326"/>
      <c r="C435" s="327"/>
      <c r="E435" s="327"/>
      <c r="F435" s="328"/>
      <c r="I435" s="329"/>
    </row>
    <row r="436">
      <c r="B436" s="326"/>
      <c r="C436" s="327"/>
      <c r="E436" s="327"/>
      <c r="F436" s="328"/>
      <c r="I436" s="329"/>
    </row>
    <row r="437">
      <c r="B437" s="326"/>
      <c r="C437" s="327"/>
      <c r="E437" s="327"/>
      <c r="F437" s="328"/>
      <c r="I437" s="329"/>
    </row>
    <row r="438">
      <c r="B438" s="326"/>
      <c r="C438" s="327"/>
      <c r="E438" s="327"/>
      <c r="F438" s="328"/>
      <c r="I438" s="329"/>
    </row>
    <row r="439">
      <c r="B439" s="326"/>
      <c r="C439" s="327"/>
      <c r="E439" s="327"/>
      <c r="F439" s="328"/>
      <c r="I439" s="329"/>
    </row>
    <row r="440">
      <c r="B440" s="326"/>
      <c r="C440" s="327"/>
      <c r="E440" s="327"/>
      <c r="F440" s="328"/>
      <c r="I440" s="329"/>
    </row>
    <row r="441">
      <c r="B441" s="326"/>
      <c r="C441" s="327"/>
      <c r="E441" s="327"/>
      <c r="F441" s="328"/>
      <c r="I441" s="329"/>
    </row>
    <row r="442">
      <c r="B442" s="326"/>
      <c r="C442" s="327"/>
      <c r="E442" s="327"/>
      <c r="F442" s="328"/>
      <c r="I442" s="329"/>
    </row>
    <row r="443">
      <c r="B443" s="326"/>
      <c r="C443" s="327"/>
      <c r="E443" s="327"/>
      <c r="F443" s="328"/>
      <c r="I443" s="329"/>
    </row>
    <row r="444">
      <c r="B444" s="326"/>
      <c r="C444" s="327"/>
      <c r="E444" s="327"/>
      <c r="F444" s="328"/>
      <c r="I444" s="329"/>
    </row>
    <row r="445">
      <c r="B445" s="326"/>
      <c r="C445" s="327"/>
      <c r="E445" s="327"/>
      <c r="F445" s="328"/>
      <c r="I445" s="329"/>
    </row>
    <row r="446">
      <c r="B446" s="326"/>
      <c r="C446" s="327"/>
      <c r="E446" s="327"/>
      <c r="F446" s="328"/>
      <c r="I446" s="329"/>
    </row>
    <row r="447">
      <c r="B447" s="326"/>
      <c r="C447" s="327"/>
      <c r="E447" s="327"/>
      <c r="F447" s="328"/>
      <c r="I447" s="329"/>
    </row>
    <row r="448">
      <c r="B448" s="326"/>
      <c r="C448" s="327"/>
      <c r="E448" s="327"/>
      <c r="F448" s="328"/>
      <c r="I448" s="329"/>
    </row>
    <row r="449">
      <c r="B449" s="326"/>
      <c r="C449" s="327"/>
      <c r="E449" s="327"/>
      <c r="F449" s="328"/>
      <c r="I449" s="329"/>
    </row>
    <row r="450">
      <c r="B450" s="326"/>
      <c r="C450" s="327"/>
      <c r="E450" s="327"/>
      <c r="F450" s="328"/>
      <c r="I450" s="329"/>
    </row>
    <row r="451">
      <c r="B451" s="326"/>
      <c r="C451" s="327"/>
      <c r="E451" s="327"/>
      <c r="F451" s="328"/>
      <c r="I451" s="329"/>
    </row>
    <row r="452">
      <c r="B452" s="326"/>
      <c r="C452" s="327"/>
      <c r="E452" s="327"/>
      <c r="F452" s="328"/>
      <c r="I452" s="329"/>
    </row>
    <row r="453">
      <c r="B453" s="326"/>
      <c r="C453" s="327"/>
      <c r="E453" s="327"/>
      <c r="F453" s="328"/>
      <c r="I453" s="329"/>
    </row>
    <row r="454">
      <c r="B454" s="326"/>
      <c r="C454" s="327"/>
      <c r="E454" s="327"/>
      <c r="F454" s="328"/>
      <c r="I454" s="329"/>
    </row>
    <row r="455">
      <c r="B455" s="326"/>
      <c r="C455" s="327"/>
      <c r="E455" s="327"/>
      <c r="F455" s="328"/>
      <c r="I455" s="329"/>
    </row>
    <row r="456">
      <c r="B456" s="326"/>
      <c r="C456" s="327"/>
      <c r="E456" s="327"/>
      <c r="F456" s="328"/>
      <c r="I456" s="329"/>
    </row>
    <row r="457">
      <c r="B457" s="326"/>
      <c r="C457" s="327"/>
      <c r="E457" s="327"/>
      <c r="F457" s="328"/>
      <c r="I457" s="329"/>
    </row>
    <row r="458">
      <c r="B458" s="326"/>
      <c r="C458" s="327"/>
      <c r="E458" s="327"/>
      <c r="F458" s="328"/>
      <c r="I458" s="329"/>
    </row>
    <row r="459">
      <c r="B459" s="326"/>
      <c r="C459" s="327"/>
      <c r="E459" s="327"/>
      <c r="F459" s="328"/>
      <c r="I459" s="329"/>
    </row>
    <row r="460">
      <c r="B460" s="326"/>
      <c r="C460" s="327"/>
      <c r="E460" s="327"/>
      <c r="F460" s="328"/>
      <c r="I460" s="329"/>
    </row>
    <row r="461">
      <c r="B461" s="326"/>
      <c r="C461" s="327"/>
      <c r="E461" s="327"/>
      <c r="F461" s="328"/>
      <c r="I461" s="329"/>
    </row>
    <row r="462">
      <c r="B462" s="326"/>
      <c r="C462" s="327"/>
      <c r="E462" s="327"/>
      <c r="F462" s="328"/>
      <c r="I462" s="329"/>
    </row>
    <row r="463">
      <c r="B463" s="326"/>
      <c r="C463" s="327"/>
      <c r="E463" s="327"/>
      <c r="F463" s="328"/>
      <c r="I463" s="329"/>
    </row>
    <row r="464">
      <c r="B464" s="326"/>
      <c r="C464" s="327"/>
      <c r="E464" s="327"/>
      <c r="F464" s="328"/>
      <c r="I464" s="329"/>
    </row>
    <row r="465">
      <c r="B465" s="326"/>
      <c r="C465" s="327"/>
      <c r="E465" s="327"/>
      <c r="F465" s="328"/>
      <c r="I465" s="329"/>
    </row>
    <row r="466">
      <c r="B466" s="326"/>
      <c r="C466" s="327"/>
      <c r="E466" s="327"/>
      <c r="F466" s="328"/>
      <c r="I466" s="329"/>
    </row>
    <row r="467">
      <c r="B467" s="326"/>
      <c r="C467" s="327"/>
      <c r="E467" s="327"/>
      <c r="F467" s="328"/>
      <c r="I467" s="329"/>
    </row>
    <row r="468">
      <c r="B468" s="326"/>
      <c r="C468" s="327"/>
      <c r="E468" s="327"/>
      <c r="F468" s="328"/>
      <c r="I468" s="329"/>
    </row>
    <row r="469">
      <c r="B469" s="326"/>
      <c r="C469" s="327"/>
      <c r="E469" s="327"/>
      <c r="F469" s="328"/>
      <c r="I469" s="329"/>
    </row>
    <row r="470">
      <c r="B470" s="326"/>
      <c r="C470" s="327"/>
      <c r="E470" s="327"/>
      <c r="F470" s="328"/>
      <c r="I470" s="329"/>
    </row>
    <row r="471">
      <c r="B471" s="326"/>
      <c r="C471" s="327"/>
      <c r="E471" s="327"/>
      <c r="F471" s="328"/>
      <c r="I471" s="329"/>
    </row>
    <row r="472">
      <c r="B472" s="326"/>
      <c r="C472" s="327"/>
      <c r="E472" s="327"/>
      <c r="F472" s="328"/>
      <c r="I472" s="329"/>
    </row>
    <row r="473">
      <c r="B473" s="326"/>
      <c r="C473" s="327"/>
      <c r="E473" s="327"/>
      <c r="F473" s="328"/>
      <c r="I473" s="329"/>
    </row>
    <row r="474">
      <c r="B474" s="326"/>
      <c r="C474" s="327"/>
      <c r="E474" s="327"/>
      <c r="F474" s="328"/>
      <c r="I474" s="329"/>
    </row>
    <row r="475">
      <c r="B475" s="326"/>
      <c r="C475" s="327"/>
      <c r="E475" s="327"/>
      <c r="F475" s="328"/>
      <c r="I475" s="329"/>
    </row>
    <row r="476">
      <c r="B476" s="326"/>
      <c r="C476" s="327"/>
      <c r="E476" s="327"/>
      <c r="F476" s="328"/>
      <c r="I476" s="329"/>
    </row>
    <row r="477">
      <c r="B477" s="326"/>
      <c r="C477" s="327"/>
      <c r="E477" s="327"/>
      <c r="F477" s="328"/>
      <c r="I477" s="329"/>
    </row>
    <row r="478">
      <c r="B478" s="326"/>
      <c r="C478" s="327"/>
      <c r="E478" s="327"/>
      <c r="F478" s="328"/>
      <c r="I478" s="329"/>
    </row>
    <row r="479">
      <c r="B479" s="326"/>
      <c r="C479" s="327"/>
      <c r="E479" s="327"/>
      <c r="F479" s="328"/>
      <c r="I479" s="329"/>
    </row>
    <row r="480">
      <c r="B480" s="326"/>
      <c r="C480" s="327"/>
      <c r="E480" s="327"/>
      <c r="F480" s="328"/>
      <c r="I480" s="329"/>
    </row>
    <row r="481">
      <c r="B481" s="326"/>
      <c r="C481" s="327"/>
      <c r="E481" s="327"/>
      <c r="F481" s="328"/>
      <c r="I481" s="329"/>
    </row>
    <row r="482">
      <c r="B482" s="326"/>
      <c r="C482" s="327"/>
      <c r="E482" s="327"/>
      <c r="F482" s="328"/>
      <c r="I482" s="329"/>
    </row>
    <row r="483">
      <c r="B483" s="326"/>
      <c r="C483" s="327"/>
      <c r="E483" s="327"/>
      <c r="F483" s="328"/>
      <c r="I483" s="329"/>
    </row>
    <row r="484">
      <c r="B484" s="326"/>
      <c r="C484" s="327"/>
      <c r="E484" s="327"/>
      <c r="F484" s="328"/>
      <c r="I484" s="329"/>
    </row>
    <row r="485">
      <c r="B485" s="326"/>
      <c r="C485" s="327"/>
      <c r="E485" s="327"/>
      <c r="F485" s="328"/>
      <c r="I485" s="329"/>
    </row>
    <row r="486">
      <c r="B486" s="326"/>
      <c r="C486" s="327"/>
      <c r="E486" s="327"/>
      <c r="F486" s="328"/>
      <c r="I486" s="329"/>
    </row>
    <row r="487">
      <c r="B487" s="326"/>
      <c r="C487" s="327"/>
      <c r="E487" s="327"/>
      <c r="F487" s="328"/>
      <c r="I487" s="329"/>
    </row>
    <row r="488">
      <c r="B488" s="326"/>
      <c r="C488" s="327"/>
      <c r="E488" s="327"/>
      <c r="F488" s="328"/>
      <c r="I488" s="329"/>
    </row>
    <row r="489">
      <c r="B489" s="326"/>
      <c r="C489" s="327"/>
      <c r="E489" s="327"/>
      <c r="F489" s="328"/>
      <c r="I489" s="329"/>
    </row>
    <row r="490">
      <c r="B490" s="326"/>
      <c r="C490" s="327"/>
      <c r="E490" s="327"/>
      <c r="F490" s="328"/>
      <c r="I490" s="329"/>
    </row>
    <row r="491">
      <c r="B491" s="326"/>
      <c r="C491" s="327"/>
      <c r="E491" s="327"/>
      <c r="F491" s="328"/>
      <c r="I491" s="329"/>
    </row>
    <row r="492">
      <c r="B492" s="326"/>
      <c r="C492" s="327"/>
      <c r="E492" s="327"/>
      <c r="F492" s="328"/>
      <c r="I492" s="329"/>
    </row>
    <row r="493">
      <c r="B493" s="326"/>
      <c r="C493" s="327"/>
      <c r="E493" s="327"/>
      <c r="F493" s="328"/>
      <c r="I493" s="329"/>
    </row>
    <row r="494">
      <c r="B494" s="326"/>
      <c r="C494" s="327"/>
      <c r="E494" s="327"/>
      <c r="F494" s="328"/>
      <c r="I494" s="329"/>
    </row>
    <row r="495">
      <c r="B495" s="326"/>
      <c r="C495" s="327"/>
      <c r="E495" s="327"/>
      <c r="F495" s="328"/>
      <c r="I495" s="329"/>
    </row>
    <row r="496">
      <c r="B496" s="326"/>
      <c r="C496" s="327"/>
      <c r="E496" s="327"/>
      <c r="F496" s="328"/>
      <c r="I496" s="329"/>
    </row>
    <row r="497">
      <c r="B497" s="326"/>
      <c r="C497" s="327"/>
      <c r="E497" s="327"/>
      <c r="F497" s="328"/>
      <c r="I497" s="329"/>
    </row>
    <row r="498">
      <c r="B498" s="326"/>
      <c r="C498" s="327"/>
      <c r="E498" s="327"/>
      <c r="F498" s="328"/>
      <c r="I498" s="329"/>
    </row>
    <row r="499">
      <c r="B499" s="326"/>
      <c r="C499" s="327"/>
      <c r="E499" s="327"/>
      <c r="F499" s="328"/>
      <c r="I499" s="329"/>
    </row>
    <row r="500">
      <c r="B500" s="326"/>
      <c r="C500" s="327"/>
      <c r="E500" s="327"/>
      <c r="F500" s="328"/>
      <c r="I500" s="329"/>
    </row>
    <row r="501">
      <c r="B501" s="326"/>
      <c r="C501" s="327"/>
      <c r="E501" s="327"/>
      <c r="F501" s="328"/>
      <c r="I501" s="329"/>
    </row>
    <row r="502">
      <c r="B502" s="326"/>
      <c r="C502" s="327"/>
      <c r="E502" s="327"/>
      <c r="F502" s="328"/>
      <c r="I502" s="329"/>
    </row>
    <row r="503">
      <c r="B503" s="326"/>
      <c r="C503" s="327"/>
      <c r="E503" s="327"/>
      <c r="F503" s="328"/>
      <c r="I503" s="329"/>
    </row>
    <row r="504">
      <c r="B504" s="326"/>
      <c r="C504" s="327"/>
      <c r="E504" s="327"/>
      <c r="F504" s="328"/>
      <c r="I504" s="329"/>
    </row>
    <row r="505">
      <c r="B505" s="326"/>
      <c r="C505" s="327"/>
      <c r="E505" s="327"/>
      <c r="F505" s="328"/>
      <c r="I505" s="329"/>
    </row>
    <row r="506">
      <c r="B506" s="326"/>
      <c r="C506" s="327"/>
      <c r="E506" s="327"/>
      <c r="F506" s="328"/>
      <c r="I506" s="329"/>
    </row>
    <row r="507">
      <c r="B507" s="326"/>
      <c r="C507" s="327"/>
      <c r="E507" s="327"/>
      <c r="F507" s="328"/>
      <c r="I507" s="329"/>
    </row>
    <row r="508">
      <c r="B508" s="326"/>
      <c r="C508" s="327"/>
      <c r="E508" s="327"/>
      <c r="F508" s="328"/>
      <c r="I508" s="329"/>
    </row>
    <row r="509">
      <c r="B509" s="326"/>
      <c r="C509" s="327"/>
      <c r="E509" s="327"/>
      <c r="F509" s="328"/>
      <c r="I509" s="329"/>
    </row>
    <row r="510">
      <c r="B510" s="326"/>
      <c r="C510" s="327"/>
      <c r="E510" s="327"/>
      <c r="F510" s="328"/>
      <c r="I510" s="329"/>
    </row>
    <row r="511">
      <c r="B511" s="326"/>
      <c r="C511" s="327"/>
      <c r="E511" s="327"/>
      <c r="F511" s="328"/>
      <c r="I511" s="329"/>
    </row>
    <row r="512">
      <c r="B512" s="326"/>
      <c r="C512" s="327"/>
      <c r="E512" s="327"/>
      <c r="F512" s="328"/>
      <c r="I512" s="329"/>
    </row>
    <row r="513">
      <c r="B513" s="326"/>
      <c r="C513" s="327"/>
      <c r="E513" s="327"/>
      <c r="F513" s="328"/>
      <c r="I513" s="329"/>
    </row>
    <row r="514">
      <c r="B514" s="326"/>
      <c r="C514" s="327"/>
      <c r="E514" s="327"/>
      <c r="F514" s="328"/>
      <c r="I514" s="329"/>
    </row>
    <row r="515">
      <c r="B515" s="326"/>
      <c r="C515" s="327"/>
      <c r="E515" s="327"/>
      <c r="F515" s="328"/>
      <c r="I515" s="329"/>
    </row>
    <row r="516">
      <c r="B516" s="326"/>
      <c r="C516" s="327"/>
      <c r="E516" s="327"/>
      <c r="F516" s="328"/>
      <c r="I516" s="329"/>
    </row>
    <row r="517">
      <c r="B517" s="326"/>
      <c r="C517" s="327"/>
      <c r="E517" s="327"/>
      <c r="F517" s="328"/>
      <c r="I517" s="329"/>
    </row>
    <row r="518">
      <c r="B518" s="326"/>
      <c r="C518" s="327"/>
      <c r="E518" s="327"/>
      <c r="F518" s="328"/>
      <c r="I518" s="329"/>
    </row>
    <row r="519">
      <c r="B519" s="326"/>
      <c r="C519" s="327"/>
      <c r="E519" s="327"/>
      <c r="F519" s="328"/>
      <c r="I519" s="329"/>
    </row>
    <row r="520">
      <c r="B520" s="326"/>
      <c r="C520" s="327"/>
      <c r="E520" s="327"/>
      <c r="F520" s="328"/>
      <c r="I520" s="329"/>
    </row>
    <row r="521">
      <c r="B521" s="326"/>
      <c r="C521" s="327"/>
      <c r="E521" s="327"/>
      <c r="F521" s="328"/>
      <c r="I521" s="329"/>
    </row>
    <row r="522">
      <c r="B522" s="326"/>
      <c r="C522" s="327"/>
      <c r="E522" s="327"/>
      <c r="F522" s="328"/>
      <c r="I522" s="329"/>
    </row>
    <row r="523">
      <c r="B523" s="326"/>
      <c r="C523" s="327"/>
      <c r="E523" s="327"/>
      <c r="F523" s="328"/>
      <c r="I523" s="329"/>
    </row>
    <row r="524">
      <c r="B524" s="326"/>
      <c r="C524" s="327"/>
      <c r="E524" s="327"/>
      <c r="F524" s="328"/>
      <c r="I524" s="329"/>
    </row>
    <row r="525">
      <c r="B525" s="326"/>
      <c r="C525" s="327"/>
      <c r="E525" s="327"/>
      <c r="F525" s="328"/>
      <c r="I525" s="329"/>
    </row>
    <row r="526">
      <c r="B526" s="326"/>
      <c r="C526" s="327"/>
      <c r="E526" s="327"/>
      <c r="F526" s="328"/>
      <c r="I526" s="329"/>
    </row>
    <row r="527">
      <c r="B527" s="326"/>
      <c r="C527" s="327"/>
      <c r="E527" s="327"/>
      <c r="F527" s="328"/>
      <c r="I527" s="329"/>
    </row>
    <row r="528">
      <c r="B528" s="326"/>
      <c r="C528" s="327"/>
      <c r="E528" s="327"/>
      <c r="F528" s="328"/>
      <c r="I528" s="329"/>
    </row>
    <row r="529">
      <c r="B529" s="326"/>
      <c r="C529" s="327"/>
      <c r="E529" s="327"/>
      <c r="F529" s="328"/>
      <c r="I529" s="329"/>
    </row>
    <row r="530">
      <c r="B530" s="326"/>
      <c r="C530" s="327"/>
      <c r="E530" s="327"/>
      <c r="F530" s="328"/>
      <c r="I530" s="329"/>
    </row>
    <row r="531">
      <c r="B531" s="326"/>
      <c r="C531" s="327"/>
      <c r="E531" s="327"/>
      <c r="F531" s="328"/>
      <c r="I531" s="329"/>
    </row>
    <row r="532">
      <c r="B532" s="326"/>
      <c r="C532" s="327"/>
      <c r="E532" s="327"/>
      <c r="F532" s="328"/>
      <c r="I532" s="329"/>
    </row>
    <row r="533">
      <c r="B533" s="326"/>
      <c r="C533" s="327"/>
      <c r="E533" s="327"/>
      <c r="F533" s="328"/>
      <c r="I533" s="329"/>
    </row>
    <row r="534">
      <c r="B534" s="326"/>
      <c r="C534" s="327"/>
      <c r="E534" s="327"/>
      <c r="F534" s="328"/>
      <c r="I534" s="329"/>
    </row>
    <row r="535">
      <c r="B535" s="326"/>
      <c r="C535" s="327"/>
      <c r="E535" s="327"/>
      <c r="F535" s="328"/>
      <c r="I535" s="329"/>
    </row>
    <row r="536">
      <c r="B536" s="326"/>
      <c r="C536" s="327"/>
      <c r="E536" s="327"/>
      <c r="F536" s="328"/>
      <c r="I536" s="329"/>
    </row>
    <row r="537">
      <c r="B537" s="326"/>
      <c r="C537" s="327"/>
      <c r="E537" s="327"/>
      <c r="F537" s="328"/>
      <c r="I537" s="329"/>
    </row>
    <row r="538">
      <c r="B538" s="326"/>
      <c r="C538" s="327"/>
      <c r="E538" s="327"/>
      <c r="F538" s="328"/>
      <c r="I538" s="329"/>
    </row>
    <row r="539">
      <c r="B539" s="326"/>
      <c r="C539" s="327"/>
      <c r="E539" s="327"/>
      <c r="F539" s="328"/>
      <c r="I539" s="329"/>
    </row>
    <row r="540">
      <c r="B540" s="326"/>
      <c r="C540" s="327"/>
      <c r="E540" s="327"/>
      <c r="F540" s="328"/>
      <c r="I540" s="329"/>
    </row>
    <row r="541">
      <c r="B541" s="326"/>
      <c r="C541" s="327"/>
      <c r="E541" s="327"/>
      <c r="F541" s="328"/>
      <c r="I541" s="329"/>
    </row>
    <row r="542">
      <c r="B542" s="326"/>
      <c r="C542" s="327"/>
      <c r="E542" s="327"/>
      <c r="F542" s="328"/>
      <c r="I542" s="329"/>
    </row>
    <row r="543">
      <c r="B543" s="326"/>
      <c r="C543" s="327"/>
      <c r="E543" s="327"/>
      <c r="F543" s="328"/>
      <c r="I543" s="329"/>
    </row>
    <row r="544">
      <c r="B544" s="326"/>
      <c r="C544" s="327"/>
      <c r="E544" s="327"/>
      <c r="F544" s="328"/>
      <c r="I544" s="329"/>
    </row>
    <row r="545">
      <c r="B545" s="326"/>
      <c r="C545" s="327"/>
      <c r="E545" s="327"/>
      <c r="F545" s="328"/>
      <c r="I545" s="329"/>
    </row>
    <row r="546">
      <c r="B546" s="326"/>
      <c r="C546" s="327"/>
      <c r="E546" s="327"/>
      <c r="F546" s="328"/>
      <c r="I546" s="329"/>
    </row>
    <row r="547">
      <c r="B547" s="326"/>
      <c r="C547" s="327"/>
      <c r="E547" s="327"/>
      <c r="F547" s="328"/>
      <c r="I547" s="329"/>
    </row>
    <row r="548">
      <c r="B548" s="326"/>
      <c r="C548" s="327"/>
      <c r="E548" s="327"/>
      <c r="F548" s="328"/>
      <c r="I548" s="329"/>
    </row>
    <row r="549">
      <c r="B549" s="326"/>
      <c r="C549" s="327"/>
      <c r="E549" s="327"/>
      <c r="F549" s="328"/>
      <c r="I549" s="329"/>
    </row>
    <row r="550">
      <c r="B550" s="326"/>
      <c r="C550" s="327"/>
      <c r="E550" s="327"/>
      <c r="F550" s="328"/>
      <c r="I550" s="329"/>
    </row>
    <row r="551">
      <c r="B551" s="326"/>
      <c r="C551" s="327"/>
      <c r="E551" s="327"/>
      <c r="F551" s="328"/>
      <c r="I551" s="329"/>
    </row>
    <row r="552">
      <c r="B552" s="326"/>
      <c r="C552" s="327"/>
      <c r="E552" s="327"/>
      <c r="F552" s="328"/>
      <c r="I552" s="329"/>
    </row>
    <row r="553">
      <c r="B553" s="326"/>
      <c r="C553" s="327"/>
      <c r="E553" s="327"/>
      <c r="F553" s="328"/>
      <c r="I553" s="329"/>
    </row>
    <row r="554">
      <c r="B554" s="326"/>
      <c r="C554" s="327"/>
      <c r="E554" s="327"/>
      <c r="F554" s="328"/>
      <c r="I554" s="329"/>
    </row>
    <row r="555">
      <c r="B555" s="326"/>
      <c r="C555" s="327"/>
      <c r="E555" s="327"/>
      <c r="F555" s="328"/>
      <c r="I555" s="329"/>
    </row>
    <row r="556">
      <c r="B556" s="326"/>
      <c r="C556" s="327"/>
      <c r="E556" s="327"/>
      <c r="F556" s="328"/>
      <c r="I556" s="329"/>
    </row>
    <row r="557">
      <c r="B557" s="326"/>
      <c r="C557" s="327"/>
      <c r="E557" s="327"/>
      <c r="F557" s="328"/>
      <c r="I557" s="329"/>
    </row>
    <row r="558">
      <c r="B558" s="326"/>
      <c r="C558" s="327"/>
      <c r="E558" s="327"/>
      <c r="F558" s="328"/>
      <c r="I558" s="329"/>
    </row>
    <row r="559">
      <c r="B559" s="326"/>
      <c r="C559" s="327"/>
      <c r="E559" s="327"/>
      <c r="F559" s="328"/>
      <c r="I559" s="329"/>
    </row>
    <row r="560">
      <c r="B560" s="326"/>
      <c r="C560" s="327"/>
      <c r="E560" s="327"/>
      <c r="F560" s="328"/>
      <c r="I560" s="329"/>
    </row>
    <row r="561">
      <c r="B561" s="326"/>
      <c r="C561" s="327"/>
      <c r="E561" s="327"/>
      <c r="F561" s="328"/>
      <c r="I561" s="329"/>
    </row>
    <row r="562">
      <c r="B562" s="326"/>
      <c r="C562" s="327"/>
      <c r="E562" s="327"/>
      <c r="F562" s="328"/>
      <c r="I562" s="329"/>
    </row>
    <row r="563">
      <c r="B563" s="326"/>
      <c r="C563" s="327"/>
      <c r="E563" s="327"/>
      <c r="F563" s="328"/>
      <c r="I563" s="329"/>
    </row>
    <row r="564">
      <c r="B564" s="326"/>
      <c r="C564" s="327"/>
      <c r="E564" s="327"/>
      <c r="F564" s="328"/>
      <c r="I564" s="329"/>
    </row>
    <row r="565">
      <c r="B565" s="326"/>
      <c r="C565" s="327"/>
      <c r="E565" s="327"/>
      <c r="F565" s="328"/>
      <c r="I565" s="329"/>
    </row>
    <row r="566">
      <c r="B566" s="326"/>
      <c r="C566" s="327"/>
      <c r="E566" s="327"/>
      <c r="F566" s="328"/>
      <c r="I566" s="329"/>
    </row>
    <row r="567">
      <c r="B567" s="326"/>
      <c r="C567" s="327"/>
      <c r="E567" s="327"/>
      <c r="F567" s="328"/>
      <c r="I567" s="329"/>
    </row>
    <row r="568">
      <c r="B568" s="326"/>
      <c r="C568" s="327"/>
      <c r="E568" s="327"/>
      <c r="F568" s="328"/>
      <c r="I568" s="329"/>
    </row>
    <row r="569">
      <c r="B569" s="326"/>
      <c r="C569" s="327"/>
      <c r="E569" s="327"/>
      <c r="F569" s="328"/>
      <c r="I569" s="329"/>
    </row>
    <row r="570">
      <c r="B570" s="326"/>
      <c r="C570" s="327"/>
      <c r="E570" s="327"/>
      <c r="F570" s="328"/>
      <c r="I570" s="329"/>
    </row>
    <row r="571">
      <c r="B571" s="326"/>
      <c r="C571" s="327"/>
      <c r="E571" s="327"/>
      <c r="F571" s="328"/>
      <c r="I571" s="329"/>
    </row>
    <row r="572">
      <c r="B572" s="326"/>
      <c r="C572" s="327"/>
      <c r="E572" s="327"/>
      <c r="F572" s="328"/>
      <c r="I572" s="329"/>
    </row>
    <row r="573">
      <c r="B573" s="326"/>
      <c r="C573" s="327"/>
      <c r="E573" s="327"/>
      <c r="F573" s="328"/>
      <c r="I573" s="329"/>
    </row>
    <row r="574">
      <c r="B574" s="326"/>
      <c r="C574" s="327"/>
      <c r="E574" s="327"/>
      <c r="F574" s="328"/>
      <c r="I574" s="329"/>
    </row>
    <row r="575">
      <c r="B575" s="326"/>
      <c r="C575" s="327"/>
      <c r="E575" s="327"/>
      <c r="F575" s="328"/>
      <c r="I575" s="329"/>
    </row>
    <row r="576">
      <c r="B576" s="326"/>
      <c r="C576" s="327"/>
      <c r="E576" s="327"/>
      <c r="F576" s="328"/>
      <c r="I576" s="329"/>
    </row>
    <row r="577">
      <c r="B577" s="326"/>
      <c r="C577" s="327"/>
      <c r="E577" s="327"/>
      <c r="F577" s="328"/>
      <c r="I577" s="329"/>
    </row>
    <row r="578">
      <c r="B578" s="326"/>
      <c r="C578" s="327"/>
      <c r="E578" s="327"/>
      <c r="F578" s="328"/>
      <c r="I578" s="329"/>
    </row>
    <row r="579">
      <c r="B579" s="326"/>
      <c r="C579" s="327"/>
      <c r="E579" s="327"/>
      <c r="F579" s="328"/>
      <c r="I579" s="329"/>
    </row>
    <row r="580">
      <c r="B580" s="326"/>
      <c r="C580" s="327"/>
      <c r="E580" s="327"/>
      <c r="F580" s="328"/>
      <c r="I580" s="329"/>
    </row>
    <row r="581">
      <c r="B581" s="326"/>
      <c r="C581" s="327"/>
      <c r="E581" s="327"/>
      <c r="F581" s="328"/>
      <c r="I581" s="329"/>
    </row>
    <row r="582">
      <c r="B582" s="326"/>
      <c r="C582" s="327"/>
      <c r="E582" s="327"/>
      <c r="F582" s="328"/>
      <c r="I582" s="329"/>
    </row>
    <row r="583">
      <c r="B583" s="326"/>
      <c r="C583" s="327"/>
      <c r="E583" s="327"/>
      <c r="F583" s="328"/>
      <c r="I583" s="329"/>
    </row>
    <row r="584">
      <c r="B584" s="326"/>
      <c r="C584" s="327"/>
      <c r="E584" s="327"/>
      <c r="F584" s="328"/>
      <c r="I584" s="329"/>
    </row>
    <row r="585">
      <c r="B585" s="326"/>
      <c r="C585" s="327"/>
      <c r="E585" s="327"/>
      <c r="F585" s="328"/>
      <c r="I585" s="329"/>
    </row>
    <row r="586">
      <c r="B586" s="326"/>
      <c r="C586" s="327"/>
      <c r="E586" s="327"/>
      <c r="F586" s="328"/>
      <c r="I586" s="329"/>
    </row>
    <row r="587">
      <c r="B587" s="326"/>
      <c r="C587" s="327"/>
      <c r="E587" s="327"/>
      <c r="F587" s="328"/>
      <c r="I587" s="329"/>
    </row>
    <row r="588">
      <c r="B588" s="326"/>
      <c r="C588" s="327"/>
      <c r="E588" s="327"/>
      <c r="F588" s="328"/>
      <c r="I588" s="329"/>
    </row>
    <row r="589">
      <c r="B589" s="326"/>
      <c r="C589" s="327"/>
      <c r="E589" s="327"/>
      <c r="F589" s="328"/>
      <c r="I589" s="329"/>
    </row>
    <row r="590">
      <c r="B590" s="326"/>
      <c r="C590" s="327"/>
      <c r="E590" s="327"/>
      <c r="F590" s="328"/>
      <c r="I590" s="329"/>
    </row>
    <row r="591">
      <c r="B591" s="326"/>
      <c r="C591" s="327"/>
      <c r="E591" s="327"/>
      <c r="F591" s="328"/>
      <c r="I591" s="329"/>
    </row>
    <row r="592">
      <c r="B592" s="326"/>
      <c r="C592" s="327"/>
      <c r="E592" s="327"/>
      <c r="F592" s="328"/>
      <c r="I592" s="329"/>
    </row>
    <row r="593">
      <c r="B593" s="326"/>
      <c r="C593" s="327"/>
      <c r="E593" s="327"/>
      <c r="F593" s="328"/>
      <c r="I593" s="329"/>
    </row>
    <row r="594">
      <c r="B594" s="326"/>
      <c r="C594" s="327"/>
      <c r="E594" s="327"/>
      <c r="F594" s="328"/>
      <c r="I594" s="329"/>
    </row>
    <row r="595">
      <c r="B595" s="326"/>
      <c r="C595" s="327"/>
      <c r="E595" s="327"/>
      <c r="F595" s="328"/>
      <c r="I595" s="329"/>
    </row>
    <row r="596">
      <c r="B596" s="326"/>
      <c r="C596" s="327"/>
      <c r="E596" s="327"/>
      <c r="F596" s="328"/>
      <c r="I596" s="329"/>
    </row>
    <row r="597">
      <c r="B597" s="326"/>
      <c r="C597" s="327"/>
      <c r="E597" s="327"/>
      <c r="F597" s="328"/>
      <c r="I597" s="329"/>
    </row>
    <row r="598">
      <c r="B598" s="326"/>
      <c r="C598" s="327"/>
      <c r="E598" s="327"/>
      <c r="F598" s="328"/>
      <c r="I598" s="329"/>
    </row>
    <row r="599">
      <c r="B599" s="326"/>
      <c r="C599" s="327"/>
      <c r="E599" s="327"/>
      <c r="F599" s="328"/>
      <c r="I599" s="329"/>
    </row>
    <row r="600">
      <c r="B600" s="326"/>
      <c r="C600" s="327"/>
      <c r="E600" s="327"/>
      <c r="F600" s="328"/>
      <c r="I600" s="329"/>
    </row>
    <row r="601">
      <c r="B601" s="326"/>
      <c r="C601" s="327"/>
      <c r="E601" s="327"/>
      <c r="F601" s="328"/>
      <c r="I601" s="329"/>
    </row>
    <row r="602">
      <c r="B602" s="326"/>
      <c r="C602" s="327"/>
      <c r="E602" s="327"/>
      <c r="F602" s="328"/>
      <c r="I602" s="329"/>
    </row>
    <row r="603">
      <c r="B603" s="326"/>
      <c r="C603" s="327"/>
      <c r="E603" s="327"/>
      <c r="F603" s="328"/>
      <c r="I603" s="329"/>
    </row>
    <row r="604">
      <c r="B604" s="326"/>
      <c r="C604" s="327"/>
      <c r="E604" s="327"/>
      <c r="F604" s="328"/>
      <c r="I604" s="329"/>
    </row>
    <row r="605">
      <c r="B605" s="326"/>
      <c r="C605" s="327"/>
      <c r="E605" s="327"/>
      <c r="F605" s="328"/>
      <c r="I605" s="329"/>
    </row>
    <row r="606">
      <c r="B606" s="326"/>
      <c r="C606" s="327"/>
      <c r="E606" s="327"/>
      <c r="F606" s="328"/>
      <c r="I606" s="329"/>
    </row>
    <row r="607">
      <c r="B607" s="326"/>
      <c r="C607" s="327"/>
      <c r="E607" s="327"/>
      <c r="F607" s="328"/>
      <c r="I607" s="329"/>
    </row>
    <row r="608">
      <c r="B608" s="326"/>
      <c r="C608" s="327"/>
      <c r="E608" s="327"/>
      <c r="F608" s="328"/>
      <c r="I608" s="329"/>
    </row>
    <row r="609">
      <c r="B609" s="326"/>
      <c r="C609" s="327"/>
      <c r="E609" s="327"/>
      <c r="F609" s="328"/>
      <c r="I609" s="329"/>
    </row>
    <row r="610">
      <c r="B610" s="326"/>
      <c r="C610" s="327"/>
      <c r="E610" s="327"/>
      <c r="F610" s="328"/>
      <c r="I610" s="329"/>
    </row>
    <row r="611">
      <c r="B611" s="326"/>
      <c r="C611" s="327"/>
      <c r="E611" s="327"/>
      <c r="F611" s="328"/>
      <c r="I611" s="329"/>
    </row>
    <row r="612">
      <c r="B612" s="326"/>
      <c r="C612" s="327"/>
      <c r="E612" s="327"/>
      <c r="F612" s="328"/>
      <c r="I612" s="329"/>
    </row>
    <row r="613">
      <c r="B613" s="326"/>
      <c r="C613" s="327"/>
      <c r="E613" s="327"/>
      <c r="F613" s="328"/>
      <c r="I613" s="329"/>
    </row>
    <row r="614">
      <c r="B614" s="326"/>
      <c r="C614" s="327"/>
      <c r="E614" s="327"/>
      <c r="F614" s="328"/>
      <c r="I614" s="329"/>
    </row>
    <row r="615">
      <c r="B615" s="326"/>
      <c r="C615" s="327"/>
      <c r="E615" s="327"/>
      <c r="F615" s="328"/>
      <c r="I615" s="329"/>
    </row>
    <row r="616">
      <c r="B616" s="326"/>
      <c r="C616" s="327"/>
      <c r="E616" s="327"/>
      <c r="F616" s="328"/>
      <c r="I616" s="329"/>
    </row>
    <row r="617">
      <c r="B617" s="326"/>
      <c r="C617" s="327"/>
      <c r="E617" s="327"/>
      <c r="F617" s="328"/>
      <c r="I617" s="329"/>
    </row>
    <row r="618">
      <c r="B618" s="326"/>
      <c r="C618" s="327"/>
      <c r="E618" s="327"/>
      <c r="F618" s="328"/>
      <c r="I618" s="329"/>
    </row>
    <row r="619">
      <c r="B619" s="326"/>
      <c r="C619" s="327"/>
      <c r="E619" s="327"/>
      <c r="F619" s="328"/>
      <c r="I619" s="329"/>
    </row>
    <row r="620">
      <c r="B620" s="326"/>
      <c r="C620" s="327"/>
      <c r="E620" s="327"/>
      <c r="F620" s="328"/>
      <c r="I620" s="329"/>
    </row>
    <row r="621">
      <c r="B621" s="326"/>
      <c r="C621" s="327"/>
      <c r="E621" s="327"/>
      <c r="F621" s="328"/>
      <c r="I621" s="329"/>
    </row>
    <row r="622">
      <c r="B622" s="326"/>
      <c r="C622" s="327"/>
      <c r="E622" s="327"/>
      <c r="F622" s="328"/>
      <c r="I622" s="329"/>
    </row>
    <row r="623">
      <c r="B623" s="326"/>
      <c r="C623" s="327"/>
      <c r="E623" s="327"/>
      <c r="F623" s="328"/>
      <c r="I623" s="329"/>
    </row>
    <row r="624">
      <c r="B624" s="326"/>
      <c r="C624" s="327"/>
      <c r="E624" s="327"/>
      <c r="F624" s="328"/>
      <c r="I624" s="329"/>
    </row>
    <row r="625">
      <c r="B625" s="326"/>
      <c r="C625" s="327"/>
      <c r="E625" s="327"/>
      <c r="F625" s="328"/>
      <c r="I625" s="329"/>
    </row>
    <row r="626">
      <c r="B626" s="326"/>
      <c r="C626" s="327"/>
      <c r="E626" s="327"/>
      <c r="F626" s="328"/>
      <c r="I626" s="329"/>
    </row>
    <row r="627">
      <c r="B627" s="326"/>
      <c r="C627" s="327"/>
      <c r="E627" s="327"/>
      <c r="F627" s="328"/>
      <c r="I627" s="329"/>
    </row>
    <row r="628">
      <c r="B628" s="326"/>
      <c r="C628" s="327"/>
      <c r="E628" s="327"/>
      <c r="F628" s="328"/>
      <c r="I628" s="329"/>
    </row>
    <row r="629">
      <c r="B629" s="326"/>
      <c r="C629" s="327"/>
      <c r="E629" s="327"/>
      <c r="F629" s="328"/>
      <c r="I629" s="329"/>
    </row>
    <row r="630">
      <c r="B630" s="326"/>
      <c r="C630" s="327"/>
      <c r="E630" s="327"/>
      <c r="F630" s="328"/>
      <c r="I630" s="329"/>
    </row>
    <row r="631">
      <c r="B631" s="326"/>
      <c r="C631" s="327"/>
      <c r="E631" s="327"/>
      <c r="F631" s="328"/>
      <c r="I631" s="329"/>
    </row>
    <row r="632">
      <c r="B632" s="326"/>
      <c r="C632" s="327"/>
      <c r="E632" s="327"/>
      <c r="F632" s="328"/>
      <c r="I632" s="329"/>
    </row>
    <row r="633">
      <c r="B633" s="326"/>
      <c r="C633" s="327"/>
      <c r="E633" s="327"/>
      <c r="F633" s="328"/>
      <c r="I633" s="329"/>
    </row>
    <row r="634">
      <c r="B634" s="326"/>
      <c r="C634" s="327"/>
      <c r="E634" s="327"/>
      <c r="F634" s="328"/>
      <c r="I634" s="329"/>
    </row>
    <row r="635">
      <c r="B635" s="326"/>
      <c r="C635" s="327"/>
      <c r="E635" s="327"/>
      <c r="F635" s="328"/>
      <c r="I635" s="329"/>
    </row>
    <row r="636">
      <c r="B636" s="326"/>
      <c r="C636" s="327"/>
      <c r="E636" s="327"/>
      <c r="F636" s="328"/>
      <c r="I636" s="329"/>
    </row>
    <row r="637">
      <c r="B637" s="326"/>
      <c r="C637" s="327"/>
      <c r="E637" s="327"/>
      <c r="F637" s="328"/>
      <c r="I637" s="329"/>
    </row>
    <row r="638">
      <c r="B638" s="326"/>
      <c r="C638" s="327"/>
      <c r="E638" s="327"/>
      <c r="F638" s="328"/>
      <c r="I638" s="329"/>
    </row>
    <row r="639">
      <c r="B639" s="326"/>
      <c r="C639" s="327"/>
      <c r="E639" s="327"/>
      <c r="F639" s="328"/>
      <c r="I639" s="329"/>
    </row>
    <row r="640">
      <c r="B640" s="326"/>
      <c r="C640" s="327"/>
      <c r="E640" s="327"/>
      <c r="F640" s="328"/>
      <c r="I640" s="329"/>
    </row>
    <row r="641">
      <c r="B641" s="326"/>
      <c r="C641" s="327"/>
      <c r="E641" s="327"/>
      <c r="F641" s="328"/>
      <c r="I641" s="329"/>
    </row>
    <row r="642">
      <c r="B642" s="326"/>
      <c r="C642" s="327"/>
      <c r="E642" s="327"/>
      <c r="F642" s="328"/>
      <c r="I642" s="329"/>
    </row>
    <row r="643">
      <c r="B643" s="326"/>
      <c r="C643" s="327"/>
      <c r="E643" s="327"/>
      <c r="F643" s="328"/>
      <c r="I643" s="329"/>
    </row>
    <row r="644">
      <c r="B644" s="326"/>
      <c r="C644" s="327"/>
      <c r="E644" s="327"/>
      <c r="F644" s="328"/>
      <c r="I644" s="329"/>
    </row>
    <row r="645">
      <c r="B645" s="326"/>
      <c r="C645" s="327"/>
      <c r="E645" s="327"/>
      <c r="F645" s="328"/>
      <c r="I645" s="329"/>
    </row>
    <row r="646">
      <c r="B646" s="326"/>
      <c r="C646" s="327"/>
      <c r="E646" s="327"/>
      <c r="F646" s="328"/>
      <c r="I646" s="329"/>
    </row>
    <row r="647">
      <c r="B647" s="326"/>
      <c r="C647" s="327"/>
      <c r="E647" s="327"/>
      <c r="F647" s="328"/>
      <c r="I647" s="329"/>
    </row>
    <row r="648">
      <c r="B648" s="326"/>
      <c r="C648" s="327"/>
      <c r="E648" s="327"/>
      <c r="F648" s="328"/>
      <c r="I648" s="329"/>
    </row>
    <row r="649">
      <c r="B649" s="326"/>
      <c r="C649" s="327"/>
      <c r="E649" s="327"/>
      <c r="F649" s="328"/>
      <c r="I649" s="329"/>
    </row>
    <row r="650">
      <c r="B650" s="326"/>
      <c r="C650" s="327"/>
      <c r="E650" s="327"/>
      <c r="F650" s="328"/>
      <c r="I650" s="329"/>
    </row>
    <row r="651">
      <c r="B651" s="326"/>
      <c r="C651" s="327"/>
      <c r="E651" s="327"/>
      <c r="F651" s="328"/>
      <c r="I651" s="329"/>
    </row>
    <row r="652">
      <c r="B652" s="326"/>
      <c r="C652" s="327"/>
      <c r="E652" s="327"/>
      <c r="F652" s="328"/>
      <c r="I652" s="329"/>
    </row>
    <row r="653">
      <c r="B653" s="326"/>
      <c r="C653" s="327"/>
      <c r="E653" s="327"/>
      <c r="F653" s="328"/>
      <c r="I653" s="329"/>
    </row>
    <row r="654">
      <c r="B654" s="326"/>
      <c r="C654" s="327"/>
      <c r="E654" s="327"/>
      <c r="F654" s="328"/>
      <c r="I654" s="329"/>
    </row>
    <row r="655">
      <c r="B655" s="326"/>
      <c r="C655" s="327"/>
      <c r="E655" s="327"/>
      <c r="F655" s="328"/>
      <c r="I655" s="329"/>
    </row>
    <row r="656">
      <c r="B656" s="326"/>
      <c r="C656" s="327"/>
      <c r="E656" s="327"/>
      <c r="F656" s="328"/>
      <c r="I656" s="329"/>
    </row>
    <row r="657">
      <c r="B657" s="326"/>
      <c r="C657" s="327"/>
      <c r="E657" s="327"/>
      <c r="F657" s="328"/>
      <c r="I657" s="329"/>
    </row>
    <row r="658">
      <c r="B658" s="326"/>
      <c r="C658" s="327"/>
      <c r="E658" s="327"/>
      <c r="F658" s="328"/>
      <c r="I658" s="329"/>
    </row>
    <row r="659">
      <c r="B659" s="326"/>
      <c r="C659" s="327"/>
      <c r="E659" s="327"/>
      <c r="F659" s="328"/>
      <c r="I659" s="329"/>
    </row>
    <row r="660">
      <c r="B660" s="326"/>
      <c r="C660" s="327"/>
      <c r="E660" s="327"/>
      <c r="F660" s="328"/>
      <c r="I660" s="329"/>
    </row>
    <row r="661">
      <c r="B661" s="326"/>
      <c r="C661" s="327"/>
      <c r="E661" s="327"/>
      <c r="F661" s="328"/>
      <c r="I661" s="329"/>
    </row>
    <row r="662">
      <c r="B662" s="326"/>
      <c r="C662" s="327"/>
      <c r="E662" s="327"/>
      <c r="F662" s="328"/>
      <c r="I662" s="329"/>
    </row>
    <row r="663">
      <c r="B663" s="326"/>
      <c r="C663" s="327"/>
      <c r="E663" s="327"/>
      <c r="F663" s="328"/>
      <c r="I663" s="329"/>
    </row>
    <row r="664">
      <c r="B664" s="326"/>
      <c r="C664" s="327"/>
      <c r="E664" s="327"/>
      <c r="F664" s="328"/>
      <c r="I664" s="329"/>
    </row>
    <row r="665">
      <c r="B665" s="326"/>
      <c r="C665" s="327"/>
      <c r="E665" s="327"/>
      <c r="F665" s="328"/>
      <c r="I665" s="329"/>
    </row>
    <row r="666">
      <c r="B666" s="326"/>
      <c r="C666" s="327"/>
      <c r="E666" s="327"/>
      <c r="F666" s="328"/>
      <c r="I666" s="329"/>
    </row>
    <row r="667">
      <c r="B667" s="326"/>
      <c r="C667" s="327"/>
      <c r="E667" s="327"/>
      <c r="F667" s="328"/>
      <c r="I667" s="329"/>
    </row>
    <row r="668">
      <c r="B668" s="326"/>
      <c r="C668" s="327"/>
      <c r="E668" s="327"/>
      <c r="F668" s="328"/>
      <c r="I668" s="329"/>
    </row>
    <row r="669">
      <c r="B669" s="326"/>
      <c r="C669" s="327"/>
      <c r="E669" s="327"/>
      <c r="F669" s="328"/>
      <c r="I669" s="329"/>
    </row>
    <row r="670">
      <c r="B670" s="326"/>
      <c r="C670" s="327"/>
      <c r="E670" s="327"/>
      <c r="F670" s="328"/>
      <c r="I670" s="329"/>
    </row>
    <row r="671">
      <c r="B671" s="326"/>
      <c r="C671" s="327"/>
      <c r="E671" s="327"/>
      <c r="F671" s="328"/>
      <c r="I671" s="329"/>
    </row>
    <row r="672">
      <c r="B672" s="326"/>
      <c r="C672" s="327"/>
      <c r="E672" s="327"/>
      <c r="F672" s="328"/>
      <c r="I672" s="329"/>
    </row>
    <row r="673">
      <c r="B673" s="326"/>
      <c r="C673" s="327"/>
      <c r="E673" s="327"/>
      <c r="F673" s="328"/>
      <c r="I673" s="329"/>
    </row>
    <row r="674">
      <c r="B674" s="326"/>
      <c r="C674" s="327"/>
      <c r="E674" s="327"/>
      <c r="F674" s="328"/>
      <c r="I674" s="329"/>
    </row>
    <row r="675">
      <c r="B675" s="326"/>
      <c r="C675" s="327"/>
      <c r="E675" s="327"/>
      <c r="F675" s="328"/>
      <c r="I675" s="329"/>
    </row>
    <row r="676">
      <c r="B676" s="326"/>
      <c r="C676" s="327"/>
      <c r="E676" s="327"/>
      <c r="F676" s="328"/>
      <c r="I676" s="329"/>
    </row>
    <row r="677">
      <c r="B677" s="326"/>
      <c r="C677" s="327"/>
      <c r="E677" s="327"/>
      <c r="F677" s="328"/>
      <c r="I677" s="329"/>
    </row>
    <row r="678">
      <c r="B678" s="326"/>
      <c r="C678" s="327"/>
      <c r="E678" s="327"/>
      <c r="F678" s="328"/>
      <c r="I678" s="329"/>
    </row>
    <row r="679">
      <c r="B679" s="326"/>
      <c r="C679" s="327"/>
      <c r="E679" s="327"/>
      <c r="F679" s="328"/>
      <c r="I679" s="329"/>
    </row>
    <row r="680">
      <c r="B680" s="326"/>
      <c r="C680" s="327"/>
      <c r="E680" s="327"/>
      <c r="F680" s="328"/>
      <c r="I680" s="329"/>
    </row>
    <row r="681">
      <c r="B681" s="326"/>
      <c r="C681" s="327"/>
      <c r="E681" s="327"/>
      <c r="F681" s="328"/>
      <c r="I681" s="329"/>
    </row>
    <row r="682">
      <c r="B682" s="326"/>
      <c r="C682" s="327"/>
      <c r="E682" s="327"/>
      <c r="F682" s="328"/>
      <c r="I682" s="329"/>
    </row>
    <row r="683">
      <c r="B683" s="326"/>
      <c r="C683" s="327"/>
      <c r="E683" s="327"/>
      <c r="F683" s="328"/>
      <c r="I683" s="329"/>
    </row>
    <row r="684">
      <c r="B684" s="326"/>
      <c r="C684" s="327"/>
      <c r="E684" s="327"/>
      <c r="F684" s="328"/>
      <c r="I684" s="329"/>
    </row>
    <row r="685">
      <c r="B685" s="326"/>
      <c r="C685" s="327"/>
      <c r="E685" s="327"/>
      <c r="F685" s="328"/>
      <c r="I685" s="329"/>
    </row>
    <row r="686">
      <c r="B686" s="326"/>
      <c r="C686" s="327"/>
      <c r="E686" s="327"/>
      <c r="F686" s="328"/>
      <c r="I686" s="329"/>
    </row>
    <row r="687">
      <c r="B687" s="326"/>
      <c r="C687" s="327"/>
      <c r="E687" s="327"/>
      <c r="F687" s="328"/>
      <c r="I687" s="329"/>
    </row>
    <row r="688">
      <c r="B688" s="326"/>
      <c r="C688" s="327"/>
      <c r="E688" s="327"/>
      <c r="F688" s="328"/>
      <c r="I688" s="329"/>
    </row>
    <row r="689">
      <c r="B689" s="326"/>
      <c r="C689" s="327"/>
      <c r="E689" s="327"/>
      <c r="F689" s="328"/>
      <c r="I689" s="329"/>
    </row>
    <row r="690">
      <c r="B690" s="326"/>
      <c r="C690" s="327"/>
      <c r="E690" s="327"/>
      <c r="F690" s="328"/>
      <c r="I690" s="329"/>
    </row>
    <row r="691">
      <c r="B691" s="326"/>
      <c r="C691" s="327"/>
      <c r="E691" s="327"/>
      <c r="F691" s="328"/>
      <c r="I691" s="329"/>
    </row>
    <row r="692">
      <c r="B692" s="326"/>
      <c r="C692" s="327"/>
      <c r="E692" s="327"/>
      <c r="F692" s="328"/>
      <c r="I692" s="329"/>
    </row>
    <row r="693">
      <c r="B693" s="326"/>
      <c r="C693" s="327"/>
      <c r="E693" s="327"/>
      <c r="F693" s="328"/>
      <c r="I693" s="329"/>
    </row>
    <row r="694">
      <c r="B694" s="326"/>
      <c r="C694" s="327"/>
      <c r="E694" s="327"/>
      <c r="F694" s="328"/>
      <c r="I694" s="329"/>
    </row>
    <row r="695">
      <c r="B695" s="326"/>
      <c r="C695" s="327"/>
      <c r="E695" s="327"/>
      <c r="F695" s="328"/>
      <c r="I695" s="329"/>
    </row>
    <row r="696">
      <c r="B696" s="326"/>
      <c r="C696" s="327"/>
      <c r="E696" s="327"/>
      <c r="F696" s="328"/>
      <c r="I696" s="329"/>
    </row>
    <row r="697">
      <c r="B697" s="326"/>
      <c r="C697" s="327"/>
      <c r="E697" s="327"/>
      <c r="F697" s="328"/>
      <c r="I697" s="329"/>
    </row>
    <row r="698">
      <c r="B698" s="326"/>
      <c r="C698" s="327"/>
      <c r="E698" s="327"/>
      <c r="F698" s="328"/>
      <c r="I698" s="329"/>
    </row>
    <row r="699">
      <c r="B699" s="326"/>
      <c r="C699" s="327"/>
      <c r="E699" s="327"/>
      <c r="F699" s="328"/>
      <c r="I699" s="329"/>
    </row>
    <row r="700">
      <c r="B700" s="326"/>
      <c r="C700" s="327"/>
      <c r="E700" s="327"/>
      <c r="F700" s="328"/>
      <c r="I700" s="329"/>
    </row>
    <row r="701">
      <c r="B701" s="326"/>
      <c r="C701" s="327"/>
      <c r="E701" s="327"/>
      <c r="F701" s="328"/>
      <c r="I701" s="329"/>
    </row>
    <row r="702">
      <c r="B702" s="326"/>
      <c r="C702" s="327"/>
      <c r="E702" s="327"/>
      <c r="F702" s="328"/>
      <c r="I702" s="329"/>
    </row>
    <row r="703">
      <c r="B703" s="326"/>
      <c r="C703" s="327"/>
      <c r="E703" s="327"/>
      <c r="F703" s="328"/>
      <c r="I703" s="329"/>
    </row>
    <row r="704">
      <c r="B704" s="326"/>
      <c r="C704" s="327"/>
      <c r="E704" s="327"/>
      <c r="F704" s="328"/>
      <c r="I704" s="329"/>
    </row>
    <row r="705">
      <c r="B705" s="326"/>
      <c r="C705" s="327"/>
      <c r="E705" s="327"/>
      <c r="F705" s="328"/>
      <c r="I705" s="329"/>
    </row>
    <row r="706">
      <c r="B706" s="326"/>
      <c r="C706" s="327"/>
      <c r="E706" s="327"/>
      <c r="F706" s="328"/>
      <c r="I706" s="329"/>
    </row>
    <row r="707">
      <c r="B707" s="326"/>
      <c r="C707" s="327"/>
      <c r="E707" s="327"/>
      <c r="F707" s="328"/>
      <c r="I707" s="329"/>
    </row>
    <row r="708">
      <c r="B708" s="326"/>
      <c r="C708" s="327"/>
      <c r="E708" s="327"/>
      <c r="F708" s="328"/>
      <c r="I708" s="329"/>
    </row>
    <row r="709">
      <c r="B709" s="326"/>
      <c r="C709" s="327"/>
      <c r="E709" s="327"/>
      <c r="F709" s="328"/>
      <c r="I709" s="329"/>
    </row>
    <row r="710">
      <c r="B710" s="326"/>
      <c r="C710" s="327"/>
      <c r="E710" s="327"/>
      <c r="F710" s="328"/>
      <c r="I710" s="329"/>
    </row>
    <row r="711">
      <c r="B711" s="326"/>
      <c r="C711" s="327"/>
      <c r="E711" s="327"/>
      <c r="F711" s="328"/>
      <c r="I711" s="329"/>
    </row>
    <row r="712">
      <c r="B712" s="326"/>
      <c r="C712" s="327"/>
      <c r="E712" s="327"/>
      <c r="F712" s="328"/>
      <c r="I712" s="329"/>
    </row>
    <row r="713">
      <c r="B713" s="326"/>
      <c r="C713" s="327"/>
      <c r="E713" s="327"/>
      <c r="F713" s="328"/>
      <c r="I713" s="329"/>
    </row>
    <row r="714">
      <c r="B714" s="326"/>
      <c r="C714" s="327"/>
      <c r="E714" s="327"/>
      <c r="F714" s="328"/>
      <c r="I714" s="329"/>
    </row>
    <row r="715">
      <c r="B715" s="326"/>
      <c r="C715" s="327"/>
      <c r="E715" s="327"/>
      <c r="F715" s="328"/>
      <c r="I715" s="329"/>
    </row>
    <row r="716">
      <c r="B716" s="326"/>
      <c r="C716" s="327"/>
      <c r="E716" s="327"/>
      <c r="F716" s="328"/>
      <c r="I716" s="329"/>
    </row>
    <row r="717">
      <c r="B717" s="326"/>
      <c r="C717" s="327"/>
      <c r="E717" s="327"/>
      <c r="F717" s="328"/>
      <c r="I717" s="329"/>
    </row>
    <row r="718">
      <c r="B718" s="326"/>
      <c r="C718" s="327"/>
      <c r="E718" s="327"/>
      <c r="F718" s="328"/>
      <c r="I718" s="329"/>
    </row>
    <row r="719">
      <c r="B719" s="326"/>
      <c r="C719" s="327"/>
      <c r="E719" s="327"/>
      <c r="F719" s="328"/>
      <c r="I719" s="329"/>
    </row>
    <row r="720">
      <c r="B720" s="326"/>
      <c r="C720" s="327"/>
      <c r="E720" s="327"/>
      <c r="F720" s="328"/>
      <c r="I720" s="329"/>
    </row>
    <row r="721">
      <c r="B721" s="326"/>
      <c r="C721" s="327"/>
      <c r="E721" s="327"/>
      <c r="F721" s="328"/>
      <c r="I721" s="329"/>
    </row>
    <row r="722">
      <c r="B722" s="326"/>
      <c r="C722" s="327"/>
      <c r="E722" s="327"/>
      <c r="F722" s="328"/>
      <c r="I722" s="329"/>
    </row>
    <row r="723">
      <c r="B723" s="326"/>
      <c r="C723" s="327"/>
      <c r="E723" s="327"/>
      <c r="F723" s="328"/>
      <c r="I723" s="329"/>
    </row>
    <row r="724">
      <c r="B724" s="326"/>
      <c r="C724" s="327"/>
      <c r="E724" s="327"/>
      <c r="F724" s="328"/>
      <c r="I724" s="329"/>
    </row>
    <row r="725">
      <c r="B725" s="326"/>
      <c r="C725" s="327"/>
      <c r="E725" s="327"/>
      <c r="F725" s="328"/>
      <c r="I725" s="329"/>
    </row>
    <row r="726">
      <c r="B726" s="326"/>
      <c r="C726" s="327"/>
      <c r="E726" s="327"/>
      <c r="F726" s="328"/>
      <c r="I726" s="329"/>
    </row>
    <row r="727">
      <c r="B727" s="326"/>
      <c r="C727" s="327"/>
      <c r="E727" s="327"/>
      <c r="F727" s="328"/>
      <c r="I727" s="329"/>
    </row>
    <row r="728">
      <c r="B728" s="326"/>
      <c r="C728" s="327"/>
      <c r="E728" s="327"/>
      <c r="F728" s="328"/>
      <c r="I728" s="329"/>
    </row>
    <row r="729">
      <c r="B729" s="326"/>
      <c r="C729" s="327"/>
      <c r="E729" s="327"/>
      <c r="F729" s="328"/>
      <c r="I729" s="329"/>
    </row>
    <row r="730">
      <c r="B730" s="326"/>
      <c r="C730" s="327"/>
      <c r="E730" s="327"/>
      <c r="F730" s="328"/>
      <c r="I730" s="329"/>
    </row>
    <row r="731">
      <c r="B731" s="326"/>
      <c r="C731" s="327"/>
      <c r="E731" s="327"/>
      <c r="F731" s="328"/>
      <c r="I731" s="329"/>
    </row>
    <row r="732">
      <c r="B732" s="326"/>
      <c r="C732" s="327"/>
      <c r="E732" s="327"/>
      <c r="F732" s="328"/>
      <c r="I732" s="329"/>
    </row>
    <row r="733">
      <c r="B733" s="326"/>
      <c r="C733" s="327"/>
      <c r="E733" s="327"/>
      <c r="F733" s="328"/>
      <c r="I733" s="329"/>
    </row>
    <row r="734">
      <c r="B734" s="326"/>
      <c r="C734" s="327"/>
      <c r="E734" s="327"/>
      <c r="F734" s="328"/>
      <c r="I734" s="329"/>
    </row>
    <row r="735">
      <c r="B735" s="326"/>
      <c r="C735" s="327"/>
      <c r="E735" s="327"/>
      <c r="F735" s="328"/>
      <c r="I735" s="329"/>
    </row>
    <row r="736">
      <c r="B736" s="326"/>
      <c r="C736" s="327"/>
      <c r="E736" s="327"/>
      <c r="F736" s="328"/>
      <c r="I736" s="329"/>
    </row>
    <row r="737">
      <c r="B737" s="326"/>
      <c r="C737" s="327"/>
      <c r="E737" s="327"/>
      <c r="F737" s="328"/>
      <c r="I737" s="329"/>
    </row>
    <row r="738">
      <c r="B738" s="326"/>
      <c r="C738" s="327"/>
      <c r="E738" s="327"/>
      <c r="F738" s="328"/>
      <c r="I738" s="329"/>
    </row>
    <row r="739">
      <c r="B739" s="326"/>
      <c r="C739" s="327"/>
      <c r="E739" s="327"/>
      <c r="F739" s="328"/>
      <c r="I739" s="329"/>
    </row>
    <row r="740">
      <c r="B740" s="326"/>
      <c r="C740" s="327"/>
      <c r="E740" s="327"/>
      <c r="F740" s="328"/>
      <c r="I740" s="329"/>
    </row>
    <row r="741">
      <c r="B741" s="326"/>
      <c r="C741" s="327"/>
      <c r="E741" s="327"/>
      <c r="F741" s="328"/>
      <c r="I741" s="329"/>
    </row>
    <row r="742">
      <c r="B742" s="326"/>
      <c r="C742" s="327"/>
      <c r="E742" s="327"/>
      <c r="F742" s="328"/>
      <c r="I742" s="329"/>
    </row>
    <row r="743">
      <c r="B743" s="326"/>
      <c r="C743" s="327"/>
      <c r="E743" s="327"/>
      <c r="F743" s="328"/>
      <c r="I743" s="329"/>
    </row>
    <row r="744">
      <c r="B744" s="326"/>
      <c r="C744" s="327"/>
      <c r="E744" s="327"/>
      <c r="F744" s="328"/>
      <c r="I744" s="329"/>
    </row>
    <row r="745">
      <c r="B745" s="326"/>
      <c r="C745" s="327"/>
      <c r="E745" s="327"/>
      <c r="F745" s="328"/>
      <c r="I745" s="329"/>
    </row>
    <row r="746">
      <c r="B746" s="326"/>
      <c r="C746" s="327"/>
      <c r="E746" s="327"/>
      <c r="F746" s="328"/>
      <c r="I746" s="329"/>
    </row>
    <row r="747">
      <c r="B747" s="326"/>
      <c r="C747" s="327"/>
      <c r="E747" s="327"/>
      <c r="F747" s="328"/>
      <c r="I747" s="329"/>
    </row>
    <row r="748">
      <c r="B748" s="326"/>
      <c r="C748" s="327"/>
      <c r="E748" s="327"/>
      <c r="F748" s="328"/>
      <c r="I748" s="329"/>
    </row>
    <row r="749">
      <c r="B749" s="326"/>
      <c r="C749" s="327"/>
      <c r="E749" s="327"/>
      <c r="F749" s="328"/>
      <c r="I749" s="329"/>
    </row>
    <row r="750">
      <c r="B750" s="326"/>
      <c r="C750" s="327"/>
      <c r="E750" s="327"/>
      <c r="F750" s="328"/>
      <c r="I750" s="329"/>
    </row>
    <row r="751">
      <c r="B751" s="326"/>
      <c r="C751" s="327"/>
      <c r="E751" s="327"/>
      <c r="F751" s="328"/>
      <c r="I751" s="329"/>
    </row>
    <row r="752">
      <c r="B752" s="326"/>
      <c r="C752" s="327"/>
      <c r="E752" s="327"/>
      <c r="F752" s="328"/>
      <c r="I752" s="329"/>
    </row>
    <row r="753">
      <c r="B753" s="326"/>
      <c r="C753" s="327"/>
      <c r="E753" s="327"/>
      <c r="F753" s="328"/>
      <c r="I753" s="329"/>
    </row>
    <row r="754">
      <c r="B754" s="326"/>
      <c r="C754" s="327"/>
      <c r="E754" s="327"/>
      <c r="F754" s="328"/>
      <c r="I754" s="329"/>
    </row>
    <row r="755">
      <c r="B755" s="326"/>
      <c r="C755" s="327"/>
      <c r="E755" s="327"/>
      <c r="F755" s="328"/>
      <c r="I755" s="329"/>
    </row>
    <row r="756">
      <c r="B756" s="326"/>
      <c r="C756" s="327"/>
      <c r="E756" s="327"/>
      <c r="F756" s="328"/>
      <c r="I756" s="329"/>
    </row>
    <row r="757">
      <c r="B757" s="326"/>
      <c r="C757" s="327"/>
      <c r="E757" s="327"/>
      <c r="F757" s="328"/>
      <c r="I757" s="329"/>
    </row>
    <row r="758">
      <c r="B758" s="326"/>
      <c r="C758" s="327"/>
      <c r="E758" s="327"/>
      <c r="F758" s="328"/>
      <c r="I758" s="329"/>
    </row>
    <row r="759">
      <c r="B759" s="326"/>
      <c r="C759" s="327"/>
      <c r="E759" s="327"/>
      <c r="F759" s="328"/>
      <c r="I759" s="329"/>
    </row>
    <row r="760">
      <c r="B760" s="326"/>
      <c r="C760" s="327"/>
      <c r="E760" s="327"/>
      <c r="F760" s="328"/>
      <c r="I760" s="329"/>
    </row>
    <row r="761">
      <c r="B761" s="326"/>
      <c r="C761" s="327"/>
      <c r="E761" s="327"/>
      <c r="F761" s="328"/>
      <c r="I761" s="329"/>
    </row>
    <row r="762">
      <c r="B762" s="326"/>
      <c r="C762" s="327"/>
      <c r="E762" s="327"/>
      <c r="F762" s="328"/>
      <c r="I762" s="329"/>
    </row>
    <row r="763">
      <c r="B763" s="326"/>
      <c r="C763" s="327"/>
      <c r="E763" s="327"/>
      <c r="F763" s="328"/>
      <c r="I763" s="329"/>
    </row>
    <row r="764">
      <c r="B764" s="326"/>
      <c r="C764" s="327"/>
      <c r="E764" s="327"/>
      <c r="F764" s="328"/>
      <c r="I764" s="329"/>
    </row>
    <row r="765">
      <c r="B765" s="326"/>
      <c r="C765" s="327"/>
      <c r="E765" s="327"/>
      <c r="F765" s="328"/>
      <c r="I765" s="329"/>
    </row>
    <row r="766">
      <c r="B766" s="326"/>
      <c r="C766" s="327"/>
      <c r="E766" s="327"/>
      <c r="F766" s="328"/>
      <c r="I766" s="329"/>
    </row>
    <row r="767">
      <c r="B767" s="326"/>
      <c r="C767" s="327"/>
      <c r="E767" s="327"/>
      <c r="F767" s="328"/>
      <c r="I767" s="329"/>
    </row>
    <row r="768">
      <c r="B768" s="326"/>
      <c r="C768" s="327"/>
      <c r="E768" s="327"/>
      <c r="F768" s="328"/>
      <c r="I768" s="329"/>
    </row>
    <row r="769">
      <c r="B769" s="326"/>
      <c r="C769" s="327"/>
      <c r="E769" s="327"/>
      <c r="F769" s="328"/>
      <c r="I769" s="329"/>
    </row>
    <row r="770">
      <c r="B770" s="326"/>
      <c r="C770" s="327"/>
      <c r="E770" s="327"/>
      <c r="F770" s="328"/>
      <c r="I770" s="329"/>
    </row>
    <row r="771">
      <c r="B771" s="326"/>
      <c r="C771" s="327"/>
      <c r="E771" s="327"/>
      <c r="F771" s="328"/>
      <c r="I771" s="329"/>
    </row>
    <row r="772">
      <c r="B772" s="326"/>
      <c r="C772" s="327"/>
      <c r="E772" s="327"/>
      <c r="F772" s="328"/>
      <c r="I772" s="329"/>
    </row>
    <row r="773">
      <c r="B773" s="326"/>
      <c r="C773" s="327"/>
      <c r="E773" s="327"/>
      <c r="F773" s="328"/>
      <c r="I773" s="329"/>
    </row>
    <row r="774">
      <c r="B774" s="326"/>
      <c r="C774" s="327"/>
      <c r="E774" s="327"/>
      <c r="F774" s="328"/>
      <c r="I774" s="329"/>
    </row>
    <row r="775">
      <c r="B775" s="326"/>
      <c r="C775" s="327"/>
      <c r="E775" s="327"/>
      <c r="F775" s="328"/>
      <c r="I775" s="329"/>
    </row>
    <row r="776">
      <c r="B776" s="326"/>
      <c r="C776" s="327"/>
      <c r="E776" s="327"/>
      <c r="F776" s="328"/>
      <c r="I776" s="329"/>
    </row>
    <row r="777">
      <c r="B777" s="326"/>
      <c r="C777" s="327"/>
      <c r="E777" s="327"/>
      <c r="F777" s="328"/>
      <c r="I777" s="329"/>
    </row>
    <row r="778">
      <c r="B778" s="326"/>
      <c r="C778" s="327"/>
      <c r="E778" s="327"/>
      <c r="F778" s="328"/>
      <c r="I778" s="329"/>
    </row>
    <row r="779">
      <c r="B779" s="326"/>
      <c r="C779" s="327"/>
      <c r="E779" s="327"/>
      <c r="F779" s="328"/>
      <c r="I779" s="329"/>
    </row>
    <row r="780">
      <c r="B780" s="326"/>
      <c r="C780" s="327"/>
      <c r="E780" s="327"/>
      <c r="F780" s="328"/>
      <c r="I780" s="329"/>
    </row>
    <row r="781">
      <c r="B781" s="326"/>
      <c r="C781" s="327"/>
      <c r="E781" s="327"/>
      <c r="F781" s="328"/>
      <c r="I781" s="329"/>
    </row>
    <row r="782">
      <c r="B782" s="326"/>
      <c r="C782" s="327"/>
      <c r="E782" s="327"/>
      <c r="F782" s="328"/>
      <c r="I782" s="329"/>
    </row>
    <row r="783">
      <c r="B783" s="326"/>
      <c r="C783" s="327"/>
      <c r="E783" s="327"/>
      <c r="F783" s="328"/>
      <c r="I783" s="329"/>
    </row>
    <row r="784">
      <c r="B784" s="326"/>
      <c r="C784" s="327"/>
      <c r="E784" s="327"/>
      <c r="F784" s="328"/>
      <c r="I784" s="329"/>
    </row>
    <row r="785">
      <c r="B785" s="326"/>
      <c r="C785" s="327"/>
      <c r="E785" s="327"/>
      <c r="F785" s="328"/>
      <c r="I785" s="329"/>
    </row>
    <row r="786">
      <c r="B786" s="326"/>
      <c r="C786" s="327"/>
      <c r="E786" s="327"/>
      <c r="F786" s="328"/>
      <c r="I786" s="329"/>
    </row>
    <row r="787">
      <c r="B787" s="326"/>
      <c r="C787" s="327"/>
      <c r="E787" s="327"/>
      <c r="F787" s="328"/>
      <c r="I787" s="329"/>
    </row>
    <row r="788">
      <c r="B788" s="326"/>
      <c r="C788" s="327"/>
      <c r="E788" s="327"/>
      <c r="F788" s="328"/>
      <c r="I788" s="329"/>
    </row>
    <row r="789">
      <c r="B789" s="326"/>
      <c r="C789" s="327"/>
      <c r="E789" s="327"/>
      <c r="F789" s="328"/>
      <c r="I789" s="329"/>
    </row>
    <row r="790">
      <c r="B790" s="326"/>
      <c r="C790" s="327"/>
      <c r="E790" s="327"/>
      <c r="F790" s="328"/>
      <c r="I790" s="329"/>
    </row>
    <row r="791">
      <c r="B791" s="326"/>
      <c r="C791" s="327"/>
      <c r="E791" s="327"/>
      <c r="F791" s="328"/>
      <c r="I791" s="329"/>
    </row>
    <row r="792">
      <c r="B792" s="326"/>
      <c r="C792" s="327"/>
      <c r="E792" s="327"/>
      <c r="F792" s="328"/>
      <c r="I792" s="329"/>
    </row>
    <row r="793">
      <c r="B793" s="326"/>
      <c r="C793" s="327"/>
      <c r="E793" s="327"/>
      <c r="F793" s="328"/>
      <c r="I793" s="329"/>
    </row>
    <row r="794">
      <c r="B794" s="326"/>
      <c r="C794" s="327"/>
      <c r="E794" s="327"/>
      <c r="F794" s="328"/>
      <c r="I794" s="329"/>
    </row>
    <row r="795">
      <c r="B795" s="326"/>
      <c r="C795" s="327"/>
      <c r="E795" s="327"/>
      <c r="F795" s="328"/>
      <c r="I795" s="329"/>
    </row>
    <row r="796">
      <c r="B796" s="326"/>
      <c r="C796" s="327"/>
      <c r="E796" s="327"/>
      <c r="F796" s="328"/>
      <c r="I796" s="329"/>
    </row>
    <row r="797">
      <c r="B797" s="326"/>
      <c r="C797" s="327"/>
      <c r="E797" s="327"/>
      <c r="F797" s="328"/>
      <c r="I797" s="329"/>
    </row>
    <row r="798">
      <c r="B798" s="326"/>
      <c r="C798" s="327"/>
      <c r="E798" s="327"/>
      <c r="F798" s="328"/>
      <c r="I798" s="329"/>
    </row>
    <row r="799">
      <c r="B799" s="326"/>
      <c r="C799" s="327"/>
      <c r="E799" s="327"/>
      <c r="F799" s="328"/>
      <c r="I799" s="329"/>
    </row>
    <row r="800">
      <c r="B800" s="326"/>
      <c r="C800" s="327"/>
      <c r="E800" s="327"/>
      <c r="F800" s="328"/>
      <c r="I800" s="329"/>
    </row>
    <row r="801">
      <c r="B801" s="326"/>
      <c r="C801" s="327"/>
      <c r="E801" s="327"/>
      <c r="F801" s="328"/>
      <c r="I801" s="329"/>
    </row>
    <row r="802">
      <c r="B802" s="326"/>
      <c r="C802" s="327"/>
      <c r="E802" s="327"/>
      <c r="F802" s="328"/>
      <c r="I802" s="329"/>
    </row>
    <row r="803">
      <c r="B803" s="326"/>
      <c r="C803" s="327"/>
      <c r="E803" s="327"/>
      <c r="F803" s="328"/>
      <c r="I803" s="329"/>
    </row>
    <row r="804">
      <c r="B804" s="326"/>
      <c r="C804" s="327"/>
      <c r="E804" s="327"/>
      <c r="F804" s="328"/>
      <c r="I804" s="329"/>
    </row>
    <row r="805">
      <c r="B805" s="326"/>
      <c r="C805" s="327"/>
      <c r="E805" s="327"/>
      <c r="F805" s="328"/>
      <c r="I805" s="329"/>
    </row>
    <row r="806">
      <c r="B806" s="326"/>
      <c r="C806" s="327"/>
      <c r="E806" s="327"/>
      <c r="F806" s="328"/>
      <c r="I806" s="329"/>
    </row>
    <row r="807">
      <c r="B807" s="326"/>
      <c r="C807" s="327"/>
      <c r="E807" s="327"/>
      <c r="F807" s="328"/>
      <c r="I807" s="329"/>
    </row>
    <row r="808">
      <c r="B808" s="326"/>
      <c r="C808" s="327"/>
      <c r="E808" s="327"/>
      <c r="F808" s="328"/>
      <c r="I808" s="329"/>
    </row>
    <row r="809">
      <c r="B809" s="326"/>
      <c r="C809" s="327"/>
      <c r="E809" s="327"/>
      <c r="F809" s="328"/>
      <c r="I809" s="329"/>
    </row>
    <row r="810">
      <c r="B810" s="326"/>
      <c r="C810" s="327"/>
      <c r="E810" s="327"/>
      <c r="F810" s="328"/>
      <c r="I810" s="329"/>
    </row>
    <row r="811">
      <c r="B811" s="326"/>
      <c r="C811" s="327"/>
      <c r="E811" s="327"/>
      <c r="F811" s="328"/>
      <c r="I811" s="329"/>
    </row>
    <row r="812">
      <c r="B812" s="326"/>
      <c r="C812" s="327"/>
      <c r="E812" s="327"/>
      <c r="F812" s="328"/>
      <c r="I812" s="329"/>
    </row>
    <row r="813">
      <c r="B813" s="326"/>
      <c r="C813" s="327"/>
      <c r="E813" s="327"/>
      <c r="F813" s="328"/>
      <c r="I813" s="329"/>
    </row>
    <row r="814">
      <c r="B814" s="326"/>
      <c r="C814" s="327"/>
      <c r="E814" s="327"/>
      <c r="F814" s="328"/>
      <c r="I814" s="329"/>
    </row>
    <row r="815">
      <c r="B815" s="326"/>
      <c r="C815" s="327"/>
      <c r="E815" s="327"/>
      <c r="F815" s="328"/>
      <c r="I815" s="329"/>
    </row>
    <row r="816">
      <c r="B816" s="326"/>
      <c r="C816" s="327"/>
      <c r="E816" s="327"/>
      <c r="F816" s="328"/>
      <c r="I816" s="329"/>
    </row>
    <row r="817">
      <c r="B817" s="326"/>
      <c r="C817" s="327"/>
      <c r="E817" s="327"/>
      <c r="F817" s="328"/>
      <c r="I817" s="329"/>
    </row>
    <row r="818">
      <c r="B818" s="326"/>
      <c r="C818" s="327"/>
      <c r="E818" s="327"/>
      <c r="F818" s="328"/>
      <c r="I818" s="329"/>
    </row>
    <row r="819">
      <c r="B819" s="326"/>
      <c r="C819" s="327"/>
      <c r="E819" s="327"/>
      <c r="F819" s="328"/>
      <c r="I819" s="329"/>
    </row>
    <row r="820">
      <c r="B820" s="326"/>
      <c r="C820" s="327"/>
      <c r="E820" s="327"/>
      <c r="F820" s="328"/>
      <c r="I820" s="329"/>
    </row>
    <row r="821">
      <c r="B821" s="326"/>
      <c r="C821" s="327"/>
      <c r="E821" s="327"/>
      <c r="F821" s="328"/>
      <c r="I821" s="329"/>
    </row>
    <row r="822">
      <c r="B822" s="326"/>
      <c r="C822" s="327"/>
      <c r="E822" s="327"/>
      <c r="F822" s="328"/>
      <c r="I822" s="329"/>
    </row>
    <row r="823">
      <c r="B823" s="326"/>
      <c r="C823" s="327"/>
      <c r="E823" s="327"/>
      <c r="F823" s="328"/>
      <c r="I823" s="329"/>
    </row>
    <row r="824">
      <c r="B824" s="326"/>
      <c r="C824" s="327"/>
      <c r="E824" s="327"/>
      <c r="F824" s="328"/>
      <c r="I824" s="329"/>
    </row>
    <row r="825">
      <c r="B825" s="326"/>
      <c r="C825" s="327"/>
      <c r="E825" s="327"/>
      <c r="F825" s="328"/>
      <c r="I825" s="329"/>
    </row>
    <row r="826">
      <c r="B826" s="326"/>
      <c r="C826" s="327"/>
      <c r="E826" s="327"/>
      <c r="F826" s="328"/>
      <c r="I826" s="329"/>
    </row>
    <row r="827">
      <c r="B827" s="326"/>
      <c r="C827" s="327"/>
      <c r="E827" s="327"/>
      <c r="F827" s="328"/>
      <c r="I827" s="329"/>
    </row>
    <row r="828">
      <c r="B828" s="326"/>
      <c r="C828" s="327"/>
      <c r="E828" s="327"/>
      <c r="F828" s="328"/>
      <c r="I828" s="329"/>
    </row>
    <row r="829">
      <c r="B829" s="326"/>
      <c r="C829" s="327"/>
      <c r="E829" s="327"/>
      <c r="F829" s="328"/>
      <c r="I829" s="329"/>
    </row>
    <row r="830">
      <c r="B830" s="326"/>
      <c r="C830" s="327"/>
      <c r="E830" s="327"/>
      <c r="F830" s="328"/>
      <c r="I830" s="329"/>
    </row>
    <row r="831">
      <c r="B831" s="326"/>
      <c r="C831" s="327"/>
      <c r="E831" s="327"/>
      <c r="F831" s="328"/>
      <c r="I831" s="329"/>
    </row>
    <row r="832">
      <c r="B832" s="326"/>
      <c r="C832" s="327"/>
      <c r="E832" s="327"/>
      <c r="F832" s="328"/>
      <c r="I832" s="329"/>
    </row>
    <row r="833">
      <c r="B833" s="326"/>
      <c r="C833" s="327"/>
      <c r="E833" s="327"/>
      <c r="F833" s="328"/>
      <c r="I833" s="329"/>
    </row>
    <row r="834">
      <c r="B834" s="326"/>
      <c r="C834" s="327"/>
      <c r="E834" s="327"/>
      <c r="F834" s="328"/>
      <c r="I834" s="329"/>
    </row>
    <row r="835">
      <c r="B835" s="326"/>
      <c r="C835" s="327"/>
      <c r="E835" s="327"/>
      <c r="F835" s="328"/>
      <c r="I835" s="329"/>
    </row>
    <row r="836">
      <c r="B836" s="326"/>
      <c r="C836" s="327"/>
      <c r="E836" s="327"/>
      <c r="F836" s="328"/>
      <c r="I836" s="329"/>
    </row>
    <row r="837">
      <c r="B837" s="326"/>
      <c r="C837" s="327"/>
      <c r="E837" s="327"/>
      <c r="F837" s="328"/>
      <c r="I837" s="329"/>
    </row>
    <row r="838">
      <c r="B838" s="326"/>
      <c r="C838" s="327"/>
      <c r="E838" s="327"/>
      <c r="F838" s="328"/>
      <c r="I838" s="329"/>
    </row>
    <row r="839">
      <c r="B839" s="326"/>
      <c r="C839" s="327"/>
      <c r="E839" s="327"/>
      <c r="F839" s="328"/>
      <c r="I839" s="329"/>
    </row>
    <row r="840">
      <c r="B840" s="326"/>
      <c r="C840" s="327"/>
      <c r="E840" s="327"/>
      <c r="F840" s="328"/>
      <c r="I840" s="329"/>
    </row>
    <row r="841">
      <c r="B841" s="326"/>
      <c r="C841" s="327"/>
      <c r="E841" s="327"/>
      <c r="F841" s="328"/>
      <c r="I841" s="329"/>
    </row>
    <row r="842">
      <c r="B842" s="326"/>
      <c r="C842" s="327"/>
      <c r="E842" s="327"/>
      <c r="F842" s="328"/>
      <c r="I842" s="329"/>
    </row>
    <row r="843">
      <c r="B843" s="326"/>
      <c r="C843" s="327"/>
      <c r="E843" s="327"/>
      <c r="F843" s="328"/>
      <c r="I843" s="329"/>
    </row>
    <row r="844">
      <c r="B844" s="326"/>
      <c r="C844" s="327"/>
      <c r="E844" s="327"/>
      <c r="F844" s="328"/>
      <c r="I844" s="329"/>
    </row>
    <row r="845">
      <c r="B845" s="326"/>
      <c r="C845" s="327"/>
      <c r="E845" s="327"/>
      <c r="F845" s="328"/>
      <c r="I845" s="329"/>
    </row>
    <row r="846">
      <c r="B846" s="326"/>
      <c r="C846" s="327"/>
      <c r="E846" s="327"/>
      <c r="F846" s="328"/>
      <c r="I846" s="329"/>
    </row>
    <row r="847">
      <c r="B847" s="326"/>
      <c r="C847" s="327"/>
      <c r="E847" s="327"/>
      <c r="F847" s="328"/>
      <c r="I847" s="329"/>
    </row>
    <row r="848">
      <c r="B848" s="326"/>
      <c r="C848" s="327"/>
      <c r="E848" s="327"/>
      <c r="F848" s="328"/>
      <c r="I848" s="329"/>
    </row>
    <row r="849">
      <c r="B849" s="326"/>
      <c r="C849" s="327"/>
      <c r="E849" s="327"/>
      <c r="F849" s="328"/>
      <c r="I849" s="329"/>
    </row>
    <row r="850">
      <c r="B850" s="326"/>
      <c r="C850" s="327"/>
      <c r="E850" s="327"/>
      <c r="F850" s="328"/>
      <c r="I850" s="329"/>
    </row>
    <row r="851">
      <c r="B851" s="326"/>
      <c r="C851" s="327"/>
      <c r="E851" s="327"/>
      <c r="F851" s="328"/>
      <c r="I851" s="329"/>
    </row>
    <row r="852">
      <c r="B852" s="326"/>
      <c r="C852" s="327"/>
      <c r="E852" s="327"/>
      <c r="F852" s="328"/>
      <c r="I852" s="329"/>
    </row>
    <row r="853">
      <c r="B853" s="326"/>
      <c r="C853" s="327"/>
      <c r="E853" s="327"/>
      <c r="F853" s="328"/>
      <c r="I853" s="329"/>
    </row>
    <row r="854">
      <c r="B854" s="326"/>
      <c r="C854" s="327"/>
      <c r="E854" s="327"/>
      <c r="F854" s="328"/>
      <c r="I854" s="329"/>
    </row>
    <row r="855">
      <c r="B855" s="326"/>
      <c r="C855" s="327"/>
      <c r="E855" s="327"/>
      <c r="F855" s="328"/>
      <c r="I855" s="329"/>
    </row>
    <row r="856">
      <c r="B856" s="326"/>
      <c r="C856" s="327"/>
      <c r="E856" s="327"/>
      <c r="F856" s="328"/>
      <c r="I856" s="329"/>
    </row>
    <row r="857">
      <c r="B857" s="326"/>
      <c r="C857" s="327"/>
      <c r="E857" s="327"/>
      <c r="F857" s="328"/>
      <c r="I857" s="329"/>
    </row>
    <row r="858">
      <c r="B858" s="326"/>
      <c r="C858" s="327"/>
      <c r="E858" s="327"/>
      <c r="F858" s="328"/>
      <c r="I858" s="329"/>
    </row>
    <row r="859">
      <c r="B859" s="326"/>
      <c r="C859" s="327"/>
      <c r="E859" s="327"/>
      <c r="F859" s="328"/>
      <c r="I859" s="329"/>
    </row>
    <row r="860">
      <c r="B860" s="326"/>
      <c r="C860" s="327"/>
      <c r="E860" s="327"/>
      <c r="F860" s="328"/>
      <c r="I860" s="329"/>
    </row>
    <row r="861">
      <c r="B861" s="326"/>
      <c r="C861" s="327"/>
      <c r="E861" s="327"/>
      <c r="F861" s="328"/>
      <c r="I861" s="329"/>
    </row>
    <row r="862">
      <c r="B862" s="326"/>
      <c r="C862" s="327"/>
      <c r="E862" s="327"/>
      <c r="F862" s="328"/>
      <c r="I862" s="329"/>
    </row>
    <row r="863">
      <c r="B863" s="326"/>
      <c r="C863" s="327"/>
      <c r="E863" s="327"/>
      <c r="F863" s="328"/>
      <c r="I863" s="329"/>
    </row>
    <row r="864">
      <c r="B864" s="326"/>
      <c r="C864" s="327"/>
      <c r="E864" s="327"/>
      <c r="F864" s="328"/>
      <c r="I864" s="329"/>
    </row>
    <row r="865">
      <c r="B865" s="326"/>
      <c r="C865" s="327"/>
      <c r="E865" s="327"/>
      <c r="F865" s="328"/>
      <c r="I865" s="329"/>
    </row>
    <row r="866">
      <c r="B866" s="326"/>
      <c r="C866" s="327"/>
      <c r="E866" s="327"/>
      <c r="F866" s="328"/>
      <c r="I866" s="329"/>
    </row>
    <row r="867">
      <c r="B867" s="326"/>
      <c r="C867" s="327"/>
      <c r="E867" s="327"/>
      <c r="F867" s="328"/>
      <c r="I867" s="329"/>
    </row>
    <row r="868">
      <c r="B868" s="326"/>
      <c r="C868" s="327"/>
      <c r="E868" s="327"/>
      <c r="F868" s="328"/>
      <c r="I868" s="329"/>
    </row>
    <row r="869">
      <c r="B869" s="326"/>
      <c r="C869" s="327"/>
      <c r="E869" s="327"/>
      <c r="F869" s="328"/>
      <c r="I869" s="329"/>
    </row>
    <row r="870">
      <c r="B870" s="326"/>
      <c r="C870" s="327"/>
      <c r="E870" s="327"/>
      <c r="F870" s="328"/>
      <c r="I870" s="329"/>
    </row>
    <row r="871">
      <c r="B871" s="326"/>
      <c r="C871" s="327"/>
      <c r="E871" s="327"/>
      <c r="F871" s="328"/>
      <c r="I871" s="329"/>
    </row>
    <row r="872">
      <c r="B872" s="326"/>
      <c r="C872" s="327"/>
      <c r="E872" s="327"/>
      <c r="F872" s="328"/>
      <c r="I872" s="329"/>
    </row>
    <row r="873">
      <c r="B873" s="326"/>
      <c r="C873" s="327"/>
      <c r="E873" s="327"/>
      <c r="F873" s="328"/>
      <c r="I873" s="329"/>
    </row>
    <row r="874">
      <c r="B874" s="326"/>
      <c r="C874" s="327"/>
      <c r="E874" s="327"/>
      <c r="F874" s="328"/>
      <c r="I874" s="329"/>
    </row>
    <row r="875">
      <c r="B875" s="326"/>
      <c r="C875" s="327"/>
      <c r="E875" s="327"/>
      <c r="F875" s="328"/>
      <c r="I875" s="329"/>
    </row>
    <row r="876">
      <c r="B876" s="326"/>
      <c r="C876" s="327"/>
      <c r="E876" s="327"/>
      <c r="F876" s="328"/>
      <c r="I876" s="329"/>
    </row>
    <row r="877">
      <c r="B877" s="326"/>
      <c r="C877" s="327"/>
      <c r="E877" s="327"/>
      <c r="F877" s="328"/>
      <c r="I877" s="329"/>
    </row>
    <row r="878">
      <c r="B878" s="326"/>
      <c r="C878" s="327"/>
      <c r="E878" s="327"/>
      <c r="F878" s="328"/>
      <c r="I878" s="329"/>
    </row>
    <row r="879">
      <c r="B879" s="326"/>
      <c r="C879" s="327"/>
      <c r="E879" s="327"/>
      <c r="F879" s="328"/>
      <c r="I879" s="329"/>
    </row>
    <row r="880">
      <c r="B880" s="326"/>
      <c r="C880" s="327"/>
      <c r="E880" s="327"/>
      <c r="F880" s="328"/>
      <c r="I880" s="329"/>
    </row>
    <row r="881">
      <c r="B881" s="326"/>
      <c r="C881" s="327"/>
      <c r="E881" s="327"/>
      <c r="F881" s="328"/>
      <c r="I881" s="329"/>
    </row>
    <row r="882">
      <c r="B882" s="326"/>
      <c r="C882" s="327"/>
      <c r="E882" s="327"/>
      <c r="F882" s="328"/>
      <c r="I882" s="329"/>
    </row>
    <row r="883">
      <c r="B883" s="326"/>
      <c r="C883" s="327"/>
      <c r="E883" s="327"/>
      <c r="F883" s="328"/>
      <c r="I883" s="329"/>
    </row>
    <row r="884">
      <c r="B884" s="326"/>
      <c r="C884" s="327"/>
      <c r="E884" s="327"/>
      <c r="F884" s="328"/>
      <c r="I884" s="329"/>
    </row>
    <row r="885">
      <c r="B885" s="326"/>
      <c r="C885" s="327"/>
      <c r="E885" s="327"/>
      <c r="F885" s="328"/>
      <c r="I885" s="329"/>
    </row>
    <row r="886">
      <c r="B886" s="326"/>
      <c r="C886" s="327"/>
      <c r="E886" s="327"/>
      <c r="F886" s="328"/>
      <c r="I886" s="329"/>
    </row>
    <row r="887">
      <c r="B887" s="326"/>
      <c r="C887" s="327"/>
      <c r="E887" s="327"/>
      <c r="F887" s="328"/>
      <c r="I887" s="329"/>
    </row>
    <row r="888">
      <c r="B888" s="326"/>
      <c r="C888" s="327"/>
      <c r="E888" s="327"/>
      <c r="F888" s="328"/>
      <c r="I888" s="329"/>
    </row>
    <row r="889">
      <c r="B889" s="326"/>
      <c r="C889" s="327"/>
      <c r="E889" s="327"/>
      <c r="F889" s="328"/>
      <c r="I889" s="329"/>
    </row>
    <row r="890">
      <c r="B890" s="326"/>
      <c r="C890" s="327"/>
      <c r="E890" s="327"/>
      <c r="F890" s="328"/>
      <c r="I890" s="329"/>
    </row>
    <row r="891">
      <c r="B891" s="326"/>
      <c r="C891" s="327"/>
      <c r="E891" s="327"/>
      <c r="F891" s="328"/>
      <c r="I891" s="329"/>
    </row>
    <row r="892">
      <c r="B892" s="326"/>
      <c r="C892" s="327"/>
      <c r="E892" s="327"/>
      <c r="F892" s="328"/>
      <c r="I892" s="329"/>
    </row>
    <row r="893">
      <c r="B893" s="326"/>
      <c r="C893" s="327"/>
      <c r="E893" s="327"/>
      <c r="F893" s="328"/>
      <c r="I893" s="329"/>
    </row>
    <row r="894">
      <c r="B894" s="326"/>
      <c r="C894" s="327"/>
      <c r="E894" s="327"/>
      <c r="F894" s="328"/>
      <c r="I894" s="329"/>
    </row>
    <row r="895">
      <c r="B895" s="326"/>
      <c r="C895" s="327"/>
      <c r="E895" s="327"/>
      <c r="F895" s="328"/>
      <c r="I895" s="329"/>
    </row>
    <row r="896">
      <c r="B896" s="326"/>
      <c r="C896" s="327"/>
      <c r="E896" s="327"/>
      <c r="F896" s="328"/>
      <c r="I896" s="329"/>
    </row>
    <row r="897">
      <c r="B897" s="326"/>
      <c r="C897" s="327"/>
      <c r="E897" s="327"/>
      <c r="F897" s="328"/>
      <c r="I897" s="329"/>
    </row>
    <row r="898">
      <c r="B898" s="326"/>
      <c r="C898" s="327"/>
      <c r="E898" s="327"/>
      <c r="F898" s="328"/>
      <c r="I898" s="329"/>
    </row>
    <row r="899">
      <c r="B899" s="326"/>
      <c r="C899" s="327"/>
      <c r="E899" s="327"/>
      <c r="F899" s="328"/>
      <c r="I899" s="329"/>
    </row>
    <row r="900">
      <c r="B900" s="326"/>
      <c r="C900" s="327"/>
      <c r="E900" s="327"/>
      <c r="F900" s="328"/>
      <c r="I900" s="329"/>
    </row>
    <row r="901">
      <c r="B901" s="326"/>
      <c r="C901" s="327"/>
      <c r="E901" s="327"/>
      <c r="F901" s="328"/>
      <c r="I901" s="329"/>
    </row>
    <row r="902">
      <c r="B902" s="326"/>
      <c r="C902" s="327"/>
      <c r="E902" s="327"/>
      <c r="F902" s="328"/>
      <c r="I902" s="329"/>
    </row>
    <row r="903">
      <c r="B903" s="326"/>
      <c r="C903" s="327"/>
      <c r="E903" s="327"/>
      <c r="F903" s="328"/>
      <c r="I903" s="329"/>
    </row>
    <row r="904">
      <c r="B904" s="326"/>
      <c r="C904" s="327"/>
      <c r="E904" s="327"/>
      <c r="F904" s="328"/>
      <c r="I904" s="329"/>
    </row>
    <row r="905">
      <c r="B905" s="326"/>
      <c r="C905" s="327"/>
      <c r="E905" s="327"/>
      <c r="F905" s="328"/>
      <c r="I905" s="329"/>
    </row>
    <row r="906">
      <c r="B906" s="326"/>
      <c r="C906" s="327"/>
      <c r="E906" s="327"/>
      <c r="F906" s="328"/>
      <c r="I906" s="329"/>
    </row>
    <row r="907">
      <c r="B907" s="326"/>
      <c r="C907" s="327"/>
      <c r="E907" s="327"/>
      <c r="F907" s="328"/>
      <c r="I907" s="329"/>
    </row>
    <row r="908">
      <c r="B908" s="326"/>
      <c r="C908" s="327"/>
      <c r="E908" s="327"/>
      <c r="F908" s="328"/>
      <c r="I908" s="329"/>
    </row>
    <row r="909">
      <c r="B909" s="326"/>
      <c r="C909" s="327"/>
      <c r="E909" s="327"/>
      <c r="F909" s="328"/>
      <c r="I909" s="329"/>
    </row>
    <row r="910">
      <c r="B910" s="326"/>
      <c r="C910" s="327"/>
      <c r="E910" s="327"/>
      <c r="F910" s="328"/>
      <c r="I910" s="329"/>
    </row>
    <row r="911">
      <c r="B911" s="326"/>
      <c r="C911" s="327"/>
      <c r="E911" s="327"/>
      <c r="F911" s="328"/>
      <c r="I911" s="329"/>
    </row>
    <row r="912">
      <c r="B912" s="326"/>
      <c r="C912" s="327"/>
      <c r="E912" s="327"/>
      <c r="F912" s="328"/>
      <c r="I912" s="329"/>
    </row>
    <row r="913">
      <c r="B913" s="326"/>
      <c r="C913" s="327"/>
      <c r="E913" s="327"/>
      <c r="F913" s="328"/>
      <c r="I913" s="329"/>
    </row>
    <row r="914">
      <c r="B914" s="326"/>
      <c r="C914" s="327"/>
      <c r="E914" s="327"/>
      <c r="F914" s="328"/>
      <c r="I914" s="329"/>
    </row>
    <row r="915">
      <c r="B915" s="326"/>
      <c r="C915" s="327"/>
      <c r="E915" s="327"/>
      <c r="F915" s="328"/>
      <c r="I915" s="329"/>
    </row>
    <row r="916">
      <c r="B916" s="326"/>
      <c r="C916" s="327"/>
      <c r="E916" s="327"/>
      <c r="F916" s="328"/>
      <c r="I916" s="329"/>
    </row>
    <row r="917">
      <c r="B917" s="326"/>
      <c r="C917" s="327"/>
      <c r="E917" s="327"/>
      <c r="F917" s="328"/>
      <c r="I917" s="329"/>
    </row>
    <row r="918">
      <c r="B918" s="326"/>
      <c r="C918" s="327"/>
      <c r="E918" s="327"/>
      <c r="F918" s="328"/>
      <c r="I918" s="329"/>
    </row>
    <row r="919">
      <c r="B919" s="326"/>
      <c r="C919" s="327"/>
      <c r="E919" s="327"/>
      <c r="F919" s="328"/>
      <c r="I919" s="329"/>
    </row>
    <row r="920">
      <c r="B920" s="326"/>
      <c r="C920" s="327"/>
      <c r="E920" s="327"/>
      <c r="F920" s="328"/>
      <c r="I920" s="329"/>
    </row>
    <row r="921">
      <c r="B921" s="326"/>
      <c r="C921" s="327"/>
      <c r="E921" s="327"/>
      <c r="F921" s="328"/>
      <c r="I921" s="329"/>
    </row>
    <row r="922">
      <c r="B922" s="326"/>
      <c r="C922" s="327"/>
      <c r="E922" s="327"/>
      <c r="F922" s="328"/>
      <c r="I922" s="329"/>
    </row>
    <row r="923">
      <c r="B923" s="326"/>
      <c r="C923" s="327"/>
      <c r="E923" s="327"/>
      <c r="F923" s="328"/>
      <c r="I923" s="329"/>
    </row>
    <row r="924">
      <c r="B924" s="326"/>
      <c r="C924" s="327"/>
      <c r="E924" s="327"/>
      <c r="F924" s="328"/>
      <c r="I924" s="329"/>
    </row>
    <row r="925">
      <c r="B925" s="326"/>
      <c r="C925" s="327"/>
      <c r="E925" s="327"/>
      <c r="F925" s="328"/>
      <c r="I925" s="329"/>
    </row>
    <row r="926">
      <c r="B926" s="326"/>
      <c r="C926" s="327"/>
      <c r="E926" s="327"/>
      <c r="F926" s="328"/>
      <c r="I926" s="329"/>
    </row>
    <row r="927">
      <c r="B927" s="326"/>
      <c r="C927" s="327"/>
      <c r="E927" s="327"/>
      <c r="F927" s="328"/>
      <c r="I927" s="329"/>
    </row>
    <row r="928">
      <c r="B928" s="326"/>
      <c r="C928" s="327"/>
      <c r="E928" s="327"/>
      <c r="F928" s="328"/>
      <c r="I928" s="329"/>
    </row>
    <row r="929">
      <c r="B929" s="326"/>
      <c r="C929" s="327"/>
      <c r="E929" s="327"/>
      <c r="F929" s="328"/>
      <c r="I929" s="329"/>
    </row>
    <row r="930">
      <c r="B930" s="326"/>
      <c r="C930" s="327"/>
      <c r="E930" s="327"/>
      <c r="F930" s="328"/>
      <c r="I930" s="329"/>
    </row>
    <row r="931">
      <c r="B931" s="326"/>
      <c r="C931" s="327"/>
      <c r="E931" s="327"/>
      <c r="F931" s="328"/>
      <c r="I931" s="329"/>
    </row>
    <row r="932">
      <c r="B932" s="326"/>
      <c r="C932" s="327"/>
      <c r="E932" s="327"/>
      <c r="F932" s="328"/>
      <c r="I932" s="329"/>
    </row>
    <row r="933">
      <c r="B933" s="326"/>
      <c r="C933" s="327"/>
      <c r="E933" s="327"/>
      <c r="F933" s="328"/>
      <c r="I933" s="329"/>
    </row>
    <row r="934">
      <c r="B934" s="326"/>
      <c r="C934" s="327"/>
      <c r="E934" s="327"/>
      <c r="F934" s="328"/>
      <c r="I934" s="329"/>
    </row>
    <row r="935">
      <c r="B935" s="326"/>
      <c r="C935" s="327"/>
      <c r="E935" s="327"/>
      <c r="F935" s="328"/>
      <c r="I935" s="329"/>
    </row>
    <row r="936">
      <c r="B936" s="326"/>
      <c r="C936" s="327"/>
      <c r="E936" s="327"/>
      <c r="F936" s="328"/>
      <c r="I936" s="329"/>
    </row>
    <row r="937">
      <c r="B937" s="326"/>
      <c r="C937" s="327"/>
      <c r="E937" s="327"/>
      <c r="F937" s="328"/>
      <c r="I937" s="329"/>
    </row>
    <row r="938">
      <c r="B938" s="326"/>
      <c r="C938" s="327"/>
      <c r="E938" s="327"/>
      <c r="F938" s="328"/>
      <c r="I938" s="329"/>
    </row>
    <row r="939">
      <c r="B939" s="326"/>
      <c r="C939" s="327"/>
      <c r="E939" s="327"/>
      <c r="F939" s="328"/>
      <c r="I939" s="329"/>
    </row>
    <row r="940">
      <c r="B940" s="326"/>
      <c r="C940" s="327"/>
      <c r="E940" s="327"/>
      <c r="F940" s="328"/>
      <c r="I940" s="329"/>
    </row>
    <row r="941">
      <c r="B941" s="326"/>
      <c r="C941" s="327"/>
      <c r="E941" s="327"/>
      <c r="F941" s="328"/>
      <c r="I941" s="329"/>
    </row>
    <row r="942">
      <c r="B942" s="326"/>
      <c r="C942" s="327"/>
      <c r="E942" s="327"/>
      <c r="F942" s="328"/>
      <c r="I942" s="329"/>
    </row>
    <row r="943">
      <c r="B943" s="326"/>
      <c r="C943" s="327"/>
      <c r="E943" s="327"/>
      <c r="F943" s="328"/>
      <c r="I943" s="329"/>
    </row>
    <row r="944">
      <c r="B944" s="326"/>
      <c r="C944" s="327"/>
      <c r="E944" s="327"/>
      <c r="F944" s="328"/>
      <c r="I944" s="329"/>
    </row>
    <row r="945">
      <c r="B945" s="326"/>
      <c r="C945" s="327"/>
      <c r="E945" s="327"/>
      <c r="F945" s="328"/>
      <c r="I945" s="329"/>
    </row>
    <row r="946">
      <c r="B946" s="326"/>
      <c r="C946" s="327"/>
      <c r="E946" s="327"/>
      <c r="F946" s="328"/>
      <c r="I946" s="329"/>
    </row>
    <row r="947">
      <c r="B947" s="326"/>
      <c r="C947" s="327"/>
      <c r="E947" s="327"/>
      <c r="F947" s="328"/>
      <c r="I947" s="329"/>
    </row>
    <row r="948">
      <c r="B948" s="326"/>
      <c r="C948" s="327"/>
      <c r="E948" s="327"/>
      <c r="F948" s="328"/>
      <c r="I948" s="329"/>
    </row>
    <row r="949">
      <c r="B949" s="326"/>
      <c r="C949" s="327"/>
      <c r="E949" s="327"/>
      <c r="F949" s="328"/>
      <c r="I949" s="329"/>
    </row>
    <row r="950">
      <c r="B950" s="326"/>
      <c r="C950" s="327"/>
      <c r="E950" s="327"/>
      <c r="F950" s="328"/>
      <c r="I950" s="329"/>
    </row>
    <row r="951">
      <c r="B951" s="326"/>
      <c r="C951" s="327"/>
      <c r="E951" s="327"/>
      <c r="F951" s="328"/>
      <c r="I951" s="329"/>
    </row>
    <row r="952">
      <c r="B952" s="326"/>
      <c r="C952" s="327"/>
      <c r="E952" s="327"/>
      <c r="F952" s="328"/>
      <c r="I952" s="329"/>
    </row>
    <row r="953">
      <c r="B953" s="326"/>
      <c r="C953" s="327"/>
      <c r="E953" s="327"/>
      <c r="F953" s="328"/>
      <c r="I953" s="329"/>
    </row>
    <row r="954">
      <c r="B954" s="326"/>
      <c r="C954" s="327"/>
      <c r="E954" s="327"/>
      <c r="F954" s="328"/>
      <c r="I954" s="329"/>
    </row>
    <row r="955">
      <c r="B955" s="326"/>
      <c r="C955" s="327"/>
      <c r="E955" s="327"/>
      <c r="F955" s="328"/>
      <c r="I955" s="329"/>
    </row>
    <row r="956">
      <c r="B956" s="326"/>
      <c r="C956" s="327"/>
      <c r="E956" s="327"/>
      <c r="F956" s="328"/>
      <c r="I956" s="329"/>
    </row>
    <row r="957">
      <c r="B957" s="326"/>
      <c r="C957" s="327"/>
      <c r="E957" s="327"/>
      <c r="F957" s="328"/>
      <c r="I957" s="329"/>
    </row>
    <row r="958">
      <c r="B958" s="326"/>
      <c r="C958" s="327"/>
      <c r="E958" s="327"/>
      <c r="F958" s="328"/>
      <c r="I958" s="329"/>
    </row>
    <row r="959">
      <c r="B959" s="326"/>
      <c r="C959" s="327"/>
      <c r="E959" s="327"/>
      <c r="F959" s="328"/>
      <c r="I959" s="329"/>
    </row>
    <row r="960">
      <c r="B960" s="326"/>
      <c r="C960" s="327"/>
      <c r="E960" s="327"/>
      <c r="F960" s="328"/>
      <c r="I960" s="329"/>
    </row>
    <row r="961">
      <c r="B961" s="326"/>
      <c r="C961" s="327"/>
      <c r="E961" s="327"/>
      <c r="F961" s="328"/>
      <c r="I961" s="329"/>
    </row>
    <row r="962">
      <c r="B962" s="326"/>
      <c r="C962" s="327"/>
      <c r="E962" s="327"/>
      <c r="F962" s="328"/>
      <c r="I962" s="329"/>
    </row>
    <row r="963">
      <c r="B963" s="326"/>
      <c r="C963" s="327"/>
      <c r="E963" s="327"/>
      <c r="F963" s="328"/>
      <c r="I963" s="329"/>
    </row>
    <row r="964">
      <c r="B964" s="326"/>
      <c r="C964" s="327"/>
      <c r="E964" s="327"/>
      <c r="F964" s="328"/>
      <c r="I964" s="329"/>
    </row>
    <row r="965">
      <c r="B965" s="326"/>
      <c r="C965" s="327"/>
      <c r="E965" s="327"/>
      <c r="F965" s="328"/>
      <c r="I965" s="329"/>
    </row>
    <row r="966">
      <c r="B966" s="326"/>
      <c r="C966" s="327"/>
      <c r="E966" s="327"/>
      <c r="F966" s="328"/>
      <c r="I966" s="329"/>
    </row>
    <row r="967">
      <c r="B967" s="326"/>
      <c r="C967" s="327"/>
      <c r="E967" s="327"/>
      <c r="F967" s="328"/>
      <c r="I967" s="329"/>
    </row>
    <row r="968">
      <c r="B968" s="326"/>
      <c r="C968" s="327"/>
      <c r="E968" s="327"/>
      <c r="F968" s="328"/>
      <c r="I968" s="329"/>
    </row>
    <row r="969">
      <c r="B969" s="326"/>
      <c r="C969" s="327"/>
      <c r="E969" s="327"/>
      <c r="F969" s="328"/>
      <c r="I969" s="329"/>
    </row>
    <row r="970">
      <c r="B970" s="326"/>
      <c r="C970" s="327"/>
      <c r="E970" s="327"/>
      <c r="F970" s="328"/>
      <c r="I970" s="329"/>
    </row>
    <row r="971">
      <c r="B971" s="326"/>
      <c r="C971" s="327"/>
      <c r="E971" s="327"/>
      <c r="F971" s="328"/>
      <c r="I971" s="329"/>
    </row>
    <row r="972">
      <c r="B972" s="326"/>
      <c r="C972" s="327"/>
      <c r="E972" s="327"/>
      <c r="F972" s="328"/>
      <c r="I972" s="329"/>
    </row>
    <row r="973">
      <c r="B973" s="326"/>
      <c r="C973" s="327"/>
      <c r="E973" s="327"/>
      <c r="F973" s="328"/>
      <c r="I973" s="329"/>
    </row>
    <row r="974">
      <c r="B974" s="326"/>
      <c r="C974" s="327"/>
      <c r="E974" s="327"/>
      <c r="F974" s="328"/>
      <c r="I974" s="329"/>
    </row>
    <row r="975">
      <c r="B975" s="326"/>
      <c r="C975" s="327"/>
      <c r="E975" s="327"/>
      <c r="F975" s="328"/>
      <c r="I975" s="329"/>
    </row>
    <row r="976">
      <c r="B976" s="326"/>
      <c r="C976" s="327"/>
      <c r="E976" s="327"/>
      <c r="F976" s="328"/>
      <c r="I976" s="329"/>
    </row>
    <row r="977">
      <c r="B977" s="326"/>
      <c r="C977" s="327"/>
      <c r="E977" s="327"/>
      <c r="F977" s="328"/>
      <c r="I977" s="329"/>
    </row>
    <row r="978">
      <c r="B978" s="326"/>
      <c r="C978" s="327"/>
      <c r="E978" s="327"/>
      <c r="F978" s="328"/>
      <c r="I978" s="329"/>
    </row>
    <row r="979">
      <c r="B979" s="326"/>
      <c r="C979" s="327"/>
      <c r="E979" s="327"/>
      <c r="F979" s="328"/>
      <c r="I979" s="329"/>
    </row>
  </sheetData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1.22" defaultRowHeight="15.0"/>
  <cols>
    <col customWidth="1" min="1" max="1" width="7.11"/>
    <col customWidth="1" min="2" max="2" width="9.67"/>
    <col customWidth="1" min="3" max="3" width="10.44"/>
    <col customWidth="1" min="4" max="4" width="5.22"/>
    <col customWidth="1" min="5" max="5" width="8.44"/>
    <col customWidth="1" min="6" max="6" width="12.89"/>
    <col customWidth="1" min="7" max="7" width="6.89"/>
    <col customWidth="1" min="8" max="8" width="8.89"/>
    <col customWidth="1" min="9" max="9" width="6.33"/>
    <col customWidth="1" min="10" max="10" width="13.56"/>
    <col customWidth="1" min="11" max="11" width="13.11"/>
    <col customWidth="1" min="12" max="12" width="7.89"/>
    <col customWidth="1" min="13" max="13" width="14.0"/>
    <col customWidth="1" min="14" max="14" width="8.0"/>
    <col customWidth="1" min="15" max="15" width="9.33"/>
    <col customWidth="1" min="16" max="16" width="6.33"/>
    <col customWidth="1" min="17" max="18" width="6.22"/>
    <col customWidth="1" min="19" max="19" width="13.56"/>
    <col customWidth="1" min="20" max="20" width="13.78"/>
    <col customWidth="1" min="21" max="21" width="11.78"/>
    <col customWidth="1" min="22" max="22" width="13.67"/>
    <col customWidth="1" min="23" max="23" width="11.22"/>
    <col customWidth="1" min="24" max="24" width="13.33"/>
    <col customWidth="1" min="25" max="25" width="13.89"/>
    <col customWidth="1" min="26" max="26" width="12.78"/>
    <col customWidth="1" min="27" max="27" width="11.33"/>
    <col customWidth="1" min="28" max="28" width="10.11"/>
    <col customWidth="1" min="29" max="29" width="8.89"/>
    <col customWidth="1" min="30" max="30" width="34.11"/>
  </cols>
  <sheetData>
    <row r="1">
      <c r="A1" s="330" t="s">
        <v>0</v>
      </c>
      <c r="B1" s="330" t="s">
        <v>477</v>
      </c>
      <c r="C1" s="330" t="s">
        <v>478</v>
      </c>
      <c r="D1" s="330" t="s">
        <v>479</v>
      </c>
      <c r="E1" s="330" t="s">
        <v>480</v>
      </c>
      <c r="F1" s="330" t="s">
        <v>481</v>
      </c>
      <c r="G1" s="330" t="s">
        <v>482</v>
      </c>
      <c r="H1" s="330" t="s">
        <v>483</v>
      </c>
      <c r="I1" s="330" t="s">
        <v>484</v>
      </c>
      <c r="J1" s="330" t="s">
        <v>485</v>
      </c>
      <c r="K1" s="330" t="s">
        <v>486</v>
      </c>
      <c r="L1" s="330" t="s">
        <v>487</v>
      </c>
      <c r="M1" s="330" t="s">
        <v>488</v>
      </c>
      <c r="N1" s="330" t="s">
        <v>489</v>
      </c>
      <c r="O1" s="330" t="s">
        <v>490</v>
      </c>
      <c r="P1" s="331" t="s">
        <v>491</v>
      </c>
      <c r="Q1" s="332" t="s">
        <v>492</v>
      </c>
      <c r="R1" s="333" t="s">
        <v>493</v>
      </c>
      <c r="S1" s="332" t="s">
        <v>494</v>
      </c>
      <c r="T1" s="332" t="s">
        <v>495</v>
      </c>
      <c r="U1" s="332" t="s">
        <v>496</v>
      </c>
      <c r="V1" s="332" t="s">
        <v>497</v>
      </c>
      <c r="W1" s="332" t="s">
        <v>498</v>
      </c>
      <c r="X1" s="332" t="s">
        <v>499</v>
      </c>
      <c r="Y1" s="332" t="s">
        <v>500</v>
      </c>
      <c r="Z1" s="332" t="s">
        <v>501</v>
      </c>
      <c r="AA1" s="332" t="s">
        <v>502</v>
      </c>
      <c r="AB1" s="332" t="s">
        <v>503</v>
      </c>
      <c r="AC1" s="332" t="s">
        <v>504</v>
      </c>
      <c r="AD1" s="334"/>
      <c r="AE1" s="335"/>
    </row>
    <row r="2">
      <c r="A2" s="336" t="s">
        <v>505</v>
      </c>
      <c r="B2" s="336" t="s">
        <v>506</v>
      </c>
      <c r="C2" s="336" t="s">
        <v>507</v>
      </c>
      <c r="D2" s="336" t="s">
        <v>508</v>
      </c>
      <c r="E2" s="336">
        <v>1.0</v>
      </c>
      <c r="F2" s="337">
        <v>45539.427083333336</v>
      </c>
      <c r="G2" s="336">
        <v>1.0</v>
      </c>
      <c r="H2" s="336">
        <v>51.3708</v>
      </c>
      <c r="I2" s="336">
        <v>13.4769</v>
      </c>
      <c r="J2" s="336">
        <v>-30.720794</v>
      </c>
      <c r="K2" s="336">
        <v>-28.93555</v>
      </c>
      <c r="L2" s="336">
        <v>1020.44</v>
      </c>
      <c r="M2" s="336">
        <v>66.499396</v>
      </c>
      <c r="N2" s="336">
        <v>11438.1126</v>
      </c>
      <c r="O2" s="336">
        <v>11438.1126</v>
      </c>
      <c r="P2" s="338">
        <v>2053.84561</v>
      </c>
      <c r="Q2" s="338" t="s">
        <v>509</v>
      </c>
      <c r="R2" s="338" t="s">
        <v>12</v>
      </c>
      <c r="S2" s="338">
        <v>10.0</v>
      </c>
      <c r="T2" s="338">
        <v>5.0</v>
      </c>
      <c r="U2" s="338">
        <v>0.7</v>
      </c>
      <c r="V2" s="338">
        <v>0.7</v>
      </c>
      <c r="W2" s="338">
        <v>0.7</v>
      </c>
      <c r="X2" s="336">
        <v>2000.0</v>
      </c>
      <c r="Y2" s="336" t="s">
        <v>510</v>
      </c>
      <c r="Z2" s="336">
        <v>0.2</v>
      </c>
      <c r="AA2" s="336" t="s">
        <v>511</v>
      </c>
      <c r="AB2" s="336" t="s">
        <v>512</v>
      </c>
      <c r="AC2" s="336">
        <v>220.0</v>
      </c>
      <c r="AD2" s="339"/>
      <c r="AE2" s="340"/>
    </row>
    <row r="3">
      <c r="A3" s="336" t="s">
        <v>513</v>
      </c>
      <c r="B3" s="336" t="s">
        <v>506</v>
      </c>
      <c r="C3" s="336" t="s">
        <v>507</v>
      </c>
      <c r="D3" s="336" t="s">
        <v>508</v>
      </c>
      <c r="E3" s="336">
        <v>1.0</v>
      </c>
      <c r="F3" s="337">
        <v>45539.42986111111</v>
      </c>
      <c r="G3" s="336">
        <v>1.0</v>
      </c>
      <c r="H3" s="336">
        <v>51.3741</v>
      </c>
      <c r="I3" s="336">
        <v>15.0005</v>
      </c>
      <c r="J3" s="336">
        <v>-30.895944</v>
      </c>
      <c r="K3" s="336">
        <v>-29.338256</v>
      </c>
      <c r="L3" s="336">
        <v>985.916</v>
      </c>
      <c r="M3" s="336">
        <v>68.000072</v>
      </c>
      <c r="N3" s="336">
        <v>11325.3923</v>
      </c>
      <c r="O3" s="336">
        <v>11325.3923</v>
      </c>
      <c r="P3" s="338">
        <v>2034.0159</v>
      </c>
      <c r="Q3" s="338" t="s">
        <v>509</v>
      </c>
      <c r="R3" s="338" t="s">
        <v>12</v>
      </c>
      <c r="S3" s="338">
        <v>10.0</v>
      </c>
      <c r="T3" s="338">
        <v>5.0</v>
      </c>
      <c r="U3" s="338">
        <v>0.7</v>
      </c>
      <c r="V3" s="338">
        <v>0.7</v>
      </c>
      <c r="W3" s="338">
        <v>0.7</v>
      </c>
      <c r="X3" s="336">
        <v>2000.0</v>
      </c>
      <c r="Y3" s="336" t="s">
        <v>510</v>
      </c>
      <c r="Z3" s="336">
        <v>0.2</v>
      </c>
      <c r="AA3" s="336" t="s">
        <v>511</v>
      </c>
      <c r="AB3" s="336" t="s">
        <v>512</v>
      </c>
      <c r="AC3" s="336">
        <v>220.0</v>
      </c>
      <c r="AD3" s="339"/>
      <c r="AE3" s="340"/>
    </row>
    <row r="4">
      <c r="A4" s="336" t="s">
        <v>514</v>
      </c>
      <c r="B4" s="336" t="s">
        <v>506</v>
      </c>
      <c r="C4" s="336" t="s">
        <v>507</v>
      </c>
      <c r="D4" s="336" t="s">
        <v>508</v>
      </c>
      <c r="E4" s="336">
        <v>1.0</v>
      </c>
      <c r="F4" s="337">
        <v>45539.43263888889</v>
      </c>
      <c r="G4" s="336">
        <v>1.0</v>
      </c>
      <c r="H4" s="336">
        <v>51.3708</v>
      </c>
      <c r="I4" s="336">
        <v>15.7089</v>
      </c>
      <c r="J4" s="336">
        <v>-30.975262</v>
      </c>
      <c r="K4" s="336">
        <v>-29.279812</v>
      </c>
      <c r="L4" s="336">
        <v>993.811</v>
      </c>
      <c r="M4" s="336">
        <v>66.00071</v>
      </c>
      <c r="N4" s="336">
        <v>11323.715</v>
      </c>
      <c r="O4" s="336">
        <v>11323.715</v>
      </c>
      <c r="P4" s="338">
        <v>2033.72083</v>
      </c>
      <c r="Q4" s="338" t="s">
        <v>509</v>
      </c>
      <c r="R4" s="338" t="s">
        <v>12</v>
      </c>
      <c r="S4" s="338">
        <v>10.0</v>
      </c>
      <c r="T4" s="338">
        <v>5.0</v>
      </c>
      <c r="U4" s="338">
        <v>0.7</v>
      </c>
      <c r="V4" s="338">
        <v>0.7</v>
      </c>
      <c r="W4" s="338">
        <v>0.7</v>
      </c>
      <c r="X4" s="336">
        <v>2000.0</v>
      </c>
      <c r="Y4" s="336" t="s">
        <v>510</v>
      </c>
      <c r="Z4" s="336">
        <v>0.2</v>
      </c>
      <c r="AA4" s="336" t="s">
        <v>511</v>
      </c>
      <c r="AB4" s="336" t="s">
        <v>512</v>
      </c>
      <c r="AC4" s="336">
        <v>220.0</v>
      </c>
      <c r="AD4" s="339"/>
      <c r="AE4" s="340"/>
    </row>
    <row r="5">
      <c r="A5" s="336" t="s">
        <v>515</v>
      </c>
      <c r="B5" s="336" t="s">
        <v>506</v>
      </c>
      <c r="C5" s="336" t="s">
        <v>507</v>
      </c>
      <c r="D5" s="336" t="s">
        <v>508</v>
      </c>
      <c r="E5" s="336">
        <v>1.0</v>
      </c>
      <c r="F5" s="337">
        <v>45539.43541666667</v>
      </c>
      <c r="G5" s="336">
        <v>1.0</v>
      </c>
      <c r="H5" s="336">
        <v>51.3741</v>
      </c>
      <c r="I5" s="336">
        <v>16.2602</v>
      </c>
      <c r="J5" s="336">
        <v>-30.908694</v>
      </c>
      <c r="K5" s="336">
        <v>-29.391819</v>
      </c>
      <c r="L5" s="336">
        <v>992.601</v>
      </c>
      <c r="M5" s="336">
        <v>68.999049</v>
      </c>
      <c r="N5" s="336">
        <v>11320.3748</v>
      </c>
      <c r="O5" s="336">
        <v>11320.3748</v>
      </c>
      <c r="P5" s="338">
        <v>2033.13324</v>
      </c>
      <c r="Q5" s="338" t="s">
        <v>509</v>
      </c>
      <c r="R5" s="338" t="s">
        <v>12</v>
      </c>
      <c r="S5" s="338">
        <v>10.0</v>
      </c>
      <c r="T5" s="338">
        <v>5.0</v>
      </c>
      <c r="U5" s="338">
        <v>0.7</v>
      </c>
      <c r="V5" s="338">
        <v>0.7</v>
      </c>
      <c r="W5" s="338">
        <v>0.7</v>
      </c>
      <c r="X5" s="336">
        <v>2000.0</v>
      </c>
      <c r="Y5" s="336" t="s">
        <v>510</v>
      </c>
      <c r="Z5" s="336">
        <v>0.2</v>
      </c>
      <c r="AA5" s="336" t="s">
        <v>511</v>
      </c>
      <c r="AB5" s="336" t="s">
        <v>512</v>
      </c>
      <c r="AC5" s="336">
        <v>220.0</v>
      </c>
      <c r="AD5" s="339"/>
      <c r="AE5" s="340"/>
    </row>
    <row r="6">
      <c r="A6" s="336" t="s">
        <v>516</v>
      </c>
      <c r="B6" s="336" t="s">
        <v>517</v>
      </c>
      <c r="C6" s="341" t="s">
        <v>518</v>
      </c>
      <c r="D6" s="336" t="s">
        <v>508</v>
      </c>
      <c r="E6" s="336">
        <v>0.8</v>
      </c>
      <c r="F6" s="337">
        <v>45539.447916666664</v>
      </c>
      <c r="G6" s="336">
        <v>1.0</v>
      </c>
      <c r="H6" s="336">
        <v>51.3741</v>
      </c>
      <c r="I6" s="336">
        <v>15.2801</v>
      </c>
      <c r="J6" s="336">
        <v>-30.588413</v>
      </c>
      <c r="K6" s="336">
        <v>-29.486206</v>
      </c>
      <c r="L6" s="336">
        <v>987.491</v>
      </c>
      <c r="M6" s="336">
        <v>65.500685</v>
      </c>
      <c r="N6" s="336">
        <v>9108.67284</v>
      </c>
      <c r="O6" s="336">
        <v>9160.41013</v>
      </c>
      <c r="P6" s="338">
        <v>2070.3457</v>
      </c>
      <c r="Q6" s="338" t="s">
        <v>519</v>
      </c>
      <c r="R6" s="338" t="s">
        <v>12</v>
      </c>
      <c r="S6" s="338">
        <v>10.0</v>
      </c>
      <c r="T6" s="338">
        <v>5.0</v>
      </c>
      <c r="U6" s="338">
        <v>0.7</v>
      </c>
      <c r="V6" s="338">
        <v>0.7</v>
      </c>
      <c r="W6" s="338">
        <v>0.7</v>
      </c>
      <c r="X6" s="336">
        <v>2000.0</v>
      </c>
      <c r="Y6" s="336" t="s">
        <v>510</v>
      </c>
      <c r="Z6" s="336">
        <v>0.2</v>
      </c>
      <c r="AA6" s="336" t="s">
        <v>511</v>
      </c>
      <c r="AB6" s="336" t="s">
        <v>512</v>
      </c>
      <c r="AC6" s="336">
        <v>220.0</v>
      </c>
      <c r="AD6" s="339"/>
      <c r="AE6" s="340"/>
    </row>
    <row r="7">
      <c r="A7" s="336" t="s">
        <v>520</v>
      </c>
      <c r="B7" s="336" t="s">
        <v>517</v>
      </c>
      <c r="C7" s="341" t="s">
        <v>518</v>
      </c>
      <c r="D7" s="336" t="s">
        <v>508</v>
      </c>
      <c r="E7" s="336">
        <v>0.8</v>
      </c>
      <c r="F7" s="337">
        <v>45539.450694444444</v>
      </c>
      <c r="G7" s="336">
        <v>1.0</v>
      </c>
      <c r="H7" s="336">
        <v>51.384</v>
      </c>
      <c r="I7" s="336">
        <v>15.789</v>
      </c>
      <c r="J7" s="336">
        <v>-30.5965</v>
      </c>
      <c r="K7" s="336">
        <v>-29.6072</v>
      </c>
      <c r="L7" s="336">
        <v>990.714</v>
      </c>
      <c r="M7" s="336">
        <v>68.001369</v>
      </c>
      <c r="N7" s="336">
        <v>9159.95299</v>
      </c>
      <c r="O7" s="336">
        <v>9160.41013</v>
      </c>
      <c r="P7" s="338">
        <v>2070.3457</v>
      </c>
      <c r="Q7" s="338" t="s">
        <v>509</v>
      </c>
      <c r="R7" s="338" t="s">
        <v>12</v>
      </c>
      <c r="S7" s="338">
        <v>10.0</v>
      </c>
      <c r="T7" s="338">
        <v>5.0</v>
      </c>
      <c r="U7" s="338">
        <v>0.7</v>
      </c>
      <c r="V7" s="338">
        <v>0.7</v>
      </c>
      <c r="W7" s="338">
        <v>0.7</v>
      </c>
      <c r="X7" s="336">
        <v>2000.0</v>
      </c>
      <c r="Y7" s="336" t="s">
        <v>510</v>
      </c>
      <c r="Z7" s="336">
        <v>0.2</v>
      </c>
      <c r="AA7" s="336" t="s">
        <v>511</v>
      </c>
      <c r="AB7" s="336" t="s">
        <v>512</v>
      </c>
      <c r="AC7" s="336">
        <v>220.0</v>
      </c>
      <c r="AD7" s="339"/>
      <c r="AE7" s="340"/>
    </row>
    <row r="8">
      <c r="A8" s="336" t="s">
        <v>521</v>
      </c>
      <c r="B8" s="336" t="s">
        <v>517</v>
      </c>
      <c r="C8" s="341" t="s">
        <v>518</v>
      </c>
      <c r="D8" s="336" t="s">
        <v>508</v>
      </c>
      <c r="E8" s="336">
        <v>0.8</v>
      </c>
      <c r="F8" s="337">
        <v>45539.45347222222</v>
      </c>
      <c r="G8" s="336">
        <v>1.0</v>
      </c>
      <c r="H8" s="336">
        <v>51.3741</v>
      </c>
      <c r="I8" s="336">
        <v>15.0525</v>
      </c>
      <c r="J8" s="336">
        <v>-30.490438</v>
      </c>
      <c r="K8" s="336">
        <v>-29.303</v>
      </c>
      <c r="L8" s="336">
        <v>980.155</v>
      </c>
      <c r="M8" s="336">
        <v>66.000008</v>
      </c>
      <c r="N8" s="336">
        <v>9160.86727</v>
      </c>
      <c r="O8" s="336">
        <v>9160.41013</v>
      </c>
      <c r="P8" s="338">
        <v>2070.3457</v>
      </c>
      <c r="Q8" s="338" t="s">
        <v>509</v>
      </c>
      <c r="R8" s="338" t="s">
        <v>12</v>
      </c>
      <c r="S8" s="338">
        <v>10.0</v>
      </c>
      <c r="T8" s="338">
        <v>5.0</v>
      </c>
      <c r="U8" s="338">
        <v>0.7</v>
      </c>
      <c r="V8" s="338">
        <v>0.7</v>
      </c>
      <c r="W8" s="338">
        <v>0.7</v>
      </c>
      <c r="X8" s="336">
        <v>2000.0</v>
      </c>
      <c r="Y8" s="336" t="s">
        <v>510</v>
      </c>
      <c r="Z8" s="336">
        <v>0.2</v>
      </c>
      <c r="AA8" s="336" t="s">
        <v>511</v>
      </c>
      <c r="AB8" s="336" t="s">
        <v>512</v>
      </c>
      <c r="AC8" s="336">
        <v>220.0</v>
      </c>
      <c r="AD8" s="339"/>
      <c r="AE8" s="340"/>
    </row>
    <row r="9">
      <c r="A9" s="336" t="s">
        <v>522</v>
      </c>
      <c r="B9" s="342" t="s">
        <v>523</v>
      </c>
      <c r="C9" s="342" t="s">
        <v>518</v>
      </c>
      <c r="D9" s="342" t="s">
        <v>508</v>
      </c>
      <c r="E9" s="342">
        <v>1.0</v>
      </c>
      <c r="F9" s="343">
        <v>45539.45625</v>
      </c>
      <c r="G9" s="342">
        <v>1.0</v>
      </c>
      <c r="H9" s="342">
        <v>51.3774</v>
      </c>
      <c r="I9" s="342">
        <v>13.813</v>
      </c>
      <c r="J9" s="342">
        <v>-30.497906</v>
      </c>
      <c r="K9" s="342">
        <v>-29.322813</v>
      </c>
      <c r="L9" s="342">
        <v>1053.27</v>
      </c>
      <c r="M9" s="342">
        <v>72.499452</v>
      </c>
      <c r="N9" s="342">
        <v>11514.9912</v>
      </c>
      <c r="O9" s="342">
        <v>11555.1132</v>
      </c>
      <c r="P9" s="344">
        <v>2070.3457</v>
      </c>
      <c r="Q9" s="344" t="s">
        <v>519</v>
      </c>
      <c r="R9" s="338" t="s">
        <v>12</v>
      </c>
      <c r="S9" s="338">
        <v>10.0</v>
      </c>
      <c r="T9" s="338">
        <v>5.0</v>
      </c>
      <c r="U9" s="338">
        <v>0.7</v>
      </c>
      <c r="V9" s="338">
        <v>0.7</v>
      </c>
      <c r="W9" s="338">
        <v>0.7</v>
      </c>
      <c r="X9" s="336">
        <v>2000.0</v>
      </c>
      <c r="Y9" s="336" t="s">
        <v>510</v>
      </c>
      <c r="Z9" s="336">
        <v>0.2</v>
      </c>
      <c r="AA9" s="336" t="s">
        <v>511</v>
      </c>
      <c r="AB9" s="336" t="s">
        <v>512</v>
      </c>
      <c r="AC9" s="336">
        <v>220.0</v>
      </c>
      <c r="AD9" s="339"/>
      <c r="AE9" s="340"/>
    </row>
    <row r="10">
      <c r="A10" s="336" t="s">
        <v>524</v>
      </c>
      <c r="B10" s="342" t="s">
        <v>523</v>
      </c>
      <c r="C10" s="342" t="s">
        <v>518</v>
      </c>
      <c r="D10" s="342" t="s">
        <v>508</v>
      </c>
      <c r="E10" s="342">
        <v>1.0</v>
      </c>
      <c r="F10" s="343">
        <v>45539.459027777775</v>
      </c>
      <c r="G10" s="342">
        <v>1.0</v>
      </c>
      <c r="H10" s="342">
        <v>51.3741</v>
      </c>
      <c r="I10" s="342">
        <v>12.486</v>
      </c>
      <c r="J10" s="342">
        <v>-30.527012</v>
      </c>
      <c r="K10" s="342">
        <v>-29.103781</v>
      </c>
      <c r="L10" s="342">
        <v>1058.48</v>
      </c>
      <c r="M10" s="342">
        <v>70.00178</v>
      </c>
      <c r="N10" s="342">
        <v>11555.1956</v>
      </c>
      <c r="O10" s="342">
        <v>11555.1132</v>
      </c>
      <c r="P10" s="344">
        <v>2070.3457</v>
      </c>
      <c r="Q10" s="344" t="s">
        <v>509</v>
      </c>
      <c r="R10" s="338" t="s">
        <v>12</v>
      </c>
      <c r="S10" s="338">
        <v>10.0</v>
      </c>
      <c r="T10" s="338">
        <v>5.0</v>
      </c>
      <c r="U10" s="338">
        <v>0.7</v>
      </c>
      <c r="V10" s="338">
        <v>0.7</v>
      </c>
      <c r="W10" s="338">
        <v>0.7</v>
      </c>
      <c r="X10" s="336">
        <v>2000.0</v>
      </c>
      <c r="Y10" s="336" t="s">
        <v>510</v>
      </c>
      <c r="Z10" s="336">
        <v>0.2</v>
      </c>
      <c r="AA10" s="336" t="s">
        <v>511</v>
      </c>
      <c r="AB10" s="336" t="s">
        <v>512</v>
      </c>
      <c r="AC10" s="336">
        <v>220.0</v>
      </c>
      <c r="AD10" s="339"/>
      <c r="AE10" s="340"/>
    </row>
    <row r="11">
      <c r="A11" s="336" t="s">
        <v>525</v>
      </c>
      <c r="B11" s="342" t="s">
        <v>523</v>
      </c>
      <c r="C11" s="342" t="s">
        <v>518</v>
      </c>
      <c r="D11" s="342" t="s">
        <v>508</v>
      </c>
      <c r="E11" s="342">
        <v>1.0</v>
      </c>
      <c r="F11" s="343">
        <v>45539.461805555555</v>
      </c>
      <c r="G11" s="342">
        <v>1.0</v>
      </c>
      <c r="H11" s="342">
        <v>51.3741</v>
      </c>
      <c r="I11" s="342">
        <v>11.5218</v>
      </c>
      <c r="J11" s="342">
        <v>-30.3563</v>
      </c>
      <c r="K11" s="342">
        <v>-28.603012</v>
      </c>
      <c r="L11" s="342">
        <v>1068.28</v>
      </c>
      <c r="M11" s="342">
        <v>68.000305</v>
      </c>
      <c r="N11" s="342">
        <v>11555.0308</v>
      </c>
      <c r="O11" s="342">
        <v>11555.1132</v>
      </c>
      <c r="P11" s="344">
        <v>2070.3457</v>
      </c>
      <c r="Q11" s="344" t="s">
        <v>509</v>
      </c>
      <c r="R11" s="338" t="s">
        <v>12</v>
      </c>
      <c r="S11" s="338">
        <v>10.0</v>
      </c>
      <c r="T11" s="338">
        <v>5.0</v>
      </c>
      <c r="U11" s="338">
        <v>0.7</v>
      </c>
      <c r="V11" s="338">
        <v>0.7</v>
      </c>
      <c r="W11" s="338">
        <v>0.7</v>
      </c>
      <c r="X11" s="336">
        <v>2000.0</v>
      </c>
      <c r="Y11" s="336" t="s">
        <v>510</v>
      </c>
      <c r="Z11" s="336">
        <v>0.2</v>
      </c>
      <c r="AA11" s="336" t="s">
        <v>511</v>
      </c>
      <c r="AB11" s="336" t="s">
        <v>512</v>
      </c>
      <c r="AC11" s="336">
        <v>220.0</v>
      </c>
      <c r="AD11" s="339"/>
      <c r="AE11" s="340"/>
    </row>
    <row r="12">
      <c r="A12" s="336" t="s">
        <v>526</v>
      </c>
      <c r="B12" s="336" t="s">
        <v>527</v>
      </c>
      <c r="C12" s="341" t="s">
        <v>518</v>
      </c>
      <c r="D12" s="336" t="s">
        <v>508</v>
      </c>
      <c r="E12" s="336">
        <v>1.2</v>
      </c>
      <c r="F12" s="337">
        <v>45539.464583333334</v>
      </c>
      <c r="G12" s="336">
        <v>1.0</v>
      </c>
      <c r="H12" s="336">
        <v>51.384</v>
      </c>
      <c r="I12" s="336">
        <v>10.5205</v>
      </c>
      <c r="J12" s="336">
        <v>-30.292319</v>
      </c>
      <c r="K12" s="336">
        <v>-29.210494</v>
      </c>
      <c r="L12" s="336">
        <v>1082.42</v>
      </c>
      <c r="M12" s="336">
        <v>83.998809</v>
      </c>
      <c r="N12" s="336">
        <v>13927.8613</v>
      </c>
      <c r="O12" s="336">
        <v>13917.3481</v>
      </c>
      <c r="P12" s="338">
        <v>2070.3457</v>
      </c>
      <c r="Q12" s="338" t="s">
        <v>519</v>
      </c>
      <c r="R12" s="338" t="s">
        <v>12</v>
      </c>
      <c r="S12" s="338">
        <v>10.0</v>
      </c>
      <c r="T12" s="338">
        <v>5.0</v>
      </c>
      <c r="U12" s="338">
        <v>0.7</v>
      </c>
      <c r="V12" s="338">
        <v>0.7</v>
      </c>
      <c r="W12" s="338">
        <v>0.7</v>
      </c>
      <c r="X12" s="336">
        <v>2000.0</v>
      </c>
      <c r="Y12" s="336" t="s">
        <v>510</v>
      </c>
      <c r="Z12" s="336">
        <v>0.2</v>
      </c>
      <c r="AA12" s="336" t="s">
        <v>511</v>
      </c>
      <c r="AB12" s="336" t="s">
        <v>512</v>
      </c>
      <c r="AC12" s="336">
        <v>220.0</v>
      </c>
      <c r="AD12" s="339"/>
      <c r="AE12" s="340"/>
    </row>
    <row r="13">
      <c r="A13" s="336" t="s">
        <v>528</v>
      </c>
      <c r="B13" s="336" t="s">
        <v>527</v>
      </c>
      <c r="C13" s="341" t="s">
        <v>518</v>
      </c>
      <c r="D13" s="336" t="s">
        <v>508</v>
      </c>
      <c r="E13" s="336">
        <v>1.2</v>
      </c>
      <c r="F13" s="337">
        <v>45539.46805555555</v>
      </c>
      <c r="G13" s="336">
        <v>1.0</v>
      </c>
      <c r="H13" s="336">
        <v>51.3807</v>
      </c>
      <c r="I13" s="336">
        <v>9.41449</v>
      </c>
      <c r="J13" s="336">
        <v>-30.261</v>
      </c>
      <c r="K13" s="336">
        <v>-28.801856</v>
      </c>
      <c r="L13" s="336">
        <v>1080.48</v>
      </c>
      <c r="M13" s="336">
        <v>78.999797</v>
      </c>
      <c r="N13" s="336">
        <v>13851.9133</v>
      </c>
      <c r="O13" s="336">
        <v>13917.3481</v>
      </c>
      <c r="P13" s="338">
        <v>2070.3457</v>
      </c>
      <c r="Q13" s="338" t="s">
        <v>519</v>
      </c>
      <c r="R13" s="338" t="s">
        <v>12</v>
      </c>
      <c r="S13" s="338">
        <v>10.0</v>
      </c>
      <c r="T13" s="338">
        <v>5.0</v>
      </c>
      <c r="U13" s="338">
        <v>0.7</v>
      </c>
      <c r="V13" s="338">
        <v>0.7</v>
      </c>
      <c r="W13" s="338">
        <v>0.7</v>
      </c>
      <c r="X13" s="336">
        <v>2000.0</v>
      </c>
      <c r="Y13" s="336" t="s">
        <v>510</v>
      </c>
      <c r="Z13" s="336">
        <v>0.2</v>
      </c>
      <c r="AA13" s="336" t="s">
        <v>511</v>
      </c>
      <c r="AB13" s="336" t="s">
        <v>512</v>
      </c>
      <c r="AC13" s="336">
        <v>220.0</v>
      </c>
      <c r="AD13" s="339"/>
      <c r="AE13" s="340"/>
    </row>
    <row r="14">
      <c r="A14" s="336" t="s">
        <v>529</v>
      </c>
      <c r="B14" s="336" t="s">
        <v>527</v>
      </c>
      <c r="C14" s="341" t="s">
        <v>518</v>
      </c>
      <c r="D14" s="336" t="s">
        <v>508</v>
      </c>
      <c r="E14" s="336">
        <v>1.2</v>
      </c>
      <c r="F14" s="337">
        <v>45539.47083333333</v>
      </c>
      <c r="G14" s="336">
        <v>1.0</v>
      </c>
      <c r="H14" s="336">
        <v>51.3774</v>
      </c>
      <c r="I14" s="336">
        <v>8.69326</v>
      </c>
      <c r="J14" s="336">
        <v>-30.311712</v>
      </c>
      <c r="K14" s="336">
        <v>-29.168969</v>
      </c>
      <c r="L14" s="336">
        <v>1072.68</v>
      </c>
      <c r="M14" s="336">
        <v>85.501051</v>
      </c>
      <c r="N14" s="336">
        <v>13921.6629</v>
      </c>
      <c r="O14" s="336">
        <v>13917.3481</v>
      </c>
      <c r="P14" s="338">
        <v>2070.3457</v>
      </c>
      <c r="Q14" s="338" t="s">
        <v>509</v>
      </c>
      <c r="R14" s="338" t="s">
        <v>12</v>
      </c>
      <c r="S14" s="338">
        <v>10.0</v>
      </c>
      <c r="T14" s="338">
        <v>5.0</v>
      </c>
      <c r="U14" s="338">
        <v>0.7</v>
      </c>
      <c r="V14" s="338">
        <v>0.7</v>
      </c>
      <c r="W14" s="338">
        <v>0.7</v>
      </c>
      <c r="X14" s="336">
        <v>2000.0</v>
      </c>
      <c r="Y14" s="336" t="s">
        <v>510</v>
      </c>
      <c r="Z14" s="336">
        <v>0.2</v>
      </c>
      <c r="AA14" s="336" t="s">
        <v>511</v>
      </c>
      <c r="AB14" s="336" t="s">
        <v>512</v>
      </c>
      <c r="AC14" s="336">
        <v>220.0</v>
      </c>
      <c r="AD14" s="339"/>
      <c r="AE14" s="340"/>
    </row>
    <row r="15">
      <c r="A15" s="336" t="s">
        <v>530</v>
      </c>
      <c r="B15" s="336" t="s">
        <v>527</v>
      </c>
      <c r="C15" s="341" t="s">
        <v>518</v>
      </c>
      <c r="D15" s="336" t="s">
        <v>508</v>
      </c>
      <c r="E15" s="336">
        <v>1.2</v>
      </c>
      <c r="F15" s="337">
        <v>45539.47361111111</v>
      </c>
      <c r="G15" s="336">
        <v>1.0</v>
      </c>
      <c r="H15" s="336">
        <v>51.3807</v>
      </c>
      <c r="I15" s="336">
        <v>8.17182</v>
      </c>
      <c r="J15" s="336">
        <v>-30.27335</v>
      </c>
      <c r="K15" s="336">
        <v>-28.703688</v>
      </c>
      <c r="L15" s="336">
        <v>1073.33</v>
      </c>
      <c r="M15" s="336">
        <v>75.999918</v>
      </c>
      <c r="N15" s="336">
        <v>13913.0334</v>
      </c>
      <c r="O15" s="336">
        <v>13917.3481</v>
      </c>
      <c r="P15" s="338">
        <v>2070.3457</v>
      </c>
      <c r="Q15" s="338" t="s">
        <v>509</v>
      </c>
      <c r="R15" s="338" t="s">
        <v>12</v>
      </c>
      <c r="S15" s="338">
        <v>10.0</v>
      </c>
      <c r="T15" s="338">
        <v>5.0</v>
      </c>
      <c r="U15" s="338">
        <v>0.7</v>
      </c>
      <c r="V15" s="345">
        <v>0.7</v>
      </c>
      <c r="W15" s="338">
        <v>0.7</v>
      </c>
      <c r="X15" s="336">
        <v>2000.0</v>
      </c>
      <c r="Y15" s="336" t="s">
        <v>510</v>
      </c>
      <c r="Z15" s="336">
        <v>0.2</v>
      </c>
      <c r="AA15" s="336" t="s">
        <v>511</v>
      </c>
      <c r="AB15" s="336" t="s">
        <v>512</v>
      </c>
      <c r="AC15" s="336">
        <v>220.0</v>
      </c>
      <c r="AD15" s="339"/>
      <c r="AE15" s="340"/>
    </row>
    <row r="16">
      <c r="A16" s="336" t="s">
        <v>531</v>
      </c>
      <c r="B16" s="336">
        <v>2.0</v>
      </c>
      <c r="C16" s="336">
        <v>145.0</v>
      </c>
      <c r="D16" s="336" t="s">
        <v>532</v>
      </c>
      <c r="E16" s="336">
        <v>1.0</v>
      </c>
      <c r="F16" s="346"/>
      <c r="G16" s="336">
        <v>1.0</v>
      </c>
      <c r="H16" s="336">
        <v>0.0</v>
      </c>
      <c r="I16" s="336">
        <v>0.0</v>
      </c>
      <c r="J16" s="336">
        <v>0.0</v>
      </c>
      <c r="K16" s="336">
        <v>0.0</v>
      </c>
      <c r="L16" s="336">
        <v>0.0</v>
      </c>
      <c r="M16" s="336">
        <v>0.0</v>
      </c>
      <c r="N16" s="336">
        <v>0.0</v>
      </c>
      <c r="O16" s="336">
        <v>0.0</v>
      </c>
      <c r="P16" s="338">
        <v>0.0</v>
      </c>
      <c r="Q16" s="338" t="s">
        <v>533</v>
      </c>
      <c r="R16" s="338" t="s">
        <v>534</v>
      </c>
      <c r="S16" s="338">
        <v>10.0</v>
      </c>
      <c r="T16" s="338">
        <v>5.0</v>
      </c>
      <c r="U16" s="338">
        <v>0.7</v>
      </c>
      <c r="V16" s="345">
        <v>0.7</v>
      </c>
      <c r="W16" s="338">
        <v>0.7</v>
      </c>
      <c r="X16" s="336">
        <v>2000.0</v>
      </c>
      <c r="Y16" s="347"/>
      <c r="Z16" s="347"/>
      <c r="AA16" s="336" t="s">
        <v>511</v>
      </c>
      <c r="AB16" s="336" t="s">
        <v>512</v>
      </c>
      <c r="AC16" s="336">
        <v>220.0</v>
      </c>
      <c r="AD16" s="339"/>
      <c r="AE16" s="340"/>
    </row>
    <row r="17">
      <c r="A17" s="336" t="s">
        <v>535</v>
      </c>
      <c r="B17" s="336">
        <v>2.0</v>
      </c>
      <c r="C17" s="336">
        <v>145.0</v>
      </c>
      <c r="D17" s="336" t="s">
        <v>532</v>
      </c>
      <c r="E17" s="336">
        <v>1.0</v>
      </c>
      <c r="F17" s="337">
        <v>45539.478472222225</v>
      </c>
      <c r="G17" s="336">
        <v>1.0</v>
      </c>
      <c r="H17" s="336">
        <v>51.3807</v>
      </c>
      <c r="I17" s="336">
        <v>7.66896</v>
      </c>
      <c r="J17" s="336">
        <v>-30.163919</v>
      </c>
      <c r="K17" s="336">
        <v>-28.694975</v>
      </c>
      <c r="L17" s="336">
        <v>745.826</v>
      </c>
      <c r="M17" s="336">
        <v>69.001142</v>
      </c>
      <c r="N17" s="336">
        <v>7880.28727</v>
      </c>
      <c r="O17" s="336">
        <v>11549.2031</v>
      </c>
      <c r="P17" s="338">
        <v>2071.20094</v>
      </c>
      <c r="Q17" s="338" t="s">
        <v>519</v>
      </c>
      <c r="R17" s="338" t="s">
        <v>12</v>
      </c>
      <c r="S17" s="338">
        <v>10.0</v>
      </c>
      <c r="T17" s="338">
        <v>5.0</v>
      </c>
      <c r="U17" s="338">
        <v>0.7</v>
      </c>
      <c r="V17" s="345">
        <v>0.7</v>
      </c>
      <c r="W17" s="338">
        <v>0.7</v>
      </c>
      <c r="X17" s="336">
        <v>2000.0</v>
      </c>
      <c r="Y17" s="336" t="s">
        <v>510</v>
      </c>
      <c r="Z17" s="336">
        <v>0.2</v>
      </c>
      <c r="AA17" s="336" t="s">
        <v>511</v>
      </c>
      <c r="AB17" s="336" t="s">
        <v>512</v>
      </c>
      <c r="AC17" s="336">
        <v>220.0</v>
      </c>
      <c r="AD17" s="339"/>
      <c r="AE17" s="340"/>
    </row>
    <row r="18">
      <c r="A18" s="336" t="s">
        <v>536</v>
      </c>
      <c r="B18" s="336">
        <v>2.0</v>
      </c>
      <c r="C18" s="336">
        <v>145.0</v>
      </c>
      <c r="D18" s="336" t="s">
        <v>532</v>
      </c>
      <c r="E18" s="336">
        <v>1.0</v>
      </c>
      <c r="F18" s="337">
        <v>45539.48125</v>
      </c>
      <c r="G18" s="336">
        <v>1.0</v>
      </c>
      <c r="H18" s="336">
        <v>51.3741</v>
      </c>
      <c r="I18" s="336">
        <v>7.42709</v>
      </c>
      <c r="J18" s="336">
        <v>-30.020969</v>
      </c>
      <c r="K18" s="336">
        <v>-28.2156</v>
      </c>
      <c r="L18" s="336">
        <v>1029.47</v>
      </c>
      <c r="M18" s="336">
        <v>70.500749</v>
      </c>
      <c r="N18" s="336">
        <v>11579.9678</v>
      </c>
      <c r="O18" s="336">
        <v>11549.2031</v>
      </c>
      <c r="P18" s="338">
        <v>2071.20094</v>
      </c>
      <c r="Q18" s="338" t="s">
        <v>519</v>
      </c>
      <c r="R18" s="338" t="s">
        <v>12</v>
      </c>
      <c r="S18" s="338">
        <v>10.0</v>
      </c>
      <c r="T18" s="338">
        <v>5.0</v>
      </c>
      <c r="U18" s="338">
        <v>0.7</v>
      </c>
      <c r="V18" s="345">
        <v>0.7</v>
      </c>
      <c r="W18" s="338">
        <v>0.7</v>
      </c>
      <c r="X18" s="336">
        <v>2000.0</v>
      </c>
      <c r="Y18" s="336" t="s">
        <v>510</v>
      </c>
      <c r="Z18" s="336">
        <v>0.2</v>
      </c>
      <c r="AA18" s="336" t="s">
        <v>511</v>
      </c>
      <c r="AB18" s="336" t="s">
        <v>512</v>
      </c>
      <c r="AC18" s="336">
        <v>220.0</v>
      </c>
      <c r="AD18" s="339"/>
      <c r="AE18" s="340"/>
    </row>
    <row r="19">
      <c r="A19" s="336" t="s">
        <v>537</v>
      </c>
      <c r="B19" s="336">
        <v>2.0</v>
      </c>
      <c r="C19" s="336">
        <v>145.0</v>
      </c>
      <c r="D19" s="336" t="s">
        <v>532</v>
      </c>
      <c r="E19" s="336">
        <v>1.0</v>
      </c>
      <c r="F19" s="337">
        <v>45539.48402777778</v>
      </c>
      <c r="G19" s="336">
        <v>1.0</v>
      </c>
      <c r="H19" s="336">
        <v>51.3774</v>
      </c>
      <c r="I19" s="336">
        <v>7.0811</v>
      </c>
      <c r="J19" s="336">
        <v>-29.961825</v>
      </c>
      <c r="K19" s="336">
        <v>-28.441094</v>
      </c>
      <c r="L19" s="336">
        <v>1029.45</v>
      </c>
      <c r="M19" s="336">
        <v>73.500403</v>
      </c>
      <c r="N19" s="336">
        <v>11542.191</v>
      </c>
      <c r="O19" s="336">
        <v>11549.2031</v>
      </c>
      <c r="P19" s="338">
        <v>2071.20094</v>
      </c>
      <c r="Q19" s="338" t="s">
        <v>509</v>
      </c>
      <c r="R19" s="338" t="s">
        <v>12</v>
      </c>
      <c r="S19" s="338">
        <v>10.0</v>
      </c>
      <c r="T19" s="338">
        <v>5.0</v>
      </c>
      <c r="U19" s="338">
        <v>0.7</v>
      </c>
      <c r="V19" s="345">
        <v>0.7</v>
      </c>
      <c r="W19" s="338">
        <v>0.7</v>
      </c>
      <c r="X19" s="336">
        <v>2000.0</v>
      </c>
      <c r="Y19" s="336" t="s">
        <v>510</v>
      </c>
      <c r="Z19" s="336">
        <v>0.2</v>
      </c>
      <c r="AA19" s="336" t="s">
        <v>511</v>
      </c>
      <c r="AB19" s="336" t="s">
        <v>512</v>
      </c>
      <c r="AC19" s="336">
        <v>220.0</v>
      </c>
      <c r="AD19" s="339"/>
      <c r="AE19" s="340"/>
    </row>
    <row r="20">
      <c r="A20" s="336" t="s">
        <v>538</v>
      </c>
      <c r="B20" s="336">
        <v>2.0</v>
      </c>
      <c r="C20" s="336">
        <v>145.0</v>
      </c>
      <c r="D20" s="336" t="s">
        <v>532</v>
      </c>
      <c r="E20" s="336">
        <v>1.0</v>
      </c>
      <c r="F20" s="337">
        <v>45539.486805555556</v>
      </c>
      <c r="G20" s="336">
        <v>1.0</v>
      </c>
      <c r="H20" s="336">
        <v>51.3774</v>
      </c>
      <c r="I20" s="336">
        <v>6.74839</v>
      </c>
      <c r="J20" s="336">
        <v>-29.98005</v>
      </c>
      <c r="K20" s="336">
        <v>-28.711825</v>
      </c>
      <c r="L20" s="336">
        <v>1027.68</v>
      </c>
      <c r="M20" s="336">
        <v>77.001229</v>
      </c>
      <c r="N20" s="336">
        <v>11556.2152</v>
      </c>
      <c r="O20" s="336">
        <v>11549.2031</v>
      </c>
      <c r="P20" s="338">
        <v>2071.20094</v>
      </c>
      <c r="Q20" s="338" t="s">
        <v>509</v>
      </c>
      <c r="R20" s="338" t="s">
        <v>12</v>
      </c>
      <c r="S20" s="338">
        <v>10.0</v>
      </c>
      <c r="T20" s="338">
        <v>5.0</v>
      </c>
      <c r="U20" s="338">
        <v>0.7</v>
      </c>
      <c r="V20" s="345">
        <v>0.7</v>
      </c>
      <c r="W20" s="338">
        <v>0.7</v>
      </c>
      <c r="X20" s="336">
        <v>2000.0</v>
      </c>
      <c r="Y20" s="336" t="s">
        <v>510</v>
      </c>
      <c r="Z20" s="336">
        <v>0.2</v>
      </c>
      <c r="AA20" s="336" t="s">
        <v>511</v>
      </c>
      <c r="AB20" s="336" t="s">
        <v>512</v>
      </c>
      <c r="AC20" s="336">
        <v>220.0</v>
      </c>
      <c r="AD20" s="339"/>
      <c r="AE20" s="340"/>
    </row>
    <row r="21">
      <c r="A21" s="336" t="s">
        <v>539</v>
      </c>
      <c r="B21" s="336">
        <v>3.0</v>
      </c>
      <c r="C21" s="336">
        <v>144.0</v>
      </c>
      <c r="D21" s="336" t="s">
        <v>540</v>
      </c>
      <c r="E21" s="336">
        <v>1.0</v>
      </c>
      <c r="F21" s="337">
        <v>45539.490277777775</v>
      </c>
      <c r="G21" s="336">
        <v>1.0</v>
      </c>
      <c r="H21" s="336">
        <v>51.3807</v>
      </c>
      <c r="I21" s="336">
        <v>6.59661</v>
      </c>
      <c r="J21" s="336">
        <v>-29.875056</v>
      </c>
      <c r="K21" s="336">
        <v>-28.524538</v>
      </c>
      <c r="L21" s="336">
        <v>994.703</v>
      </c>
      <c r="M21" s="336">
        <v>77.499928</v>
      </c>
      <c r="N21" s="336">
        <v>11344.0577</v>
      </c>
      <c r="O21" s="336">
        <v>11406.3081</v>
      </c>
      <c r="P21" s="338">
        <v>2046.32426</v>
      </c>
      <c r="Q21" s="338" t="s">
        <v>519</v>
      </c>
      <c r="R21" s="338" t="s">
        <v>12</v>
      </c>
      <c r="S21" s="338">
        <v>10.0</v>
      </c>
      <c r="T21" s="338">
        <v>5.0</v>
      </c>
      <c r="U21" s="338">
        <v>0.7</v>
      </c>
      <c r="V21" s="345">
        <v>0.7</v>
      </c>
      <c r="W21" s="338">
        <v>0.7</v>
      </c>
      <c r="X21" s="336">
        <v>2000.0</v>
      </c>
      <c r="Y21" s="336" t="s">
        <v>510</v>
      </c>
      <c r="Z21" s="336">
        <v>0.2</v>
      </c>
      <c r="AA21" s="336" t="s">
        <v>511</v>
      </c>
      <c r="AB21" s="336" t="s">
        <v>512</v>
      </c>
      <c r="AC21" s="336">
        <v>220.0</v>
      </c>
      <c r="AD21" s="339"/>
      <c r="AE21" s="340"/>
    </row>
    <row r="22">
      <c r="A22" s="336" t="s">
        <v>541</v>
      </c>
      <c r="B22" s="336">
        <v>3.0</v>
      </c>
      <c r="C22" s="336">
        <v>144.0</v>
      </c>
      <c r="D22" s="336" t="s">
        <v>540</v>
      </c>
      <c r="E22" s="336">
        <v>1.0</v>
      </c>
      <c r="F22" s="337">
        <v>45539.493055555555</v>
      </c>
      <c r="G22" s="336">
        <v>1.0</v>
      </c>
      <c r="H22" s="336">
        <v>51.3774</v>
      </c>
      <c r="I22" s="336">
        <v>6.67069</v>
      </c>
      <c r="J22" s="336">
        <v>-29.950025</v>
      </c>
      <c r="K22" s="336">
        <v>-28.402125</v>
      </c>
      <c r="L22" s="336">
        <v>1015.04</v>
      </c>
      <c r="M22" s="336">
        <v>74.500367</v>
      </c>
      <c r="N22" s="336">
        <v>11409.5303</v>
      </c>
      <c r="O22" s="336">
        <v>11406.3081</v>
      </c>
      <c r="P22" s="338">
        <v>2046.32426</v>
      </c>
      <c r="Q22" s="338" t="s">
        <v>509</v>
      </c>
      <c r="R22" s="338" t="s">
        <v>12</v>
      </c>
      <c r="S22" s="338">
        <v>10.0</v>
      </c>
      <c r="T22" s="338">
        <v>5.0</v>
      </c>
      <c r="U22" s="338">
        <v>0.7</v>
      </c>
      <c r="V22" s="345">
        <v>0.7</v>
      </c>
      <c r="W22" s="338">
        <v>0.7</v>
      </c>
      <c r="X22" s="336">
        <v>2000.0</v>
      </c>
      <c r="Y22" s="336" t="s">
        <v>510</v>
      </c>
      <c r="Z22" s="336">
        <v>0.2</v>
      </c>
      <c r="AA22" s="336" t="s">
        <v>511</v>
      </c>
      <c r="AB22" s="336" t="s">
        <v>512</v>
      </c>
      <c r="AC22" s="336">
        <v>220.0</v>
      </c>
      <c r="AD22" s="339"/>
      <c r="AE22" s="340"/>
    </row>
    <row r="23">
      <c r="A23" s="336" t="s">
        <v>542</v>
      </c>
      <c r="B23" s="336">
        <v>3.0</v>
      </c>
      <c r="C23" s="336">
        <v>144.0</v>
      </c>
      <c r="D23" s="336" t="s">
        <v>540</v>
      </c>
      <c r="E23" s="336">
        <v>1.0</v>
      </c>
      <c r="F23" s="337">
        <v>45539.495833333334</v>
      </c>
      <c r="G23" s="336">
        <v>1.0</v>
      </c>
      <c r="H23" s="336">
        <v>51.3741</v>
      </c>
      <c r="I23" s="336">
        <v>6.55484</v>
      </c>
      <c r="J23" s="336">
        <v>-29.888281</v>
      </c>
      <c r="K23" s="336">
        <v>-28.5123</v>
      </c>
      <c r="L23" s="336">
        <v>994.774</v>
      </c>
      <c r="M23" s="336">
        <v>75.500655</v>
      </c>
      <c r="N23" s="336">
        <v>11403.0859</v>
      </c>
      <c r="O23" s="336">
        <v>11406.3081</v>
      </c>
      <c r="P23" s="338">
        <v>2046.32426</v>
      </c>
      <c r="Q23" s="338" t="s">
        <v>509</v>
      </c>
      <c r="R23" s="338" t="s">
        <v>12</v>
      </c>
      <c r="S23" s="338">
        <v>10.0</v>
      </c>
      <c r="T23" s="338">
        <v>5.0</v>
      </c>
      <c r="U23" s="338">
        <v>0.7</v>
      </c>
      <c r="V23" s="345">
        <v>0.7</v>
      </c>
      <c r="W23" s="338">
        <v>0.7</v>
      </c>
      <c r="X23" s="336">
        <v>2000.0</v>
      </c>
      <c r="Y23" s="336" t="s">
        <v>510</v>
      </c>
      <c r="Z23" s="336">
        <v>0.2</v>
      </c>
      <c r="AA23" s="336" t="s">
        <v>511</v>
      </c>
      <c r="AB23" s="336" t="s">
        <v>512</v>
      </c>
      <c r="AC23" s="336">
        <v>220.0</v>
      </c>
      <c r="AD23" s="339"/>
      <c r="AE23" s="340"/>
    </row>
    <row r="24">
      <c r="A24" s="336" t="s">
        <v>543</v>
      </c>
      <c r="B24" s="336">
        <v>4.0</v>
      </c>
      <c r="C24" s="336">
        <v>118.0</v>
      </c>
      <c r="D24" s="336" t="s">
        <v>544</v>
      </c>
      <c r="E24" s="336">
        <v>1.0</v>
      </c>
      <c r="F24" s="337">
        <v>45539.49930555555</v>
      </c>
      <c r="G24" s="336">
        <v>1.0</v>
      </c>
      <c r="H24" s="336">
        <v>51.3741</v>
      </c>
      <c r="I24" s="336">
        <v>6.57365</v>
      </c>
      <c r="J24" s="336">
        <v>-29.800425</v>
      </c>
      <c r="K24" s="336">
        <v>-28.176288</v>
      </c>
      <c r="L24" s="336">
        <v>978.915</v>
      </c>
      <c r="M24" s="336">
        <v>70.499312</v>
      </c>
      <c r="N24" s="336">
        <v>11205.6559</v>
      </c>
      <c r="O24" s="336">
        <v>11291.7933</v>
      </c>
      <c r="P24" s="338">
        <v>2026.38831</v>
      </c>
      <c r="Q24" s="338" t="s">
        <v>519</v>
      </c>
      <c r="R24" s="338" t="s">
        <v>12</v>
      </c>
      <c r="S24" s="338">
        <v>10.0</v>
      </c>
      <c r="T24" s="338">
        <v>5.0</v>
      </c>
      <c r="U24" s="338">
        <v>0.7</v>
      </c>
      <c r="V24" s="345">
        <v>0.7</v>
      </c>
      <c r="W24" s="338">
        <v>0.7</v>
      </c>
      <c r="X24" s="336">
        <v>2000.0</v>
      </c>
      <c r="Y24" s="336" t="s">
        <v>510</v>
      </c>
      <c r="Z24" s="336">
        <v>0.2</v>
      </c>
      <c r="AA24" s="336" t="s">
        <v>511</v>
      </c>
      <c r="AB24" s="336" t="s">
        <v>512</v>
      </c>
      <c r="AC24" s="336">
        <v>220.0</v>
      </c>
      <c r="AD24" s="339"/>
      <c r="AE24" s="340"/>
    </row>
    <row r="25">
      <c r="A25" s="336" t="s">
        <v>545</v>
      </c>
      <c r="B25" s="336">
        <v>4.0</v>
      </c>
      <c r="C25" s="336">
        <v>118.0</v>
      </c>
      <c r="D25" s="336" t="s">
        <v>544</v>
      </c>
      <c r="E25" s="336">
        <v>1.0</v>
      </c>
      <c r="F25" s="337">
        <v>45539.50208333333</v>
      </c>
      <c r="G25" s="336">
        <v>1.0</v>
      </c>
      <c r="H25" s="336">
        <v>51.3741</v>
      </c>
      <c r="I25" s="336">
        <v>7.52556</v>
      </c>
      <c r="J25" s="336">
        <v>-29.711894</v>
      </c>
      <c r="K25" s="336">
        <v>-28.445662</v>
      </c>
      <c r="L25" s="336">
        <v>1037.94</v>
      </c>
      <c r="M25" s="336">
        <v>69.500494</v>
      </c>
      <c r="N25" s="336">
        <v>11293.4804</v>
      </c>
      <c r="O25" s="336">
        <v>11291.7933</v>
      </c>
      <c r="P25" s="338">
        <v>2026.38831</v>
      </c>
      <c r="Q25" s="338" t="s">
        <v>509</v>
      </c>
      <c r="R25" s="338" t="s">
        <v>12</v>
      </c>
      <c r="S25" s="338">
        <v>10.0</v>
      </c>
      <c r="T25" s="338">
        <v>5.0</v>
      </c>
      <c r="U25" s="338">
        <v>0.7</v>
      </c>
      <c r="V25" s="345">
        <v>0.7</v>
      </c>
      <c r="W25" s="338">
        <v>0.7</v>
      </c>
      <c r="X25" s="336">
        <v>2000.0</v>
      </c>
      <c r="Y25" s="336" t="s">
        <v>510</v>
      </c>
      <c r="Z25" s="336">
        <v>0.2</v>
      </c>
      <c r="AA25" s="336" t="s">
        <v>511</v>
      </c>
      <c r="AB25" s="336" t="s">
        <v>512</v>
      </c>
      <c r="AC25" s="336">
        <v>220.0</v>
      </c>
      <c r="AD25" s="339"/>
      <c r="AE25" s="340"/>
    </row>
    <row r="26">
      <c r="A26" s="336" t="s">
        <v>546</v>
      </c>
      <c r="B26" s="336">
        <v>4.0</v>
      </c>
      <c r="C26" s="336">
        <v>118.0</v>
      </c>
      <c r="D26" s="336" t="s">
        <v>544</v>
      </c>
      <c r="E26" s="336">
        <v>1.0</v>
      </c>
      <c r="F26" s="337">
        <v>45539.50486111111</v>
      </c>
      <c r="G26" s="336">
        <v>1.0</v>
      </c>
      <c r="H26" s="336">
        <v>51.3741</v>
      </c>
      <c r="I26" s="336">
        <v>7.54888</v>
      </c>
      <c r="J26" s="336">
        <v>-29.739044</v>
      </c>
      <c r="K26" s="336">
        <v>-28.137162</v>
      </c>
      <c r="L26" s="336">
        <v>1034.34</v>
      </c>
      <c r="M26" s="336">
        <v>67.9997</v>
      </c>
      <c r="N26" s="336">
        <v>11290.1063</v>
      </c>
      <c r="O26" s="336">
        <v>11291.7933</v>
      </c>
      <c r="P26" s="338">
        <v>2026.38831</v>
      </c>
      <c r="Q26" s="338" t="s">
        <v>509</v>
      </c>
      <c r="R26" s="338" t="s">
        <v>12</v>
      </c>
      <c r="S26" s="338">
        <v>10.0</v>
      </c>
      <c r="T26" s="338">
        <v>5.0</v>
      </c>
      <c r="U26" s="338">
        <v>0.7</v>
      </c>
      <c r="V26" s="345">
        <v>0.7</v>
      </c>
      <c r="W26" s="338">
        <v>0.7</v>
      </c>
      <c r="X26" s="336">
        <v>2000.0</v>
      </c>
      <c r="Y26" s="336" t="s">
        <v>510</v>
      </c>
      <c r="Z26" s="336">
        <v>0.2</v>
      </c>
      <c r="AA26" s="336" t="s">
        <v>511</v>
      </c>
      <c r="AB26" s="336" t="s">
        <v>512</v>
      </c>
      <c r="AC26" s="336">
        <v>220.0</v>
      </c>
      <c r="AD26" s="339"/>
      <c r="AE26" s="340"/>
    </row>
    <row r="27">
      <c r="A27" s="336" t="s">
        <v>547</v>
      </c>
      <c r="B27" s="336">
        <v>5.0</v>
      </c>
      <c r="C27" s="336">
        <v>119.0</v>
      </c>
      <c r="D27" s="336" t="s">
        <v>548</v>
      </c>
      <c r="E27" s="336">
        <v>1.0</v>
      </c>
      <c r="F27" s="337">
        <v>45539.50833333333</v>
      </c>
      <c r="G27" s="336">
        <v>1.0</v>
      </c>
      <c r="H27" s="336">
        <v>51.3741</v>
      </c>
      <c r="I27" s="336">
        <v>7.34785</v>
      </c>
      <c r="J27" s="336">
        <v>-29.643656</v>
      </c>
      <c r="K27" s="336">
        <v>-28.333038</v>
      </c>
      <c r="L27" s="336">
        <v>1042.16</v>
      </c>
      <c r="M27" s="336">
        <v>70.999587</v>
      </c>
      <c r="N27" s="336">
        <v>11313.4023</v>
      </c>
      <c r="O27" s="336">
        <v>11309.4242</v>
      </c>
      <c r="P27" s="338">
        <v>2029.45768</v>
      </c>
      <c r="Q27" s="338" t="s">
        <v>509</v>
      </c>
      <c r="R27" s="338" t="s">
        <v>12</v>
      </c>
      <c r="S27" s="338">
        <v>10.0</v>
      </c>
      <c r="T27" s="338">
        <v>5.0</v>
      </c>
      <c r="U27" s="338">
        <v>0.7</v>
      </c>
      <c r="V27" s="345">
        <v>0.7</v>
      </c>
      <c r="W27" s="338">
        <v>0.7</v>
      </c>
      <c r="X27" s="336">
        <v>2000.0</v>
      </c>
      <c r="Y27" s="336" t="s">
        <v>510</v>
      </c>
      <c r="Z27" s="336">
        <v>0.2</v>
      </c>
      <c r="AA27" s="336" t="s">
        <v>511</v>
      </c>
      <c r="AB27" s="336" t="s">
        <v>512</v>
      </c>
      <c r="AC27" s="336">
        <v>220.0</v>
      </c>
      <c r="AD27" s="339"/>
      <c r="AE27" s="340"/>
    </row>
    <row r="28">
      <c r="A28" s="336" t="s">
        <v>549</v>
      </c>
      <c r="B28" s="336">
        <v>5.0</v>
      </c>
      <c r="C28" s="336">
        <v>119.0</v>
      </c>
      <c r="D28" s="336" t="s">
        <v>548</v>
      </c>
      <c r="E28" s="336">
        <v>1.0</v>
      </c>
      <c r="F28" s="337">
        <v>45539.51111111111</v>
      </c>
      <c r="G28" s="336">
        <v>1.0</v>
      </c>
      <c r="H28" s="336">
        <v>51.3774</v>
      </c>
      <c r="I28" s="336">
        <v>7.06586</v>
      </c>
      <c r="J28" s="336">
        <v>-29.662394</v>
      </c>
      <c r="K28" s="336">
        <v>-28.019688</v>
      </c>
      <c r="L28" s="336">
        <v>1015.33</v>
      </c>
      <c r="M28" s="336">
        <v>71.499522</v>
      </c>
      <c r="N28" s="336">
        <v>11305.4461</v>
      </c>
      <c r="O28" s="336">
        <v>11309.4242</v>
      </c>
      <c r="P28" s="338">
        <v>2029.45768</v>
      </c>
      <c r="Q28" s="338" t="s">
        <v>509</v>
      </c>
      <c r="R28" s="338" t="s">
        <v>12</v>
      </c>
      <c r="S28" s="338">
        <v>10.0</v>
      </c>
      <c r="T28" s="338">
        <v>5.0</v>
      </c>
      <c r="U28" s="338">
        <v>0.7</v>
      </c>
      <c r="V28" s="345">
        <v>0.7</v>
      </c>
      <c r="W28" s="338">
        <v>0.7</v>
      </c>
      <c r="X28" s="336">
        <v>2000.0</v>
      </c>
      <c r="Y28" s="336" t="s">
        <v>510</v>
      </c>
      <c r="Z28" s="336">
        <v>0.2</v>
      </c>
      <c r="AA28" s="336" t="s">
        <v>511</v>
      </c>
      <c r="AB28" s="336" t="s">
        <v>512</v>
      </c>
      <c r="AC28" s="336">
        <v>220.0</v>
      </c>
      <c r="AD28" s="339"/>
      <c r="AE28" s="340"/>
    </row>
    <row r="29">
      <c r="A29" s="336" t="s">
        <v>550</v>
      </c>
      <c r="B29" s="336">
        <v>6.0</v>
      </c>
      <c r="C29" s="336">
        <v>105.0</v>
      </c>
      <c r="D29" s="336" t="s">
        <v>551</v>
      </c>
      <c r="E29" s="336">
        <v>1.0</v>
      </c>
      <c r="F29" s="337">
        <v>45539.51458333333</v>
      </c>
      <c r="G29" s="336">
        <v>1.0</v>
      </c>
      <c r="H29" s="336">
        <v>51.3741</v>
      </c>
      <c r="I29" s="336">
        <v>6.93686</v>
      </c>
      <c r="J29" s="336">
        <v>-29.511056</v>
      </c>
      <c r="K29" s="336">
        <v>-27.955087</v>
      </c>
      <c r="L29" s="336">
        <v>1020.59</v>
      </c>
      <c r="M29" s="336">
        <v>72.500932</v>
      </c>
      <c r="N29" s="336">
        <v>11350.8224</v>
      </c>
      <c r="O29" s="336">
        <v>11361.0512</v>
      </c>
      <c r="P29" s="338">
        <v>2038.44546</v>
      </c>
      <c r="Q29" s="338" t="s">
        <v>509</v>
      </c>
      <c r="R29" s="338" t="s">
        <v>12</v>
      </c>
      <c r="S29" s="338">
        <v>10.0</v>
      </c>
      <c r="T29" s="338">
        <v>5.0</v>
      </c>
      <c r="U29" s="338">
        <v>0.7</v>
      </c>
      <c r="V29" s="345">
        <v>0.7</v>
      </c>
      <c r="W29" s="338">
        <v>0.7</v>
      </c>
      <c r="X29" s="336">
        <v>2000.0</v>
      </c>
      <c r="Y29" s="336" t="s">
        <v>510</v>
      </c>
      <c r="Z29" s="336">
        <v>0.2</v>
      </c>
      <c r="AA29" s="336" t="s">
        <v>511</v>
      </c>
      <c r="AB29" s="336" t="s">
        <v>512</v>
      </c>
      <c r="AC29" s="336">
        <v>220.0</v>
      </c>
      <c r="AD29" s="339"/>
      <c r="AE29" s="340"/>
    </row>
    <row r="30">
      <c r="A30" s="336" t="s">
        <v>552</v>
      </c>
      <c r="B30" s="336">
        <v>6.0</v>
      </c>
      <c r="C30" s="336">
        <v>105.0</v>
      </c>
      <c r="D30" s="336" t="s">
        <v>551</v>
      </c>
      <c r="E30" s="336">
        <v>1.0</v>
      </c>
      <c r="F30" s="337">
        <v>45539.51736111111</v>
      </c>
      <c r="G30" s="336">
        <v>1.0</v>
      </c>
      <c r="H30" s="336">
        <v>51.3741</v>
      </c>
      <c r="I30" s="336">
        <v>6.68692</v>
      </c>
      <c r="J30" s="336">
        <v>-29.542012</v>
      </c>
      <c r="K30" s="336">
        <v>-28.282112</v>
      </c>
      <c r="L30" s="336">
        <v>998.89</v>
      </c>
      <c r="M30" s="336">
        <v>75.000677</v>
      </c>
      <c r="N30" s="336">
        <v>11371.28</v>
      </c>
      <c r="O30" s="336">
        <v>11361.0512</v>
      </c>
      <c r="P30" s="338">
        <v>2038.44546</v>
      </c>
      <c r="Q30" s="338" t="s">
        <v>509</v>
      </c>
      <c r="R30" s="338" t="s">
        <v>12</v>
      </c>
      <c r="S30" s="338">
        <v>10.0</v>
      </c>
      <c r="T30" s="338">
        <v>5.0</v>
      </c>
      <c r="U30" s="338">
        <v>0.7</v>
      </c>
      <c r="V30" s="345">
        <v>0.7</v>
      </c>
      <c r="W30" s="338">
        <v>0.7</v>
      </c>
      <c r="X30" s="336">
        <v>2000.0</v>
      </c>
      <c r="Y30" s="336" t="s">
        <v>510</v>
      </c>
      <c r="Z30" s="336">
        <v>0.2</v>
      </c>
      <c r="AA30" s="336" t="s">
        <v>511</v>
      </c>
      <c r="AB30" s="336" t="s">
        <v>512</v>
      </c>
      <c r="AC30" s="336">
        <v>220.0</v>
      </c>
      <c r="AD30" s="339"/>
      <c r="AE30" s="340"/>
    </row>
    <row r="31">
      <c r="A31" s="336" t="s">
        <v>553</v>
      </c>
      <c r="B31" s="336">
        <v>7.0</v>
      </c>
      <c r="C31" s="336">
        <v>106.0</v>
      </c>
      <c r="D31" s="336" t="s">
        <v>554</v>
      </c>
      <c r="E31" s="336">
        <v>1.0</v>
      </c>
      <c r="F31" s="337">
        <v>45539.520833333336</v>
      </c>
      <c r="G31" s="336">
        <v>1.0</v>
      </c>
      <c r="H31" s="336">
        <v>51.3741</v>
      </c>
      <c r="I31" s="336">
        <v>6.39585</v>
      </c>
      <c r="J31" s="336">
        <v>-29.457563</v>
      </c>
      <c r="K31" s="336">
        <v>-28.157469</v>
      </c>
      <c r="L31" s="336">
        <v>992.239</v>
      </c>
      <c r="M31" s="336">
        <v>73.499704</v>
      </c>
      <c r="N31" s="336">
        <v>11328.5185</v>
      </c>
      <c r="O31" s="336">
        <v>11359.96</v>
      </c>
      <c r="P31" s="338">
        <v>2038.2555</v>
      </c>
      <c r="Q31" s="338" t="s">
        <v>519</v>
      </c>
      <c r="R31" s="338" t="s">
        <v>12</v>
      </c>
      <c r="S31" s="338">
        <v>10.0</v>
      </c>
      <c r="T31" s="338">
        <v>5.0</v>
      </c>
      <c r="U31" s="338">
        <v>0.7</v>
      </c>
      <c r="V31" s="345">
        <v>0.7</v>
      </c>
      <c r="W31" s="338">
        <v>0.7</v>
      </c>
      <c r="X31" s="336">
        <v>2000.0</v>
      </c>
      <c r="Y31" s="336" t="s">
        <v>510</v>
      </c>
      <c r="Z31" s="336">
        <v>0.2</v>
      </c>
      <c r="AA31" s="336" t="s">
        <v>511</v>
      </c>
      <c r="AB31" s="336" t="s">
        <v>512</v>
      </c>
      <c r="AC31" s="336">
        <v>220.0</v>
      </c>
      <c r="AD31" s="339"/>
      <c r="AE31" s="340"/>
    </row>
    <row r="32">
      <c r="A32" s="336" t="s">
        <v>555</v>
      </c>
      <c r="B32" s="336">
        <v>7.0</v>
      </c>
      <c r="C32" s="336">
        <v>106.0</v>
      </c>
      <c r="D32" s="336" t="s">
        <v>554</v>
      </c>
      <c r="E32" s="336">
        <v>1.0</v>
      </c>
      <c r="F32" s="337">
        <v>45539.52361111111</v>
      </c>
      <c r="G32" s="336">
        <v>1.0</v>
      </c>
      <c r="H32" s="336">
        <v>51.3807</v>
      </c>
      <c r="I32" s="336">
        <v>6.50339</v>
      </c>
      <c r="J32" s="336">
        <v>-29.51255</v>
      </c>
      <c r="K32" s="336">
        <v>-27.740669</v>
      </c>
      <c r="L32" s="336">
        <v>995.529</v>
      </c>
      <c r="M32" s="336">
        <v>70.499669</v>
      </c>
      <c r="N32" s="336">
        <v>11354.0252</v>
      </c>
      <c r="O32" s="336">
        <v>11359.96</v>
      </c>
      <c r="P32" s="338">
        <v>2038.2555</v>
      </c>
      <c r="Q32" s="338" t="s">
        <v>509</v>
      </c>
      <c r="R32" s="338" t="s">
        <v>12</v>
      </c>
      <c r="S32" s="338">
        <v>10.0</v>
      </c>
      <c r="T32" s="338">
        <v>5.0</v>
      </c>
      <c r="U32" s="338">
        <v>0.7</v>
      </c>
      <c r="V32" s="345">
        <v>0.7</v>
      </c>
      <c r="W32" s="338">
        <v>0.7</v>
      </c>
      <c r="X32" s="336">
        <v>2000.0</v>
      </c>
      <c r="Y32" s="336" t="s">
        <v>510</v>
      </c>
      <c r="Z32" s="336">
        <v>0.2</v>
      </c>
      <c r="AA32" s="336" t="s">
        <v>511</v>
      </c>
      <c r="AB32" s="336" t="s">
        <v>512</v>
      </c>
      <c r="AC32" s="336">
        <v>220.0</v>
      </c>
      <c r="AD32" s="339"/>
      <c r="AE32" s="340"/>
    </row>
    <row r="33">
      <c r="A33" s="336" t="s">
        <v>556</v>
      </c>
      <c r="B33" s="336">
        <v>7.0</v>
      </c>
      <c r="C33" s="336">
        <v>106.0</v>
      </c>
      <c r="D33" s="336" t="s">
        <v>554</v>
      </c>
      <c r="E33" s="336">
        <v>1.0</v>
      </c>
      <c r="F33" s="337">
        <v>45539.52638888889</v>
      </c>
      <c r="G33" s="336">
        <v>1.0</v>
      </c>
      <c r="H33" s="336">
        <v>51.384</v>
      </c>
      <c r="I33" s="336">
        <v>7.1581</v>
      </c>
      <c r="J33" s="336">
        <v>-29.437075</v>
      </c>
      <c r="K33" s="336">
        <v>-28.292525</v>
      </c>
      <c r="L33" s="336">
        <v>1037.61</v>
      </c>
      <c r="M33" s="336">
        <v>72.999649</v>
      </c>
      <c r="N33" s="336">
        <v>11365.8948</v>
      </c>
      <c r="O33" s="336">
        <v>11359.96</v>
      </c>
      <c r="P33" s="338">
        <v>2038.2555</v>
      </c>
      <c r="Q33" s="338" t="s">
        <v>509</v>
      </c>
      <c r="R33" s="338" t="s">
        <v>12</v>
      </c>
      <c r="S33" s="338">
        <v>10.0</v>
      </c>
      <c r="T33" s="338">
        <v>5.0</v>
      </c>
      <c r="U33" s="338">
        <v>0.7</v>
      </c>
      <c r="V33" s="345">
        <v>0.7</v>
      </c>
      <c r="W33" s="338">
        <v>0.7</v>
      </c>
      <c r="X33" s="336">
        <v>2000.0</v>
      </c>
      <c r="Y33" s="336" t="s">
        <v>510</v>
      </c>
      <c r="Z33" s="336">
        <v>0.2</v>
      </c>
      <c r="AA33" s="336" t="s">
        <v>511</v>
      </c>
      <c r="AB33" s="336" t="s">
        <v>512</v>
      </c>
      <c r="AC33" s="336">
        <v>220.0</v>
      </c>
      <c r="AD33" s="339"/>
      <c r="AE33" s="340"/>
    </row>
    <row r="34">
      <c r="A34" s="336" t="s">
        <v>557</v>
      </c>
      <c r="B34" s="336">
        <v>8.0</v>
      </c>
      <c r="C34" s="336">
        <v>131.0</v>
      </c>
      <c r="D34" s="336" t="s">
        <v>558</v>
      </c>
      <c r="E34" s="336">
        <v>1.0</v>
      </c>
      <c r="F34" s="337">
        <v>45539.529861111114</v>
      </c>
      <c r="G34" s="336">
        <v>1.0</v>
      </c>
      <c r="H34" s="336">
        <v>51.384</v>
      </c>
      <c r="I34" s="336">
        <v>6.90683</v>
      </c>
      <c r="J34" s="336">
        <v>-29.454144</v>
      </c>
      <c r="K34" s="336">
        <v>-27.833037</v>
      </c>
      <c r="L34" s="336">
        <v>1061.03</v>
      </c>
      <c r="M34" s="336">
        <v>70.498981</v>
      </c>
      <c r="N34" s="336">
        <v>11527.78</v>
      </c>
      <c r="O34" s="336">
        <v>11524.9654</v>
      </c>
      <c r="P34" s="338">
        <v>2066.98139</v>
      </c>
      <c r="Q34" s="338" t="s">
        <v>509</v>
      </c>
      <c r="R34" s="338" t="s">
        <v>12</v>
      </c>
      <c r="S34" s="338">
        <v>10.0</v>
      </c>
      <c r="T34" s="338">
        <v>5.0</v>
      </c>
      <c r="U34" s="338">
        <v>0.7</v>
      </c>
      <c r="V34" s="345">
        <v>0.7</v>
      </c>
      <c r="W34" s="338">
        <v>0.7</v>
      </c>
      <c r="X34" s="336">
        <v>2000.0</v>
      </c>
      <c r="Y34" s="336" t="s">
        <v>510</v>
      </c>
      <c r="Z34" s="336">
        <v>0.2</v>
      </c>
      <c r="AA34" s="336" t="s">
        <v>511</v>
      </c>
      <c r="AB34" s="336" t="s">
        <v>512</v>
      </c>
      <c r="AC34" s="336">
        <v>220.0</v>
      </c>
      <c r="AD34" s="339"/>
      <c r="AE34" s="340"/>
    </row>
    <row r="35">
      <c r="A35" s="336" t="s">
        <v>559</v>
      </c>
      <c r="B35" s="336">
        <v>8.0</v>
      </c>
      <c r="C35" s="336">
        <v>131.0</v>
      </c>
      <c r="D35" s="336" t="s">
        <v>558</v>
      </c>
      <c r="E35" s="336">
        <v>1.0</v>
      </c>
      <c r="F35" s="337">
        <v>45539.532638888886</v>
      </c>
      <c r="G35" s="336">
        <v>1.0</v>
      </c>
      <c r="H35" s="336">
        <v>51.3741</v>
      </c>
      <c r="I35" s="336">
        <v>6.854</v>
      </c>
      <c r="J35" s="336">
        <v>-29.357169</v>
      </c>
      <c r="K35" s="336">
        <v>-27.699856</v>
      </c>
      <c r="L35" s="336">
        <v>1025.73</v>
      </c>
      <c r="M35" s="336">
        <v>68.999711</v>
      </c>
      <c r="N35" s="336">
        <v>11522.1509</v>
      </c>
      <c r="O35" s="336">
        <v>11524.9654</v>
      </c>
      <c r="P35" s="338">
        <v>2066.98139</v>
      </c>
      <c r="Q35" s="338" t="s">
        <v>509</v>
      </c>
      <c r="R35" s="338" t="s">
        <v>12</v>
      </c>
      <c r="S35" s="338">
        <v>10.0</v>
      </c>
      <c r="T35" s="338">
        <v>5.0</v>
      </c>
      <c r="U35" s="338">
        <v>0.7</v>
      </c>
      <c r="V35" s="345">
        <v>0.7</v>
      </c>
      <c r="W35" s="338">
        <v>0.7</v>
      </c>
      <c r="X35" s="336">
        <v>2000.0</v>
      </c>
      <c r="Y35" s="336" t="s">
        <v>510</v>
      </c>
      <c r="Z35" s="336">
        <v>0.2</v>
      </c>
      <c r="AA35" s="336" t="s">
        <v>511</v>
      </c>
      <c r="AB35" s="336" t="s">
        <v>512</v>
      </c>
      <c r="AC35" s="336">
        <v>220.0</v>
      </c>
      <c r="AD35" s="339"/>
      <c r="AE35" s="340"/>
    </row>
    <row r="36">
      <c r="A36" s="336" t="s">
        <v>560</v>
      </c>
      <c r="B36" s="336">
        <v>9.0</v>
      </c>
      <c r="C36" s="336">
        <v>132.0</v>
      </c>
      <c r="D36" s="336" t="s">
        <v>561</v>
      </c>
      <c r="E36" s="336">
        <v>1.0</v>
      </c>
      <c r="F36" s="337">
        <v>45539.53611111111</v>
      </c>
      <c r="G36" s="336">
        <v>1.0</v>
      </c>
      <c r="H36" s="336">
        <v>51.3807</v>
      </c>
      <c r="I36" s="336">
        <v>6.73852</v>
      </c>
      <c r="J36" s="336">
        <v>-29.389481</v>
      </c>
      <c r="K36" s="336">
        <v>-27.934094</v>
      </c>
      <c r="L36" s="336">
        <v>1044.54</v>
      </c>
      <c r="M36" s="336">
        <v>76.498585</v>
      </c>
      <c r="N36" s="336">
        <v>11562.5076</v>
      </c>
      <c r="O36" s="336">
        <v>11566.7731</v>
      </c>
      <c r="P36" s="338">
        <v>2074.25971</v>
      </c>
      <c r="Q36" s="338" t="s">
        <v>509</v>
      </c>
      <c r="R36" s="338" t="s">
        <v>12</v>
      </c>
      <c r="S36" s="338">
        <v>10.0</v>
      </c>
      <c r="T36" s="338">
        <v>5.0</v>
      </c>
      <c r="U36" s="338">
        <v>0.7</v>
      </c>
      <c r="V36" s="345">
        <v>0.7</v>
      </c>
      <c r="W36" s="338">
        <v>0.7</v>
      </c>
      <c r="X36" s="336">
        <v>2000.0</v>
      </c>
      <c r="Y36" s="336" t="s">
        <v>510</v>
      </c>
      <c r="Z36" s="336">
        <v>0.2</v>
      </c>
      <c r="AA36" s="336" t="s">
        <v>511</v>
      </c>
      <c r="AB36" s="336" t="s">
        <v>512</v>
      </c>
      <c r="AC36" s="336">
        <v>220.0</v>
      </c>
      <c r="AD36" s="339"/>
      <c r="AE36" s="340"/>
    </row>
    <row r="37">
      <c r="A37" s="336" t="s">
        <v>562</v>
      </c>
      <c r="B37" s="336">
        <v>9.0</v>
      </c>
      <c r="C37" s="336">
        <v>132.0</v>
      </c>
      <c r="D37" s="336" t="s">
        <v>561</v>
      </c>
      <c r="E37" s="336">
        <v>1.0</v>
      </c>
      <c r="F37" s="337">
        <v>45539.53888888889</v>
      </c>
      <c r="G37" s="336">
        <v>1.0</v>
      </c>
      <c r="H37" s="336">
        <v>51.3741</v>
      </c>
      <c r="I37" s="336">
        <v>6.89296</v>
      </c>
      <c r="J37" s="336">
        <v>-29.353825</v>
      </c>
      <c r="K37" s="336">
        <v>-27.990656</v>
      </c>
      <c r="L37" s="336">
        <v>1043.83</v>
      </c>
      <c r="M37" s="336">
        <v>71.000054</v>
      </c>
      <c r="N37" s="336">
        <v>11571.0386</v>
      </c>
      <c r="O37" s="336">
        <v>11566.7731</v>
      </c>
      <c r="P37" s="338">
        <v>2074.25971</v>
      </c>
      <c r="Q37" s="338" t="s">
        <v>509</v>
      </c>
      <c r="R37" s="338" t="s">
        <v>12</v>
      </c>
      <c r="S37" s="338">
        <v>10.0</v>
      </c>
      <c r="T37" s="338">
        <v>5.0</v>
      </c>
      <c r="U37" s="338">
        <v>0.7</v>
      </c>
      <c r="V37" s="345">
        <v>0.7</v>
      </c>
      <c r="W37" s="338">
        <v>0.7</v>
      </c>
      <c r="X37" s="336">
        <v>2000.0</v>
      </c>
      <c r="Y37" s="336" t="s">
        <v>510</v>
      </c>
      <c r="Z37" s="336">
        <v>0.2</v>
      </c>
      <c r="AA37" s="336" t="s">
        <v>511</v>
      </c>
      <c r="AB37" s="336" t="s">
        <v>512</v>
      </c>
      <c r="AC37" s="336">
        <v>220.0</v>
      </c>
      <c r="AD37" s="339"/>
      <c r="AE37" s="340"/>
    </row>
    <row r="38">
      <c r="A38" s="336" t="s">
        <v>563</v>
      </c>
      <c r="B38" s="336" t="s">
        <v>517</v>
      </c>
      <c r="C38" s="336" t="s">
        <v>518</v>
      </c>
      <c r="D38" s="336" t="s">
        <v>508</v>
      </c>
      <c r="E38" s="336">
        <v>0.8</v>
      </c>
      <c r="F38" s="337">
        <v>45539.54236111111</v>
      </c>
      <c r="G38" s="336">
        <v>1.0</v>
      </c>
      <c r="H38" s="336">
        <v>51.3774</v>
      </c>
      <c r="I38" s="336">
        <v>6.56926</v>
      </c>
      <c r="J38" s="336">
        <v>-29.316756</v>
      </c>
      <c r="K38" s="336">
        <v>-28.04445</v>
      </c>
      <c r="L38" s="336">
        <v>971.23</v>
      </c>
      <c r="M38" s="336">
        <v>73.500978</v>
      </c>
      <c r="N38" s="336">
        <v>9233.26258</v>
      </c>
      <c r="O38" s="336">
        <v>9226.25568</v>
      </c>
      <c r="P38" s="338">
        <v>2070.3457</v>
      </c>
      <c r="Q38" s="338" t="s">
        <v>509</v>
      </c>
      <c r="R38" s="338" t="s">
        <v>12</v>
      </c>
      <c r="S38" s="338">
        <v>10.0</v>
      </c>
      <c r="T38" s="338">
        <v>5.0</v>
      </c>
      <c r="U38" s="338">
        <v>0.7</v>
      </c>
      <c r="V38" s="345">
        <v>0.7</v>
      </c>
      <c r="W38" s="338">
        <v>0.7</v>
      </c>
      <c r="X38" s="336">
        <v>2000.0</v>
      </c>
      <c r="Y38" s="336" t="s">
        <v>510</v>
      </c>
      <c r="Z38" s="336">
        <v>0.2</v>
      </c>
      <c r="AA38" s="336" t="s">
        <v>511</v>
      </c>
      <c r="AB38" s="336" t="s">
        <v>512</v>
      </c>
      <c r="AC38" s="336">
        <v>220.0</v>
      </c>
      <c r="AD38" s="339"/>
      <c r="AE38" s="340"/>
    </row>
    <row r="39">
      <c r="A39" s="336" t="s">
        <v>564</v>
      </c>
      <c r="B39" s="336" t="s">
        <v>517</v>
      </c>
      <c r="C39" s="336" t="s">
        <v>518</v>
      </c>
      <c r="D39" s="336" t="s">
        <v>508</v>
      </c>
      <c r="E39" s="336">
        <v>0.8</v>
      </c>
      <c r="F39" s="337">
        <v>45539.54513888889</v>
      </c>
      <c r="G39" s="336">
        <v>1.0</v>
      </c>
      <c r="H39" s="336">
        <v>51.3774</v>
      </c>
      <c r="I39" s="336">
        <v>6.28696</v>
      </c>
      <c r="J39" s="336">
        <v>-29.200212</v>
      </c>
      <c r="K39" s="336">
        <v>-28.077956</v>
      </c>
      <c r="L39" s="336">
        <v>956.868</v>
      </c>
      <c r="M39" s="336">
        <v>72.998418</v>
      </c>
      <c r="N39" s="336">
        <v>9219.24878</v>
      </c>
      <c r="O39" s="336">
        <v>9226.25568</v>
      </c>
      <c r="P39" s="338">
        <v>2070.3457</v>
      </c>
      <c r="Q39" s="338" t="s">
        <v>509</v>
      </c>
      <c r="R39" s="338" t="s">
        <v>12</v>
      </c>
      <c r="S39" s="338">
        <v>10.0</v>
      </c>
      <c r="T39" s="338">
        <v>5.0</v>
      </c>
      <c r="U39" s="338">
        <v>0.7</v>
      </c>
      <c r="V39" s="345">
        <v>0.7</v>
      </c>
      <c r="W39" s="338">
        <v>0.7</v>
      </c>
      <c r="X39" s="336">
        <v>2000.0</v>
      </c>
      <c r="Y39" s="336" t="s">
        <v>510</v>
      </c>
      <c r="Z39" s="336">
        <v>0.2</v>
      </c>
      <c r="AA39" s="336" t="s">
        <v>511</v>
      </c>
      <c r="AB39" s="336" t="s">
        <v>512</v>
      </c>
      <c r="AC39" s="336">
        <v>220.0</v>
      </c>
      <c r="AD39" s="339"/>
      <c r="AE39" s="340"/>
    </row>
    <row r="40">
      <c r="A40" s="336" t="s">
        <v>565</v>
      </c>
      <c r="B40" s="336" t="s">
        <v>523</v>
      </c>
      <c r="C40" s="336" t="s">
        <v>518</v>
      </c>
      <c r="D40" s="336" t="s">
        <v>508</v>
      </c>
      <c r="E40" s="336">
        <v>1.0</v>
      </c>
      <c r="F40" s="337">
        <v>45539.54791666667</v>
      </c>
      <c r="G40" s="336">
        <v>1.0</v>
      </c>
      <c r="H40" s="336">
        <v>51.3741</v>
      </c>
      <c r="I40" s="336">
        <v>6.27188</v>
      </c>
      <c r="J40" s="336">
        <v>-29.338406</v>
      </c>
      <c r="K40" s="336">
        <v>-27.813575</v>
      </c>
      <c r="L40" s="336">
        <v>1019.98</v>
      </c>
      <c r="M40" s="336">
        <v>74.999417</v>
      </c>
      <c r="N40" s="336">
        <v>11428.4954</v>
      </c>
      <c r="O40" s="336">
        <v>11609.0346</v>
      </c>
      <c r="P40" s="338">
        <v>2070.3457</v>
      </c>
      <c r="Q40" s="338" t="s">
        <v>519</v>
      </c>
      <c r="R40" s="338" t="s">
        <v>12</v>
      </c>
      <c r="S40" s="338">
        <v>10.0</v>
      </c>
      <c r="T40" s="338">
        <v>5.0</v>
      </c>
      <c r="U40" s="338">
        <v>0.7</v>
      </c>
      <c r="V40" s="345">
        <v>0.7</v>
      </c>
      <c r="W40" s="338">
        <v>0.7</v>
      </c>
      <c r="X40" s="336">
        <v>2000.0</v>
      </c>
      <c r="Y40" s="336" t="s">
        <v>510</v>
      </c>
      <c r="Z40" s="336">
        <v>0.2</v>
      </c>
      <c r="AA40" s="336" t="s">
        <v>511</v>
      </c>
      <c r="AB40" s="336" t="s">
        <v>512</v>
      </c>
      <c r="AC40" s="336">
        <v>220.0</v>
      </c>
      <c r="AD40" s="339"/>
      <c r="AE40" s="340"/>
    </row>
    <row r="41">
      <c r="A41" s="336" t="s">
        <v>566</v>
      </c>
      <c r="B41" s="336" t="s">
        <v>523</v>
      </c>
      <c r="C41" s="336" t="s">
        <v>518</v>
      </c>
      <c r="D41" s="336" t="s">
        <v>508</v>
      </c>
      <c r="E41" s="336">
        <v>1.0</v>
      </c>
      <c r="F41" s="337">
        <v>45539.55069444444</v>
      </c>
      <c r="G41" s="336">
        <v>1.0</v>
      </c>
      <c r="H41" s="336">
        <v>51.3774</v>
      </c>
      <c r="I41" s="336">
        <v>6.30309</v>
      </c>
      <c r="J41" s="336">
        <v>-29.377444</v>
      </c>
      <c r="K41" s="336">
        <v>-27.754781</v>
      </c>
      <c r="L41" s="336">
        <v>1020.56</v>
      </c>
      <c r="M41" s="336">
        <v>73.998387</v>
      </c>
      <c r="N41" s="336">
        <v>11518.6598</v>
      </c>
      <c r="O41" s="336">
        <v>11609.0346</v>
      </c>
      <c r="P41" s="338">
        <v>2070.3457</v>
      </c>
      <c r="Q41" s="338" t="s">
        <v>519</v>
      </c>
      <c r="R41" s="338" t="s">
        <v>12</v>
      </c>
      <c r="S41" s="338">
        <v>10.0</v>
      </c>
      <c r="T41" s="338">
        <v>5.0</v>
      </c>
      <c r="U41" s="338">
        <v>0.7</v>
      </c>
      <c r="V41" s="345">
        <v>0.7</v>
      </c>
      <c r="W41" s="338">
        <v>0.7</v>
      </c>
      <c r="X41" s="336">
        <v>2000.0</v>
      </c>
      <c r="Y41" s="336" t="s">
        <v>510</v>
      </c>
      <c r="Z41" s="336">
        <v>0.2</v>
      </c>
      <c r="AA41" s="336" t="s">
        <v>511</v>
      </c>
      <c r="AB41" s="336" t="s">
        <v>512</v>
      </c>
      <c r="AC41" s="336">
        <v>220.0</v>
      </c>
      <c r="AD41" s="339"/>
      <c r="AE41" s="340"/>
    </row>
    <row r="42">
      <c r="A42" s="342" t="s">
        <v>567</v>
      </c>
      <c r="B42" s="342" t="s">
        <v>523</v>
      </c>
      <c r="C42" s="342" t="s">
        <v>518</v>
      </c>
      <c r="D42" s="342" t="s">
        <v>508</v>
      </c>
      <c r="E42" s="342">
        <v>1.0</v>
      </c>
      <c r="F42" s="343">
        <v>45539.55347222222</v>
      </c>
      <c r="G42" s="342">
        <v>1.0</v>
      </c>
      <c r="H42" s="342">
        <v>51.3774</v>
      </c>
      <c r="I42" s="342">
        <v>6.29194</v>
      </c>
      <c r="J42" s="342">
        <v>-29.305394</v>
      </c>
      <c r="K42" s="342">
        <v>-28.555156</v>
      </c>
      <c r="L42" s="342">
        <v>1043.07</v>
      </c>
      <c r="M42" s="342">
        <v>87.497626</v>
      </c>
      <c r="N42" s="342">
        <v>11614.8051</v>
      </c>
      <c r="O42" s="342">
        <v>11609.0346</v>
      </c>
      <c r="P42" s="344">
        <v>2070.3457</v>
      </c>
      <c r="Q42" s="344" t="s">
        <v>509</v>
      </c>
      <c r="R42" s="338" t="s">
        <v>12</v>
      </c>
      <c r="S42" s="338">
        <v>10.0</v>
      </c>
      <c r="T42" s="338">
        <v>5.0</v>
      </c>
      <c r="U42" s="338">
        <v>0.7</v>
      </c>
      <c r="V42" s="345">
        <v>0.7</v>
      </c>
      <c r="W42" s="338">
        <v>0.7</v>
      </c>
      <c r="X42" s="336">
        <v>2000.0</v>
      </c>
      <c r="Y42" s="336" t="s">
        <v>510</v>
      </c>
      <c r="Z42" s="336">
        <v>0.2</v>
      </c>
      <c r="AA42" s="336" t="s">
        <v>511</v>
      </c>
      <c r="AB42" s="336" t="s">
        <v>512</v>
      </c>
      <c r="AC42" s="336">
        <v>220.0</v>
      </c>
      <c r="AD42" s="339"/>
      <c r="AE42" s="340"/>
    </row>
    <row r="43">
      <c r="A43" s="342" t="s">
        <v>568</v>
      </c>
      <c r="B43" s="342" t="s">
        <v>523</v>
      </c>
      <c r="C43" s="342" t="s">
        <v>518</v>
      </c>
      <c r="D43" s="342" t="s">
        <v>508</v>
      </c>
      <c r="E43" s="342">
        <v>1.0</v>
      </c>
      <c r="F43" s="343">
        <v>45539.55694444444</v>
      </c>
      <c r="G43" s="342">
        <v>1.0</v>
      </c>
      <c r="H43" s="342">
        <v>51.3774</v>
      </c>
      <c r="I43" s="342">
        <v>6.25891</v>
      </c>
      <c r="J43" s="342">
        <v>-29.283581</v>
      </c>
      <c r="K43" s="342">
        <v>-27.996206</v>
      </c>
      <c r="L43" s="342">
        <v>1016.74</v>
      </c>
      <c r="M43" s="342">
        <v>79.498933</v>
      </c>
      <c r="N43" s="342">
        <v>11603.2642</v>
      </c>
      <c r="O43" s="344">
        <v>11609.0346</v>
      </c>
      <c r="P43" s="344">
        <v>2070.3457</v>
      </c>
      <c r="Q43" s="344" t="s">
        <v>509</v>
      </c>
      <c r="R43" s="338" t="s">
        <v>12</v>
      </c>
      <c r="S43" s="338">
        <v>10.0</v>
      </c>
      <c r="T43" s="338">
        <v>5.0</v>
      </c>
      <c r="U43" s="338">
        <v>0.7</v>
      </c>
      <c r="V43" s="338">
        <v>0.7</v>
      </c>
      <c r="W43" s="338">
        <v>0.7</v>
      </c>
      <c r="X43" s="336">
        <v>2000.0</v>
      </c>
      <c r="Y43" s="336" t="s">
        <v>510</v>
      </c>
      <c r="Z43" s="336">
        <v>0.2</v>
      </c>
      <c r="AA43" s="336" t="s">
        <v>511</v>
      </c>
      <c r="AB43" s="336" t="s">
        <v>512</v>
      </c>
      <c r="AC43" s="336">
        <v>220.0</v>
      </c>
      <c r="AD43" s="339"/>
      <c r="AE43" s="340"/>
    </row>
    <row r="44">
      <c r="A44" s="336" t="s">
        <v>569</v>
      </c>
      <c r="B44" s="336" t="s">
        <v>527</v>
      </c>
      <c r="C44" s="336" t="s">
        <v>518</v>
      </c>
      <c r="D44" s="336" t="s">
        <v>508</v>
      </c>
      <c r="E44" s="336">
        <v>1.2</v>
      </c>
      <c r="F44" s="337">
        <v>45539.55972222222</v>
      </c>
      <c r="G44" s="336">
        <v>1.0</v>
      </c>
      <c r="H44" s="336">
        <v>51.3741</v>
      </c>
      <c r="I44" s="336">
        <v>6.11122</v>
      </c>
      <c r="J44" s="336">
        <v>-29.179025</v>
      </c>
      <c r="K44" s="336">
        <v>-27.957963</v>
      </c>
      <c r="L44" s="336">
        <v>1074.15</v>
      </c>
      <c r="M44" s="336">
        <v>85.500881</v>
      </c>
      <c r="N44" s="336">
        <v>13863.4667</v>
      </c>
      <c r="O44" s="338">
        <v>13867.8432</v>
      </c>
      <c r="P44" s="338">
        <v>2070.3457</v>
      </c>
      <c r="Q44" s="338" t="s">
        <v>509</v>
      </c>
      <c r="R44" s="338" t="s">
        <v>12</v>
      </c>
      <c r="S44" s="338">
        <v>10.0</v>
      </c>
      <c r="T44" s="338">
        <v>5.0</v>
      </c>
      <c r="U44" s="338">
        <v>0.7</v>
      </c>
      <c r="V44" s="338">
        <v>0.7</v>
      </c>
      <c r="W44" s="338">
        <v>0.7</v>
      </c>
      <c r="X44" s="336">
        <v>2000.0</v>
      </c>
      <c r="Y44" s="336" t="s">
        <v>510</v>
      </c>
      <c r="Z44" s="336">
        <v>0.2</v>
      </c>
      <c r="AA44" s="336" t="s">
        <v>511</v>
      </c>
      <c r="AB44" s="336" t="s">
        <v>512</v>
      </c>
      <c r="AC44" s="336">
        <v>220.0</v>
      </c>
      <c r="AD44" s="339"/>
      <c r="AE44" s="340"/>
    </row>
    <row r="45">
      <c r="A45" s="336" t="s">
        <v>570</v>
      </c>
      <c r="B45" s="336" t="s">
        <v>527</v>
      </c>
      <c r="C45" s="336" t="s">
        <v>518</v>
      </c>
      <c r="D45" s="336" t="s">
        <v>508</v>
      </c>
      <c r="E45" s="336">
        <v>1.2</v>
      </c>
      <c r="F45" s="337">
        <v>45539.5625</v>
      </c>
      <c r="G45" s="336">
        <v>1.0</v>
      </c>
      <c r="H45" s="336">
        <v>51.3807</v>
      </c>
      <c r="I45" s="336">
        <v>6.12839</v>
      </c>
      <c r="J45" s="336">
        <v>-29.174331</v>
      </c>
      <c r="K45" s="336">
        <v>-27.466794</v>
      </c>
      <c r="L45" s="336">
        <v>1054.36</v>
      </c>
      <c r="M45" s="336">
        <v>77.998103</v>
      </c>
      <c r="N45" s="336">
        <v>13872.2197</v>
      </c>
      <c r="O45" s="338">
        <v>13867.8432</v>
      </c>
      <c r="P45" s="338">
        <v>2070.3457</v>
      </c>
      <c r="Q45" s="338" t="s">
        <v>509</v>
      </c>
      <c r="R45" s="338" t="s">
        <v>12</v>
      </c>
      <c r="S45" s="338">
        <v>10.0</v>
      </c>
      <c r="T45" s="338">
        <v>5.0</v>
      </c>
      <c r="U45" s="338">
        <v>0.7</v>
      </c>
      <c r="V45" s="338">
        <v>0.7</v>
      </c>
      <c r="W45" s="338">
        <v>0.7</v>
      </c>
      <c r="X45" s="336">
        <v>2000.0</v>
      </c>
      <c r="Y45" s="336" t="s">
        <v>510</v>
      </c>
      <c r="Z45" s="336">
        <v>0.2</v>
      </c>
      <c r="AA45" s="336" t="s">
        <v>511</v>
      </c>
      <c r="AB45" s="336" t="s">
        <v>512</v>
      </c>
      <c r="AC45" s="336">
        <v>220.0</v>
      </c>
      <c r="AD45" s="339"/>
      <c r="AE45" s="340"/>
    </row>
    <row r="46">
      <c r="A46" s="336" t="s">
        <v>571</v>
      </c>
      <c r="B46" s="336">
        <v>2.0</v>
      </c>
      <c r="C46" s="336">
        <v>66.0</v>
      </c>
      <c r="D46" s="336" t="s">
        <v>532</v>
      </c>
      <c r="E46" s="336">
        <v>1.0</v>
      </c>
      <c r="F46" s="337">
        <v>45539.56597222222</v>
      </c>
      <c r="G46" s="336">
        <v>1.0</v>
      </c>
      <c r="H46" s="336">
        <v>51.3807</v>
      </c>
      <c r="I46" s="336">
        <v>6.07093</v>
      </c>
      <c r="J46" s="336">
        <v>-29.246313</v>
      </c>
      <c r="K46" s="336">
        <v>-27.649387</v>
      </c>
      <c r="L46" s="336">
        <v>1001.06</v>
      </c>
      <c r="M46" s="336">
        <v>75.499662</v>
      </c>
      <c r="N46" s="336">
        <v>11298.2458</v>
      </c>
      <c r="O46" s="338">
        <v>11303.0163</v>
      </c>
      <c r="P46" s="338">
        <v>2023.11962</v>
      </c>
      <c r="Q46" s="338" t="s">
        <v>509</v>
      </c>
      <c r="R46" s="338" t="s">
        <v>12</v>
      </c>
      <c r="S46" s="338">
        <v>10.0</v>
      </c>
      <c r="T46" s="338">
        <v>5.0</v>
      </c>
      <c r="U46" s="338">
        <v>0.7</v>
      </c>
      <c r="V46" s="338">
        <v>0.7</v>
      </c>
      <c r="W46" s="338">
        <v>0.7</v>
      </c>
      <c r="X46" s="336">
        <v>2000.0</v>
      </c>
      <c r="Y46" s="336" t="s">
        <v>510</v>
      </c>
      <c r="Z46" s="336">
        <v>0.2</v>
      </c>
      <c r="AA46" s="336" t="s">
        <v>511</v>
      </c>
      <c r="AB46" s="336" t="s">
        <v>512</v>
      </c>
      <c r="AC46" s="336">
        <v>220.0</v>
      </c>
      <c r="AD46" s="339"/>
      <c r="AE46" s="340"/>
    </row>
    <row r="47">
      <c r="A47" s="336" t="s">
        <v>572</v>
      </c>
      <c r="B47" s="336">
        <v>2.0</v>
      </c>
      <c r="C47" s="336">
        <v>66.0</v>
      </c>
      <c r="D47" s="336" t="s">
        <v>532</v>
      </c>
      <c r="E47" s="336">
        <v>1.0</v>
      </c>
      <c r="F47" s="337">
        <v>45539.56875</v>
      </c>
      <c r="G47" s="336">
        <v>1.0</v>
      </c>
      <c r="H47" s="336">
        <v>51.3807</v>
      </c>
      <c r="I47" s="336">
        <v>6.07059</v>
      </c>
      <c r="J47" s="336">
        <v>-29.162056</v>
      </c>
      <c r="K47" s="336">
        <v>-27.466275</v>
      </c>
      <c r="L47" s="336">
        <v>993.341</v>
      </c>
      <c r="M47" s="336">
        <v>71.999596</v>
      </c>
      <c r="N47" s="336">
        <v>11307.7867</v>
      </c>
      <c r="O47" s="338">
        <v>11303.0163</v>
      </c>
      <c r="P47" s="338">
        <v>2023.11962</v>
      </c>
      <c r="Q47" s="338" t="s">
        <v>509</v>
      </c>
      <c r="R47" s="338" t="s">
        <v>12</v>
      </c>
      <c r="S47" s="338">
        <v>10.0</v>
      </c>
      <c r="T47" s="338">
        <v>5.0</v>
      </c>
      <c r="U47" s="338">
        <v>0.7</v>
      </c>
      <c r="V47" s="338">
        <v>0.7</v>
      </c>
      <c r="W47" s="338">
        <v>0.7</v>
      </c>
      <c r="X47" s="336">
        <v>2000.0</v>
      </c>
      <c r="Y47" s="336" t="s">
        <v>510</v>
      </c>
      <c r="Z47" s="336">
        <v>0.2</v>
      </c>
      <c r="AA47" s="336" t="s">
        <v>511</v>
      </c>
      <c r="AB47" s="336" t="s">
        <v>512</v>
      </c>
      <c r="AC47" s="336">
        <v>220.0</v>
      </c>
      <c r="AD47" s="339"/>
      <c r="AE47" s="340"/>
    </row>
    <row r="48">
      <c r="A48" s="336" t="s">
        <v>573</v>
      </c>
      <c r="B48" s="336">
        <v>3.0</v>
      </c>
      <c r="C48" s="336">
        <v>67.0</v>
      </c>
      <c r="D48" s="336" t="s">
        <v>540</v>
      </c>
      <c r="E48" s="336">
        <v>1.0</v>
      </c>
      <c r="F48" s="337">
        <v>45539.572222222225</v>
      </c>
      <c r="G48" s="336">
        <v>1.0</v>
      </c>
      <c r="H48" s="336">
        <v>51.3774</v>
      </c>
      <c r="I48" s="336">
        <v>6.06022</v>
      </c>
      <c r="J48" s="336">
        <v>-29.120744</v>
      </c>
      <c r="K48" s="336">
        <v>-27.7836</v>
      </c>
      <c r="L48" s="336">
        <v>1029.45</v>
      </c>
      <c r="M48" s="336">
        <v>76.500495</v>
      </c>
      <c r="N48" s="336">
        <v>11336.0463</v>
      </c>
      <c r="O48" s="336">
        <v>11290.4788</v>
      </c>
      <c r="P48" s="338">
        <v>2020.88273</v>
      </c>
      <c r="Q48" s="338" t="s">
        <v>519</v>
      </c>
      <c r="R48" s="338" t="s">
        <v>12</v>
      </c>
      <c r="S48" s="338">
        <v>10.0</v>
      </c>
      <c r="T48" s="338">
        <v>5.0</v>
      </c>
      <c r="U48" s="338">
        <v>0.7</v>
      </c>
      <c r="V48" s="345">
        <v>0.7</v>
      </c>
      <c r="W48" s="338">
        <v>0.7</v>
      </c>
      <c r="X48" s="336">
        <v>2000.0</v>
      </c>
      <c r="Y48" s="336" t="s">
        <v>510</v>
      </c>
      <c r="Z48" s="336">
        <v>0.2</v>
      </c>
      <c r="AA48" s="336" t="s">
        <v>511</v>
      </c>
      <c r="AB48" s="336" t="s">
        <v>512</v>
      </c>
      <c r="AC48" s="336">
        <v>220.0</v>
      </c>
      <c r="AD48" s="348"/>
      <c r="AE48" s="340"/>
    </row>
    <row r="49">
      <c r="A49" s="336" t="s">
        <v>574</v>
      </c>
      <c r="B49" s="336">
        <v>3.0</v>
      </c>
      <c r="C49" s="336">
        <v>67.0</v>
      </c>
      <c r="D49" s="336" t="s">
        <v>540</v>
      </c>
      <c r="E49" s="336">
        <v>1.0</v>
      </c>
      <c r="F49" s="337">
        <v>45539.575694444444</v>
      </c>
      <c r="G49" s="336">
        <v>1.0</v>
      </c>
      <c r="H49" s="336">
        <v>51.3774</v>
      </c>
      <c r="I49" s="336">
        <v>6.03785</v>
      </c>
      <c r="J49" s="336">
        <v>-29.08085</v>
      </c>
      <c r="K49" s="336">
        <v>-28.103781</v>
      </c>
      <c r="L49" s="336">
        <v>978.845</v>
      </c>
      <c r="M49" s="336">
        <v>83.001026</v>
      </c>
      <c r="N49" s="336">
        <v>11375.8487</v>
      </c>
      <c r="O49" s="336">
        <v>11290.4788</v>
      </c>
      <c r="P49" s="338">
        <v>2020.88273</v>
      </c>
      <c r="Q49" s="338" t="s">
        <v>519</v>
      </c>
      <c r="R49" s="338" t="s">
        <v>12</v>
      </c>
      <c r="S49" s="338">
        <v>10.0</v>
      </c>
      <c r="T49" s="338">
        <v>5.0</v>
      </c>
      <c r="U49" s="338">
        <v>0.7</v>
      </c>
      <c r="V49" s="345">
        <v>0.7</v>
      </c>
      <c r="W49" s="338">
        <v>0.7</v>
      </c>
      <c r="X49" s="336">
        <v>2000.0</v>
      </c>
      <c r="Y49" s="336" t="s">
        <v>510</v>
      </c>
      <c r="Z49" s="336">
        <v>0.2</v>
      </c>
      <c r="AA49" s="336" t="s">
        <v>511</v>
      </c>
      <c r="AB49" s="336" t="s">
        <v>512</v>
      </c>
      <c r="AC49" s="336">
        <v>220.0</v>
      </c>
      <c r="AE49" s="340"/>
    </row>
    <row r="50">
      <c r="A50" s="336" t="s">
        <v>575</v>
      </c>
      <c r="B50" s="336">
        <v>3.0</v>
      </c>
      <c r="C50" s="336">
        <v>67.0</v>
      </c>
      <c r="D50" s="336" t="s">
        <v>540</v>
      </c>
      <c r="E50" s="336">
        <v>1.0</v>
      </c>
      <c r="F50" s="337">
        <v>45539.57847222222</v>
      </c>
      <c r="G50" s="336">
        <v>1.0</v>
      </c>
      <c r="H50" s="336">
        <v>51.3741</v>
      </c>
      <c r="I50" s="336">
        <v>5.93848</v>
      </c>
      <c r="J50" s="336">
        <v>-29.088831</v>
      </c>
      <c r="K50" s="336">
        <v>-27.47715</v>
      </c>
      <c r="L50" s="336">
        <v>986.753</v>
      </c>
      <c r="M50" s="336">
        <v>75.500463</v>
      </c>
      <c r="N50" s="336">
        <v>11286.3527</v>
      </c>
      <c r="O50" s="336">
        <v>11290.4788</v>
      </c>
      <c r="P50" s="338">
        <v>2020.88273</v>
      </c>
      <c r="Q50" s="338" t="s">
        <v>509</v>
      </c>
      <c r="R50" s="338" t="s">
        <v>12</v>
      </c>
      <c r="S50" s="338">
        <v>10.0</v>
      </c>
      <c r="T50" s="338">
        <v>5.0</v>
      </c>
      <c r="U50" s="338">
        <v>0.7</v>
      </c>
      <c r="V50" s="345">
        <v>0.7</v>
      </c>
      <c r="W50" s="338">
        <v>0.7</v>
      </c>
      <c r="X50" s="336">
        <v>2000.0</v>
      </c>
      <c r="Y50" s="336" t="s">
        <v>510</v>
      </c>
      <c r="Z50" s="336">
        <v>0.2</v>
      </c>
      <c r="AA50" s="336" t="s">
        <v>511</v>
      </c>
      <c r="AB50" s="336" t="s">
        <v>512</v>
      </c>
      <c r="AC50" s="336">
        <v>220.0</v>
      </c>
      <c r="AE50" s="340"/>
    </row>
    <row r="51">
      <c r="A51" s="336" t="s">
        <v>576</v>
      </c>
      <c r="B51" s="336">
        <v>3.0</v>
      </c>
      <c r="C51" s="336">
        <v>67.0</v>
      </c>
      <c r="D51" s="336" t="s">
        <v>540</v>
      </c>
      <c r="E51" s="336">
        <v>1.0</v>
      </c>
      <c r="F51" s="337">
        <v>45539.58125</v>
      </c>
      <c r="G51" s="336">
        <v>1.0</v>
      </c>
      <c r="H51" s="336">
        <v>51.3774</v>
      </c>
      <c r="I51" s="336">
        <v>5.90139</v>
      </c>
      <c r="J51" s="336">
        <v>-29.041388</v>
      </c>
      <c r="K51" s="336">
        <v>-27.507481</v>
      </c>
      <c r="L51" s="336">
        <v>977.195</v>
      </c>
      <c r="M51" s="336">
        <v>75.500467</v>
      </c>
      <c r="N51" s="336">
        <v>11294.6049</v>
      </c>
      <c r="O51" s="336">
        <v>11290.4788</v>
      </c>
      <c r="P51" s="338">
        <v>2020.88273</v>
      </c>
      <c r="Q51" s="338" t="s">
        <v>509</v>
      </c>
      <c r="R51" s="338" t="s">
        <v>12</v>
      </c>
      <c r="S51" s="338">
        <v>10.0</v>
      </c>
      <c r="T51" s="338">
        <v>5.0</v>
      </c>
      <c r="U51" s="338">
        <v>0.7</v>
      </c>
      <c r="V51" s="345">
        <v>0.7</v>
      </c>
      <c r="W51" s="338">
        <v>0.7</v>
      </c>
      <c r="X51" s="336">
        <v>2000.0</v>
      </c>
      <c r="Y51" s="336" t="s">
        <v>510</v>
      </c>
      <c r="Z51" s="336">
        <v>0.2</v>
      </c>
      <c r="AA51" s="336" t="s">
        <v>511</v>
      </c>
      <c r="AB51" s="336" t="s">
        <v>512</v>
      </c>
      <c r="AC51" s="336">
        <v>220.0</v>
      </c>
      <c r="AE51" s="340"/>
    </row>
    <row r="52">
      <c r="A52" s="336" t="s">
        <v>577</v>
      </c>
      <c r="B52" s="336">
        <v>4.0</v>
      </c>
      <c r="C52" s="336">
        <v>92.0</v>
      </c>
      <c r="D52" s="336" t="s">
        <v>544</v>
      </c>
      <c r="E52" s="336">
        <v>1.0</v>
      </c>
      <c r="F52" s="337">
        <v>45539.58472222222</v>
      </c>
      <c r="G52" s="336">
        <v>1.0</v>
      </c>
      <c r="H52" s="336">
        <v>51.3774</v>
      </c>
      <c r="I52" s="336">
        <v>5.92598</v>
      </c>
      <c r="J52" s="336">
        <v>-29.104306</v>
      </c>
      <c r="K52" s="336">
        <v>-27.6228</v>
      </c>
      <c r="L52" s="336">
        <v>988.938</v>
      </c>
      <c r="M52" s="336">
        <v>74.499402</v>
      </c>
      <c r="N52" s="336">
        <v>11379.3681</v>
      </c>
      <c r="O52" s="336">
        <v>11345.3563</v>
      </c>
      <c r="P52" s="338">
        <v>2030.6738</v>
      </c>
      <c r="Q52" s="338" t="s">
        <v>519</v>
      </c>
      <c r="R52" s="338" t="s">
        <v>12</v>
      </c>
      <c r="S52" s="338">
        <v>10.0</v>
      </c>
      <c r="T52" s="338">
        <v>5.0</v>
      </c>
      <c r="U52" s="338">
        <v>0.7</v>
      </c>
      <c r="V52" s="345">
        <v>0.7</v>
      </c>
      <c r="W52" s="338">
        <v>0.7</v>
      </c>
      <c r="X52" s="336">
        <v>2000.0</v>
      </c>
      <c r="Y52" s="336" t="s">
        <v>510</v>
      </c>
      <c r="Z52" s="336">
        <v>0.2</v>
      </c>
      <c r="AA52" s="336" t="s">
        <v>511</v>
      </c>
      <c r="AB52" s="336" t="s">
        <v>512</v>
      </c>
      <c r="AC52" s="336">
        <v>220.0</v>
      </c>
      <c r="AE52" s="340"/>
    </row>
    <row r="53">
      <c r="A53" s="336" t="s">
        <v>578</v>
      </c>
      <c r="B53" s="336">
        <v>4.0</v>
      </c>
      <c r="C53" s="336">
        <v>92.0</v>
      </c>
      <c r="D53" s="336" t="s">
        <v>544</v>
      </c>
      <c r="E53" s="336">
        <v>1.0</v>
      </c>
      <c r="F53" s="337">
        <v>45539.5875</v>
      </c>
      <c r="G53" s="336">
        <v>1.0</v>
      </c>
      <c r="H53" s="336">
        <v>51.3774</v>
      </c>
      <c r="I53" s="336">
        <v>5.87963</v>
      </c>
      <c r="J53" s="336">
        <v>-29.02665</v>
      </c>
      <c r="K53" s="336">
        <v>-27.421756</v>
      </c>
      <c r="L53" s="336">
        <v>1006.47</v>
      </c>
      <c r="M53" s="336">
        <v>74.999919</v>
      </c>
      <c r="N53" s="336">
        <v>11338.4289</v>
      </c>
      <c r="O53" s="336">
        <v>11345.3563</v>
      </c>
      <c r="P53" s="338">
        <v>2030.6738</v>
      </c>
      <c r="Q53" s="338" t="s">
        <v>509</v>
      </c>
      <c r="R53" s="338" t="s">
        <v>12</v>
      </c>
      <c r="S53" s="338">
        <v>10.0</v>
      </c>
      <c r="T53" s="338">
        <v>5.0</v>
      </c>
      <c r="U53" s="338">
        <v>0.7</v>
      </c>
      <c r="V53" s="345">
        <v>0.7</v>
      </c>
      <c r="W53" s="338">
        <v>0.7</v>
      </c>
      <c r="X53" s="336">
        <v>2000.0</v>
      </c>
      <c r="Y53" s="336" t="s">
        <v>510</v>
      </c>
      <c r="Z53" s="336">
        <v>0.2</v>
      </c>
      <c r="AA53" s="336" t="s">
        <v>511</v>
      </c>
      <c r="AB53" s="336" t="s">
        <v>512</v>
      </c>
      <c r="AC53" s="336">
        <v>220.0</v>
      </c>
      <c r="AE53" s="340"/>
    </row>
    <row r="54">
      <c r="A54" s="336" t="s">
        <v>579</v>
      </c>
      <c r="B54" s="336">
        <v>4.0</v>
      </c>
      <c r="C54" s="336">
        <v>92.0</v>
      </c>
      <c r="D54" s="336" t="s">
        <v>544</v>
      </c>
      <c r="E54" s="336">
        <v>1.0</v>
      </c>
      <c r="F54" s="337">
        <v>45539.59027777778</v>
      </c>
      <c r="G54" s="336">
        <v>1.0</v>
      </c>
      <c r="H54" s="336">
        <v>51.3741</v>
      </c>
      <c r="I54" s="336">
        <v>5.97328</v>
      </c>
      <c r="J54" s="336">
        <v>-29.032375</v>
      </c>
      <c r="K54" s="336">
        <v>-27.335787</v>
      </c>
      <c r="L54" s="336">
        <v>997.844</v>
      </c>
      <c r="M54" s="336">
        <v>74.500381</v>
      </c>
      <c r="N54" s="336">
        <v>11352.2837</v>
      </c>
      <c r="O54" s="336">
        <v>11345.3563</v>
      </c>
      <c r="P54" s="338">
        <v>2030.6738</v>
      </c>
      <c r="Q54" s="338" t="s">
        <v>509</v>
      </c>
      <c r="R54" s="338" t="s">
        <v>12</v>
      </c>
      <c r="S54" s="338">
        <v>10.0</v>
      </c>
      <c r="T54" s="338">
        <v>5.0</v>
      </c>
      <c r="U54" s="338">
        <v>0.7</v>
      </c>
      <c r="V54" s="345">
        <v>0.7</v>
      </c>
      <c r="W54" s="338">
        <v>0.7</v>
      </c>
      <c r="X54" s="336">
        <v>2000.0</v>
      </c>
      <c r="Y54" s="336" t="s">
        <v>510</v>
      </c>
      <c r="Z54" s="336">
        <v>0.2</v>
      </c>
      <c r="AA54" s="336" t="s">
        <v>511</v>
      </c>
      <c r="AB54" s="336" t="s">
        <v>512</v>
      </c>
      <c r="AC54" s="336">
        <v>220.0</v>
      </c>
      <c r="AE54" s="340"/>
    </row>
    <row r="55">
      <c r="A55" s="336" t="s">
        <v>580</v>
      </c>
      <c r="B55" s="336">
        <v>5.0</v>
      </c>
      <c r="C55" s="336">
        <v>93.0</v>
      </c>
      <c r="D55" s="336" t="s">
        <v>548</v>
      </c>
      <c r="E55" s="336">
        <v>1.0</v>
      </c>
      <c r="F55" s="337">
        <v>45539.59375</v>
      </c>
      <c r="G55" s="336">
        <v>1.0</v>
      </c>
      <c r="H55" s="336">
        <v>51.3774</v>
      </c>
      <c r="I55" s="336">
        <v>5.88444</v>
      </c>
      <c r="J55" s="336">
        <v>-29.003012</v>
      </c>
      <c r="K55" s="336">
        <v>-27.611106</v>
      </c>
      <c r="L55" s="336">
        <v>983.431</v>
      </c>
      <c r="M55" s="336">
        <v>78.999692</v>
      </c>
      <c r="N55" s="336">
        <v>11329.5066</v>
      </c>
      <c r="O55" s="336">
        <v>11362.4807</v>
      </c>
      <c r="P55" s="338">
        <v>2033.7291</v>
      </c>
      <c r="Q55" s="338" t="s">
        <v>519</v>
      </c>
      <c r="R55" s="338" t="s">
        <v>12</v>
      </c>
      <c r="S55" s="338">
        <v>10.0</v>
      </c>
      <c r="T55" s="338">
        <v>5.0</v>
      </c>
      <c r="U55" s="338">
        <v>0.7</v>
      </c>
      <c r="V55" s="345">
        <v>0.7</v>
      </c>
      <c r="W55" s="338">
        <v>0.7</v>
      </c>
      <c r="X55" s="336">
        <v>2000.0</v>
      </c>
      <c r="Y55" s="336" t="s">
        <v>510</v>
      </c>
      <c r="Z55" s="336">
        <v>0.2</v>
      </c>
      <c r="AA55" s="336" t="s">
        <v>511</v>
      </c>
      <c r="AB55" s="336" t="s">
        <v>512</v>
      </c>
      <c r="AC55" s="336">
        <v>220.0</v>
      </c>
      <c r="AE55" s="340"/>
    </row>
    <row r="56">
      <c r="A56" s="336" t="s">
        <v>581</v>
      </c>
      <c r="B56" s="336">
        <v>5.0</v>
      </c>
      <c r="C56" s="336">
        <v>93.0</v>
      </c>
      <c r="D56" s="336" t="s">
        <v>548</v>
      </c>
      <c r="E56" s="336">
        <v>1.0</v>
      </c>
      <c r="F56" s="337">
        <v>45539.59652777778</v>
      </c>
      <c r="G56" s="336">
        <v>1.0</v>
      </c>
      <c r="H56" s="336">
        <v>51.3741</v>
      </c>
      <c r="I56" s="336">
        <v>6.89268</v>
      </c>
      <c r="J56" s="336">
        <v>-28.968563</v>
      </c>
      <c r="K56" s="336">
        <v>-27.359906</v>
      </c>
      <c r="L56" s="336">
        <v>1045.39</v>
      </c>
      <c r="M56" s="336">
        <v>68.500468</v>
      </c>
      <c r="N56" s="336">
        <v>11364.9276</v>
      </c>
      <c r="O56" s="336">
        <v>11362.4807</v>
      </c>
      <c r="P56" s="338">
        <v>2033.7291</v>
      </c>
      <c r="Q56" s="338" t="s">
        <v>509</v>
      </c>
      <c r="R56" s="338" t="s">
        <v>12</v>
      </c>
      <c r="S56" s="338">
        <v>10.0</v>
      </c>
      <c r="T56" s="338">
        <v>5.0</v>
      </c>
      <c r="U56" s="338">
        <v>0.7</v>
      </c>
      <c r="V56" s="345">
        <v>0.7</v>
      </c>
      <c r="W56" s="338">
        <v>0.7</v>
      </c>
      <c r="X56" s="336">
        <v>2000.0</v>
      </c>
      <c r="Y56" s="336" t="s">
        <v>510</v>
      </c>
      <c r="Z56" s="336">
        <v>0.2</v>
      </c>
      <c r="AA56" s="336" t="s">
        <v>511</v>
      </c>
      <c r="AB56" s="336" t="s">
        <v>512</v>
      </c>
      <c r="AC56" s="336">
        <v>220.0</v>
      </c>
      <c r="AE56" s="340"/>
    </row>
    <row r="57">
      <c r="A57" s="336" t="s">
        <v>582</v>
      </c>
      <c r="B57" s="336">
        <v>5.0</v>
      </c>
      <c r="C57" s="336">
        <v>93.0</v>
      </c>
      <c r="D57" s="336" t="s">
        <v>548</v>
      </c>
      <c r="E57" s="336">
        <v>1.0</v>
      </c>
      <c r="F57" s="337">
        <v>45539.59930555556</v>
      </c>
      <c r="G57" s="336">
        <v>1.0</v>
      </c>
      <c r="H57" s="336">
        <v>51.3774</v>
      </c>
      <c r="I57" s="336">
        <v>6.80885</v>
      </c>
      <c r="J57" s="336">
        <v>-28.986625</v>
      </c>
      <c r="K57" s="336">
        <v>-27.158625</v>
      </c>
      <c r="L57" s="336">
        <v>1036.69</v>
      </c>
      <c r="M57" s="336">
        <v>68.500261</v>
      </c>
      <c r="N57" s="336">
        <v>11360.0339</v>
      </c>
      <c r="O57" s="336">
        <v>11362.4807</v>
      </c>
      <c r="P57" s="338">
        <v>2033.7291</v>
      </c>
      <c r="Q57" s="338" t="s">
        <v>509</v>
      </c>
      <c r="R57" s="338" t="s">
        <v>12</v>
      </c>
      <c r="S57" s="338">
        <v>10.0</v>
      </c>
      <c r="T57" s="338">
        <v>5.0</v>
      </c>
      <c r="U57" s="338">
        <v>0.7</v>
      </c>
      <c r="V57" s="345">
        <v>0.7</v>
      </c>
      <c r="W57" s="338">
        <v>0.7</v>
      </c>
      <c r="X57" s="336">
        <v>2000.0</v>
      </c>
      <c r="Y57" s="336" t="s">
        <v>510</v>
      </c>
      <c r="Z57" s="336">
        <v>0.2</v>
      </c>
      <c r="AA57" s="336" t="s">
        <v>511</v>
      </c>
      <c r="AB57" s="336" t="s">
        <v>512</v>
      </c>
      <c r="AC57" s="336">
        <v>220.0</v>
      </c>
      <c r="AE57" s="340"/>
    </row>
    <row r="58">
      <c r="A58" s="336" t="s">
        <v>583</v>
      </c>
      <c r="B58" s="336">
        <v>6.0</v>
      </c>
      <c r="C58" s="336">
        <v>183.0</v>
      </c>
      <c r="D58" s="336" t="s">
        <v>551</v>
      </c>
      <c r="E58" s="336">
        <v>1.0</v>
      </c>
      <c r="F58" s="337">
        <v>45539.60277777778</v>
      </c>
      <c r="G58" s="336">
        <v>1.0</v>
      </c>
      <c r="H58" s="336">
        <v>51.3741</v>
      </c>
      <c r="I58" s="336">
        <v>6.64982</v>
      </c>
      <c r="J58" s="336">
        <v>-29.029162</v>
      </c>
      <c r="K58" s="336">
        <v>-27.419619</v>
      </c>
      <c r="L58" s="336">
        <v>1014.4</v>
      </c>
      <c r="M58" s="336">
        <v>71.00064</v>
      </c>
      <c r="N58" s="336">
        <v>11280.3803</v>
      </c>
      <c r="O58" s="336">
        <v>11266.7533</v>
      </c>
      <c r="P58" s="338">
        <v>2016.6497</v>
      </c>
      <c r="Q58" s="338" t="s">
        <v>519</v>
      </c>
      <c r="R58" s="338" t="s">
        <v>12</v>
      </c>
      <c r="S58" s="338">
        <v>10.0</v>
      </c>
      <c r="T58" s="338">
        <v>5.0</v>
      </c>
      <c r="U58" s="338">
        <v>0.7</v>
      </c>
      <c r="V58" s="345">
        <v>0.7</v>
      </c>
      <c r="W58" s="338">
        <v>0.7</v>
      </c>
      <c r="X58" s="336">
        <v>2000.0</v>
      </c>
      <c r="Y58" s="336" t="s">
        <v>510</v>
      </c>
      <c r="Z58" s="336">
        <v>0.2</v>
      </c>
      <c r="AA58" s="336" t="s">
        <v>511</v>
      </c>
      <c r="AB58" s="336" t="s">
        <v>512</v>
      </c>
      <c r="AC58" s="336">
        <v>220.0</v>
      </c>
      <c r="AE58" s="340"/>
    </row>
    <row r="59">
      <c r="A59" s="336" t="s">
        <v>584</v>
      </c>
      <c r="B59" s="336">
        <v>6.0</v>
      </c>
      <c r="C59" s="336">
        <v>183.0</v>
      </c>
      <c r="D59" s="336" t="s">
        <v>551</v>
      </c>
      <c r="E59" s="336">
        <v>1.0</v>
      </c>
      <c r="F59" s="337">
        <v>45539.60555555556</v>
      </c>
      <c r="G59" s="336">
        <v>1.0</v>
      </c>
      <c r="H59" s="336">
        <v>51.3807</v>
      </c>
      <c r="I59" s="336">
        <v>6.3561</v>
      </c>
      <c r="J59" s="336">
        <v>-28.654519</v>
      </c>
      <c r="K59" s="336">
        <v>-27.125769</v>
      </c>
      <c r="L59" s="336">
        <v>997.807</v>
      </c>
      <c r="M59" s="336">
        <v>71.500598</v>
      </c>
      <c r="N59" s="336">
        <v>11200.319</v>
      </c>
      <c r="O59" s="336">
        <v>11266.7533</v>
      </c>
      <c r="P59" s="338">
        <v>2016.6497</v>
      </c>
      <c r="Q59" s="338" t="s">
        <v>519</v>
      </c>
      <c r="R59" s="338" t="s">
        <v>12</v>
      </c>
      <c r="S59" s="338">
        <v>10.0</v>
      </c>
      <c r="T59" s="338">
        <v>5.0</v>
      </c>
      <c r="U59" s="338">
        <v>0.7</v>
      </c>
      <c r="V59" s="345">
        <v>0.7</v>
      </c>
      <c r="W59" s="338">
        <v>0.7</v>
      </c>
      <c r="X59" s="336">
        <v>2000.0</v>
      </c>
      <c r="Y59" s="336" t="s">
        <v>510</v>
      </c>
      <c r="Z59" s="336">
        <v>0.2</v>
      </c>
      <c r="AA59" s="336" t="s">
        <v>511</v>
      </c>
      <c r="AB59" s="336" t="s">
        <v>512</v>
      </c>
      <c r="AC59" s="336">
        <v>220.0</v>
      </c>
      <c r="AE59" s="340"/>
    </row>
    <row r="60">
      <c r="A60" s="336" t="s">
        <v>585</v>
      </c>
      <c r="B60" s="336">
        <v>6.0</v>
      </c>
      <c r="C60" s="336">
        <v>183.0</v>
      </c>
      <c r="D60" s="336" t="s">
        <v>551</v>
      </c>
      <c r="E60" s="336">
        <v>1.0</v>
      </c>
      <c r="F60" s="337">
        <v>45539.60833333333</v>
      </c>
      <c r="G60" s="336">
        <v>1.0</v>
      </c>
      <c r="H60" s="336">
        <v>51.3774</v>
      </c>
      <c r="I60" s="336">
        <v>6.26935</v>
      </c>
      <c r="J60" s="336">
        <v>-28.651769</v>
      </c>
      <c r="K60" s="336">
        <v>-27.317719</v>
      </c>
      <c r="L60" s="336">
        <v>982.216</v>
      </c>
      <c r="M60" s="336">
        <v>78.499596</v>
      </c>
      <c r="N60" s="336">
        <v>11257.0268</v>
      </c>
      <c r="O60" s="336">
        <v>11266.7533</v>
      </c>
      <c r="P60" s="338">
        <v>2016.6497</v>
      </c>
      <c r="Q60" s="338" t="s">
        <v>509</v>
      </c>
      <c r="R60" s="338" t="s">
        <v>12</v>
      </c>
      <c r="S60" s="338">
        <v>10.0</v>
      </c>
      <c r="T60" s="338">
        <v>5.0</v>
      </c>
      <c r="U60" s="338">
        <v>0.7</v>
      </c>
      <c r="V60" s="345">
        <v>0.7</v>
      </c>
      <c r="W60" s="338">
        <v>0.7</v>
      </c>
      <c r="X60" s="336">
        <v>2000.0</v>
      </c>
      <c r="Y60" s="336" t="s">
        <v>510</v>
      </c>
      <c r="Z60" s="336">
        <v>0.2</v>
      </c>
      <c r="AA60" s="336" t="s">
        <v>511</v>
      </c>
      <c r="AB60" s="336" t="s">
        <v>512</v>
      </c>
      <c r="AC60" s="336">
        <v>220.0</v>
      </c>
      <c r="AE60" s="340"/>
    </row>
    <row r="61">
      <c r="A61" s="336" t="s">
        <v>586</v>
      </c>
      <c r="B61" s="336">
        <v>6.0</v>
      </c>
      <c r="C61" s="336">
        <v>183.0</v>
      </c>
      <c r="D61" s="336" t="s">
        <v>551</v>
      </c>
      <c r="E61" s="336">
        <v>1.0</v>
      </c>
      <c r="F61" s="337">
        <v>45539.611805555556</v>
      </c>
      <c r="G61" s="336">
        <v>1.0</v>
      </c>
      <c r="H61" s="336">
        <v>51.3774</v>
      </c>
      <c r="I61" s="336">
        <v>6.30471</v>
      </c>
      <c r="J61" s="336">
        <v>-28.776519</v>
      </c>
      <c r="K61" s="336">
        <v>-26.998494</v>
      </c>
      <c r="L61" s="336">
        <v>1015.53</v>
      </c>
      <c r="M61" s="336">
        <v>69.499062</v>
      </c>
      <c r="N61" s="336">
        <v>11276.4799</v>
      </c>
      <c r="O61" s="336">
        <v>11266.7533</v>
      </c>
      <c r="P61" s="338">
        <v>2016.6497</v>
      </c>
      <c r="Q61" s="338" t="s">
        <v>509</v>
      </c>
      <c r="R61" s="338" t="s">
        <v>12</v>
      </c>
      <c r="S61" s="338">
        <v>10.0</v>
      </c>
      <c r="T61" s="338">
        <v>5.0</v>
      </c>
      <c r="U61" s="338">
        <v>0.7</v>
      </c>
      <c r="V61" s="345">
        <v>0.7</v>
      </c>
      <c r="W61" s="338">
        <v>0.7</v>
      </c>
      <c r="X61" s="336">
        <v>2000.0</v>
      </c>
      <c r="Y61" s="336" t="s">
        <v>510</v>
      </c>
      <c r="Z61" s="336">
        <v>0.2</v>
      </c>
      <c r="AA61" s="336" t="s">
        <v>511</v>
      </c>
      <c r="AB61" s="336" t="s">
        <v>512</v>
      </c>
      <c r="AC61" s="336">
        <v>220.0</v>
      </c>
      <c r="AD61" s="339"/>
      <c r="AE61" s="340"/>
    </row>
    <row r="62">
      <c r="A62" s="336" t="s">
        <v>587</v>
      </c>
      <c r="B62" s="336">
        <v>7.0</v>
      </c>
      <c r="C62" s="336">
        <v>184.0</v>
      </c>
      <c r="D62" s="336" t="s">
        <v>554</v>
      </c>
      <c r="E62" s="336">
        <v>1.0</v>
      </c>
      <c r="F62" s="337">
        <v>45539.614583333336</v>
      </c>
      <c r="G62" s="336">
        <v>1.0</v>
      </c>
      <c r="H62" s="336">
        <v>51.3774</v>
      </c>
      <c r="I62" s="336">
        <v>6.24839</v>
      </c>
      <c r="J62" s="336">
        <v>-28.900206</v>
      </c>
      <c r="K62" s="336">
        <v>-27.519444</v>
      </c>
      <c r="L62" s="336">
        <v>1011.69</v>
      </c>
      <c r="M62" s="336">
        <v>72.500935</v>
      </c>
      <c r="N62" s="336">
        <v>11318.899</v>
      </c>
      <c r="O62" s="336">
        <v>0.0</v>
      </c>
      <c r="P62" s="338">
        <v>0.0</v>
      </c>
      <c r="Q62" s="338" t="s">
        <v>588</v>
      </c>
      <c r="R62" s="338" t="s">
        <v>534</v>
      </c>
      <c r="S62" s="338">
        <v>10.0</v>
      </c>
      <c r="T62" s="338">
        <v>5.0</v>
      </c>
      <c r="U62" s="338">
        <v>0.7</v>
      </c>
      <c r="V62" s="345">
        <v>0.7</v>
      </c>
      <c r="W62" s="338">
        <v>0.7</v>
      </c>
      <c r="X62" s="336">
        <v>2000.0</v>
      </c>
      <c r="Y62" s="336" t="s">
        <v>510</v>
      </c>
      <c r="Z62" s="336">
        <v>0.2</v>
      </c>
      <c r="AA62" s="336" t="s">
        <v>511</v>
      </c>
      <c r="AB62" s="336" t="s">
        <v>512</v>
      </c>
      <c r="AC62" s="336">
        <v>220.0</v>
      </c>
      <c r="AD62" s="339"/>
      <c r="AE62" s="340"/>
    </row>
    <row r="63">
      <c r="A63" s="336" t="s">
        <v>589</v>
      </c>
      <c r="B63" s="336">
        <v>7.0</v>
      </c>
      <c r="C63" s="336">
        <v>184.0</v>
      </c>
      <c r="D63" s="336" t="s">
        <v>554</v>
      </c>
      <c r="E63" s="336">
        <v>1.0</v>
      </c>
      <c r="F63" s="337">
        <v>45539.61736111111</v>
      </c>
      <c r="G63" s="336">
        <v>1.0</v>
      </c>
      <c r="H63" s="336">
        <v>51.3741</v>
      </c>
      <c r="I63" s="336">
        <v>6.49692</v>
      </c>
      <c r="J63" s="336">
        <v>-28.822687</v>
      </c>
      <c r="K63" s="336">
        <v>-27.336238</v>
      </c>
      <c r="L63" s="336">
        <v>1011.11</v>
      </c>
      <c r="M63" s="336">
        <v>70.501515</v>
      </c>
      <c r="N63" s="336">
        <v>11296.0088</v>
      </c>
      <c r="O63" s="336">
        <v>0.0</v>
      </c>
      <c r="P63" s="338">
        <v>0.0</v>
      </c>
      <c r="Q63" s="338" t="s">
        <v>588</v>
      </c>
      <c r="R63" s="338" t="s">
        <v>534</v>
      </c>
      <c r="S63" s="338">
        <v>10.0</v>
      </c>
      <c r="T63" s="338">
        <v>5.0</v>
      </c>
      <c r="U63" s="338">
        <v>0.7</v>
      </c>
      <c r="V63" s="345">
        <v>0.7</v>
      </c>
      <c r="W63" s="338">
        <v>0.7</v>
      </c>
      <c r="X63" s="336">
        <v>2000.0</v>
      </c>
      <c r="Y63" s="336" t="s">
        <v>510</v>
      </c>
      <c r="Z63" s="336">
        <v>0.2</v>
      </c>
      <c r="AA63" s="336" t="s">
        <v>511</v>
      </c>
      <c r="AB63" s="336" t="s">
        <v>512</v>
      </c>
      <c r="AC63" s="336">
        <v>220.0</v>
      </c>
      <c r="AD63" s="339"/>
      <c r="AE63" s="340"/>
    </row>
    <row r="64">
      <c r="A64" s="336" t="s">
        <v>590</v>
      </c>
      <c r="B64" s="336">
        <v>7.0</v>
      </c>
      <c r="C64" s="336">
        <v>184.0</v>
      </c>
      <c r="D64" s="336" t="s">
        <v>554</v>
      </c>
      <c r="E64" s="336">
        <v>1.0</v>
      </c>
      <c r="F64" s="337">
        <v>45539.620833333334</v>
      </c>
      <c r="G64" s="336">
        <v>1.0</v>
      </c>
      <c r="H64" s="336">
        <v>51.3741</v>
      </c>
      <c r="I64" s="336">
        <v>6.29394</v>
      </c>
      <c r="J64" s="336">
        <v>-28.774356</v>
      </c>
      <c r="K64" s="336">
        <v>-27.668625</v>
      </c>
      <c r="L64" s="336">
        <v>1016.64</v>
      </c>
      <c r="M64" s="336">
        <v>81.500753</v>
      </c>
      <c r="N64" s="336">
        <v>11355.3613</v>
      </c>
      <c r="O64" s="336">
        <v>0.0</v>
      </c>
      <c r="P64" s="338">
        <v>0.0</v>
      </c>
      <c r="Q64" s="338" t="s">
        <v>588</v>
      </c>
      <c r="R64" s="338" t="s">
        <v>534</v>
      </c>
      <c r="S64" s="338">
        <v>10.0</v>
      </c>
      <c r="T64" s="338">
        <v>5.0</v>
      </c>
      <c r="U64" s="338">
        <v>0.7</v>
      </c>
      <c r="V64" s="345">
        <v>0.7</v>
      </c>
      <c r="W64" s="338">
        <v>0.7</v>
      </c>
      <c r="X64" s="336">
        <v>2000.0</v>
      </c>
      <c r="Y64" s="336" t="s">
        <v>510</v>
      </c>
      <c r="Z64" s="336">
        <v>0.2</v>
      </c>
      <c r="AA64" s="336" t="s">
        <v>511</v>
      </c>
      <c r="AB64" s="336" t="s">
        <v>512</v>
      </c>
      <c r="AC64" s="336">
        <v>220.0</v>
      </c>
      <c r="AD64" s="339"/>
      <c r="AE64" s="340"/>
    </row>
    <row r="65">
      <c r="A65" s="336" t="s">
        <v>591</v>
      </c>
      <c r="B65" s="336">
        <v>7.0</v>
      </c>
      <c r="C65" s="336">
        <v>184.0</v>
      </c>
      <c r="D65" s="336" t="s">
        <v>554</v>
      </c>
      <c r="E65" s="336">
        <v>1.0</v>
      </c>
      <c r="F65" s="337">
        <v>45539.623611111114</v>
      </c>
      <c r="G65" s="336">
        <v>1.0</v>
      </c>
      <c r="H65" s="336">
        <v>51.3741</v>
      </c>
      <c r="I65" s="336">
        <v>6.04539</v>
      </c>
      <c r="J65" s="336">
        <v>-28.86825</v>
      </c>
      <c r="K65" s="336">
        <v>-27.058231</v>
      </c>
      <c r="L65" s="336">
        <v>977.303</v>
      </c>
      <c r="M65" s="336">
        <v>73.00003</v>
      </c>
      <c r="N65" s="336">
        <v>11202.6389</v>
      </c>
      <c r="O65" s="336">
        <v>0.0</v>
      </c>
      <c r="P65" s="338">
        <v>0.0</v>
      </c>
      <c r="Q65" s="338" t="s">
        <v>588</v>
      </c>
      <c r="R65" s="338" t="s">
        <v>534</v>
      </c>
      <c r="S65" s="338">
        <v>10.0</v>
      </c>
      <c r="T65" s="338">
        <v>5.0</v>
      </c>
      <c r="U65" s="338">
        <v>0.7</v>
      </c>
      <c r="V65" s="345">
        <v>0.7</v>
      </c>
      <c r="W65" s="338">
        <v>0.7</v>
      </c>
      <c r="X65" s="336">
        <v>2000.0</v>
      </c>
      <c r="Y65" s="336" t="s">
        <v>510</v>
      </c>
      <c r="Z65" s="336">
        <v>0.2</v>
      </c>
      <c r="AA65" s="336" t="s">
        <v>511</v>
      </c>
      <c r="AB65" s="336" t="s">
        <v>512</v>
      </c>
      <c r="AC65" s="336">
        <v>220.0</v>
      </c>
      <c r="AD65" s="339"/>
      <c r="AE65" s="340"/>
    </row>
    <row r="66">
      <c r="A66" s="336" t="s">
        <v>592</v>
      </c>
      <c r="B66" s="336">
        <v>7.0</v>
      </c>
      <c r="C66" s="336">
        <v>184.0</v>
      </c>
      <c r="D66" s="336" t="s">
        <v>554</v>
      </c>
      <c r="E66" s="336">
        <v>1.0</v>
      </c>
      <c r="F66" s="337">
        <v>45539.626388888886</v>
      </c>
      <c r="G66" s="336">
        <v>1.0</v>
      </c>
      <c r="H66" s="336">
        <v>51.3741</v>
      </c>
      <c r="I66" s="336">
        <v>5.98394</v>
      </c>
      <c r="J66" s="336">
        <v>-28.827319</v>
      </c>
      <c r="K66" s="336">
        <v>-27.319513</v>
      </c>
      <c r="L66" s="336">
        <v>996.947</v>
      </c>
      <c r="M66" s="336">
        <v>75.499257</v>
      </c>
      <c r="N66" s="336">
        <v>11286.535</v>
      </c>
      <c r="O66" s="336">
        <v>0.0</v>
      </c>
      <c r="P66" s="338">
        <v>0.0</v>
      </c>
      <c r="Q66" s="338" t="s">
        <v>588</v>
      </c>
      <c r="R66" s="338" t="s">
        <v>534</v>
      </c>
      <c r="S66" s="338">
        <v>10.0</v>
      </c>
      <c r="T66" s="338">
        <v>5.0</v>
      </c>
      <c r="U66" s="338">
        <v>0.7</v>
      </c>
      <c r="V66" s="345">
        <v>0.7</v>
      </c>
      <c r="W66" s="338">
        <v>0.7</v>
      </c>
      <c r="X66" s="336">
        <v>2000.0</v>
      </c>
      <c r="Y66" s="336" t="s">
        <v>510</v>
      </c>
      <c r="Z66" s="336">
        <v>0.2</v>
      </c>
      <c r="AA66" s="336" t="s">
        <v>511</v>
      </c>
      <c r="AB66" s="336" t="s">
        <v>512</v>
      </c>
      <c r="AC66" s="336">
        <v>220.0</v>
      </c>
      <c r="AD66" s="339"/>
      <c r="AE66" s="340"/>
    </row>
    <row r="67">
      <c r="A67" s="336" t="s">
        <v>593</v>
      </c>
      <c r="B67" s="336">
        <v>7.0</v>
      </c>
      <c r="C67" s="336">
        <v>184.0</v>
      </c>
      <c r="D67" s="336" t="s">
        <v>554</v>
      </c>
      <c r="E67" s="336">
        <v>1.0</v>
      </c>
      <c r="F67" s="337">
        <v>45539.629166666666</v>
      </c>
      <c r="G67" s="336">
        <v>2.0</v>
      </c>
      <c r="H67" s="336">
        <v>51.384</v>
      </c>
      <c r="I67" s="336">
        <v>5.88962</v>
      </c>
      <c r="J67" s="336">
        <v>-28.801594</v>
      </c>
      <c r="K67" s="336">
        <v>-26.90045</v>
      </c>
      <c r="L67" s="336">
        <v>996.121</v>
      </c>
      <c r="M67" s="336">
        <v>71.500616</v>
      </c>
      <c r="N67" s="336">
        <v>11243.4906</v>
      </c>
      <c r="O67" s="336">
        <v>0.0</v>
      </c>
      <c r="P67" s="338">
        <v>0.0</v>
      </c>
      <c r="Q67" s="338" t="s">
        <v>588</v>
      </c>
      <c r="R67" s="338" t="s">
        <v>534</v>
      </c>
      <c r="S67" s="338">
        <v>10.0</v>
      </c>
      <c r="T67" s="338">
        <v>5.0</v>
      </c>
      <c r="U67" s="338">
        <v>0.7</v>
      </c>
      <c r="V67" s="345">
        <v>0.7</v>
      </c>
      <c r="W67" s="338">
        <v>0.7</v>
      </c>
      <c r="X67" s="336">
        <v>2000.0</v>
      </c>
      <c r="Y67" s="336" t="s">
        <v>510</v>
      </c>
      <c r="Z67" s="336">
        <v>0.2</v>
      </c>
      <c r="AA67" s="336" t="s">
        <v>511</v>
      </c>
      <c r="AB67" s="336" t="s">
        <v>512</v>
      </c>
      <c r="AC67" s="336">
        <v>220.0</v>
      </c>
      <c r="AD67" s="339"/>
      <c r="AE67" s="340"/>
    </row>
    <row r="68">
      <c r="A68" s="336" t="s">
        <v>594</v>
      </c>
      <c r="B68" s="336">
        <v>7.0</v>
      </c>
      <c r="C68" s="336">
        <v>184.0</v>
      </c>
      <c r="D68" s="336" t="s">
        <v>554</v>
      </c>
      <c r="E68" s="336">
        <v>1.0</v>
      </c>
      <c r="F68" s="337">
        <v>45539.631944444445</v>
      </c>
      <c r="G68" s="336">
        <v>2.0</v>
      </c>
      <c r="H68" s="336">
        <v>51.3774</v>
      </c>
      <c r="I68" s="336">
        <v>5.87109</v>
      </c>
      <c r="J68" s="336">
        <v>-28.869013</v>
      </c>
      <c r="K68" s="336">
        <v>-27.412769</v>
      </c>
      <c r="L68" s="336">
        <v>981.957</v>
      </c>
      <c r="M68" s="336">
        <v>78.499386</v>
      </c>
      <c r="N68" s="336">
        <v>11150.3818</v>
      </c>
      <c r="O68" s="336">
        <v>0.0</v>
      </c>
      <c r="P68" s="338">
        <v>0.0</v>
      </c>
      <c r="Q68" s="338" t="s">
        <v>588</v>
      </c>
      <c r="R68" s="338" t="s">
        <v>534</v>
      </c>
      <c r="S68" s="338">
        <v>10.0</v>
      </c>
      <c r="T68" s="338">
        <v>5.0</v>
      </c>
      <c r="U68" s="338">
        <v>0.7</v>
      </c>
      <c r="V68" s="345">
        <v>0.7</v>
      </c>
      <c r="W68" s="338">
        <v>0.7</v>
      </c>
      <c r="X68" s="336">
        <v>2000.0</v>
      </c>
      <c r="Y68" s="336" t="s">
        <v>510</v>
      </c>
      <c r="Z68" s="336">
        <v>0.2</v>
      </c>
      <c r="AA68" s="336" t="s">
        <v>511</v>
      </c>
      <c r="AB68" s="336" t="s">
        <v>512</v>
      </c>
      <c r="AC68" s="336">
        <v>220.0</v>
      </c>
      <c r="AD68" s="339"/>
      <c r="AE68" s="340"/>
    </row>
    <row r="69">
      <c r="A69" s="336" t="s">
        <v>595</v>
      </c>
      <c r="B69" s="336">
        <v>7.0</v>
      </c>
      <c r="C69" s="336">
        <v>184.0</v>
      </c>
      <c r="D69" s="336" t="s">
        <v>554</v>
      </c>
      <c r="E69" s="336">
        <v>1.0</v>
      </c>
      <c r="F69" s="337">
        <v>45539.634722222225</v>
      </c>
      <c r="G69" s="336">
        <v>2.0</v>
      </c>
      <c r="H69" s="336">
        <v>51.3807</v>
      </c>
      <c r="I69" s="336">
        <v>5.88487</v>
      </c>
      <c r="J69" s="336">
        <v>-28.732731</v>
      </c>
      <c r="K69" s="336">
        <v>-26.68395</v>
      </c>
      <c r="L69" s="336">
        <v>977.502</v>
      </c>
      <c r="M69" s="336">
        <v>70.999609</v>
      </c>
      <c r="N69" s="336">
        <v>11214.7218</v>
      </c>
      <c r="O69" s="336">
        <v>0.0</v>
      </c>
      <c r="P69" s="338">
        <v>0.0</v>
      </c>
      <c r="Q69" s="338" t="s">
        <v>588</v>
      </c>
      <c r="R69" s="338" t="s">
        <v>534</v>
      </c>
      <c r="S69" s="338">
        <v>10.0</v>
      </c>
      <c r="T69" s="338">
        <v>5.0</v>
      </c>
      <c r="U69" s="338">
        <v>0.7</v>
      </c>
      <c r="V69" s="345">
        <v>0.7</v>
      </c>
      <c r="W69" s="338">
        <v>0.7</v>
      </c>
      <c r="X69" s="336">
        <v>2000.0</v>
      </c>
      <c r="Y69" s="336" t="s">
        <v>510</v>
      </c>
      <c r="Z69" s="336">
        <v>0.2</v>
      </c>
      <c r="AA69" s="336" t="s">
        <v>511</v>
      </c>
      <c r="AB69" s="336" t="s">
        <v>512</v>
      </c>
      <c r="AC69" s="336">
        <v>220.0</v>
      </c>
      <c r="AD69" s="339"/>
      <c r="AE69" s="340"/>
    </row>
    <row r="70">
      <c r="A70" s="336" t="s">
        <v>596</v>
      </c>
      <c r="B70" s="336">
        <v>7.0</v>
      </c>
      <c r="C70" s="336">
        <v>184.0</v>
      </c>
      <c r="D70" s="336" t="s">
        <v>554</v>
      </c>
      <c r="E70" s="336">
        <v>1.0</v>
      </c>
      <c r="F70" s="337">
        <v>45539.6375</v>
      </c>
      <c r="G70" s="336">
        <v>2.0</v>
      </c>
      <c r="H70" s="336">
        <v>51.3741</v>
      </c>
      <c r="I70" s="336">
        <v>5.77603</v>
      </c>
      <c r="J70" s="336">
        <v>-28.662825</v>
      </c>
      <c r="K70" s="336">
        <v>-27.224806</v>
      </c>
      <c r="L70" s="336">
        <v>967.733</v>
      </c>
      <c r="M70" s="336">
        <v>76.501083</v>
      </c>
      <c r="N70" s="336">
        <v>11017.7816</v>
      </c>
      <c r="O70" s="336">
        <v>0.0</v>
      </c>
      <c r="P70" s="338">
        <v>0.0</v>
      </c>
      <c r="Q70" s="338" t="s">
        <v>588</v>
      </c>
      <c r="R70" s="338" t="s">
        <v>534</v>
      </c>
      <c r="S70" s="338">
        <v>10.0</v>
      </c>
      <c r="T70" s="338">
        <v>5.0</v>
      </c>
      <c r="U70" s="338">
        <v>0.7</v>
      </c>
      <c r="V70" s="345">
        <v>0.7</v>
      </c>
      <c r="W70" s="338">
        <v>0.7</v>
      </c>
      <c r="X70" s="336">
        <v>2000.0</v>
      </c>
      <c r="Y70" s="336" t="s">
        <v>510</v>
      </c>
      <c r="Z70" s="336">
        <v>0.2</v>
      </c>
      <c r="AA70" s="336" t="s">
        <v>511</v>
      </c>
      <c r="AB70" s="336" t="s">
        <v>512</v>
      </c>
      <c r="AC70" s="336">
        <v>220.0</v>
      </c>
      <c r="AD70" s="339"/>
      <c r="AE70" s="340"/>
    </row>
    <row r="71">
      <c r="A71" s="336" t="s">
        <v>597</v>
      </c>
      <c r="B71" s="336">
        <v>7.0</v>
      </c>
      <c r="C71" s="336">
        <v>184.0</v>
      </c>
      <c r="D71" s="336" t="s">
        <v>554</v>
      </c>
      <c r="E71" s="336">
        <v>1.0</v>
      </c>
      <c r="F71" s="337">
        <v>45539.64027777778</v>
      </c>
      <c r="G71" s="336">
        <v>2.0</v>
      </c>
      <c r="H71" s="336">
        <v>51.3807</v>
      </c>
      <c r="I71" s="336">
        <v>5.87505</v>
      </c>
      <c r="J71" s="336">
        <v>-28.773456</v>
      </c>
      <c r="K71" s="336">
        <v>-27.129294</v>
      </c>
      <c r="L71" s="336">
        <v>988.426</v>
      </c>
      <c r="M71" s="336">
        <v>74.497886</v>
      </c>
      <c r="N71" s="336">
        <v>11217.4374</v>
      </c>
      <c r="O71" s="336">
        <v>0.0</v>
      </c>
      <c r="P71" s="338">
        <v>0.0</v>
      </c>
      <c r="Q71" s="338" t="s">
        <v>588</v>
      </c>
      <c r="R71" s="338" t="s">
        <v>534</v>
      </c>
      <c r="S71" s="338">
        <v>10.0</v>
      </c>
      <c r="T71" s="338">
        <v>5.0</v>
      </c>
      <c r="U71" s="338">
        <v>0.7</v>
      </c>
      <c r="V71" s="345">
        <v>0.7</v>
      </c>
      <c r="W71" s="338">
        <v>0.7</v>
      </c>
      <c r="X71" s="336">
        <v>2000.0</v>
      </c>
      <c r="Y71" s="336" t="s">
        <v>510</v>
      </c>
      <c r="Z71" s="336">
        <v>0.2</v>
      </c>
      <c r="AA71" s="336" t="s">
        <v>511</v>
      </c>
      <c r="AB71" s="336" t="s">
        <v>512</v>
      </c>
      <c r="AC71" s="336">
        <v>220.0</v>
      </c>
      <c r="AD71" s="339"/>
      <c r="AE71" s="340"/>
    </row>
    <row r="72">
      <c r="A72" s="336" t="s">
        <v>598</v>
      </c>
      <c r="B72" s="336">
        <v>8.0</v>
      </c>
      <c r="C72" s="336">
        <v>170.0</v>
      </c>
      <c r="D72" s="336" t="s">
        <v>558</v>
      </c>
      <c r="E72" s="336">
        <v>1.0</v>
      </c>
      <c r="F72" s="337">
        <v>45539.64375</v>
      </c>
      <c r="G72" s="336">
        <v>1.0</v>
      </c>
      <c r="H72" s="336">
        <v>51.384</v>
      </c>
      <c r="I72" s="336">
        <v>5.88244</v>
      </c>
      <c r="J72" s="336">
        <v>-28.71125</v>
      </c>
      <c r="K72" s="336">
        <v>-26.888019</v>
      </c>
      <c r="L72" s="336">
        <v>980.221</v>
      </c>
      <c r="M72" s="336">
        <v>73.999245</v>
      </c>
      <c r="N72" s="336">
        <v>11263.9324</v>
      </c>
      <c r="O72" s="336">
        <v>11259.8878</v>
      </c>
      <c r="P72" s="338">
        <v>2015.42477</v>
      </c>
      <c r="Q72" s="338" t="s">
        <v>509</v>
      </c>
      <c r="R72" s="338" t="s">
        <v>12</v>
      </c>
      <c r="S72" s="338">
        <v>10.0</v>
      </c>
      <c r="T72" s="338">
        <v>5.0</v>
      </c>
      <c r="U72" s="338">
        <v>0.7</v>
      </c>
      <c r="V72" s="345">
        <v>0.7</v>
      </c>
      <c r="W72" s="338">
        <v>0.7</v>
      </c>
      <c r="X72" s="336">
        <v>2000.0</v>
      </c>
      <c r="Y72" s="336" t="s">
        <v>510</v>
      </c>
      <c r="Z72" s="336">
        <v>0.2</v>
      </c>
      <c r="AA72" s="336" t="s">
        <v>511</v>
      </c>
      <c r="AB72" s="336" t="s">
        <v>512</v>
      </c>
      <c r="AC72" s="336">
        <v>220.0</v>
      </c>
      <c r="AD72" s="339"/>
      <c r="AE72" s="340"/>
    </row>
    <row r="73">
      <c r="A73" s="336" t="s">
        <v>599</v>
      </c>
      <c r="B73" s="336">
        <v>8.0</v>
      </c>
      <c r="C73" s="336">
        <v>170.0</v>
      </c>
      <c r="D73" s="336" t="s">
        <v>558</v>
      </c>
      <c r="E73" s="336">
        <v>1.0</v>
      </c>
      <c r="F73" s="337">
        <v>45539.646527777775</v>
      </c>
      <c r="G73" s="336">
        <v>1.0</v>
      </c>
      <c r="H73" s="336">
        <v>51.3774</v>
      </c>
      <c r="I73" s="336">
        <v>5.91888</v>
      </c>
      <c r="J73" s="336">
        <v>-28.596625</v>
      </c>
      <c r="K73" s="336">
        <v>-26.711756</v>
      </c>
      <c r="L73" s="336">
        <v>984.953</v>
      </c>
      <c r="M73" s="336">
        <v>70.001333</v>
      </c>
      <c r="N73" s="336">
        <v>11255.8433</v>
      </c>
      <c r="O73" s="336">
        <v>11259.8878</v>
      </c>
      <c r="P73" s="338">
        <v>2015.42477</v>
      </c>
      <c r="Q73" s="338" t="s">
        <v>509</v>
      </c>
      <c r="R73" s="338" t="s">
        <v>12</v>
      </c>
      <c r="S73" s="338">
        <v>10.0</v>
      </c>
      <c r="T73" s="338">
        <v>5.0</v>
      </c>
      <c r="U73" s="338">
        <v>0.7</v>
      </c>
      <c r="V73" s="345">
        <v>0.7</v>
      </c>
      <c r="W73" s="338">
        <v>0.7</v>
      </c>
      <c r="X73" s="336">
        <v>2000.0</v>
      </c>
      <c r="Y73" s="336" t="s">
        <v>510</v>
      </c>
      <c r="Z73" s="336">
        <v>0.2</v>
      </c>
      <c r="AA73" s="336" t="s">
        <v>511</v>
      </c>
      <c r="AB73" s="336" t="s">
        <v>512</v>
      </c>
      <c r="AC73" s="336">
        <v>220.0</v>
      </c>
      <c r="AD73" s="339"/>
      <c r="AE73" s="340"/>
    </row>
    <row r="74">
      <c r="A74" s="336" t="s">
        <v>600</v>
      </c>
      <c r="B74" s="336">
        <v>9.0</v>
      </c>
      <c r="C74" s="336">
        <v>171.0</v>
      </c>
      <c r="D74" s="336" t="s">
        <v>561</v>
      </c>
      <c r="E74" s="336">
        <v>1.0</v>
      </c>
      <c r="F74" s="337">
        <v>45539.65</v>
      </c>
      <c r="G74" s="336">
        <v>1.0</v>
      </c>
      <c r="H74" s="336">
        <v>51.3774</v>
      </c>
      <c r="I74" s="336">
        <v>5.87754</v>
      </c>
      <c r="J74" s="336">
        <v>-28.588125</v>
      </c>
      <c r="K74" s="336">
        <v>-27.178263</v>
      </c>
      <c r="L74" s="336">
        <v>981.048</v>
      </c>
      <c r="M74" s="336">
        <v>75.998701</v>
      </c>
      <c r="N74" s="336">
        <v>11241.8044</v>
      </c>
      <c r="O74" s="336">
        <v>11251.1707</v>
      </c>
      <c r="P74" s="338">
        <v>2013.86948</v>
      </c>
      <c r="Q74" s="338" t="s">
        <v>509</v>
      </c>
      <c r="R74" s="338" t="s">
        <v>12</v>
      </c>
      <c r="S74" s="338">
        <v>10.0</v>
      </c>
      <c r="T74" s="338">
        <v>5.0</v>
      </c>
      <c r="U74" s="338">
        <v>0.7</v>
      </c>
      <c r="V74" s="345">
        <v>0.7</v>
      </c>
      <c r="W74" s="338">
        <v>0.7</v>
      </c>
      <c r="X74" s="336">
        <v>2000.0</v>
      </c>
      <c r="Y74" s="336" t="s">
        <v>510</v>
      </c>
      <c r="Z74" s="336">
        <v>0.2</v>
      </c>
      <c r="AA74" s="336" t="s">
        <v>511</v>
      </c>
      <c r="AB74" s="336" t="s">
        <v>512</v>
      </c>
      <c r="AC74" s="336">
        <v>220.0</v>
      </c>
      <c r="AD74" s="339"/>
      <c r="AE74" s="340"/>
    </row>
    <row r="75">
      <c r="A75" s="336" t="s">
        <v>601</v>
      </c>
      <c r="B75" s="336">
        <v>9.0</v>
      </c>
      <c r="C75" s="336">
        <v>171.0</v>
      </c>
      <c r="D75" s="336" t="s">
        <v>561</v>
      </c>
      <c r="E75" s="336">
        <v>1.0</v>
      </c>
      <c r="F75" s="337">
        <v>45539.65277777778</v>
      </c>
      <c r="G75" s="336">
        <v>1.0</v>
      </c>
      <c r="H75" s="336">
        <v>51.3807</v>
      </c>
      <c r="I75" s="336">
        <v>5.82003</v>
      </c>
      <c r="J75" s="336">
        <v>-28.690556</v>
      </c>
      <c r="K75" s="336">
        <v>-27.408831</v>
      </c>
      <c r="L75" s="336">
        <v>1003.72</v>
      </c>
      <c r="M75" s="336">
        <v>77.000996</v>
      </c>
      <c r="N75" s="336">
        <v>11260.537</v>
      </c>
      <c r="O75" s="336">
        <v>11251.1707</v>
      </c>
      <c r="P75" s="338">
        <v>2013.86948</v>
      </c>
      <c r="Q75" s="338" t="s">
        <v>509</v>
      </c>
      <c r="R75" s="338" t="s">
        <v>12</v>
      </c>
      <c r="S75" s="338">
        <v>10.0</v>
      </c>
      <c r="T75" s="338">
        <v>5.0</v>
      </c>
      <c r="U75" s="338">
        <v>0.7</v>
      </c>
      <c r="V75" s="345">
        <v>0.7</v>
      </c>
      <c r="W75" s="338">
        <v>0.7</v>
      </c>
      <c r="X75" s="336">
        <v>2000.0</v>
      </c>
      <c r="Y75" s="336" t="s">
        <v>510</v>
      </c>
      <c r="Z75" s="336">
        <v>0.2</v>
      </c>
      <c r="AA75" s="336" t="s">
        <v>511</v>
      </c>
      <c r="AB75" s="336" t="s">
        <v>512</v>
      </c>
      <c r="AC75" s="336">
        <v>220.0</v>
      </c>
      <c r="AD75" s="339"/>
      <c r="AE75" s="340"/>
    </row>
    <row r="76">
      <c r="A76" s="342" t="s">
        <v>602</v>
      </c>
      <c r="B76" s="342" t="s">
        <v>517</v>
      </c>
      <c r="C76" s="342" t="s">
        <v>518</v>
      </c>
      <c r="D76" s="342" t="s">
        <v>508</v>
      </c>
      <c r="E76" s="342">
        <v>0.8</v>
      </c>
      <c r="F76" s="343">
        <v>45539.65625</v>
      </c>
      <c r="G76" s="342">
        <v>1.0</v>
      </c>
      <c r="H76" s="342">
        <v>51.3774</v>
      </c>
      <c r="I76" s="342">
        <v>6.86355</v>
      </c>
      <c r="J76" s="342">
        <v>-28.726088</v>
      </c>
      <c r="K76" s="342">
        <v>-27.176388</v>
      </c>
      <c r="L76" s="342">
        <v>984.234</v>
      </c>
      <c r="M76" s="342">
        <v>63.500117</v>
      </c>
      <c r="N76" s="342">
        <v>9219.21331</v>
      </c>
      <c r="O76" s="342">
        <v>9223.85041</v>
      </c>
      <c r="P76" s="344">
        <v>2070.3457</v>
      </c>
      <c r="Q76" s="344" t="s">
        <v>509</v>
      </c>
      <c r="R76" s="338" t="s">
        <v>12</v>
      </c>
      <c r="S76" s="338">
        <v>10.0</v>
      </c>
      <c r="T76" s="338">
        <v>5.0</v>
      </c>
      <c r="U76" s="338">
        <v>0.7</v>
      </c>
      <c r="V76" s="345">
        <v>0.7</v>
      </c>
      <c r="W76" s="338">
        <v>0.7</v>
      </c>
      <c r="X76" s="336">
        <v>2000.0</v>
      </c>
      <c r="Y76" s="336" t="s">
        <v>510</v>
      </c>
      <c r="Z76" s="336">
        <v>0.2</v>
      </c>
      <c r="AA76" s="336" t="s">
        <v>511</v>
      </c>
      <c r="AB76" s="336" t="s">
        <v>512</v>
      </c>
      <c r="AC76" s="336">
        <v>220.0</v>
      </c>
      <c r="AD76" s="339"/>
      <c r="AE76" s="340"/>
    </row>
    <row r="77">
      <c r="A77" s="342" t="s">
        <v>603</v>
      </c>
      <c r="B77" s="342" t="s">
        <v>517</v>
      </c>
      <c r="C77" s="342" t="s">
        <v>518</v>
      </c>
      <c r="D77" s="342" t="s">
        <v>508</v>
      </c>
      <c r="E77" s="342">
        <v>0.8</v>
      </c>
      <c r="F77" s="343">
        <v>45539.65902777778</v>
      </c>
      <c r="G77" s="342">
        <v>1.0</v>
      </c>
      <c r="H77" s="342">
        <v>51.3807</v>
      </c>
      <c r="I77" s="342">
        <v>6.95344</v>
      </c>
      <c r="J77" s="342">
        <v>-28.655606</v>
      </c>
      <c r="K77" s="342">
        <v>-26.907006</v>
      </c>
      <c r="L77" s="342">
        <v>979.188</v>
      </c>
      <c r="M77" s="342">
        <v>64.499848</v>
      </c>
      <c r="N77" s="342">
        <v>9228.48751</v>
      </c>
      <c r="O77" s="342">
        <v>9223.85041</v>
      </c>
      <c r="P77" s="344">
        <v>2070.3457</v>
      </c>
      <c r="Q77" s="344" t="s">
        <v>509</v>
      </c>
      <c r="R77" s="338" t="s">
        <v>12</v>
      </c>
      <c r="S77" s="338">
        <v>10.0</v>
      </c>
      <c r="T77" s="338">
        <v>5.0</v>
      </c>
      <c r="U77" s="338">
        <v>0.7</v>
      </c>
      <c r="V77" s="345">
        <v>0.7</v>
      </c>
      <c r="W77" s="338">
        <v>0.7</v>
      </c>
      <c r="X77" s="336">
        <v>2000.0</v>
      </c>
      <c r="Y77" s="336" t="s">
        <v>510</v>
      </c>
      <c r="Z77" s="336">
        <v>0.2</v>
      </c>
      <c r="AA77" s="336" t="s">
        <v>511</v>
      </c>
      <c r="AB77" s="336" t="s">
        <v>512</v>
      </c>
      <c r="AC77" s="336">
        <v>220.0</v>
      </c>
      <c r="AD77" s="339"/>
      <c r="AE77" s="340"/>
    </row>
    <row r="78">
      <c r="A78" s="349" t="s">
        <v>604</v>
      </c>
      <c r="B78" s="349" t="s">
        <v>523</v>
      </c>
      <c r="C78" s="349" t="s">
        <v>518</v>
      </c>
      <c r="D78" s="349" t="s">
        <v>508</v>
      </c>
      <c r="E78" s="349">
        <v>1.0</v>
      </c>
      <c r="F78" s="350">
        <v>45539.66180555556</v>
      </c>
      <c r="G78" s="349">
        <v>1.0</v>
      </c>
      <c r="H78" s="349">
        <v>51.3774</v>
      </c>
      <c r="I78" s="349">
        <v>6.8158</v>
      </c>
      <c r="J78" s="349">
        <v>-28.730956</v>
      </c>
      <c r="K78" s="349">
        <v>-27.466481</v>
      </c>
      <c r="L78" s="349">
        <v>1054.12</v>
      </c>
      <c r="M78" s="349">
        <v>74.998557</v>
      </c>
      <c r="N78" s="349">
        <v>11599.5922</v>
      </c>
      <c r="O78" s="349">
        <v>0.0</v>
      </c>
      <c r="P78" s="351">
        <v>2070.3457</v>
      </c>
      <c r="Q78" s="351" t="s">
        <v>588</v>
      </c>
      <c r="R78" s="338" t="s">
        <v>534</v>
      </c>
      <c r="S78" s="338">
        <v>10.0</v>
      </c>
      <c r="T78" s="338">
        <v>5.0</v>
      </c>
      <c r="U78" s="338">
        <v>0.7</v>
      </c>
      <c r="V78" s="345">
        <v>0.7</v>
      </c>
      <c r="W78" s="338">
        <v>0.7</v>
      </c>
      <c r="X78" s="336">
        <v>2000.0</v>
      </c>
      <c r="Y78" s="336" t="s">
        <v>510</v>
      </c>
      <c r="Z78" s="336">
        <v>0.2</v>
      </c>
      <c r="AA78" s="336" t="s">
        <v>511</v>
      </c>
      <c r="AB78" s="336" t="s">
        <v>512</v>
      </c>
      <c r="AC78" s="336">
        <v>220.0</v>
      </c>
      <c r="AD78" s="339"/>
      <c r="AE78" s="340"/>
    </row>
    <row r="79">
      <c r="A79" s="349" t="s">
        <v>605</v>
      </c>
      <c r="B79" s="349" t="s">
        <v>523</v>
      </c>
      <c r="C79" s="349" t="s">
        <v>518</v>
      </c>
      <c r="D79" s="349" t="s">
        <v>508</v>
      </c>
      <c r="E79" s="349">
        <v>1.0</v>
      </c>
      <c r="F79" s="350">
        <v>45539.66458333333</v>
      </c>
      <c r="G79" s="349">
        <v>1.0</v>
      </c>
      <c r="H79" s="349">
        <v>51.3741</v>
      </c>
      <c r="I79" s="349">
        <v>6.53372</v>
      </c>
      <c r="J79" s="349">
        <v>-28.592188</v>
      </c>
      <c r="K79" s="349">
        <v>-26.860775</v>
      </c>
      <c r="L79" s="349">
        <v>1056.99</v>
      </c>
      <c r="M79" s="349">
        <v>70.50013</v>
      </c>
      <c r="N79" s="349">
        <v>11525.1684</v>
      </c>
      <c r="O79" s="349">
        <v>0.0</v>
      </c>
      <c r="P79" s="351">
        <v>2070.3457</v>
      </c>
      <c r="Q79" s="351" t="s">
        <v>588</v>
      </c>
      <c r="R79" s="338" t="s">
        <v>534</v>
      </c>
      <c r="S79" s="338">
        <v>10.0</v>
      </c>
      <c r="T79" s="338">
        <v>5.0</v>
      </c>
      <c r="U79" s="338">
        <v>0.7</v>
      </c>
      <c r="V79" s="345">
        <v>0.7</v>
      </c>
      <c r="W79" s="338">
        <v>0.7</v>
      </c>
      <c r="X79" s="336">
        <v>2000.0</v>
      </c>
      <c r="Y79" s="336" t="s">
        <v>510</v>
      </c>
      <c r="Z79" s="336">
        <v>0.2</v>
      </c>
      <c r="AA79" s="336" t="s">
        <v>511</v>
      </c>
      <c r="AB79" s="336" t="s">
        <v>512</v>
      </c>
      <c r="AC79" s="336">
        <v>220.0</v>
      </c>
      <c r="AD79" s="339"/>
      <c r="AE79" s="340"/>
    </row>
    <row r="80">
      <c r="A80" s="349" t="s">
        <v>606</v>
      </c>
      <c r="B80" s="349" t="s">
        <v>523</v>
      </c>
      <c r="C80" s="349" t="s">
        <v>518</v>
      </c>
      <c r="D80" s="349" t="s">
        <v>508</v>
      </c>
      <c r="E80" s="349">
        <v>1.0</v>
      </c>
      <c r="F80" s="350">
        <v>45539.66736111111</v>
      </c>
      <c r="G80" s="349">
        <v>1.0</v>
      </c>
      <c r="H80" s="349">
        <v>51.3774</v>
      </c>
      <c r="I80" s="349">
        <v>6.40384</v>
      </c>
      <c r="J80" s="349">
        <v>-28.686537</v>
      </c>
      <c r="K80" s="349">
        <v>-27.269744</v>
      </c>
      <c r="L80" s="349">
        <v>1055.19</v>
      </c>
      <c r="M80" s="349">
        <v>76.499627</v>
      </c>
      <c r="N80" s="349">
        <v>11557.0323</v>
      </c>
      <c r="O80" s="349">
        <v>0.0</v>
      </c>
      <c r="P80" s="351">
        <v>2070.3457</v>
      </c>
      <c r="Q80" s="351" t="s">
        <v>588</v>
      </c>
      <c r="R80" s="338" t="s">
        <v>534</v>
      </c>
      <c r="S80" s="338">
        <v>10.0</v>
      </c>
      <c r="T80" s="338">
        <v>5.0</v>
      </c>
      <c r="U80" s="338">
        <v>0.7</v>
      </c>
      <c r="V80" s="345">
        <v>0.7</v>
      </c>
      <c r="W80" s="338">
        <v>0.7</v>
      </c>
      <c r="X80" s="336">
        <v>2000.0</v>
      </c>
      <c r="Y80" s="336" t="s">
        <v>510</v>
      </c>
      <c r="Z80" s="336">
        <v>0.2</v>
      </c>
      <c r="AA80" s="336" t="s">
        <v>511</v>
      </c>
      <c r="AB80" s="336" t="s">
        <v>512</v>
      </c>
      <c r="AC80" s="336">
        <v>220.0</v>
      </c>
      <c r="AD80" s="339"/>
      <c r="AE80" s="340"/>
    </row>
    <row r="81">
      <c r="A81" s="349" t="s">
        <v>607</v>
      </c>
      <c r="B81" s="349" t="s">
        <v>523</v>
      </c>
      <c r="C81" s="349" t="s">
        <v>518</v>
      </c>
      <c r="D81" s="349" t="s">
        <v>508</v>
      </c>
      <c r="E81" s="349">
        <v>1.0</v>
      </c>
      <c r="F81" s="350">
        <v>45539.67013888889</v>
      </c>
      <c r="G81" s="349">
        <v>1.0</v>
      </c>
      <c r="H81" s="349">
        <v>51.3774</v>
      </c>
      <c r="I81" s="349">
        <v>6.21432</v>
      </c>
      <c r="J81" s="349">
        <v>-28.563219</v>
      </c>
      <c r="K81" s="349">
        <v>-27.0526</v>
      </c>
      <c r="L81" s="349">
        <v>1023.12</v>
      </c>
      <c r="M81" s="349">
        <v>75.001117</v>
      </c>
      <c r="N81" s="349">
        <v>11513.0478</v>
      </c>
      <c r="O81" s="349">
        <v>0.0</v>
      </c>
      <c r="P81" s="351">
        <v>2070.3457</v>
      </c>
      <c r="Q81" s="351" t="s">
        <v>588</v>
      </c>
      <c r="R81" s="338" t="s">
        <v>534</v>
      </c>
      <c r="S81" s="338">
        <v>10.0</v>
      </c>
      <c r="T81" s="338">
        <v>5.0</v>
      </c>
      <c r="U81" s="338">
        <v>0.7</v>
      </c>
      <c r="V81" s="345">
        <v>0.7</v>
      </c>
      <c r="W81" s="338">
        <v>0.7</v>
      </c>
      <c r="X81" s="336">
        <v>2000.0</v>
      </c>
      <c r="Y81" s="336" t="s">
        <v>510</v>
      </c>
      <c r="Z81" s="336">
        <v>0.2</v>
      </c>
      <c r="AA81" s="336" t="s">
        <v>511</v>
      </c>
      <c r="AB81" s="336" t="s">
        <v>512</v>
      </c>
      <c r="AC81" s="336">
        <v>220.0</v>
      </c>
      <c r="AD81" s="339"/>
      <c r="AE81" s="340"/>
    </row>
    <row r="82">
      <c r="A82" s="349" t="s">
        <v>608</v>
      </c>
      <c r="B82" s="349" t="s">
        <v>523</v>
      </c>
      <c r="C82" s="349" t="s">
        <v>518</v>
      </c>
      <c r="D82" s="349" t="s">
        <v>508</v>
      </c>
      <c r="E82" s="349">
        <v>1.0</v>
      </c>
      <c r="F82" s="350">
        <v>45539.67361111111</v>
      </c>
      <c r="G82" s="349">
        <v>1.0</v>
      </c>
      <c r="H82" s="349">
        <v>51.3741</v>
      </c>
      <c r="I82" s="349">
        <v>6.87312</v>
      </c>
      <c r="J82" s="349">
        <v>-28.560587</v>
      </c>
      <c r="K82" s="349">
        <v>-27.350225</v>
      </c>
      <c r="L82" s="349">
        <v>1064.78</v>
      </c>
      <c r="M82" s="349">
        <v>78.000968</v>
      </c>
      <c r="N82" s="349">
        <v>11624.7519</v>
      </c>
      <c r="O82" s="349">
        <v>0.0</v>
      </c>
      <c r="P82" s="351">
        <v>2070.3457</v>
      </c>
      <c r="Q82" s="351" t="s">
        <v>588</v>
      </c>
      <c r="R82" s="338" t="s">
        <v>534</v>
      </c>
      <c r="S82" s="338">
        <v>10.0</v>
      </c>
      <c r="T82" s="338">
        <v>5.0</v>
      </c>
      <c r="U82" s="338">
        <v>0.7</v>
      </c>
      <c r="V82" s="345">
        <v>0.7</v>
      </c>
      <c r="W82" s="338">
        <v>0.7</v>
      </c>
      <c r="X82" s="336">
        <v>2000.0</v>
      </c>
      <c r="Y82" s="336" t="s">
        <v>510</v>
      </c>
      <c r="Z82" s="336">
        <v>0.2</v>
      </c>
      <c r="AA82" s="336" t="s">
        <v>511</v>
      </c>
      <c r="AB82" s="336" t="s">
        <v>512</v>
      </c>
      <c r="AC82" s="336">
        <v>220.0</v>
      </c>
      <c r="AD82" s="339"/>
      <c r="AE82" s="340"/>
    </row>
    <row r="83">
      <c r="A83" s="349" t="s">
        <v>609</v>
      </c>
      <c r="B83" s="349" t="s">
        <v>523</v>
      </c>
      <c r="C83" s="349" t="s">
        <v>518</v>
      </c>
      <c r="D83" s="349" t="s">
        <v>508</v>
      </c>
      <c r="E83" s="349">
        <v>1.0</v>
      </c>
      <c r="F83" s="350">
        <v>45539.67638888889</v>
      </c>
      <c r="G83" s="349">
        <v>2.0</v>
      </c>
      <c r="H83" s="349">
        <v>51.3774</v>
      </c>
      <c r="I83" s="349">
        <v>6.5008</v>
      </c>
      <c r="J83" s="349">
        <v>-28.567281</v>
      </c>
      <c r="K83" s="349">
        <v>-27.147081</v>
      </c>
      <c r="L83" s="349">
        <v>1032.86</v>
      </c>
      <c r="M83" s="349">
        <v>74.999576</v>
      </c>
      <c r="N83" s="349">
        <v>11580.9567</v>
      </c>
      <c r="O83" s="349">
        <v>0.0</v>
      </c>
      <c r="P83" s="351">
        <v>2070.3457</v>
      </c>
      <c r="Q83" s="351" t="s">
        <v>588</v>
      </c>
      <c r="R83" s="338" t="s">
        <v>534</v>
      </c>
      <c r="S83" s="338">
        <v>10.0</v>
      </c>
      <c r="T83" s="338">
        <v>5.0</v>
      </c>
      <c r="U83" s="338">
        <v>0.7</v>
      </c>
      <c r="V83" s="345">
        <v>0.7</v>
      </c>
      <c r="W83" s="338">
        <v>0.7</v>
      </c>
      <c r="X83" s="336">
        <v>2000.0</v>
      </c>
      <c r="Y83" s="336" t="s">
        <v>510</v>
      </c>
      <c r="Z83" s="336">
        <v>0.2</v>
      </c>
      <c r="AA83" s="336" t="s">
        <v>511</v>
      </c>
      <c r="AB83" s="336" t="s">
        <v>512</v>
      </c>
      <c r="AC83" s="336">
        <v>220.0</v>
      </c>
      <c r="AD83" s="339"/>
      <c r="AE83" s="340"/>
    </row>
    <row r="84">
      <c r="A84" s="349" t="s">
        <v>610</v>
      </c>
      <c r="B84" s="349" t="s">
        <v>523</v>
      </c>
      <c r="C84" s="349" t="s">
        <v>518</v>
      </c>
      <c r="D84" s="349" t="s">
        <v>508</v>
      </c>
      <c r="E84" s="349">
        <v>1.0</v>
      </c>
      <c r="F84" s="350">
        <v>45539.67916666667</v>
      </c>
      <c r="G84" s="349">
        <v>2.0</v>
      </c>
      <c r="H84" s="349">
        <v>51.3741</v>
      </c>
      <c r="I84" s="349">
        <v>6.16295</v>
      </c>
      <c r="J84" s="349">
        <v>-28.536094</v>
      </c>
      <c r="K84" s="349">
        <v>-27.101994</v>
      </c>
      <c r="L84" s="349">
        <v>1023.64</v>
      </c>
      <c r="M84" s="349">
        <v>74.999823</v>
      </c>
      <c r="N84" s="349">
        <v>11523.3416</v>
      </c>
      <c r="O84" s="349">
        <v>0.0</v>
      </c>
      <c r="P84" s="351">
        <v>2070.3457</v>
      </c>
      <c r="Q84" s="351" t="s">
        <v>588</v>
      </c>
      <c r="R84" s="338" t="s">
        <v>534</v>
      </c>
      <c r="S84" s="338">
        <v>10.0</v>
      </c>
      <c r="T84" s="338">
        <v>5.0</v>
      </c>
      <c r="U84" s="338">
        <v>0.7</v>
      </c>
      <c r="V84" s="345">
        <v>0.7</v>
      </c>
      <c r="W84" s="338">
        <v>0.7</v>
      </c>
      <c r="X84" s="336">
        <v>2000.0</v>
      </c>
      <c r="Y84" s="336" t="s">
        <v>510</v>
      </c>
      <c r="Z84" s="336">
        <v>0.2</v>
      </c>
      <c r="AA84" s="336" t="s">
        <v>511</v>
      </c>
      <c r="AB84" s="336" t="s">
        <v>512</v>
      </c>
      <c r="AC84" s="336">
        <v>220.0</v>
      </c>
      <c r="AD84" s="339"/>
      <c r="AE84" s="340"/>
    </row>
    <row r="85">
      <c r="A85" s="349" t="s">
        <v>611</v>
      </c>
      <c r="B85" s="349" t="s">
        <v>523</v>
      </c>
      <c r="C85" s="349" t="s">
        <v>518</v>
      </c>
      <c r="D85" s="349" t="s">
        <v>508</v>
      </c>
      <c r="E85" s="349">
        <v>1.0</v>
      </c>
      <c r="F85" s="350">
        <v>45539.68194444444</v>
      </c>
      <c r="G85" s="349">
        <v>2.0</v>
      </c>
      <c r="H85" s="349">
        <v>51.3807</v>
      </c>
      <c r="I85" s="349">
        <v>6.32301</v>
      </c>
      <c r="J85" s="349">
        <v>-28.596494</v>
      </c>
      <c r="K85" s="349">
        <v>-26.812425</v>
      </c>
      <c r="L85" s="349">
        <v>1035.55</v>
      </c>
      <c r="M85" s="349">
        <v>72.000474</v>
      </c>
      <c r="N85" s="349">
        <v>11556.4194</v>
      </c>
      <c r="O85" s="349">
        <v>0.0</v>
      </c>
      <c r="P85" s="351">
        <v>2070.3457</v>
      </c>
      <c r="Q85" s="351" t="s">
        <v>588</v>
      </c>
      <c r="R85" s="338" t="s">
        <v>534</v>
      </c>
      <c r="S85" s="338">
        <v>10.0</v>
      </c>
      <c r="T85" s="338">
        <v>5.0</v>
      </c>
      <c r="U85" s="338">
        <v>0.7</v>
      </c>
      <c r="V85" s="345">
        <v>0.7</v>
      </c>
      <c r="W85" s="338">
        <v>0.7</v>
      </c>
      <c r="X85" s="336">
        <v>2000.0</v>
      </c>
      <c r="Y85" s="336" t="s">
        <v>510</v>
      </c>
      <c r="Z85" s="336">
        <v>0.2</v>
      </c>
      <c r="AA85" s="336" t="s">
        <v>511</v>
      </c>
      <c r="AB85" s="336" t="s">
        <v>512</v>
      </c>
      <c r="AC85" s="336">
        <v>220.0</v>
      </c>
      <c r="AD85" s="339"/>
      <c r="AE85" s="340"/>
    </row>
    <row r="86">
      <c r="A86" s="349" t="s">
        <v>612</v>
      </c>
      <c r="B86" s="349" t="s">
        <v>523</v>
      </c>
      <c r="C86" s="349" t="s">
        <v>518</v>
      </c>
      <c r="D86" s="349" t="s">
        <v>508</v>
      </c>
      <c r="E86" s="349">
        <v>1.0</v>
      </c>
      <c r="F86" s="350">
        <v>45539.68472222222</v>
      </c>
      <c r="G86" s="349">
        <v>2.0</v>
      </c>
      <c r="H86" s="349">
        <v>51.3774</v>
      </c>
      <c r="I86" s="349">
        <v>6.22678</v>
      </c>
      <c r="J86" s="349">
        <v>-28.58515</v>
      </c>
      <c r="K86" s="349">
        <v>-26.908812</v>
      </c>
      <c r="L86" s="349">
        <v>1030.41</v>
      </c>
      <c r="M86" s="349">
        <v>73.000397</v>
      </c>
      <c r="N86" s="349">
        <v>11487.2232</v>
      </c>
      <c r="O86" s="349">
        <v>0.0</v>
      </c>
      <c r="P86" s="351">
        <v>2070.3457</v>
      </c>
      <c r="Q86" s="351" t="s">
        <v>588</v>
      </c>
      <c r="R86" s="338" t="s">
        <v>534</v>
      </c>
      <c r="S86" s="338">
        <v>10.0</v>
      </c>
      <c r="T86" s="338">
        <v>5.0</v>
      </c>
      <c r="U86" s="338">
        <v>0.7</v>
      </c>
      <c r="V86" s="345">
        <v>0.7</v>
      </c>
      <c r="W86" s="338">
        <v>0.7</v>
      </c>
      <c r="X86" s="336">
        <v>2000.0</v>
      </c>
      <c r="Y86" s="336" t="s">
        <v>510</v>
      </c>
      <c r="Z86" s="336">
        <v>0.2</v>
      </c>
      <c r="AA86" s="336" t="s">
        <v>511</v>
      </c>
      <c r="AB86" s="336" t="s">
        <v>512</v>
      </c>
      <c r="AC86" s="336">
        <v>220.0</v>
      </c>
      <c r="AD86" s="339"/>
      <c r="AE86" s="340"/>
    </row>
    <row r="87">
      <c r="A87" s="349" t="s">
        <v>613</v>
      </c>
      <c r="B87" s="349" t="s">
        <v>523</v>
      </c>
      <c r="C87" s="349" t="s">
        <v>518</v>
      </c>
      <c r="D87" s="349" t="s">
        <v>508</v>
      </c>
      <c r="E87" s="349">
        <v>1.0</v>
      </c>
      <c r="F87" s="350">
        <v>45539.6875</v>
      </c>
      <c r="G87" s="349">
        <v>2.0</v>
      </c>
      <c r="H87" s="349">
        <v>51.3807</v>
      </c>
      <c r="I87" s="349">
        <v>6.15443</v>
      </c>
      <c r="J87" s="349">
        <v>-28.556981</v>
      </c>
      <c r="K87" s="349">
        <v>-26.708031</v>
      </c>
      <c r="L87" s="349">
        <v>1016.84</v>
      </c>
      <c r="M87" s="349">
        <v>71.99906</v>
      </c>
      <c r="N87" s="349">
        <v>11440.1766</v>
      </c>
      <c r="O87" s="349">
        <v>0.0</v>
      </c>
      <c r="P87" s="351">
        <v>2070.3457</v>
      </c>
      <c r="Q87" s="351" t="s">
        <v>588</v>
      </c>
      <c r="R87" s="338" t="s">
        <v>534</v>
      </c>
      <c r="S87" s="338">
        <v>10.0</v>
      </c>
      <c r="T87" s="338">
        <v>5.0</v>
      </c>
      <c r="U87" s="338">
        <v>0.7</v>
      </c>
      <c r="V87" s="345">
        <v>0.7</v>
      </c>
      <c r="W87" s="338">
        <v>0.7</v>
      </c>
      <c r="X87" s="336">
        <v>2000.0</v>
      </c>
      <c r="Y87" s="336" t="s">
        <v>510</v>
      </c>
      <c r="Z87" s="336">
        <v>0.2</v>
      </c>
      <c r="AA87" s="336" t="s">
        <v>511</v>
      </c>
      <c r="AB87" s="336" t="s">
        <v>512</v>
      </c>
      <c r="AC87" s="336">
        <v>220.0</v>
      </c>
      <c r="AD87" s="339"/>
      <c r="AE87" s="340"/>
    </row>
    <row r="88">
      <c r="A88" s="349" t="s">
        <v>614</v>
      </c>
      <c r="B88" s="349" t="s">
        <v>527</v>
      </c>
      <c r="C88" s="349" t="s">
        <v>518</v>
      </c>
      <c r="D88" s="349" t="s">
        <v>508</v>
      </c>
      <c r="E88" s="349">
        <v>1.2</v>
      </c>
      <c r="F88" s="350">
        <v>45539.69097222222</v>
      </c>
      <c r="G88" s="349">
        <v>1.0</v>
      </c>
      <c r="H88" s="349">
        <v>51.3774</v>
      </c>
      <c r="I88" s="349">
        <v>6.12151</v>
      </c>
      <c r="J88" s="349">
        <v>-28.098438</v>
      </c>
      <c r="K88" s="349">
        <v>-26.949894</v>
      </c>
      <c r="L88" s="349">
        <v>1056.83</v>
      </c>
      <c r="M88" s="349">
        <v>81.999819</v>
      </c>
      <c r="N88" s="349">
        <v>13874.0029</v>
      </c>
      <c r="O88" s="349">
        <v>0.0</v>
      </c>
      <c r="P88" s="351">
        <v>2070.3457</v>
      </c>
      <c r="Q88" s="351" t="s">
        <v>588</v>
      </c>
      <c r="R88" s="338" t="s">
        <v>534</v>
      </c>
      <c r="S88" s="338">
        <v>10.0</v>
      </c>
      <c r="T88" s="338">
        <v>5.0</v>
      </c>
      <c r="U88" s="338">
        <v>0.7</v>
      </c>
      <c r="V88" s="345">
        <v>0.7</v>
      </c>
      <c r="W88" s="338">
        <v>0.7</v>
      </c>
      <c r="X88" s="336">
        <v>2000.0</v>
      </c>
      <c r="Y88" s="336" t="s">
        <v>510</v>
      </c>
      <c r="Z88" s="336">
        <v>0.2</v>
      </c>
      <c r="AA88" s="336" t="s">
        <v>511</v>
      </c>
      <c r="AB88" s="336" t="s">
        <v>512</v>
      </c>
      <c r="AC88" s="336">
        <v>220.0</v>
      </c>
      <c r="AD88" s="339"/>
      <c r="AE88" s="340"/>
    </row>
    <row r="89">
      <c r="A89" s="349" t="s">
        <v>615</v>
      </c>
      <c r="B89" s="349" t="s">
        <v>527</v>
      </c>
      <c r="C89" s="349" t="s">
        <v>518</v>
      </c>
      <c r="D89" s="349" t="s">
        <v>508</v>
      </c>
      <c r="E89" s="349">
        <v>1.2</v>
      </c>
      <c r="F89" s="350">
        <v>45539.69375</v>
      </c>
      <c r="G89" s="349">
        <v>1.0</v>
      </c>
      <c r="H89" s="349">
        <v>51.3807</v>
      </c>
      <c r="I89" s="349">
        <v>6.11991</v>
      </c>
      <c r="J89" s="349">
        <v>-28.497719</v>
      </c>
      <c r="K89" s="349">
        <v>-26.396381</v>
      </c>
      <c r="L89" s="349">
        <v>1079.12</v>
      </c>
      <c r="M89" s="349">
        <v>74.501193</v>
      </c>
      <c r="N89" s="349">
        <v>13828.8855</v>
      </c>
      <c r="O89" s="349">
        <v>0.0</v>
      </c>
      <c r="P89" s="351">
        <v>2070.3457</v>
      </c>
      <c r="Q89" s="351" t="s">
        <v>588</v>
      </c>
      <c r="R89" s="338" t="s">
        <v>534</v>
      </c>
      <c r="S89" s="338">
        <v>10.0</v>
      </c>
      <c r="T89" s="338">
        <v>5.0</v>
      </c>
      <c r="U89" s="338">
        <v>0.7</v>
      </c>
      <c r="V89" s="345">
        <v>0.7</v>
      </c>
      <c r="W89" s="338">
        <v>0.7</v>
      </c>
      <c r="X89" s="336">
        <v>2000.0</v>
      </c>
      <c r="Y89" s="336" t="s">
        <v>510</v>
      </c>
      <c r="Z89" s="336">
        <v>0.2</v>
      </c>
      <c r="AA89" s="336" t="s">
        <v>511</v>
      </c>
      <c r="AB89" s="336" t="s">
        <v>512</v>
      </c>
      <c r="AC89" s="336">
        <v>220.0</v>
      </c>
      <c r="AD89" s="339"/>
      <c r="AE89" s="340"/>
    </row>
    <row r="90">
      <c r="A90" s="349" t="s">
        <v>616</v>
      </c>
      <c r="B90" s="349" t="s">
        <v>527</v>
      </c>
      <c r="C90" s="349" t="s">
        <v>518</v>
      </c>
      <c r="D90" s="349" t="s">
        <v>508</v>
      </c>
      <c r="E90" s="349">
        <v>1.2</v>
      </c>
      <c r="F90" s="350">
        <v>45539.69652777778</v>
      </c>
      <c r="G90" s="349">
        <v>1.0</v>
      </c>
      <c r="H90" s="349">
        <v>51.3774</v>
      </c>
      <c r="I90" s="349">
        <v>6.14437</v>
      </c>
      <c r="J90" s="349">
        <v>-28.606294</v>
      </c>
      <c r="K90" s="349">
        <v>-27.16505</v>
      </c>
      <c r="L90" s="349">
        <v>1067.96</v>
      </c>
      <c r="M90" s="349">
        <v>82.498967</v>
      </c>
      <c r="N90" s="349">
        <v>13866.1159</v>
      </c>
      <c r="O90" s="349">
        <v>0.0</v>
      </c>
      <c r="P90" s="351">
        <v>2070.3457</v>
      </c>
      <c r="Q90" s="351" t="s">
        <v>588</v>
      </c>
      <c r="R90" s="338" t="s">
        <v>534</v>
      </c>
      <c r="S90" s="338">
        <v>10.0</v>
      </c>
      <c r="T90" s="338">
        <v>5.0</v>
      </c>
      <c r="U90" s="338">
        <v>0.7</v>
      </c>
      <c r="V90" s="345">
        <v>0.7</v>
      </c>
      <c r="W90" s="338">
        <v>0.7</v>
      </c>
      <c r="X90" s="336">
        <v>2000.0</v>
      </c>
      <c r="Y90" s="336" t="s">
        <v>510</v>
      </c>
      <c r="Z90" s="336">
        <v>0.2</v>
      </c>
      <c r="AA90" s="336" t="s">
        <v>511</v>
      </c>
      <c r="AB90" s="336" t="s">
        <v>512</v>
      </c>
      <c r="AC90" s="336">
        <v>220.0</v>
      </c>
      <c r="AD90" s="339"/>
      <c r="AE90" s="340"/>
    </row>
    <row r="91">
      <c r="A91" s="349" t="s">
        <v>617</v>
      </c>
      <c r="B91" s="349" t="s">
        <v>527</v>
      </c>
      <c r="C91" s="349" t="s">
        <v>518</v>
      </c>
      <c r="D91" s="349" t="s">
        <v>508</v>
      </c>
      <c r="E91" s="349">
        <v>1.2</v>
      </c>
      <c r="F91" s="350">
        <v>45539.69930555556</v>
      </c>
      <c r="G91" s="349">
        <v>1.0</v>
      </c>
      <c r="H91" s="349">
        <v>51.3774</v>
      </c>
      <c r="I91" s="349">
        <v>6.0553</v>
      </c>
      <c r="J91" s="349">
        <v>-28.555763</v>
      </c>
      <c r="K91" s="349">
        <v>-26.806631</v>
      </c>
      <c r="L91" s="349">
        <v>1060.9</v>
      </c>
      <c r="M91" s="349">
        <v>79.00125</v>
      </c>
      <c r="N91" s="349">
        <v>13399.5897</v>
      </c>
      <c r="O91" s="349">
        <v>0.0</v>
      </c>
      <c r="P91" s="351">
        <v>2070.3457</v>
      </c>
      <c r="Q91" s="351" t="s">
        <v>588</v>
      </c>
      <c r="R91" s="338" t="s">
        <v>534</v>
      </c>
      <c r="S91" s="338">
        <v>10.0</v>
      </c>
      <c r="T91" s="338">
        <v>5.0</v>
      </c>
      <c r="U91" s="338">
        <v>0.7</v>
      </c>
      <c r="V91" s="345">
        <v>0.7</v>
      </c>
      <c r="W91" s="338">
        <v>0.7</v>
      </c>
      <c r="X91" s="336">
        <v>2000.0</v>
      </c>
      <c r="Y91" s="336" t="s">
        <v>510</v>
      </c>
      <c r="Z91" s="336">
        <v>0.2</v>
      </c>
      <c r="AA91" s="336" t="s">
        <v>511</v>
      </c>
      <c r="AB91" s="336" t="s">
        <v>512</v>
      </c>
      <c r="AC91" s="336">
        <v>220.0</v>
      </c>
      <c r="AD91" s="339"/>
      <c r="AE91" s="340"/>
    </row>
    <row r="92">
      <c r="A92" s="349" t="s">
        <v>618</v>
      </c>
      <c r="B92" s="349" t="s">
        <v>527</v>
      </c>
      <c r="C92" s="349" t="s">
        <v>518</v>
      </c>
      <c r="D92" s="349" t="s">
        <v>508</v>
      </c>
      <c r="E92" s="349">
        <v>1.2</v>
      </c>
      <c r="F92" s="350">
        <v>45539.70277777778</v>
      </c>
      <c r="G92" s="349">
        <v>1.0</v>
      </c>
      <c r="H92" s="349">
        <v>51.3807</v>
      </c>
      <c r="I92" s="349">
        <v>5.98821</v>
      </c>
      <c r="J92" s="349">
        <v>-28.600556</v>
      </c>
      <c r="K92" s="349">
        <v>-26.847481</v>
      </c>
      <c r="L92" s="349">
        <v>1069.35</v>
      </c>
      <c r="M92" s="349">
        <v>81.000417</v>
      </c>
      <c r="N92" s="349">
        <v>13773.8192</v>
      </c>
      <c r="O92" s="349">
        <v>0.0</v>
      </c>
      <c r="P92" s="351">
        <v>2070.3457</v>
      </c>
      <c r="Q92" s="351" t="s">
        <v>588</v>
      </c>
      <c r="R92" s="338" t="s">
        <v>534</v>
      </c>
      <c r="S92" s="338">
        <v>10.0</v>
      </c>
      <c r="T92" s="338">
        <v>5.0</v>
      </c>
      <c r="U92" s="338">
        <v>0.7</v>
      </c>
      <c r="V92" s="345">
        <v>0.7</v>
      </c>
      <c r="W92" s="338">
        <v>0.7</v>
      </c>
      <c r="X92" s="336">
        <v>2000.0</v>
      </c>
      <c r="Y92" s="336" t="s">
        <v>510</v>
      </c>
      <c r="Z92" s="336">
        <v>0.2</v>
      </c>
      <c r="AA92" s="336" t="s">
        <v>511</v>
      </c>
      <c r="AB92" s="336" t="s">
        <v>512</v>
      </c>
      <c r="AC92" s="336">
        <v>220.0</v>
      </c>
      <c r="AD92" s="339"/>
      <c r="AE92" s="340"/>
    </row>
    <row r="93">
      <c r="A93" s="349" t="s">
        <v>619</v>
      </c>
      <c r="B93" s="349" t="s">
        <v>527</v>
      </c>
      <c r="C93" s="349" t="s">
        <v>518</v>
      </c>
      <c r="D93" s="349" t="s">
        <v>508</v>
      </c>
      <c r="E93" s="349">
        <v>1.2</v>
      </c>
      <c r="F93" s="350">
        <v>45539.705555555556</v>
      </c>
      <c r="G93" s="349">
        <v>2.0</v>
      </c>
      <c r="H93" s="349">
        <v>0.0</v>
      </c>
      <c r="I93" s="349">
        <v>0.0</v>
      </c>
      <c r="J93" s="349">
        <v>0.0</v>
      </c>
      <c r="K93" s="349">
        <v>0.0</v>
      </c>
      <c r="L93" s="349">
        <v>0.0</v>
      </c>
      <c r="M93" s="349">
        <v>0.0</v>
      </c>
      <c r="N93" s="349">
        <v>0.0</v>
      </c>
      <c r="O93" s="349">
        <v>0.0</v>
      </c>
      <c r="P93" s="351">
        <v>0.0</v>
      </c>
      <c r="Q93" s="351" t="s">
        <v>533</v>
      </c>
      <c r="R93" s="338" t="s">
        <v>534</v>
      </c>
      <c r="S93" s="338">
        <v>10.0</v>
      </c>
      <c r="T93" s="338">
        <v>5.0</v>
      </c>
      <c r="U93" s="338">
        <v>0.7</v>
      </c>
      <c r="V93" s="345">
        <v>0.7</v>
      </c>
      <c r="W93" s="338">
        <v>0.7</v>
      </c>
      <c r="X93" s="336">
        <v>2000.0</v>
      </c>
      <c r="Y93" s="347"/>
      <c r="Z93" s="347"/>
      <c r="AA93" s="336" t="s">
        <v>511</v>
      </c>
      <c r="AB93" s="336" t="s">
        <v>512</v>
      </c>
      <c r="AC93" s="336">
        <v>220.0</v>
      </c>
      <c r="AD93" s="339"/>
      <c r="AE93" s="340"/>
    </row>
    <row r="94">
      <c r="A94" s="349" t="s">
        <v>620</v>
      </c>
      <c r="B94" s="349" t="s">
        <v>517</v>
      </c>
      <c r="C94" s="349" t="s">
        <v>518</v>
      </c>
      <c r="D94" s="349" t="s">
        <v>508</v>
      </c>
      <c r="E94" s="349">
        <v>0.8</v>
      </c>
      <c r="F94" s="350">
        <v>45539.708333333336</v>
      </c>
      <c r="G94" s="349">
        <v>1.0</v>
      </c>
      <c r="H94" s="349">
        <v>51.3774</v>
      </c>
      <c r="I94" s="349">
        <v>5.99895</v>
      </c>
      <c r="J94" s="349">
        <v>-28.574262</v>
      </c>
      <c r="K94" s="349">
        <v>-27.073831</v>
      </c>
      <c r="L94" s="349">
        <v>933.864</v>
      </c>
      <c r="M94" s="349">
        <v>72.501585</v>
      </c>
      <c r="N94" s="349">
        <v>9129.9206</v>
      </c>
      <c r="O94" s="349">
        <v>0.0</v>
      </c>
      <c r="P94" s="351">
        <v>2070.3457</v>
      </c>
      <c r="Q94" s="351" t="s">
        <v>588</v>
      </c>
      <c r="R94" s="338" t="s">
        <v>534</v>
      </c>
      <c r="S94" s="338">
        <v>10.0</v>
      </c>
      <c r="T94" s="338">
        <v>5.0</v>
      </c>
      <c r="U94" s="338">
        <v>0.7</v>
      </c>
      <c r="V94" s="345">
        <v>0.7</v>
      </c>
      <c r="W94" s="338">
        <v>0.7</v>
      </c>
      <c r="X94" s="336">
        <v>2000.0</v>
      </c>
      <c r="Y94" s="336" t="s">
        <v>510</v>
      </c>
      <c r="Z94" s="336">
        <v>0.2</v>
      </c>
      <c r="AA94" s="336" t="s">
        <v>511</v>
      </c>
      <c r="AB94" s="336" t="s">
        <v>512</v>
      </c>
      <c r="AC94" s="336">
        <v>220.0</v>
      </c>
      <c r="AD94" s="339"/>
      <c r="AE94" s="340"/>
    </row>
    <row r="95">
      <c r="A95" s="349" t="s">
        <v>621</v>
      </c>
      <c r="B95" s="349" t="s">
        <v>517</v>
      </c>
      <c r="C95" s="349" t="s">
        <v>518</v>
      </c>
      <c r="D95" s="349" t="s">
        <v>508</v>
      </c>
      <c r="E95" s="349">
        <v>0.8</v>
      </c>
      <c r="F95" s="350">
        <v>45539.71111111111</v>
      </c>
      <c r="G95" s="349">
        <v>1.0</v>
      </c>
      <c r="H95" s="349">
        <v>51.3741</v>
      </c>
      <c r="I95" s="349">
        <v>5.964</v>
      </c>
      <c r="J95" s="349">
        <v>-28.472275</v>
      </c>
      <c r="K95" s="349">
        <v>-26.591763</v>
      </c>
      <c r="L95" s="349">
        <v>939.99</v>
      </c>
      <c r="M95" s="349">
        <v>68.001249</v>
      </c>
      <c r="N95" s="349">
        <v>9100.07905</v>
      </c>
      <c r="O95" s="349">
        <v>0.0</v>
      </c>
      <c r="P95" s="351">
        <v>2070.3457</v>
      </c>
      <c r="Q95" s="351" t="s">
        <v>588</v>
      </c>
      <c r="R95" s="338" t="s">
        <v>534</v>
      </c>
      <c r="S95" s="338">
        <v>10.0</v>
      </c>
      <c r="T95" s="338">
        <v>5.0</v>
      </c>
      <c r="U95" s="338">
        <v>0.7</v>
      </c>
      <c r="V95" s="345">
        <v>0.7</v>
      </c>
      <c r="W95" s="338">
        <v>0.7</v>
      </c>
      <c r="X95" s="336">
        <v>2000.0</v>
      </c>
      <c r="Y95" s="336" t="s">
        <v>510</v>
      </c>
      <c r="Z95" s="336">
        <v>0.2</v>
      </c>
      <c r="AA95" s="336" t="s">
        <v>511</v>
      </c>
      <c r="AB95" s="336" t="s">
        <v>512</v>
      </c>
      <c r="AC95" s="336">
        <v>220.0</v>
      </c>
      <c r="AD95" s="339"/>
      <c r="AE95" s="340"/>
    </row>
    <row r="96">
      <c r="A96" s="349" t="s">
        <v>622</v>
      </c>
      <c r="B96" s="349" t="s">
        <v>517</v>
      </c>
      <c r="C96" s="349" t="s">
        <v>518</v>
      </c>
      <c r="D96" s="349" t="s">
        <v>508</v>
      </c>
      <c r="E96" s="349">
        <v>0.8</v>
      </c>
      <c r="F96" s="350">
        <v>45539.71388888889</v>
      </c>
      <c r="G96" s="349">
        <v>1.0</v>
      </c>
      <c r="H96" s="349">
        <v>51.3774</v>
      </c>
      <c r="I96" s="349">
        <v>6.14675</v>
      </c>
      <c r="J96" s="349">
        <v>-28.433744</v>
      </c>
      <c r="K96" s="349">
        <v>-26.646113</v>
      </c>
      <c r="L96" s="349">
        <v>939.68</v>
      </c>
      <c r="M96" s="349">
        <v>67.999825</v>
      </c>
      <c r="N96" s="349">
        <v>9124.52516</v>
      </c>
      <c r="O96" s="349">
        <v>0.0</v>
      </c>
      <c r="P96" s="351">
        <v>2070.3457</v>
      </c>
      <c r="Q96" s="351" t="s">
        <v>588</v>
      </c>
      <c r="R96" s="338" t="s">
        <v>534</v>
      </c>
      <c r="S96" s="338">
        <v>10.0</v>
      </c>
      <c r="T96" s="338">
        <v>5.0</v>
      </c>
      <c r="U96" s="338">
        <v>0.7</v>
      </c>
      <c r="V96" s="345">
        <v>0.7</v>
      </c>
      <c r="W96" s="338">
        <v>0.7</v>
      </c>
      <c r="X96" s="336">
        <v>2000.0</v>
      </c>
      <c r="Y96" s="336" t="s">
        <v>510</v>
      </c>
      <c r="Z96" s="336">
        <v>0.2</v>
      </c>
      <c r="AA96" s="336" t="s">
        <v>511</v>
      </c>
      <c r="AB96" s="336" t="s">
        <v>512</v>
      </c>
      <c r="AC96" s="336">
        <v>220.0</v>
      </c>
      <c r="AD96" s="339"/>
      <c r="AE96" s="340"/>
    </row>
    <row r="97">
      <c r="A97" s="349" t="s">
        <v>623</v>
      </c>
      <c r="B97" s="349" t="s">
        <v>517</v>
      </c>
      <c r="C97" s="349" t="s">
        <v>518</v>
      </c>
      <c r="D97" s="349" t="s">
        <v>508</v>
      </c>
      <c r="E97" s="349">
        <v>0.8</v>
      </c>
      <c r="F97" s="350">
        <v>45539.71666666667</v>
      </c>
      <c r="G97" s="349">
        <v>1.0</v>
      </c>
      <c r="H97" s="349">
        <v>51.3774</v>
      </c>
      <c r="I97" s="349">
        <v>6.15732</v>
      </c>
      <c r="J97" s="349">
        <v>-28.514744</v>
      </c>
      <c r="K97" s="349">
        <v>-27.1906</v>
      </c>
      <c r="L97" s="349">
        <v>937.55</v>
      </c>
      <c r="M97" s="349">
        <v>73.999337</v>
      </c>
      <c r="N97" s="349">
        <v>9155.10935</v>
      </c>
      <c r="O97" s="349">
        <v>0.0</v>
      </c>
      <c r="P97" s="351">
        <v>2070.3457</v>
      </c>
      <c r="Q97" s="351" t="s">
        <v>588</v>
      </c>
      <c r="R97" s="338" t="s">
        <v>534</v>
      </c>
      <c r="S97" s="338">
        <v>10.0</v>
      </c>
      <c r="T97" s="338">
        <v>5.0</v>
      </c>
      <c r="U97" s="338">
        <v>0.7</v>
      </c>
      <c r="V97" s="345">
        <v>0.7</v>
      </c>
      <c r="W97" s="338">
        <v>0.7</v>
      </c>
      <c r="X97" s="336">
        <v>2000.0</v>
      </c>
      <c r="Y97" s="336" t="s">
        <v>510</v>
      </c>
      <c r="Z97" s="336">
        <v>0.2</v>
      </c>
      <c r="AA97" s="336" t="s">
        <v>511</v>
      </c>
      <c r="AB97" s="336" t="s">
        <v>512</v>
      </c>
      <c r="AC97" s="336">
        <v>220.0</v>
      </c>
      <c r="AD97" s="339"/>
      <c r="AE97" s="340"/>
    </row>
    <row r="98">
      <c r="A98" s="349" t="s">
        <v>624</v>
      </c>
      <c r="B98" s="349" t="s">
        <v>517</v>
      </c>
      <c r="C98" s="349" t="s">
        <v>518</v>
      </c>
      <c r="D98" s="349" t="s">
        <v>508</v>
      </c>
      <c r="E98" s="349">
        <v>0.8</v>
      </c>
      <c r="F98" s="350">
        <v>45539.71944444445</v>
      </c>
      <c r="G98" s="349">
        <v>1.0</v>
      </c>
      <c r="H98" s="349">
        <v>51.3807</v>
      </c>
      <c r="I98" s="349">
        <v>6.70987</v>
      </c>
      <c r="J98" s="349">
        <v>-28.366212</v>
      </c>
      <c r="K98" s="349">
        <v>-27.05565</v>
      </c>
      <c r="L98" s="349">
        <v>957.879</v>
      </c>
      <c r="M98" s="349">
        <v>69.500985</v>
      </c>
      <c r="N98" s="349">
        <v>9229.19769</v>
      </c>
      <c r="O98" s="349">
        <v>0.0</v>
      </c>
      <c r="P98" s="351">
        <v>2070.3457</v>
      </c>
      <c r="Q98" s="351" t="s">
        <v>588</v>
      </c>
      <c r="R98" s="338" t="s">
        <v>534</v>
      </c>
      <c r="S98" s="338">
        <v>10.0</v>
      </c>
      <c r="T98" s="338">
        <v>5.0</v>
      </c>
      <c r="U98" s="338">
        <v>0.7</v>
      </c>
      <c r="V98" s="345">
        <v>0.7</v>
      </c>
      <c r="W98" s="338">
        <v>0.7</v>
      </c>
      <c r="X98" s="336">
        <v>2000.0</v>
      </c>
      <c r="Y98" s="336" t="s">
        <v>510</v>
      </c>
      <c r="Z98" s="336">
        <v>0.2</v>
      </c>
      <c r="AA98" s="336" t="s">
        <v>511</v>
      </c>
      <c r="AB98" s="336" t="s">
        <v>512</v>
      </c>
      <c r="AC98" s="336">
        <v>220.0</v>
      </c>
      <c r="AD98" s="352" t="s">
        <v>625</v>
      </c>
      <c r="AE98" s="340"/>
    </row>
    <row r="99">
      <c r="A99" s="342" t="s">
        <v>626</v>
      </c>
      <c r="B99" s="342" t="s">
        <v>517</v>
      </c>
      <c r="C99" s="342" t="s">
        <v>518</v>
      </c>
      <c r="D99" s="342" t="s">
        <v>508</v>
      </c>
      <c r="E99" s="342">
        <v>0.8</v>
      </c>
      <c r="F99" s="343">
        <v>45539.72222222222</v>
      </c>
      <c r="G99" s="342">
        <v>2.0</v>
      </c>
      <c r="H99" s="342">
        <v>51.3741</v>
      </c>
      <c r="I99" s="342">
        <v>6.47759</v>
      </c>
      <c r="J99" s="342">
        <v>-28.150856</v>
      </c>
      <c r="K99" s="342">
        <v>-26.818938</v>
      </c>
      <c r="L99" s="342">
        <v>969.4</v>
      </c>
      <c r="M99" s="342">
        <v>69.500649</v>
      </c>
      <c r="N99" s="342">
        <v>9208.94718</v>
      </c>
      <c r="O99" s="342">
        <v>9202.3765</v>
      </c>
      <c r="P99" s="344">
        <v>2070.3457</v>
      </c>
      <c r="Q99" s="344" t="s">
        <v>509</v>
      </c>
      <c r="R99" s="338" t="s">
        <v>12</v>
      </c>
      <c r="S99" s="338">
        <v>10.0</v>
      </c>
      <c r="T99" s="338">
        <v>5.0</v>
      </c>
      <c r="U99" s="338">
        <v>0.7</v>
      </c>
      <c r="V99" s="345">
        <v>0.7</v>
      </c>
      <c r="W99" s="338">
        <v>0.7</v>
      </c>
      <c r="X99" s="336">
        <v>2000.0</v>
      </c>
      <c r="Y99" s="336" t="s">
        <v>510</v>
      </c>
      <c r="Z99" s="336">
        <v>0.2</v>
      </c>
      <c r="AA99" s="336" t="s">
        <v>511</v>
      </c>
      <c r="AB99" s="336" t="s">
        <v>512</v>
      </c>
      <c r="AC99" s="336">
        <v>220.0</v>
      </c>
      <c r="AD99" s="339"/>
      <c r="AE99" s="340"/>
    </row>
    <row r="100">
      <c r="A100" s="342" t="s">
        <v>627</v>
      </c>
      <c r="B100" s="342" t="s">
        <v>517</v>
      </c>
      <c r="C100" s="342" t="s">
        <v>518</v>
      </c>
      <c r="D100" s="342" t="s">
        <v>508</v>
      </c>
      <c r="E100" s="342">
        <v>0.8</v>
      </c>
      <c r="F100" s="343">
        <v>45539.725</v>
      </c>
      <c r="G100" s="342">
        <v>2.0</v>
      </c>
      <c r="H100" s="342">
        <v>51.3807</v>
      </c>
      <c r="I100" s="342">
        <v>6.23244</v>
      </c>
      <c r="J100" s="342">
        <v>-28.3977</v>
      </c>
      <c r="K100" s="342">
        <v>-27.03135</v>
      </c>
      <c r="L100" s="342">
        <v>948.12</v>
      </c>
      <c r="M100" s="342">
        <v>70.999937</v>
      </c>
      <c r="N100" s="342">
        <v>9195.80582</v>
      </c>
      <c r="O100" s="342">
        <v>9202.3765</v>
      </c>
      <c r="P100" s="344">
        <v>2070.3457</v>
      </c>
      <c r="Q100" s="344" t="s">
        <v>509</v>
      </c>
      <c r="R100" s="338" t="s">
        <v>12</v>
      </c>
      <c r="S100" s="338">
        <v>10.0</v>
      </c>
      <c r="T100" s="338">
        <v>5.0</v>
      </c>
      <c r="U100" s="338">
        <v>0.7</v>
      </c>
      <c r="V100" s="345">
        <v>0.7</v>
      </c>
      <c r="W100" s="338">
        <v>0.7</v>
      </c>
      <c r="X100" s="336">
        <v>2000.0</v>
      </c>
      <c r="Y100" s="336" t="s">
        <v>510</v>
      </c>
      <c r="Z100" s="336">
        <v>0.2</v>
      </c>
      <c r="AA100" s="336" t="s">
        <v>511</v>
      </c>
      <c r="AB100" s="336" t="s">
        <v>512</v>
      </c>
      <c r="AC100" s="336">
        <v>220.0</v>
      </c>
      <c r="AD100" s="339"/>
      <c r="AE100" s="340"/>
    </row>
    <row r="101">
      <c r="A101" s="336" t="s">
        <v>628</v>
      </c>
      <c r="B101" s="336" t="s">
        <v>506</v>
      </c>
      <c r="C101" s="336">
        <v>184.0</v>
      </c>
      <c r="D101" s="336" t="s">
        <v>554</v>
      </c>
      <c r="E101" s="336">
        <v>1.0</v>
      </c>
      <c r="F101" s="337">
        <v>45539.731944444444</v>
      </c>
      <c r="G101" s="336">
        <v>1.0</v>
      </c>
      <c r="H101" s="336">
        <v>51.3774</v>
      </c>
      <c r="I101" s="336">
        <v>6.18291</v>
      </c>
      <c r="J101" s="336">
        <v>-28.464219</v>
      </c>
      <c r="K101" s="336">
        <v>-27.197031</v>
      </c>
      <c r="L101" s="336">
        <v>999.844</v>
      </c>
      <c r="M101" s="336">
        <v>75.499859</v>
      </c>
      <c r="N101" s="336">
        <v>11250.5349</v>
      </c>
      <c r="O101" s="338">
        <v>11250.5349</v>
      </c>
      <c r="P101" s="338">
        <v>2013.75605</v>
      </c>
      <c r="Q101" s="338" t="s">
        <v>509</v>
      </c>
      <c r="R101" s="338" t="s">
        <v>629</v>
      </c>
      <c r="S101" s="338">
        <v>10.0</v>
      </c>
      <c r="T101" s="338">
        <v>5.0</v>
      </c>
      <c r="U101" s="338">
        <v>0.7</v>
      </c>
      <c r="V101" s="338">
        <v>0.7</v>
      </c>
      <c r="W101" s="338">
        <v>0.7</v>
      </c>
      <c r="X101" s="336">
        <v>2000.0</v>
      </c>
      <c r="Y101" s="336" t="s">
        <v>510</v>
      </c>
      <c r="Z101" s="336">
        <v>0.2</v>
      </c>
      <c r="AA101" s="336" t="s">
        <v>511</v>
      </c>
      <c r="AB101" s="336" t="s">
        <v>512</v>
      </c>
      <c r="AC101" s="336">
        <v>220.0</v>
      </c>
      <c r="AD101" s="339"/>
      <c r="AE101" s="340"/>
    </row>
    <row r="102">
      <c r="A102" s="336" t="s">
        <v>630</v>
      </c>
      <c r="B102" s="336" t="s">
        <v>506</v>
      </c>
      <c r="C102" s="336">
        <v>184.0</v>
      </c>
      <c r="D102" s="336" t="s">
        <v>554</v>
      </c>
      <c r="E102" s="336">
        <v>1.0</v>
      </c>
      <c r="F102" s="337">
        <v>45539.73472222222</v>
      </c>
      <c r="G102" s="336">
        <v>1.0</v>
      </c>
      <c r="H102" s="336">
        <v>51.3807</v>
      </c>
      <c r="I102" s="336">
        <v>6.45125</v>
      </c>
      <c r="J102" s="336">
        <v>-28.487156</v>
      </c>
      <c r="K102" s="336">
        <v>-26.956594</v>
      </c>
      <c r="L102" s="336">
        <v>1021.23</v>
      </c>
      <c r="M102" s="336">
        <v>73.001554</v>
      </c>
      <c r="N102" s="336">
        <v>11231.4757</v>
      </c>
      <c r="O102" s="338">
        <v>11231.4757</v>
      </c>
      <c r="P102" s="338">
        <v>2010.35557</v>
      </c>
      <c r="Q102" s="338" t="s">
        <v>509</v>
      </c>
      <c r="R102" s="338" t="s">
        <v>629</v>
      </c>
      <c r="S102" s="338">
        <v>10.0</v>
      </c>
      <c r="T102" s="338">
        <v>5.0</v>
      </c>
      <c r="U102" s="338">
        <v>0.7</v>
      </c>
      <c r="V102" s="338">
        <v>0.7</v>
      </c>
      <c r="W102" s="338">
        <v>0.7</v>
      </c>
      <c r="X102" s="336">
        <v>2000.0</v>
      </c>
      <c r="Y102" s="336" t="s">
        <v>510</v>
      </c>
      <c r="Z102" s="336">
        <v>0.2</v>
      </c>
      <c r="AA102" s="336" t="s">
        <v>511</v>
      </c>
      <c r="AB102" s="336" t="s">
        <v>512</v>
      </c>
      <c r="AC102" s="336">
        <v>220.0</v>
      </c>
      <c r="AD102" s="339"/>
      <c r="AE102" s="340"/>
    </row>
    <row r="103">
      <c r="A103" s="336" t="s">
        <v>631</v>
      </c>
      <c r="B103" s="336" t="s">
        <v>506</v>
      </c>
      <c r="C103" s="336">
        <v>184.0</v>
      </c>
      <c r="D103" s="336" t="s">
        <v>554</v>
      </c>
      <c r="E103" s="336">
        <v>1.0</v>
      </c>
      <c r="F103" s="337">
        <v>45539.7375</v>
      </c>
      <c r="G103" s="336">
        <v>1.0</v>
      </c>
      <c r="H103" s="336">
        <v>51.3741</v>
      </c>
      <c r="I103" s="336">
        <v>6.30227</v>
      </c>
      <c r="J103" s="336">
        <v>-28.345806</v>
      </c>
      <c r="K103" s="336">
        <v>-27.144238</v>
      </c>
      <c r="L103" s="336">
        <v>997.752</v>
      </c>
      <c r="M103" s="336">
        <v>79.500286</v>
      </c>
      <c r="N103" s="336">
        <v>11260.8362</v>
      </c>
      <c r="O103" s="338">
        <v>11260.8362</v>
      </c>
      <c r="P103" s="338">
        <v>2015.59397</v>
      </c>
      <c r="Q103" s="338" t="s">
        <v>509</v>
      </c>
      <c r="R103" s="338" t="s">
        <v>629</v>
      </c>
      <c r="S103" s="338">
        <v>10.0</v>
      </c>
      <c r="T103" s="338">
        <v>5.0</v>
      </c>
      <c r="U103" s="338">
        <v>0.7</v>
      </c>
      <c r="V103" s="338">
        <v>0.7</v>
      </c>
      <c r="W103" s="338">
        <v>0.7</v>
      </c>
      <c r="X103" s="336">
        <v>2000.0</v>
      </c>
      <c r="Y103" s="336" t="s">
        <v>510</v>
      </c>
      <c r="Z103" s="336">
        <v>0.2</v>
      </c>
      <c r="AA103" s="336" t="s">
        <v>511</v>
      </c>
      <c r="AB103" s="336" t="s">
        <v>512</v>
      </c>
      <c r="AC103" s="336">
        <v>220.0</v>
      </c>
      <c r="AD103" s="339"/>
      <c r="AE103" s="340"/>
    </row>
    <row r="104">
      <c r="A104" s="336" t="s">
        <v>632</v>
      </c>
      <c r="B104" s="336" t="s">
        <v>506</v>
      </c>
      <c r="C104" s="336">
        <v>184.0</v>
      </c>
      <c r="D104" s="336" t="s">
        <v>554</v>
      </c>
      <c r="E104" s="336">
        <v>1.0</v>
      </c>
      <c r="F104" s="337">
        <v>45539.74513888889</v>
      </c>
      <c r="G104" s="336">
        <v>1.0</v>
      </c>
      <c r="H104" s="336">
        <v>51.3774</v>
      </c>
      <c r="I104" s="336">
        <v>6.15616</v>
      </c>
      <c r="J104" s="336">
        <v>-28.349144</v>
      </c>
      <c r="K104" s="336">
        <v>-26.564125</v>
      </c>
      <c r="L104" s="336">
        <v>991.311</v>
      </c>
      <c r="M104" s="336">
        <v>72.000944</v>
      </c>
      <c r="N104" s="336">
        <v>11239.1655</v>
      </c>
      <c r="O104" s="338">
        <v>11239.1655</v>
      </c>
      <c r="P104" s="338">
        <v>2011.72755</v>
      </c>
      <c r="Q104" s="338" t="s">
        <v>509</v>
      </c>
      <c r="R104" s="338" t="s">
        <v>629</v>
      </c>
      <c r="S104" s="338">
        <v>10.0</v>
      </c>
      <c r="T104" s="338">
        <v>5.0</v>
      </c>
      <c r="U104" s="338">
        <v>0.7</v>
      </c>
      <c r="V104" s="338">
        <v>0.7</v>
      </c>
      <c r="W104" s="338">
        <v>0.7</v>
      </c>
      <c r="X104" s="336">
        <v>2000.0</v>
      </c>
      <c r="Y104" s="336" t="s">
        <v>510</v>
      </c>
      <c r="Z104" s="336">
        <v>0.2</v>
      </c>
      <c r="AA104" s="336" t="s">
        <v>511</v>
      </c>
      <c r="AB104" s="336" t="s">
        <v>512</v>
      </c>
      <c r="AC104" s="336">
        <v>220.0</v>
      </c>
      <c r="AD104" s="339"/>
      <c r="AE104" s="340"/>
    </row>
    <row r="105">
      <c r="A105" s="342"/>
      <c r="B105" s="342"/>
      <c r="C105" s="342">
        <v>184.0</v>
      </c>
      <c r="D105" s="342"/>
      <c r="E105" s="342"/>
      <c r="F105" s="343"/>
      <c r="G105" s="342"/>
      <c r="H105" s="342"/>
      <c r="I105" s="342"/>
      <c r="J105" s="342"/>
      <c r="K105" s="342"/>
      <c r="L105" s="342"/>
      <c r="M105" s="342"/>
      <c r="N105" s="342"/>
      <c r="O105" s="344"/>
      <c r="P105" s="344">
        <f>average(P101:P104)</f>
        <v>2012.858285</v>
      </c>
      <c r="Q105" s="344"/>
      <c r="R105" s="338" t="s">
        <v>12</v>
      </c>
      <c r="S105" s="338"/>
      <c r="T105" s="338"/>
      <c r="U105" s="338"/>
      <c r="V105" s="338"/>
      <c r="W105" s="338"/>
      <c r="X105" s="336"/>
      <c r="Y105" s="336"/>
      <c r="Z105" s="336"/>
      <c r="AA105" s="336"/>
      <c r="AB105" s="336"/>
      <c r="AC105" s="336"/>
      <c r="AD105" s="339"/>
      <c r="AE105" s="340"/>
    </row>
    <row r="106">
      <c r="A106" s="342" t="s">
        <v>633</v>
      </c>
      <c r="B106" s="342" t="s">
        <v>506</v>
      </c>
      <c r="C106" s="342" t="s">
        <v>518</v>
      </c>
      <c r="D106" s="342" t="s">
        <v>508</v>
      </c>
      <c r="E106" s="342">
        <v>1.0</v>
      </c>
      <c r="F106" s="343">
        <v>45539.75</v>
      </c>
      <c r="G106" s="342">
        <v>1.0</v>
      </c>
      <c r="H106" s="342">
        <v>51.3807</v>
      </c>
      <c r="I106" s="342">
        <v>5.97024</v>
      </c>
      <c r="J106" s="342">
        <v>-28.344738</v>
      </c>
      <c r="K106" s="342">
        <v>-26.739812</v>
      </c>
      <c r="L106" s="342">
        <v>1014.72</v>
      </c>
      <c r="M106" s="342">
        <v>73.998313</v>
      </c>
      <c r="N106" s="342">
        <v>11401.9156</v>
      </c>
      <c r="O106" s="344">
        <v>11401.9156</v>
      </c>
      <c r="P106" s="344">
        <v>2040.76494</v>
      </c>
      <c r="Q106" s="344" t="s">
        <v>509</v>
      </c>
      <c r="R106" s="338" t="s">
        <v>12</v>
      </c>
      <c r="S106" s="338">
        <v>10.0</v>
      </c>
      <c r="T106" s="338">
        <v>5.0</v>
      </c>
      <c r="U106" s="338">
        <v>0.7</v>
      </c>
      <c r="V106" s="338">
        <v>0.7</v>
      </c>
      <c r="W106" s="338">
        <v>0.7</v>
      </c>
      <c r="X106" s="336">
        <v>2000.0</v>
      </c>
      <c r="Y106" s="336" t="s">
        <v>510</v>
      </c>
      <c r="Z106" s="336">
        <v>0.2</v>
      </c>
      <c r="AA106" s="336" t="s">
        <v>511</v>
      </c>
      <c r="AB106" s="336" t="s">
        <v>512</v>
      </c>
      <c r="AC106" s="336">
        <v>220.0</v>
      </c>
      <c r="AD106" s="339"/>
      <c r="AE106" s="340"/>
    </row>
    <row r="107">
      <c r="A107" s="342" t="s">
        <v>634</v>
      </c>
      <c r="B107" s="342" t="s">
        <v>506</v>
      </c>
      <c r="C107" s="353"/>
      <c r="D107" s="342" t="s">
        <v>508</v>
      </c>
      <c r="E107" s="342">
        <v>1.0</v>
      </c>
      <c r="F107" s="343">
        <v>45539.75277777778</v>
      </c>
      <c r="G107" s="342">
        <v>1.0</v>
      </c>
      <c r="H107" s="342">
        <v>51.3807</v>
      </c>
      <c r="I107" s="342">
        <v>5.85548</v>
      </c>
      <c r="J107" s="342">
        <v>-28.417912</v>
      </c>
      <c r="K107" s="342">
        <v>-26.817213</v>
      </c>
      <c r="L107" s="342">
        <v>1009.11</v>
      </c>
      <c r="M107" s="342">
        <v>75.501091</v>
      </c>
      <c r="N107" s="342">
        <v>11401.411</v>
      </c>
      <c r="O107" s="342">
        <v>11401.411</v>
      </c>
      <c r="P107" s="344">
        <v>2040.67492</v>
      </c>
      <c r="Q107" s="344" t="s">
        <v>509</v>
      </c>
      <c r="R107" s="338" t="s">
        <v>12</v>
      </c>
      <c r="S107" s="338">
        <v>10.0</v>
      </c>
      <c r="T107" s="338">
        <v>5.0</v>
      </c>
      <c r="U107" s="338">
        <v>0.7</v>
      </c>
      <c r="V107" s="345">
        <v>0.7</v>
      </c>
      <c r="W107" s="338">
        <v>0.7</v>
      </c>
      <c r="X107" s="336">
        <v>2000.0</v>
      </c>
      <c r="Y107" s="336" t="s">
        <v>510</v>
      </c>
      <c r="Z107" s="336">
        <v>0.2</v>
      </c>
      <c r="AA107" s="336" t="s">
        <v>511</v>
      </c>
      <c r="AB107" s="336" t="s">
        <v>512</v>
      </c>
      <c r="AC107" s="336">
        <v>220.0</v>
      </c>
      <c r="AD107" s="339"/>
      <c r="AE107" s="340"/>
    </row>
    <row r="108">
      <c r="A108" s="342" t="s">
        <v>635</v>
      </c>
      <c r="B108" s="342" t="s">
        <v>506</v>
      </c>
      <c r="C108" s="353"/>
      <c r="D108" s="342" t="s">
        <v>508</v>
      </c>
      <c r="E108" s="342">
        <v>1.0</v>
      </c>
      <c r="F108" s="343">
        <v>45539.75555555556</v>
      </c>
      <c r="G108" s="342">
        <v>1.0</v>
      </c>
      <c r="H108" s="342">
        <v>51.384</v>
      </c>
      <c r="I108" s="342">
        <v>5.76494</v>
      </c>
      <c r="J108" s="342">
        <v>-28.34865</v>
      </c>
      <c r="K108" s="342">
        <v>-26.688281</v>
      </c>
      <c r="L108" s="342">
        <v>1020.36</v>
      </c>
      <c r="M108" s="342">
        <v>73.500036</v>
      </c>
      <c r="N108" s="342">
        <v>11454.425</v>
      </c>
      <c r="O108" s="342">
        <v>11454.425</v>
      </c>
      <c r="P108" s="344">
        <v>2050.13351</v>
      </c>
      <c r="Q108" s="344" t="s">
        <v>509</v>
      </c>
      <c r="R108" s="338" t="s">
        <v>12</v>
      </c>
      <c r="S108" s="338">
        <v>10.0</v>
      </c>
      <c r="T108" s="338">
        <v>5.0</v>
      </c>
      <c r="U108" s="338">
        <v>0.7</v>
      </c>
      <c r="V108" s="345">
        <v>0.7</v>
      </c>
      <c r="W108" s="338">
        <v>0.7</v>
      </c>
      <c r="X108" s="336">
        <v>2000.0</v>
      </c>
      <c r="Y108" s="336" t="s">
        <v>510</v>
      </c>
      <c r="Z108" s="336">
        <v>0.2</v>
      </c>
      <c r="AA108" s="336" t="s">
        <v>511</v>
      </c>
      <c r="AB108" s="336" t="s">
        <v>512</v>
      </c>
      <c r="AC108" s="336">
        <v>220.0</v>
      </c>
      <c r="AD108" s="339"/>
      <c r="AE108" s="340"/>
    </row>
    <row r="109">
      <c r="A109" s="336" t="s">
        <v>505</v>
      </c>
      <c r="B109" s="336" t="s">
        <v>506</v>
      </c>
      <c r="C109" s="336" t="s">
        <v>507</v>
      </c>
      <c r="D109" s="336" t="s">
        <v>508</v>
      </c>
      <c r="E109" s="336">
        <v>1.0</v>
      </c>
      <c r="F109" s="337">
        <v>45541.59097222222</v>
      </c>
      <c r="G109" s="336">
        <v>1.0</v>
      </c>
      <c r="H109" s="336">
        <v>51.3774</v>
      </c>
      <c r="I109" s="336">
        <v>5.91346</v>
      </c>
      <c r="J109" s="336">
        <v>-26.953769</v>
      </c>
      <c r="K109" s="336">
        <v>-24.876669</v>
      </c>
      <c r="L109" s="336">
        <v>1031.64</v>
      </c>
      <c r="M109" s="336">
        <v>79.501109</v>
      </c>
      <c r="N109" s="336">
        <v>12331.3163</v>
      </c>
      <c r="O109" s="336">
        <v>12331.3163</v>
      </c>
      <c r="P109" s="338">
        <v>2206.58585</v>
      </c>
      <c r="Q109" s="338" t="s">
        <v>509</v>
      </c>
      <c r="R109" s="338" t="s">
        <v>12</v>
      </c>
      <c r="S109" s="338">
        <v>10.0</v>
      </c>
      <c r="T109" s="338">
        <v>5.0</v>
      </c>
      <c r="U109" s="338">
        <v>0.7</v>
      </c>
      <c r="V109" s="345">
        <v>0.7</v>
      </c>
      <c r="W109" s="338">
        <v>0.7</v>
      </c>
      <c r="X109" s="336">
        <v>2000.0</v>
      </c>
      <c r="Y109" s="336" t="s">
        <v>510</v>
      </c>
      <c r="Z109" s="336">
        <v>0.2</v>
      </c>
      <c r="AA109" s="336" t="s">
        <v>511</v>
      </c>
      <c r="AB109" s="336" t="s">
        <v>512</v>
      </c>
      <c r="AC109" s="336">
        <v>202.0</v>
      </c>
      <c r="AD109" s="339"/>
      <c r="AE109" s="340"/>
    </row>
    <row r="110">
      <c r="A110" s="336" t="s">
        <v>513</v>
      </c>
      <c r="B110" s="336" t="s">
        <v>506</v>
      </c>
      <c r="C110" s="336" t="s">
        <v>507</v>
      </c>
      <c r="D110" s="336" t="s">
        <v>508</v>
      </c>
      <c r="E110" s="336">
        <v>1.0</v>
      </c>
      <c r="F110" s="337">
        <v>45541.59375</v>
      </c>
      <c r="G110" s="336">
        <v>1.0</v>
      </c>
      <c r="H110" s="336">
        <v>51.3774</v>
      </c>
      <c r="I110" s="336">
        <v>5.66115</v>
      </c>
      <c r="J110" s="336">
        <v>-26.94615</v>
      </c>
      <c r="K110" s="336">
        <v>-25.002831</v>
      </c>
      <c r="L110" s="336">
        <v>1052.68</v>
      </c>
      <c r="M110" s="336">
        <v>84.999989</v>
      </c>
      <c r="N110" s="336">
        <v>12957.979</v>
      </c>
      <c r="O110" s="336">
        <v>12957.979</v>
      </c>
      <c r="P110" s="338">
        <v>2318.39317</v>
      </c>
      <c r="Q110" s="338" t="s">
        <v>509</v>
      </c>
      <c r="R110" s="338" t="s">
        <v>12</v>
      </c>
      <c r="S110" s="338">
        <v>10.0</v>
      </c>
      <c r="T110" s="338">
        <v>5.0</v>
      </c>
      <c r="U110" s="338">
        <v>0.7</v>
      </c>
      <c r="V110" s="345">
        <v>0.7</v>
      </c>
      <c r="W110" s="338">
        <v>0.7</v>
      </c>
      <c r="X110" s="336">
        <v>2000.0</v>
      </c>
      <c r="Y110" s="336" t="s">
        <v>510</v>
      </c>
      <c r="Z110" s="336">
        <v>0.2</v>
      </c>
      <c r="AA110" s="336" t="s">
        <v>511</v>
      </c>
      <c r="AB110" s="336" t="s">
        <v>512</v>
      </c>
      <c r="AC110" s="336">
        <v>189.0</v>
      </c>
      <c r="AD110" s="339"/>
      <c r="AE110" s="340"/>
    </row>
    <row r="111">
      <c r="A111" s="336" t="s">
        <v>514</v>
      </c>
      <c r="B111" s="336" t="s">
        <v>506</v>
      </c>
      <c r="C111" s="336" t="s">
        <v>507</v>
      </c>
      <c r="D111" s="336" t="s">
        <v>508</v>
      </c>
      <c r="E111" s="336">
        <v>1.0</v>
      </c>
      <c r="F111" s="337">
        <v>45541.59652777778</v>
      </c>
      <c r="G111" s="336">
        <v>1.0</v>
      </c>
      <c r="H111" s="336">
        <v>51.3741</v>
      </c>
      <c r="I111" s="336">
        <v>5.56729</v>
      </c>
      <c r="J111" s="336">
        <v>-26.864194</v>
      </c>
      <c r="K111" s="336">
        <v>-24.8964</v>
      </c>
      <c r="L111" s="336">
        <v>1051.88</v>
      </c>
      <c r="M111" s="336">
        <v>84.500128</v>
      </c>
      <c r="N111" s="336">
        <v>13124.158</v>
      </c>
      <c r="O111" s="336">
        <v>13124.158</v>
      </c>
      <c r="P111" s="338">
        <v>2348.04233</v>
      </c>
      <c r="Q111" s="338" t="s">
        <v>509</v>
      </c>
      <c r="R111" s="338" t="s">
        <v>12</v>
      </c>
      <c r="S111" s="338">
        <v>10.0</v>
      </c>
      <c r="T111" s="338">
        <v>5.0</v>
      </c>
      <c r="U111" s="338">
        <v>0.7</v>
      </c>
      <c r="V111" s="345">
        <v>0.7</v>
      </c>
      <c r="W111" s="338">
        <v>0.7</v>
      </c>
      <c r="X111" s="336">
        <v>2000.0</v>
      </c>
      <c r="Y111" s="336" t="s">
        <v>510</v>
      </c>
      <c r="Z111" s="336">
        <v>0.2</v>
      </c>
      <c r="AA111" s="336" t="s">
        <v>511</v>
      </c>
      <c r="AB111" s="336" t="s">
        <v>512</v>
      </c>
      <c r="AC111" s="336">
        <v>186.0</v>
      </c>
      <c r="AD111" s="339"/>
      <c r="AE111" s="340"/>
    </row>
    <row r="112">
      <c r="A112" s="336" t="s">
        <v>515</v>
      </c>
      <c r="B112" s="336" t="s">
        <v>506</v>
      </c>
      <c r="C112" s="336" t="s">
        <v>507</v>
      </c>
      <c r="D112" s="336" t="s">
        <v>508</v>
      </c>
      <c r="E112" s="336">
        <v>1.0</v>
      </c>
      <c r="F112" s="337">
        <v>45541.60138888889</v>
      </c>
      <c r="G112" s="336">
        <v>1.0</v>
      </c>
      <c r="H112" s="336">
        <v>51.3774</v>
      </c>
      <c r="I112" s="336">
        <v>5.69196</v>
      </c>
      <c r="J112" s="336">
        <v>-26.8884</v>
      </c>
      <c r="K112" s="336">
        <v>-24.930525</v>
      </c>
      <c r="L112" s="336">
        <v>988.476</v>
      </c>
      <c r="M112" s="336">
        <v>78.500438</v>
      </c>
      <c r="N112" s="336">
        <v>12029.7308</v>
      </c>
      <c r="O112" s="336">
        <v>12029.7308</v>
      </c>
      <c r="P112" s="338">
        <v>2152.77787</v>
      </c>
      <c r="Q112" s="338" t="s">
        <v>509</v>
      </c>
      <c r="R112" s="338" t="s">
        <v>12</v>
      </c>
      <c r="S112" s="338">
        <v>10.0</v>
      </c>
      <c r="T112" s="338">
        <v>5.0</v>
      </c>
      <c r="U112" s="338">
        <v>0.7</v>
      </c>
      <c r="V112" s="345">
        <v>0.7</v>
      </c>
      <c r="W112" s="338">
        <v>0.7</v>
      </c>
      <c r="X112" s="336">
        <v>2000.0</v>
      </c>
      <c r="Y112" s="336" t="s">
        <v>510</v>
      </c>
      <c r="Z112" s="336">
        <v>0.2</v>
      </c>
      <c r="AA112" s="336" t="s">
        <v>511</v>
      </c>
      <c r="AB112" s="336" t="s">
        <v>512</v>
      </c>
      <c r="AC112" s="336">
        <v>202.0</v>
      </c>
      <c r="AD112" s="339"/>
      <c r="AE112" s="340"/>
    </row>
    <row r="113">
      <c r="A113" s="336" t="s">
        <v>636</v>
      </c>
      <c r="B113" s="336" t="s">
        <v>506</v>
      </c>
      <c r="C113" s="336" t="s">
        <v>507</v>
      </c>
      <c r="D113" s="336" t="s">
        <v>508</v>
      </c>
      <c r="E113" s="336">
        <v>1.0</v>
      </c>
      <c r="F113" s="337">
        <v>45541.604166666664</v>
      </c>
      <c r="G113" s="336">
        <v>1.0</v>
      </c>
      <c r="H113" s="336">
        <v>51.3807</v>
      </c>
      <c r="I113" s="336">
        <v>6.23455</v>
      </c>
      <c r="J113" s="336">
        <v>-26.790581</v>
      </c>
      <c r="K113" s="336">
        <v>-25.341994</v>
      </c>
      <c r="L113" s="336">
        <v>985.934</v>
      </c>
      <c r="M113" s="336">
        <v>76.998998</v>
      </c>
      <c r="N113" s="336">
        <v>11464.4993</v>
      </c>
      <c r="O113" s="336">
        <v>11464.4993</v>
      </c>
      <c r="P113" s="338">
        <v>2051.93094</v>
      </c>
      <c r="Q113" s="338" t="s">
        <v>509</v>
      </c>
      <c r="R113" s="338" t="s">
        <v>12</v>
      </c>
      <c r="S113" s="338">
        <v>10.0</v>
      </c>
      <c r="T113" s="338">
        <v>5.0</v>
      </c>
      <c r="U113" s="338">
        <v>0.7</v>
      </c>
      <c r="V113" s="345">
        <v>0.7</v>
      </c>
      <c r="W113" s="338">
        <v>0.7</v>
      </c>
      <c r="X113" s="336">
        <v>2000.0</v>
      </c>
      <c r="Y113" s="336" t="s">
        <v>510</v>
      </c>
      <c r="Z113" s="336">
        <v>0.2</v>
      </c>
      <c r="AA113" s="336" t="s">
        <v>511</v>
      </c>
      <c r="AB113" s="336" t="s">
        <v>512</v>
      </c>
      <c r="AC113" s="336">
        <v>220.0</v>
      </c>
      <c r="AD113" s="339"/>
      <c r="AE113" s="340"/>
    </row>
    <row r="114">
      <c r="A114" s="336" t="s">
        <v>531</v>
      </c>
      <c r="B114" s="336" t="s">
        <v>506</v>
      </c>
      <c r="C114" s="336" t="s">
        <v>507</v>
      </c>
      <c r="D114" s="336" t="s">
        <v>508</v>
      </c>
      <c r="E114" s="336">
        <v>1.0</v>
      </c>
      <c r="F114" s="354">
        <v>45541.606944444444</v>
      </c>
      <c r="G114" s="336">
        <v>1.0</v>
      </c>
      <c r="H114" s="336">
        <v>51.3774</v>
      </c>
      <c r="I114" s="336">
        <v>6.227</v>
      </c>
      <c r="J114" s="336">
        <v>-26.764762</v>
      </c>
      <c r="K114" s="336">
        <v>-25.501912</v>
      </c>
      <c r="L114" s="336">
        <v>982.933</v>
      </c>
      <c r="M114" s="336">
        <v>79.000169</v>
      </c>
      <c r="N114" s="336">
        <v>11444.9904</v>
      </c>
      <c r="O114" s="336">
        <v>11444.9904</v>
      </c>
      <c r="P114" s="338">
        <v>2048.45023</v>
      </c>
      <c r="Q114" s="338" t="s">
        <v>509</v>
      </c>
      <c r="R114" s="338" t="s">
        <v>12</v>
      </c>
      <c r="S114" s="338">
        <v>10.0</v>
      </c>
      <c r="T114" s="338">
        <v>5.0</v>
      </c>
      <c r="U114" s="338">
        <v>0.7</v>
      </c>
      <c r="V114" s="345">
        <v>0.7</v>
      </c>
      <c r="W114" s="338">
        <v>0.7</v>
      </c>
      <c r="X114" s="336">
        <v>2000.0</v>
      </c>
      <c r="Y114" s="336" t="s">
        <v>510</v>
      </c>
      <c r="Z114" s="336">
        <v>0.2</v>
      </c>
      <c r="AA114" s="336" t="s">
        <v>511</v>
      </c>
      <c r="AB114" s="336" t="s">
        <v>512</v>
      </c>
      <c r="AC114" s="336">
        <v>220.0</v>
      </c>
      <c r="AD114" s="339"/>
      <c r="AE114" s="340"/>
    </row>
    <row r="115">
      <c r="A115" s="336" t="s">
        <v>539</v>
      </c>
      <c r="B115" s="336" t="s">
        <v>506</v>
      </c>
      <c r="C115" s="336" t="s">
        <v>507</v>
      </c>
      <c r="D115" s="336" t="s">
        <v>508</v>
      </c>
      <c r="E115" s="336">
        <v>1.0</v>
      </c>
      <c r="F115" s="354">
        <v>45541.60972222222</v>
      </c>
      <c r="G115" s="336">
        <v>1.0</v>
      </c>
      <c r="H115" s="336">
        <v>51.3774</v>
      </c>
      <c r="I115" s="336">
        <v>5.94868</v>
      </c>
      <c r="J115" s="336">
        <v>-27.046044</v>
      </c>
      <c r="K115" s="336">
        <v>-25.464</v>
      </c>
      <c r="L115" s="336">
        <v>970.056</v>
      </c>
      <c r="M115" s="336">
        <v>76.500392</v>
      </c>
      <c r="N115" s="336">
        <v>11348.565</v>
      </c>
      <c r="O115" s="336">
        <v>11348.565</v>
      </c>
      <c r="P115" s="338">
        <v>2031.24629</v>
      </c>
      <c r="Q115" s="338" t="s">
        <v>509</v>
      </c>
      <c r="R115" s="338" t="s">
        <v>12</v>
      </c>
      <c r="S115" s="338">
        <v>10.0</v>
      </c>
      <c r="T115" s="338">
        <v>5.0</v>
      </c>
      <c r="U115" s="338">
        <v>0.7</v>
      </c>
      <c r="V115" s="345">
        <v>0.7</v>
      </c>
      <c r="W115" s="338">
        <v>0.7</v>
      </c>
      <c r="X115" s="336">
        <v>2000.0</v>
      </c>
      <c r="Y115" s="336" t="s">
        <v>510</v>
      </c>
      <c r="Z115" s="336">
        <v>0.2</v>
      </c>
      <c r="AA115" s="336" t="s">
        <v>511</v>
      </c>
      <c r="AB115" s="336" t="s">
        <v>512</v>
      </c>
      <c r="AC115" s="336">
        <v>220.0</v>
      </c>
      <c r="AD115" s="339"/>
      <c r="AE115" s="340"/>
    </row>
    <row r="116">
      <c r="A116" s="336" t="s">
        <v>543</v>
      </c>
      <c r="B116" s="336" t="s">
        <v>506</v>
      </c>
      <c r="C116" s="336" t="s">
        <v>507</v>
      </c>
      <c r="D116" s="336" t="s">
        <v>508</v>
      </c>
      <c r="E116" s="336">
        <v>1.0</v>
      </c>
      <c r="F116" s="354">
        <v>45541.6125</v>
      </c>
      <c r="G116" s="336">
        <v>1.0</v>
      </c>
      <c r="H116" s="336">
        <v>51.3807</v>
      </c>
      <c r="I116" s="336">
        <v>5.73435</v>
      </c>
      <c r="J116" s="336">
        <v>-26.803344</v>
      </c>
      <c r="K116" s="336">
        <v>-25.365831</v>
      </c>
      <c r="L116" s="336">
        <v>1008.42</v>
      </c>
      <c r="M116" s="336">
        <v>81.500486</v>
      </c>
      <c r="N116" s="336">
        <v>11465.1028</v>
      </c>
      <c r="O116" s="336">
        <v>11465.1028</v>
      </c>
      <c r="P116" s="338">
        <v>2052.03861</v>
      </c>
      <c r="Q116" s="338" t="s">
        <v>509</v>
      </c>
      <c r="R116" s="338" t="s">
        <v>12</v>
      </c>
      <c r="S116" s="338">
        <v>10.0</v>
      </c>
      <c r="T116" s="338">
        <v>5.0</v>
      </c>
      <c r="U116" s="338">
        <v>0.7</v>
      </c>
      <c r="V116" s="345">
        <v>0.7</v>
      </c>
      <c r="W116" s="338">
        <v>0.7</v>
      </c>
      <c r="X116" s="336">
        <v>2000.0</v>
      </c>
      <c r="Y116" s="336" t="s">
        <v>510</v>
      </c>
      <c r="Z116" s="336">
        <v>0.2</v>
      </c>
      <c r="AA116" s="336" t="s">
        <v>511</v>
      </c>
      <c r="AB116" s="336" t="s">
        <v>512</v>
      </c>
      <c r="AC116" s="336">
        <v>220.0</v>
      </c>
      <c r="AD116" s="339"/>
      <c r="AE116" s="340"/>
    </row>
    <row r="117">
      <c r="A117" s="336" t="s">
        <v>547</v>
      </c>
      <c r="B117" s="336" t="s">
        <v>506</v>
      </c>
      <c r="C117" s="336" t="s">
        <v>507</v>
      </c>
      <c r="D117" s="336" t="s">
        <v>508</v>
      </c>
      <c r="E117" s="336">
        <v>1.0</v>
      </c>
      <c r="F117" s="354">
        <v>45541.64166666667</v>
      </c>
      <c r="G117" s="336">
        <v>1.0</v>
      </c>
      <c r="H117" s="336">
        <v>51.3741</v>
      </c>
      <c r="I117" s="336">
        <v>8.00445</v>
      </c>
      <c r="J117" s="336">
        <v>-27.260775</v>
      </c>
      <c r="K117" s="336">
        <v>-25.331019</v>
      </c>
      <c r="L117" s="336">
        <v>1026.26</v>
      </c>
      <c r="M117" s="336">
        <v>68.500071</v>
      </c>
      <c r="N117" s="336">
        <v>11314.3827</v>
      </c>
      <c r="O117" s="336">
        <v>11314.3827</v>
      </c>
      <c r="P117" s="338">
        <v>2025.14758</v>
      </c>
      <c r="Q117" s="338" t="s">
        <v>509</v>
      </c>
      <c r="R117" s="338" t="s">
        <v>12</v>
      </c>
      <c r="S117" s="338">
        <v>10.0</v>
      </c>
      <c r="T117" s="338">
        <v>5.0</v>
      </c>
      <c r="U117" s="338">
        <v>0.7</v>
      </c>
      <c r="V117" s="345">
        <v>0.7</v>
      </c>
      <c r="W117" s="338">
        <v>0.7</v>
      </c>
      <c r="X117" s="336">
        <v>2000.0</v>
      </c>
      <c r="Y117" s="336" t="s">
        <v>510</v>
      </c>
      <c r="Z117" s="336">
        <v>0.2</v>
      </c>
      <c r="AA117" s="336" t="s">
        <v>511</v>
      </c>
      <c r="AB117" s="336" t="s">
        <v>512</v>
      </c>
      <c r="AC117" s="336">
        <v>220.0</v>
      </c>
      <c r="AD117" s="339"/>
      <c r="AE117" s="340"/>
    </row>
    <row r="118">
      <c r="A118" s="336" t="s">
        <v>550</v>
      </c>
      <c r="B118" s="336" t="s">
        <v>506</v>
      </c>
      <c r="C118" s="336" t="s">
        <v>507</v>
      </c>
      <c r="D118" s="336" t="s">
        <v>508</v>
      </c>
      <c r="E118" s="336">
        <v>1.0</v>
      </c>
      <c r="F118" s="354">
        <v>45541.64444444444</v>
      </c>
      <c r="G118" s="336">
        <v>1.0</v>
      </c>
      <c r="H118" s="336">
        <v>51.3708</v>
      </c>
      <c r="I118" s="336">
        <v>7.88595</v>
      </c>
      <c r="J118" s="336">
        <v>-27.151988</v>
      </c>
      <c r="K118" s="336">
        <v>-25.361906</v>
      </c>
      <c r="L118" s="336">
        <v>1016.23</v>
      </c>
      <c r="M118" s="336">
        <v>67.500011</v>
      </c>
      <c r="N118" s="336">
        <v>11332.6272</v>
      </c>
      <c r="O118" s="336">
        <v>11332.6272</v>
      </c>
      <c r="P118" s="338">
        <v>2028.40271</v>
      </c>
      <c r="Q118" s="338" t="s">
        <v>509</v>
      </c>
      <c r="R118" s="338" t="s">
        <v>12</v>
      </c>
      <c r="S118" s="338">
        <v>10.0</v>
      </c>
      <c r="T118" s="338">
        <v>5.0</v>
      </c>
      <c r="U118" s="338">
        <v>0.7</v>
      </c>
      <c r="V118" s="345">
        <v>0.7</v>
      </c>
      <c r="W118" s="338">
        <v>0.7</v>
      </c>
      <c r="X118" s="336">
        <v>2000.0</v>
      </c>
      <c r="Y118" s="336" t="s">
        <v>510</v>
      </c>
      <c r="Z118" s="336">
        <v>0.2</v>
      </c>
      <c r="AA118" s="336" t="s">
        <v>511</v>
      </c>
      <c r="AB118" s="336" t="s">
        <v>512</v>
      </c>
      <c r="AC118" s="336">
        <v>220.0</v>
      </c>
      <c r="AD118" s="339"/>
      <c r="AE118" s="340"/>
    </row>
    <row r="119">
      <c r="A119" s="336" t="s">
        <v>553</v>
      </c>
      <c r="B119" s="336" t="s">
        <v>506</v>
      </c>
      <c r="C119" s="336" t="s">
        <v>507</v>
      </c>
      <c r="D119" s="336" t="s">
        <v>508</v>
      </c>
      <c r="E119" s="336">
        <v>1.0</v>
      </c>
      <c r="F119" s="354">
        <v>45541.64722222222</v>
      </c>
      <c r="G119" s="336">
        <v>1.0</v>
      </c>
      <c r="H119" s="336">
        <v>51.3741</v>
      </c>
      <c r="I119" s="336">
        <v>7.99757</v>
      </c>
      <c r="J119" s="336">
        <v>-27.102488</v>
      </c>
      <c r="K119" s="336">
        <v>-25.203494</v>
      </c>
      <c r="L119" s="336">
        <v>1016.59</v>
      </c>
      <c r="M119" s="336">
        <v>66.999642</v>
      </c>
      <c r="N119" s="336">
        <v>11291.3642</v>
      </c>
      <c r="O119" s="336">
        <v>11291.3642</v>
      </c>
      <c r="P119" s="338">
        <v>2021.04069</v>
      </c>
      <c r="Q119" s="338" t="s">
        <v>509</v>
      </c>
      <c r="R119" s="338" t="s">
        <v>12</v>
      </c>
      <c r="S119" s="338">
        <v>10.0</v>
      </c>
      <c r="T119" s="338">
        <v>5.0</v>
      </c>
      <c r="U119" s="338">
        <v>0.7</v>
      </c>
      <c r="V119" s="345">
        <v>0.7</v>
      </c>
      <c r="W119" s="338">
        <v>0.7</v>
      </c>
      <c r="X119" s="336">
        <v>2000.0</v>
      </c>
      <c r="Y119" s="336" t="s">
        <v>510</v>
      </c>
      <c r="Z119" s="336">
        <v>0.2</v>
      </c>
      <c r="AA119" s="336" t="s">
        <v>511</v>
      </c>
      <c r="AB119" s="336" t="s">
        <v>512</v>
      </c>
      <c r="AC119" s="336">
        <v>220.0</v>
      </c>
      <c r="AD119" s="339"/>
      <c r="AE119" s="340"/>
    </row>
    <row r="120">
      <c r="A120" s="336" t="s">
        <v>557</v>
      </c>
      <c r="B120" s="336" t="s">
        <v>506</v>
      </c>
      <c r="C120" s="336" t="s">
        <v>507</v>
      </c>
      <c r="D120" s="336" t="s">
        <v>508</v>
      </c>
      <c r="E120" s="336">
        <v>1.0</v>
      </c>
      <c r="F120" s="354">
        <v>45541.65069444444</v>
      </c>
      <c r="G120" s="336">
        <v>1.0</v>
      </c>
      <c r="H120" s="336">
        <v>51.3741</v>
      </c>
      <c r="I120" s="336">
        <v>8.01345</v>
      </c>
      <c r="J120" s="336">
        <v>-27.059231</v>
      </c>
      <c r="K120" s="336">
        <v>-25.757219</v>
      </c>
      <c r="L120" s="336">
        <v>1019.92</v>
      </c>
      <c r="M120" s="336">
        <v>72.499315</v>
      </c>
      <c r="N120" s="336">
        <v>11331.429</v>
      </c>
      <c r="O120" s="336">
        <v>11331.429</v>
      </c>
      <c r="P120" s="338">
        <v>2028.18894</v>
      </c>
      <c r="Q120" s="338" t="s">
        <v>509</v>
      </c>
      <c r="R120" s="338" t="s">
        <v>12</v>
      </c>
      <c r="S120" s="338">
        <v>10.0</v>
      </c>
      <c r="T120" s="338">
        <v>5.0</v>
      </c>
      <c r="U120" s="338">
        <v>0.7</v>
      </c>
      <c r="V120" s="345">
        <v>0.7</v>
      </c>
      <c r="W120" s="338">
        <v>0.7</v>
      </c>
      <c r="X120" s="336">
        <v>2000.0</v>
      </c>
      <c r="Y120" s="336" t="s">
        <v>510</v>
      </c>
      <c r="Z120" s="336">
        <v>0.2</v>
      </c>
      <c r="AA120" s="336" t="s">
        <v>511</v>
      </c>
      <c r="AB120" s="336" t="s">
        <v>512</v>
      </c>
      <c r="AC120" s="336">
        <v>220.0</v>
      </c>
      <c r="AD120" s="339"/>
      <c r="AE120" s="339"/>
    </row>
    <row r="121">
      <c r="A121" s="336" t="s">
        <v>560</v>
      </c>
      <c r="B121" s="336" t="s">
        <v>506</v>
      </c>
      <c r="C121" s="336" t="s">
        <v>507</v>
      </c>
      <c r="D121" s="336" t="s">
        <v>508</v>
      </c>
      <c r="E121" s="336">
        <v>1.0</v>
      </c>
      <c r="F121" s="354">
        <v>45541.65347222222</v>
      </c>
      <c r="G121" s="336">
        <v>1.0</v>
      </c>
      <c r="H121" s="336">
        <v>51.3807</v>
      </c>
      <c r="I121" s="336">
        <v>7.94838</v>
      </c>
      <c r="J121" s="336">
        <v>-27.20055</v>
      </c>
      <c r="K121" s="336">
        <v>-22.748775</v>
      </c>
      <c r="L121" s="336">
        <v>1017.32</v>
      </c>
      <c r="M121" s="336">
        <v>56.500339</v>
      </c>
      <c r="N121" s="336">
        <v>11219.8301</v>
      </c>
      <c r="O121" s="336">
        <v>11219.8301</v>
      </c>
      <c r="P121" s="338">
        <v>2008.2778</v>
      </c>
      <c r="Q121" s="338" t="s">
        <v>509</v>
      </c>
      <c r="R121" s="338" t="s">
        <v>12</v>
      </c>
      <c r="S121" s="338">
        <v>10.0</v>
      </c>
      <c r="T121" s="338">
        <v>5.0</v>
      </c>
      <c r="U121" s="338">
        <v>0.7</v>
      </c>
      <c r="V121" s="345">
        <v>0.7</v>
      </c>
      <c r="W121" s="338">
        <v>0.7</v>
      </c>
      <c r="X121" s="336">
        <v>2000.0</v>
      </c>
      <c r="Y121" s="336" t="s">
        <v>510</v>
      </c>
      <c r="Z121" s="336">
        <v>0.2</v>
      </c>
      <c r="AA121" s="336" t="s">
        <v>511</v>
      </c>
      <c r="AB121" s="336" t="s">
        <v>512</v>
      </c>
      <c r="AC121" s="336">
        <v>220.0</v>
      </c>
      <c r="AD121" s="339"/>
      <c r="AE121" s="339"/>
    </row>
    <row r="122">
      <c r="A122" s="336" t="s">
        <v>637</v>
      </c>
      <c r="B122" s="336" t="s">
        <v>506</v>
      </c>
      <c r="C122" s="336" t="s">
        <v>507</v>
      </c>
      <c r="D122" s="336" t="s">
        <v>508</v>
      </c>
      <c r="E122" s="336">
        <v>1.0</v>
      </c>
      <c r="F122" s="354">
        <v>45541.65972222222</v>
      </c>
      <c r="G122" s="336">
        <v>1.0</v>
      </c>
      <c r="H122" s="336">
        <v>51.3741</v>
      </c>
      <c r="I122" s="336">
        <v>7.88145</v>
      </c>
      <c r="J122" s="336">
        <v>-27.182937</v>
      </c>
      <c r="K122" s="336">
        <v>-25.702619</v>
      </c>
      <c r="L122" s="336">
        <v>1013.6</v>
      </c>
      <c r="M122" s="336">
        <v>69.500448</v>
      </c>
      <c r="N122" s="336">
        <v>11306.3776</v>
      </c>
      <c r="O122" s="336">
        <v>11306.3776</v>
      </c>
      <c r="P122" s="338">
        <v>2023.71933</v>
      </c>
      <c r="Q122" s="338" t="s">
        <v>509</v>
      </c>
      <c r="R122" s="338" t="s">
        <v>12</v>
      </c>
      <c r="S122" s="338">
        <v>10.0</v>
      </c>
      <c r="T122" s="338">
        <v>5.0</v>
      </c>
      <c r="U122" s="338">
        <v>0.7</v>
      </c>
      <c r="V122" s="345">
        <v>0.7</v>
      </c>
      <c r="W122" s="338">
        <v>0.7</v>
      </c>
      <c r="X122" s="336">
        <v>2000.0</v>
      </c>
      <c r="Y122" s="336" t="s">
        <v>510</v>
      </c>
      <c r="Z122" s="336">
        <v>0.2</v>
      </c>
      <c r="AA122" s="336" t="s">
        <v>511</v>
      </c>
      <c r="AB122" s="336" t="s">
        <v>512</v>
      </c>
      <c r="AC122" s="336">
        <v>220.0</v>
      </c>
      <c r="AD122" s="339"/>
      <c r="AE122" s="339"/>
    </row>
    <row r="123">
      <c r="A123" s="336" t="s">
        <v>571</v>
      </c>
      <c r="B123" s="336" t="s">
        <v>506</v>
      </c>
      <c r="C123" s="336" t="s">
        <v>507</v>
      </c>
      <c r="D123" s="336" t="s">
        <v>508</v>
      </c>
      <c r="E123" s="336">
        <v>1.0</v>
      </c>
      <c r="F123" s="354">
        <v>45541.6625</v>
      </c>
      <c r="G123" s="336">
        <v>1.0</v>
      </c>
      <c r="H123" s="336">
        <v>51.3741</v>
      </c>
      <c r="I123" s="336">
        <v>7.9122</v>
      </c>
      <c r="J123" s="336">
        <v>-27.227213</v>
      </c>
      <c r="K123" s="336">
        <v>-25.461119</v>
      </c>
      <c r="L123" s="336">
        <v>1007.18</v>
      </c>
      <c r="M123" s="336">
        <v>66.999663</v>
      </c>
      <c r="N123" s="336">
        <v>11323.7117</v>
      </c>
      <c r="O123" s="336">
        <v>11323.7117</v>
      </c>
      <c r="P123" s="338">
        <v>2026.81205</v>
      </c>
      <c r="Q123" s="338" t="s">
        <v>509</v>
      </c>
      <c r="R123" s="338" t="s">
        <v>12</v>
      </c>
      <c r="S123" s="338">
        <v>10.0</v>
      </c>
      <c r="T123" s="338">
        <v>5.0</v>
      </c>
      <c r="U123" s="338">
        <v>0.7</v>
      </c>
      <c r="V123" s="345">
        <v>0.7</v>
      </c>
      <c r="W123" s="338">
        <v>0.7</v>
      </c>
      <c r="X123" s="336">
        <v>2000.0</v>
      </c>
      <c r="Y123" s="336" t="s">
        <v>510</v>
      </c>
      <c r="Z123" s="336">
        <v>0.2</v>
      </c>
      <c r="AA123" s="336" t="s">
        <v>511</v>
      </c>
      <c r="AB123" s="336" t="s">
        <v>512</v>
      </c>
      <c r="AC123" s="336">
        <v>220.0</v>
      </c>
      <c r="AD123" s="339"/>
      <c r="AE123" s="339"/>
    </row>
    <row r="124">
      <c r="A124" s="336" t="s">
        <v>573</v>
      </c>
      <c r="B124" s="336" t="s">
        <v>506</v>
      </c>
      <c r="C124" s="336" t="s">
        <v>507</v>
      </c>
      <c r="D124" s="336" t="s">
        <v>508</v>
      </c>
      <c r="E124" s="336">
        <v>1.0</v>
      </c>
      <c r="F124" s="354">
        <v>45541.66527777778</v>
      </c>
      <c r="G124" s="336">
        <v>1.0</v>
      </c>
      <c r="H124" s="336">
        <v>51.3774</v>
      </c>
      <c r="I124" s="336">
        <v>7.95791</v>
      </c>
      <c r="J124" s="336">
        <v>-27.278506</v>
      </c>
      <c r="K124" s="336">
        <v>-25.905931</v>
      </c>
      <c r="L124" s="336">
        <v>1021.49</v>
      </c>
      <c r="M124" s="336">
        <v>72.500586</v>
      </c>
      <c r="N124" s="336">
        <v>11354.4924</v>
      </c>
      <c r="O124" s="336">
        <v>11354.4924</v>
      </c>
      <c r="P124" s="338">
        <v>2032.30384</v>
      </c>
      <c r="Q124" s="338" t="s">
        <v>509</v>
      </c>
      <c r="R124" s="338" t="s">
        <v>12</v>
      </c>
      <c r="S124" s="338">
        <v>10.0</v>
      </c>
      <c r="T124" s="338">
        <v>5.0</v>
      </c>
      <c r="U124" s="338">
        <v>0.7</v>
      </c>
      <c r="V124" s="345">
        <v>0.7</v>
      </c>
      <c r="W124" s="338">
        <v>0.7</v>
      </c>
      <c r="X124" s="336">
        <v>2000.0</v>
      </c>
      <c r="Y124" s="336" t="s">
        <v>510</v>
      </c>
      <c r="Z124" s="336">
        <v>0.2</v>
      </c>
      <c r="AA124" s="336" t="s">
        <v>511</v>
      </c>
      <c r="AB124" s="336" t="s">
        <v>512</v>
      </c>
      <c r="AC124" s="336">
        <v>220.0</v>
      </c>
      <c r="AD124" s="339"/>
      <c r="AE124" s="339"/>
    </row>
    <row r="125">
      <c r="A125" s="336" t="s">
        <v>577</v>
      </c>
      <c r="B125" s="336" t="s">
        <v>506</v>
      </c>
      <c r="C125" s="336" t="s">
        <v>507</v>
      </c>
      <c r="D125" s="336" t="s">
        <v>508</v>
      </c>
      <c r="E125" s="336">
        <v>1.0</v>
      </c>
      <c r="F125" s="354">
        <v>45541.66805555556</v>
      </c>
      <c r="G125" s="336">
        <v>1.0</v>
      </c>
      <c r="H125" s="336">
        <v>51.3807</v>
      </c>
      <c r="I125" s="336">
        <v>7.88627</v>
      </c>
      <c r="J125" s="336">
        <v>-27.267775</v>
      </c>
      <c r="K125" s="336">
        <v>-25.290344</v>
      </c>
      <c r="L125" s="336">
        <v>1018.06</v>
      </c>
      <c r="M125" s="336">
        <v>64.999508</v>
      </c>
      <c r="N125" s="336">
        <v>11335.151</v>
      </c>
      <c r="O125" s="336">
        <v>11335.151</v>
      </c>
      <c r="P125" s="338">
        <v>2028.85301</v>
      </c>
      <c r="Q125" s="338" t="s">
        <v>509</v>
      </c>
      <c r="R125" s="338" t="s">
        <v>12</v>
      </c>
      <c r="S125" s="338">
        <v>10.0</v>
      </c>
      <c r="T125" s="338">
        <v>5.0</v>
      </c>
      <c r="U125" s="338">
        <v>0.7</v>
      </c>
      <c r="V125" s="345">
        <v>0.7</v>
      </c>
      <c r="W125" s="338">
        <v>0.7</v>
      </c>
      <c r="X125" s="336">
        <v>2000.0</v>
      </c>
      <c r="Y125" s="336" t="s">
        <v>510</v>
      </c>
      <c r="Z125" s="336">
        <v>0.2</v>
      </c>
      <c r="AA125" s="336" t="s">
        <v>511</v>
      </c>
      <c r="AB125" s="336" t="s">
        <v>512</v>
      </c>
      <c r="AC125" s="336">
        <v>220.0</v>
      </c>
      <c r="AD125" s="339"/>
      <c r="AE125" s="339"/>
    </row>
    <row r="126">
      <c r="A126" s="336" t="s">
        <v>580</v>
      </c>
      <c r="B126" s="336" t="s">
        <v>506</v>
      </c>
      <c r="C126" s="336" t="s">
        <v>507</v>
      </c>
      <c r="D126" s="336" t="s">
        <v>508</v>
      </c>
      <c r="E126" s="336">
        <v>1.0</v>
      </c>
      <c r="F126" s="354">
        <v>45541.67083333333</v>
      </c>
      <c r="G126" s="336">
        <v>1.0</v>
      </c>
      <c r="H126" s="336">
        <v>51.3807</v>
      </c>
      <c r="I126" s="336">
        <v>7.8885</v>
      </c>
      <c r="J126" s="336">
        <v>-27.245688</v>
      </c>
      <c r="K126" s="336">
        <v>-25.533587</v>
      </c>
      <c r="L126" s="336">
        <v>1008.84</v>
      </c>
      <c r="M126" s="336">
        <v>69.001801</v>
      </c>
      <c r="N126" s="336">
        <v>11329.9301</v>
      </c>
      <c r="O126" s="336">
        <v>11329.9301</v>
      </c>
      <c r="P126" s="338">
        <v>2027.92151</v>
      </c>
      <c r="Q126" s="338" t="s">
        <v>509</v>
      </c>
      <c r="R126" s="338" t="s">
        <v>12</v>
      </c>
      <c r="S126" s="338">
        <v>10.0</v>
      </c>
      <c r="T126" s="338">
        <v>5.0</v>
      </c>
      <c r="U126" s="338">
        <v>0.7</v>
      </c>
      <c r="V126" s="345">
        <v>0.7</v>
      </c>
      <c r="W126" s="338">
        <v>0.7</v>
      </c>
      <c r="X126" s="336">
        <v>2000.0</v>
      </c>
      <c r="Y126" s="336" t="s">
        <v>510</v>
      </c>
      <c r="Z126" s="336">
        <v>0.2</v>
      </c>
      <c r="AA126" s="336" t="s">
        <v>511</v>
      </c>
      <c r="AB126" s="336" t="s">
        <v>512</v>
      </c>
      <c r="AC126" s="336">
        <v>220.0</v>
      </c>
      <c r="AD126" s="339"/>
      <c r="AE126" s="339"/>
    </row>
    <row r="127">
      <c r="A127" s="336" t="s">
        <v>583</v>
      </c>
      <c r="B127" s="336" t="s">
        <v>506</v>
      </c>
      <c r="C127" s="336" t="s">
        <v>507</v>
      </c>
      <c r="D127" s="336" t="s">
        <v>508</v>
      </c>
      <c r="E127" s="336">
        <v>1.0</v>
      </c>
      <c r="F127" s="354">
        <v>45541.67361111111</v>
      </c>
      <c r="G127" s="336">
        <v>1.0</v>
      </c>
      <c r="H127" s="336">
        <v>51.3807</v>
      </c>
      <c r="I127" s="336">
        <v>7.90022</v>
      </c>
      <c r="J127" s="336">
        <v>-27.059994</v>
      </c>
      <c r="K127" s="336">
        <v>-25.728412</v>
      </c>
      <c r="L127" s="336">
        <v>1017.74</v>
      </c>
      <c r="M127" s="336">
        <v>72.000146</v>
      </c>
      <c r="N127" s="336">
        <v>11327.466</v>
      </c>
      <c r="O127" s="336">
        <v>11327.466</v>
      </c>
      <c r="P127" s="338">
        <v>2027.48186</v>
      </c>
      <c r="Q127" s="338" t="s">
        <v>509</v>
      </c>
      <c r="R127" s="338" t="s">
        <v>12</v>
      </c>
      <c r="S127" s="338">
        <v>10.0</v>
      </c>
      <c r="T127" s="338">
        <v>5.0</v>
      </c>
      <c r="U127" s="338">
        <v>0.7</v>
      </c>
      <c r="V127" s="345">
        <v>0.7</v>
      </c>
      <c r="W127" s="338">
        <v>0.7</v>
      </c>
      <c r="X127" s="336">
        <v>2000.0</v>
      </c>
      <c r="Y127" s="336" t="s">
        <v>510</v>
      </c>
      <c r="Z127" s="336">
        <v>0.2</v>
      </c>
      <c r="AA127" s="336" t="s">
        <v>511</v>
      </c>
      <c r="AB127" s="336" t="s">
        <v>512</v>
      </c>
      <c r="AC127" s="336">
        <v>220.0</v>
      </c>
      <c r="AD127" s="339"/>
      <c r="AE127" s="339"/>
    </row>
    <row r="128">
      <c r="A128" s="336" t="s">
        <v>587</v>
      </c>
      <c r="B128" s="336" t="s">
        <v>506</v>
      </c>
      <c r="C128" s="336" t="s">
        <v>507</v>
      </c>
      <c r="D128" s="336" t="s">
        <v>508</v>
      </c>
      <c r="E128" s="336">
        <v>1.0</v>
      </c>
      <c r="F128" s="354">
        <v>45541.67638888889</v>
      </c>
      <c r="G128" s="336">
        <v>1.0</v>
      </c>
      <c r="H128" s="336">
        <v>51.3741</v>
      </c>
      <c r="I128" s="336">
        <v>7.93401</v>
      </c>
      <c r="J128" s="336">
        <v>-27.292587</v>
      </c>
      <c r="K128" s="336">
        <v>-25.678706</v>
      </c>
      <c r="L128" s="336">
        <v>1005.9</v>
      </c>
      <c r="M128" s="336">
        <v>71.000957</v>
      </c>
      <c r="N128" s="336">
        <v>11312.8605</v>
      </c>
      <c r="O128" s="336">
        <v>11312.8605</v>
      </c>
      <c r="P128" s="338">
        <v>2024.876</v>
      </c>
      <c r="Q128" s="338" t="s">
        <v>509</v>
      </c>
      <c r="R128" s="338" t="s">
        <v>12</v>
      </c>
      <c r="S128" s="338">
        <v>10.0</v>
      </c>
      <c r="T128" s="338">
        <v>5.0</v>
      </c>
      <c r="U128" s="338">
        <v>0.7</v>
      </c>
      <c r="V128" s="345">
        <v>0.7</v>
      </c>
      <c r="W128" s="338">
        <v>0.7</v>
      </c>
      <c r="X128" s="336">
        <v>2000.0</v>
      </c>
      <c r="Y128" s="336" t="s">
        <v>510</v>
      </c>
      <c r="Z128" s="336">
        <v>0.2</v>
      </c>
      <c r="AA128" s="336" t="s">
        <v>511</v>
      </c>
      <c r="AB128" s="336" t="s">
        <v>512</v>
      </c>
      <c r="AC128" s="336">
        <v>220.0</v>
      </c>
      <c r="AD128" s="339"/>
      <c r="AE128" s="339"/>
    </row>
    <row r="129">
      <c r="A129" s="336" t="s">
        <v>638</v>
      </c>
      <c r="B129" s="336" t="s">
        <v>517</v>
      </c>
      <c r="C129" s="336" t="s">
        <v>639</v>
      </c>
      <c r="D129" s="336" t="s">
        <v>508</v>
      </c>
      <c r="E129" s="336">
        <v>0.8</v>
      </c>
      <c r="F129" s="354">
        <v>45541.686111111114</v>
      </c>
      <c r="G129" s="336">
        <v>1.0</v>
      </c>
      <c r="H129" s="336">
        <v>51.3708</v>
      </c>
      <c r="I129" s="336">
        <v>7.76481</v>
      </c>
      <c r="J129" s="336">
        <v>-27.207694</v>
      </c>
      <c r="K129" s="336">
        <v>-25.892006</v>
      </c>
      <c r="L129" s="336">
        <v>1002.32</v>
      </c>
      <c r="M129" s="336">
        <v>70.999667</v>
      </c>
      <c r="N129" s="336">
        <v>9128.55443</v>
      </c>
      <c r="O129" s="336">
        <v>9174.43283</v>
      </c>
      <c r="P129" s="338">
        <v>2070.3457</v>
      </c>
      <c r="Q129" s="338" t="s">
        <v>519</v>
      </c>
      <c r="R129" s="338" t="s">
        <v>12</v>
      </c>
      <c r="S129" s="338">
        <v>10.0</v>
      </c>
      <c r="T129" s="338">
        <v>5.0</v>
      </c>
      <c r="U129" s="338">
        <v>0.7</v>
      </c>
      <c r="V129" s="345">
        <v>0.7</v>
      </c>
      <c r="W129" s="338">
        <v>0.7</v>
      </c>
      <c r="X129" s="336">
        <v>2000.0</v>
      </c>
      <c r="Y129" s="336" t="s">
        <v>510</v>
      </c>
      <c r="Z129" s="336">
        <v>0.2</v>
      </c>
      <c r="AA129" s="336" t="s">
        <v>511</v>
      </c>
      <c r="AB129" s="336" t="s">
        <v>512</v>
      </c>
      <c r="AC129" s="336">
        <v>220.0</v>
      </c>
      <c r="AD129" s="339"/>
      <c r="AE129" s="339"/>
    </row>
    <row r="130">
      <c r="A130" s="336" t="s">
        <v>640</v>
      </c>
      <c r="B130" s="336" t="s">
        <v>517</v>
      </c>
      <c r="C130" s="336" t="s">
        <v>639</v>
      </c>
      <c r="D130" s="336" t="s">
        <v>508</v>
      </c>
      <c r="E130" s="336">
        <v>0.8</v>
      </c>
      <c r="F130" s="354">
        <v>45541.688888888886</v>
      </c>
      <c r="G130" s="336">
        <v>1.0</v>
      </c>
      <c r="H130" s="336">
        <v>51.3741</v>
      </c>
      <c r="I130" s="336">
        <v>7.82381</v>
      </c>
      <c r="J130" s="336">
        <v>-27.222881</v>
      </c>
      <c r="K130" s="336">
        <v>-25.66545</v>
      </c>
      <c r="L130" s="336">
        <v>1020.63</v>
      </c>
      <c r="M130" s="336">
        <v>66.000398</v>
      </c>
      <c r="N130" s="336">
        <v>9165.84937</v>
      </c>
      <c r="O130" s="336">
        <v>9174.43283</v>
      </c>
      <c r="P130" s="338">
        <v>2070.3457</v>
      </c>
      <c r="Q130" s="338" t="s">
        <v>509</v>
      </c>
      <c r="R130" s="338" t="s">
        <v>12</v>
      </c>
      <c r="S130" s="338">
        <v>10.0</v>
      </c>
      <c r="T130" s="338">
        <v>5.0</v>
      </c>
      <c r="U130" s="338">
        <v>0.7</v>
      </c>
      <c r="V130" s="345">
        <v>0.7</v>
      </c>
      <c r="W130" s="338">
        <v>0.7</v>
      </c>
      <c r="X130" s="336">
        <v>2000.0</v>
      </c>
      <c r="Y130" s="336" t="s">
        <v>510</v>
      </c>
      <c r="Z130" s="336">
        <v>0.2</v>
      </c>
      <c r="AA130" s="336" t="s">
        <v>511</v>
      </c>
      <c r="AB130" s="336" t="s">
        <v>512</v>
      </c>
      <c r="AC130" s="336">
        <v>220.0</v>
      </c>
      <c r="AD130" s="339"/>
      <c r="AE130" s="339"/>
    </row>
    <row r="131">
      <c r="A131" s="336" t="s">
        <v>641</v>
      </c>
      <c r="B131" s="336" t="s">
        <v>517</v>
      </c>
      <c r="C131" s="336" t="s">
        <v>639</v>
      </c>
      <c r="D131" s="336" t="s">
        <v>508</v>
      </c>
      <c r="E131" s="336">
        <v>0.8</v>
      </c>
      <c r="F131" s="354">
        <v>45541.691666666666</v>
      </c>
      <c r="G131" s="336">
        <v>1.0</v>
      </c>
      <c r="H131" s="336">
        <v>51.3807</v>
      </c>
      <c r="I131" s="336">
        <v>7.79473</v>
      </c>
      <c r="J131" s="336">
        <v>-27.179213</v>
      </c>
      <c r="K131" s="336">
        <v>-25.930263</v>
      </c>
      <c r="L131" s="336">
        <v>1024.05</v>
      </c>
      <c r="M131" s="336">
        <v>66.498962</v>
      </c>
      <c r="N131" s="336">
        <v>9183.0163</v>
      </c>
      <c r="O131" s="336">
        <v>9174.43283</v>
      </c>
      <c r="P131" s="338">
        <v>2070.3457</v>
      </c>
      <c r="Q131" s="338" t="s">
        <v>509</v>
      </c>
      <c r="R131" s="338" t="s">
        <v>12</v>
      </c>
      <c r="S131" s="338">
        <v>10.0</v>
      </c>
      <c r="T131" s="338">
        <v>5.0</v>
      </c>
      <c r="U131" s="338">
        <v>0.7</v>
      </c>
      <c r="V131" s="345">
        <v>0.7</v>
      </c>
      <c r="W131" s="338">
        <v>0.7</v>
      </c>
      <c r="X131" s="336">
        <v>2000.0</v>
      </c>
      <c r="Y131" s="336" t="s">
        <v>510</v>
      </c>
      <c r="Z131" s="336">
        <v>0.2</v>
      </c>
      <c r="AA131" s="336" t="s">
        <v>511</v>
      </c>
      <c r="AB131" s="336" t="s">
        <v>512</v>
      </c>
      <c r="AC131" s="336">
        <v>220.0</v>
      </c>
      <c r="AD131" s="339"/>
      <c r="AE131" s="339"/>
    </row>
    <row r="132">
      <c r="A132" s="336" t="s">
        <v>642</v>
      </c>
      <c r="B132" s="336" t="s">
        <v>523</v>
      </c>
      <c r="C132" s="336" t="s">
        <v>639</v>
      </c>
      <c r="D132" s="336" t="s">
        <v>508</v>
      </c>
      <c r="E132" s="336">
        <v>1.0</v>
      </c>
      <c r="F132" s="354">
        <v>45541.694444444445</v>
      </c>
      <c r="G132" s="336">
        <v>1.0</v>
      </c>
      <c r="H132" s="336">
        <v>51.3741</v>
      </c>
      <c r="I132" s="336">
        <v>7.78922</v>
      </c>
      <c r="J132" s="336">
        <v>-27.279594</v>
      </c>
      <c r="K132" s="336">
        <v>-25.994788</v>
      </c>
      <c r="L132" s="336">
        <v>1074.71</v>
      </c>
      <c r="M132" s="336">
        <v>76.499451</v>
      </c>
      <c r="N132" s="336">
        <v>11516.819</v>
      </c>
      <c r="O132" s="336">
        <v>0.0</v>
      </c>
      <c r="P132" s="338">
        <v>2070.3457</v>
      </c>
      <c r="Q132" s="338" t="s">
        <v>588</v>
      </c>
      <c r="R132" s="338" t="s">
        <v>534</v>
      </c>
      <c r="S132" s="338">
        <v>10.0</v>
      </c>
      <c r="T132" s="338">
        <v>5.0</v>
      </c>
      <c r="U132" s="338">
        <v>0.7</v>
      </c>
      <c r="V132" s="345">
        <v>0.7</v>
      </c>
      <c r="W132" s="338">
        <v>0.7</v>
      </c>
      <c r="X132" s="336">
        <v>2000.0</v>
      </c>
      <c r="Y132" s="336" t="s">
        <v>510</v>
      </c>
      <c r="Z132" s="336">
        <v>0.2</v>
      </c>
      <c r="AA132" s="336" t="s">
        <v>511</v>
      </c>
      <c r="AB132" s="336" t="s">
        <v>512</v>
      </c>
      <c r="AC132" s="336">
        <v>220.0</v>
      </c>
      <c r="AD132" s="339"/>
      <c r="AE132" s="339"/>
    </row>
    <row r="133">
      <c r="A133" s="336" t="s">
        <v>643</v>
      </c>
      <c r="B133" s="336" t="s">
        <v>523</v>
      </c>
      <c r="C133" s="336" t="s">
        <v>639</v>
      </c>
      <c r="D133" s="336" t="s">
        <v>508</v>
      </c>
      <c r="E133" s="336">
        <v>1.0</v>
      </c>
      <c r="F133" s="354">
        <v>45541.697222222225</v>
      </c>
      <c r="G133" s="336">
        <v>1.0</v>
      </c>
      <c r="H133" s="336">
        <v>51.3774</v>
      </c>
      <c r="I133" s="336">
        <v>7.80829</v>
      </c>
      <c r="J133" s="336">
        <v>-27.214875</v>
      </c>
      <c r="K133" s="336">
        <v>-25.549281</v>
      </c>
      <c r="L133" s="336">
        <v>1082.1</v>
      </c>
      <c r="M133" s="336">
        <v>65.500914</v>
      </c>
      <c r="N133" s="336">
        <v>11486.175</v>
      </c>
      <c r="O133" s="336">
        <v>0.0</v>
      </c>
      <c r="P133" s="338">
        <v>2070.3457</v>
      </c>
      <c r="Q133" s="338" t="s">
        <v>588</v>
      </c>
      <c r="R133" s="338" t="s">
        <v>534</v>
      </c>
      <c r="S133" s="338">
        <v>10.0</v>
      </c>
      <c r="T133" s="338">
        <v>5.0</v>
      </c>
      <c r="U133" s="338">
        <v>0.7</v>
      </c>
      <c r="V133" s="338">
        <v>0.7</v>
      </c>
      <c r="W133" s="338">
        <v>0.7</v>
      </c>
      <c r="X133" s="336">
        <v>2000.0</v>
      </c>
      <c r="Y133" s="336" t="s">
        <v>510</v>
      </c>
      <c r="Z133" s="336">
        <v>0.2</v>
      </c>
      <c r="AA133" s="336" t="s">
        <v>511</v>
      </c>
      <c r="AB133" s="336" t="s">
        <v>512</v>
      </c>
      <c r="AC133" s="336">
        <v>220.0</v>
      </c>
      <c r="AD133" s="339"/>
      <c r="AE133" s="339"/>
    </row>
    <row r="134">
      <c r="A134" s="336" t="s">
        <v>644</v>
      </c>
      <c r="B134" s="336" t="s">
        <v>523</v>
      </c>
      <c r="C134" s="336" t="s">
        <v>639</v>
      </c>
      <c r="D134" s="336" t="s">
        <v>508</v>
      </c>
      <c r="E134" s="336">
        <v>1.0</v>
      </c>
      <c r="F134" s="354">
        <v>45541.7</v>
      </c>
      <c r="G134" s="336">
        <v>1.0</v>
      </c>
      <c r="H134" s="336">
        <v>51.3741</v>
      </c>
      <c r="I134" s="336">
        <v>7.87133</v>
      </c>
      <c r="J134" s="336">
        <v>-27.18985</v>
      </c>
      <c r="K134" s="336">
        <v>-26.171831</v>
      </c>
      <c r="L134" s="336">
        <v>1082.55</v>
      </c>
      <c r="M134" s="336">
        <v>79.50013</v>
      </c>
      <c r="N134" s="336">
        <v>11524.966</v>
      </c>
      <c r="O134" s="336">
        <v>0.0</v>
      </c>
      <c r="P134" s="338">
        <v>2070.3457</v>
      </c>
      <c r="Q134" s="338" t="s">
        <v>588</v>
      </c>
      <c r="R134" s="338" t="s">
        <v>534</v>
      </c>
      <c r="S134" s="338">
        <v>10.0</v>
      </c>
      <c r="T134" s="338">
        <v>5.0</v>
      </c>
      <c r="U134" s="338">
        <v>0.7</v>
      </c>
      <c r="V134" s="338">
        <v>0.7</v>
      </c>
      <c r="W134" s="338">
        <v>0.7</v>
      </c>
      <c r="X134" s="336">
        <v>2000.0</v>
      </c>
      <c r="Y134" s="336" t="s">
        <v>510</v>
      </c>
      <c r="Z134" s="336">
        <v>0.2</v>
      </c>
      <c r="AA134" s="336" t="s">
        <v>511</v>
      </c>
      <c r="AB134" s="336" t="s">
        <v>512</v>
      </c>
      <c r="AC134" s="336">
        <v>220.0</v>
      </c>
      <c r="AD134" s="339"/>
      <c r="AE134" s="340"/>
    </row>
    <row r="135">
      <c r="A135" s="336" t="s">
        <v>645</v>
      </c>
      <c r="B135" s="336" t="s">
        <v>523</v>
      </c>
      <c r="C135" s="336" t="s">
        <v>639</v>
      </c>
      <c r="D135" s="336" t="s">
        <v>508</v>
      </c>
      <c r="E135" s="336">
        <v>1.0</v>
      </c>
      <c r="F135" s="354">
        <v>45541.70277777778</v>
      </c>
      <c r="G135" s="336">
        <v>1.0</v>
      </c>
      <c r="H135" s="336">
        <v>51.3774</v>
      </c>
      <c r="I135" s="336">
        <v>7.8341</v>
      </c>
      <c r="J135" s="336">
        <v>-27.233738</v>
      </c>
      <c r="K135" s="336">
        <v>-25.518594</v>
      </c>
      <c r="L135" s="336">
        <v>1060.86</v>
      </c>
      <c r="M135" s="336">
        <v>68.501706</v>
      </c>
      <c r="N135" s="336">
        <v>11482.4837</v>
      </c>
      <c r="O135" s="336">
        <v>0.0</v>
      </c>
      <c r="P135" s="338">
        <v>2070.3457</v>
      </c>
      <c r="Q135" s="338" t="s">
        <v>588</v>
      </c>
      <c r="R135" s="338" t="s">
        <v>534</v>
      </c>
      <c r="S135" s="338">
        <v>10.0</v>
      </c>
      <c r="T135" s="338">
        <v>5.0</v>
      </c>
      <c r="U135" s="338">
        <v>0.7</v>
      </c>
      <c r="V135" s="338">
        <v>0.7</v>
      </c>
      <c r="W135" s="338">
        <v>0.7</v>
      </c>
      <c r="X135" s="336">
        <v>2000.0</v>
      </c>
      <c r="Y135" s="336" t="s">
        <v>510</v>
      </c>
      <c r="Z135" s="336">
        <v>0.2</v>
      </c>
      <c r="AA135" s="336" t="s">
        <v>511</v>
      </c>
      <c r="AB135" s="336" t="s">
        <v>512</v>
      </c>
      <c r="AC135" s="336">
        <v>220.0</v>
      </c>
      <c r="AD135" s="339"/>
      <c r="AE135" s="340"/>
    </row>
    <row r="136">
      <c r="A136" s="336" t="s">
        <v>646</v>
      </c>
      <c r="B136" s="336" t="s">
        <v>523</v>
      </c>
      <c r="C136" s="336" t="s">
        <v>639</v>
      </c>
      <c r="D136" s="336" t="s">
        <v>508</v>
      </c>
      <c r="E136" s="336">
        <v>1.0</v>
      </c>
      <c r="F136" s="354">
        <v>45541.705555555556</v>
      </c>
      <c r="G136" s="336">
        <v>1.0</v>
      </c>
      <c r="H136" s="336">
        <v>51.3774</v>
      </c>
      <c r="I136" s="336">
        <v>7.87377</v>
      </c>
      <c r="J136" s="336">
        <v>-27.30765</v>
      </c>
      <c r="K136" s="336">
        <v>-26.008613</v>
      </c>
      <c r="L136" s="336">
        <v>1078.43</v>
      </c>
      <c r="M136" s="336">
        <v>71.999402</v>
      </c>
      <c r="N136" s="336">
        <v>11516.7208</v>
      </c>
      <c r="O136" s="336">
        <v>0.0</v>
      </c>
      <c r="P136" s="338">
        <v>2070.3457</v>
      </c>
      <c r="Q136" s="338" t="s">
        <v>588</v>
      </c>
      <c r="R136" s="338" t="s">
        <v>534</v>
      </c>
      <c r="S136" s="338">
        <v>10.0</v>
      </c>
      <c r="T136" s="338">
        <v>5.0</v>
      </c>
      <c r="U136" s="338">
        <v>0.7</v>
      </c>
      <c r="V136" s="338">
        <v>0.7</v>
      </c>
      <c r="W136" s="338">
        <v>0.7</v>
      </c>
      <c r="X136" s="336">
        <v>2000.0</v>
      </c>
      <c r="Y136" s="336" t="s">
        <v>510</v>
      </c>
      <c r="Z136" s="336">
        <v>0.2</v>
      </c>
      <c r="AA136" s="336" t="s">
        <v>511</v>
      </c>
      <c r="AB136" s="336" t="s">
        <v>512</v>
      </c>
      <c r="AC136" s="336">
        <v>220.0</v>
      </c>
      <c r="AD136" s="339"/>
      <c r="AE136" s="340"/>
    </row>
    <row r="137">
      <c r="A137" s="336" t="s">
        <v>647</v>
      </c>
      <c r="B137" s="336" t="s">
        <v>523</v>
      </c>
      <c r="C137" s="336" t="s">
        <v>639</v>
      </c>
      <c r="D137" s="336" t="s">
        <v>508</v>
      </c>
      <c r="E137" s="336">
        <v>1.0</v>
      </c>
      <c r="F137" s="354">
        <v>45541.708333333336</v>
      </c>
      <c r="G137" s="336">
        <v>2.0</v>
      </c>
      <c r="H137" s="336">
        <v>51.3741</v>
      </c>
      <c r="I137" s="336">
        <v>7.9712</v>
      </c>
      <c r="J137" s="336">
        <v>-27.20985</v>
      </c>
      <c r="K137" s="336">
        <v>-25.9392</v>
      </c>
      <c r="L137" s="336">
        <v>1079.07</v>
      </c>
      <c r="M137" s="336">
        <v>70.999568</v>
      </c>
      <c r="N137" s="336">
        <v>11515.9589</v>
      </c>
      <c r="O137" s="336">
        <v>11470.3618</v>
      </c>
      <c r="P137" s="338">
        <v>2070.3457</v>
      </c>
      <c r="Q137" s="338" t="s">
        <v>519</v>
      </c>
      <c r="R137" s="338" t="s">
        <v>12</v>
      </c>
      <c r="S137" s="338">
        <v>10.0</v>
      </c>
      <c r="T137" s="338">
        <v>5.0</v>
      </c>
      <c r="U137" s="338">
        <v>0.7</v>
      </c>
      <c r="V137" s="338">
        <v>0.7</v>
      </c>
      <c r="W137" s="338">
        <v>0.7</v>
      </c>
      <c r="X137" s="336">
        <v>2000.0</v>
      </c>
      <c r="Y137" s="336" t="s">
        <v>510</v>
      </c>
      <c r="Z137" s="336">
        <v>0.2</v>
      </c>
      <c r="AA137" s="336" t="s">
        <v>511</v>
      </c>
      <c r="AB137" s="336" t="s">
        <v>512</v>
      </c>
      <c r="AC137" s="336">
        <v>220.0</v>
      </c>
      <c r="AD137" s="339"/>
      <c r="AE137" s="340"/>
    </row>
    <row r="138">
      <c r="A138" s="342" t="s">
        <v>648</v>
      </c>
      <c r="B138" s="342" t="s">
        <v>523</v>
      </c>
      <c r="C138" s="342" t="s">
        <v>639</v>
      </c>
      <c r="D138" s="342" t="s">
        <v>508</v>
      </c>
      <c r="E138" s="342">
        <v>1.0</v>
      </c>
      <c r="F138" s="355">
        <v>45541.71111111111</v>
      </c>
      <c r="G138" s="342">
        <v>2.0</v>
      </c>
      <c r="H138" s="342">
        <v>51.3741</v>
      </c>
      <c r="I138" s="342">
        <v>8.06327</v>
      </c>
      <c r="J138" s="342">
        <v>-27.218806</v>
      </c>
      <c r="K138" s="342">
        <v>-25.375481</v>
      </c>
      <c r="L138" s="342">
        <v>1055.51</v>
      </c>
      <c r="M138" s="342">
        <v>65.999877</v>
      </c>
      <c r="N138" s="342">
        <v>11470.1938</v>
      </c>
      <c r="O138" s="342">
        <v>11470.3618</v>
      </c>
      <c r="P138" s="344">
        <v>2070.3457</v>
      </c>
      <c r="Q138" s="344" t="s">
        <v>509</v>
      </c>
      <c r="R138" s="338" t="s">
        <v>12</v>
      </c>
      <c r="S138" s="338">
        <v>10.0</v>
      </c>
      <c r="T138" s="338">
        <v>5.0</v>
      </c>
      <c r="U138" s="338">
        <v>0.7</v>
      </c>
      <c r="V138" s="338">
        <v>0.7</v>
      </c>
      <c r="W138" s="338">
        <v>0.7</v>
      </c>
      <c r="X138" s="336">
        <v>2000.0</v>
      </c>
      <c r="Y138" s="336" t="s">
        <v>510</v>
      </c>
      <c r="Z138" s="336">
        <v>0.2</v>
      </c>
      <c r="AA138" s="336" t="s">
        <v>511</v>
      </c>
      <c r="AB138" s="336" t="s">
        <v>512</v>
      </c>
      <c r="AC138" s="336">
        <v>220.0</v>
      </c>
      <c r="AD138" s="339"/>
      <c r="AE138" s="340"/>
    </row>
    <row r="139">
      <c r="A139" s="342" t="s">
        <v>649</v>
      </c>
      <c r="B139" s="342" t="s">
        <v>523</v>
      </c>
      <c r="C139" s="342" t="s">
        <v>639</v>
      </c>
      <c r="D139" s="342" t="s">
        <v>508</v>
      </c>
      <c r="E139" s="342">
        <v>1.0</v>
      </c>
      <c r="F139" s="355">
        <v>45541.71388888889</v>
      </c>
      <c r="G139" s="342">
        <v>2.0</v>
      </c>
      <c r="H139" s="342">
        <v>51.3708</v>
      </c>
      <c r="I139" s="342">
        <v>7.96587</v>
      </c>
      <c r="J139" s="342">
        <v>-27.247806</v>
      </c>
      <c r="K139" s="342">
        <v>-25.561994</v>
      </c>
      <c r="L139" s="342">
        <v>1060.57</v>
      </c>
      <c r="M139" s="342">
        <v>67.000822</v>
      </c>
      <c r="N139" s="342">
        <v>11470.5299</v>
      </c>
      <c r="O139" s="342">
        <v>11470.3618</v>
      </c>
      <c r="P139" s="344">
        <v>2070.3457</v>
      </c>
      <c r="Q139" s="344" t="s">
        <v>509</v>
      </c>
      <c r="R139" s="338" t="s">
        <v>12</v>
      </c>
      <c r="S139" s="338">
        <v>10.0</v>
      </c>
      <c r="T139" s="338">
        <v>5.0</v>
      </c>
      <c r="U139" s="338">
        <v>0.7</v>
      </c>
      <c r="V139" s="338">
        <v>0.7</v>
      </c>
      <c r="W139" s="338">
        <v>0.7</v>
      </c>
      <c r="X139" s="336">
        <v>2000.0</v>
      </c>
      <c r="Y139" s="336" t="s">
        <v>510</v>
      </c>
      <c r="Z139" s="336">
        <v>0.2</v>
      </c>
      <c r="AA139" s="336" t="s">
        <v>511</v>
      </c>
      <c r="AB139" s="336" t="s">
        <v>512</v>
      </c>
      <c r="AC139" s="336">
        <v>220.0</v>
      </c>
      <c r="AD139" s="339"/>
      <c r="AE139" s="340"/>
    </row>
    <row r="140">
      <c r="A140" s="336" t="s">
        <v>650</v>
      </c>
      <c r="B140" s="336" t="s">
        <v>527</v>
      </c>
      <c r="C140" s="336" t="s">
        <v>639</v>
      </c>
      <c r="D140" s="336" t="s">
        <v>508</v>
      </c>
      <c r="E140" s="336">
        <v>1.2</v>
      </c>
      <c r="F140" s="354">
        <v>45541.71666666667</v>
      </c>
      <c r="G140" s="336">
        <v>1.0</v>
      </c>
      <c r="H140" s="336">
        <v>51.3774</v>
      </c>
      <c r="I140" s="336">
        <v>8.04124</v>
      </c>
      <c r="J140" s="336">
        <v>-27.14235</v>
      </c>
      <c r="K140" s="336">
        <v>-25.772188</v>
      </c>
      <c r="L140" s="336">
        <v>1099.98</v>
      </c>
      <c r="M140" s="336">
        <v>74.500932</v>
      </c>
      <c r="N140" s="336">
        <v>13855.7651</v>
      </c>
      <c r="O140" s="336">
        <v>13843.9005</v>
      </c>
      <c r="P140" s="338">
        <v>2070.3457</v>
      </c>
      <c r="Q140" s="338" t="s">
        <v>509</v>
      </c>
      <c r="R140" s="338" t="s">
        <v>12</v>
      </c>
      <c r="S140" s="338">
        <v>10.0</v>
      </c>
      <c r="T140" s="338">
        <v>5.0</v>
      </c>
      <c r="U140" s="338">
        <v>0.7</v>
      </c>
      <c r="V140" s="338">
        <v>0.7</v>
      </c>
      <c r="W140" s="338">
        <v>0.7</v>
      </c>
      <c r="X140" s="336">
        <v>2000.0</v>
      </c>
      <c r="Y140" s="336" t="s">
        <v>510</v>
      </c>
      <c r="Z140" s="336">
        <v>0.2</v>
      </c>
      <c r="AA140" s="336" t="s">
        <v>511</v>
      </c>
      <c r="AB140" s="336" t="s">
        <v>512</v>
      </c>
      <c r="AC140" s="336">
        <v>220.0</v>
      </c>
      <c r="AD140" s="339"/>
      <c r="AE140" s="340"/>
    </row>
    <row r="141">
      <c r="A141" s="336" t="s">
        <v>651</v>
      </c>
      <c r="B141" s="336" t="s">
        <v>527</v>
      </c>
      <c r="C141" s="336" t="s">
        <v>639</v>
      </c>
      <c r="D141" s="336" t="s">
        <v>508</v>
      </c>
      <c r="E141" s="336">
        <v>1.2</v>
      </c>
      <c r="F141" s="354">
        <v>45541.71944444445</v>
      </c>
      <c r="G141" s="336">
        <v>1.0</v>
      </c>
      <c r="H141" s="336">
        <v>51.3807</v>
      </c>
      <c r="I141" s="336">
        <v>7.88438</v>
      </c>
      <c r="J141" s="336">
        <v>-27.278394</v>
      </c>
      <c r="K141" s="336">
        <v>-25.500919</v>
      </c>
      <c r="L141" s="336">
        <v>1108.39</v>
      </c>
      <c r="M141" s="336">
        <v>70.500333</v>
      </c>
      <c r="N141" s="336">
        <v>13832.0359</v>
      </c>
      <c r="O141" s="336">
        <v>13843.9005</v>
      </c>
      <c r="P141" s="338">
        <v>2070.3457</v>
      </c>
      <c r="Q141" s="338" t="s">
        <v>509</v>
      </c>
      <c r="R141" s="338" t="s">
        <v>12</v>
      </c>
      <c r="S141" s="338">
        <v>10.0</v>
      </c>
      <c r="T141" s="338">
        <v>5.0</v>
      </c>
      <c r="U141" s="338">
        <v>0.7</v>
      </c>
      <c r="V141" s="338">
        <v>0.7</v>
      </c>
      <c r="W141" s="338">
        <v>0.7</v>
      </c>
      <c r="X141" s="336">
        <v>2000.0</v>
      </c>
      <c r="Y141" s="336" t="s">
        <v>510</v>
      </c>
      <c r="Z141" s="336">
        <v>0.2</v>
      </c>
      <c r="AA141" s="336" t="s">
        <v>511</v>
      </c>
      <c r="AB141" s="336" t="s">
        <v>512</v>
      </c>
      <c r="AC141" s="336">
        <v>220.0</v>
      </c>
      <c r="AD141" s="339"/>
      <c r="AE141" s="340"/>
    </row>
    <row r="142">
      <c r="A142" s="336" t="s">
        <v>652</v>
      </c>
      <c r="B142" s="336">
        <v>3.0</v>
      </c>
      <c r="C142" s="336">
        <v>1.0</v>
      </c>
      <c r="D142" s="336" t="s">
        <v>532</v>
      </c>
      <c r="E142" s="336">
        <v>1.0</v>
      </c>
      <c r="F142" s="354">
        <v>45541.73402777778</v>
      </c>
      <c r="G142" s="336">
        <v>1.0</v>
      </c>
      <c r="H142" s="336">
        <v>51.3774</v>
      </c>
      <c r="I142" s="336">
        <v>7.68719</v>
      </c>
      <c r="J142" s="336">
        <v>-27.368988</v>
      </c>
      <c r="K142" s="336">
        <v>-25.863819</v>
      </c>
      <c r="L142" s="336">
        <v>1056.0</v>
      </c>
      <c r="M142" s="336">
        <v>68.499632</v>
      </c>
      <c r="N142" s="336">
        <v>11298.7486</v>
      </c>
      <c r="O142" s="336">
        <v>11274.7616</v>
      </c>
      <c r="P142" s="338">
        <v>2031.06759</v>
      </c>
      <c r="Q142" s="338" t="s">
        <v>519</v>
      </c>
      <c r="R142" s="338" t="s">
        <v>12</v>
      </c>
      <c r="S142" s="338">
        <v>10.0</v>
      </c>
      <c r="T142" s="338">
        <v>5.0</v>
      </c>
      <c r="U142" s="338">
        <v>0.7</v>
      </c>
      <c r="V142" s="338">
        <v>0.7</v>
      </c>
      <c r="W142" s="338">
        <v>0.7</v>
      </c>
      <c r="X142" s="336">
        <v>2000.0</v>
      </c>
      <c r="Y142" s="336" t="s">
        <v>510</v>
      </c>
      <c r="Z142" s="336">
        <v>0.2</v>
      </c>
      <c r="AA142" s="336" t="s">
        <v>511</v>
      </c>
      <c r="AB142" s="336" t="s">
        <v>512</v>
      </c>
      <c r="AC142" s="336">
        <v>220.0</v>
      </c>
      <c r="AD142" s="339"/>
      <c r="AE142" s="340"/>
    </row>
    <row r="143">
      <c r="A143" s="336" t="s">
        <v>653</v>
      </c>
      <c r="B143" s="336">
        <v>3.0</v>
      </c>
      <c r="C143" s="336">
        <v>1.0</v>
      </c>
      <c r="D143" s="336" t="s">
        <v>532</v>
      </c>
      <c r="E143" s="336">
        <v>1.0</v>
      </c>
      <c r="F143" s="354">
        <v>45541.736805555556</v>
      </c>
      <c r="G143" s="336">
        <v>1.0</v>
      </c>
      <c r="H143" s="336">
        <v>51.3741</v>
      </c>
      <c r="I143" s="336">
        <v>7.8139</v>
      </c>
      <c r="J143" s="336">
        <v>-27.235388</v>
      </c>
      <c r="K143" s="336">
        <v>-25.039706</v>
      </c>
      <c r="L143" s="336">
        <v>1058.5</v>
      </c>
      <c r="M143" s="336">
        <v>63.999511</v>
      </c>
      <c r="N143" s="336">
        <v>11273.6118</v>
      </c>
      <c r="O143" s="336">
        <v>11274.7616</v>
      </c>
      <c r="P143" s="338">
        <v>2031.06759</v>
      </c>
      <c r="Q143" s="338" t="s">
        <v>509</v>
      </c>
      <c r="R143" s="338" t="s">
        <v>12</v>
      </c>
      <c r="S143" s="338">
        <v>10.0</v>
      </c>
      <c r="T143" s="338">
        <v>5.0</v>
      </c>
      <c r="U143" s="338">
        <v>0.7</v>
      </c>
      <c r="V143" s="338">
        <v>0.7</v>
      </c>
      <c r="W143" s="338">
        <v>0.7</v>
      </c>
      <c r="X143" s="336">
        <v>2000.0</v>
      </c>
      <c r="Y143" s="336" t="s">
        <v>510</v>
      </c>
      <c r="Z143" s="336">
        <v>0.2</v>
      </c>
      <c r="AA143" s="336" t="s">
        <v>511</v>
      </c>
      <c r="AB143" s="336" t="s">
        <v>512</v>
      </c>
      <c r="AC143" s="336">
        <v>220.0</v>
      </c>
      <c r="AD143" s="339"/>
      <c r="AE143" s="340"/>
    </row>
    <row r="144">
      <c r="A144" s="336" t="s">
        <v>654</v>
      </c>
      <c r="B144" s="336">
        <v>3.0</v>
      </c>
      <c r="C144" s="336">
        <v>1.0</v>
      </c>
      <c r="D144" s="336" t="s">
        <v>532</v>
      </c>
      <c r="E144" s="336">
        <v>1.0</v>
      </c>
      <c r="F144" s="354">
        <v>45541.739583333336</v>
      </c>
      <c r="G144" s="336">
        <v>1.0</v>
      </c>
      <c r="H144" s="336">
        <v>51.3774</v>
      </c>
      <c r="I144" s="336">
        <v>7.84271</v>
      </c>
      <c r="J144" s="336">
        <v>-27.359612</v>
      </c>
      <c r="K144" s="336">
        <v>-25.836869</v>
      </c>
      <c r="L144" s="336">
        <v>1056.03</v>
      </c>
      <c r="M144" s="336">
        <v>72.000926</v>
      </c>
      <c r="N144" s="336">
        <v>11275.9115</v>
      </c>
      <c r="O144" s="336">
        <v>11274.7616</v>
      </c>
      <c r="P144" s="338">
        <v>2031.06759</v>
      </c>
      <c r="Q144" s="338" t="s">
        <v>509</v>
      </c>
      <c r="R144" s="338" t="s">
        <v>12</v>
      </c>
      <c r="S144" s="338">
        <v>10.0</v>
      </c>
      <c r="T144" s="338">
        <v>5.0</v>
      </c>
      <c r="U144" s="338">
        <v>0.7</v>
      </c>
      <c r="V144" s="338">
        <v>0.7</v>
      </c>
      <c r="W144" s="338">
        <v>0.7</v>
      </c>
      <c r="X144" s="336">
        <v>2000.0</v>
      </c>
      <c r="Y144" s="336" t="s">
        <v>510</v>
      </c>
      <c r="Z144" s="336">
        <v>0.2</v>
      </c>
      <c r="AA144" s="336" t="s">
        <v>511</v>
      </c>
      <c r="AB144" s="336" t="s">
        <v>512</v>
      </c>
      <c r="AC144" s="336">
        <v>220.0</v>
      </c>
      <c r="AD144" s="339"/>
      <c r="AE144" s="340"/>
    </row>
    <row r="145">
      <c r="A145" s="336" t="s">
        <v>655</v>
      </c>
      <c r="B145" s="336">
        <v>4.0</v>
      </c>
      <c r="C145" s="336">
        <v>2.0</v>
      </c>
      <c r="D145" s="336" t="s">
        <v>540</v>
      </c>
      <c r="E145" s="336">
        <v>1.0</v>
      </c>
      <c r="F145" s="354">
        <v>45541.743055555555</v>
      </c>
      <c r="G145" s="336">
        <v>1.0</v>
      </c>
      <c r="H145" s="336">
        <v>51.3774</v>
      </c>
      <c r="I145" s="336">
        <v>7.92788</v>
      </c>
      <c r="J145" s="336">
        <v>-27.19965</v>
      </c>
      <c r="K145" s="336">
        <v>-25.91705</v>
      </c>
      <c r="L145" s="336">
        <v>1043.54</v>
      </c>
      <c r="M145" s="336">
        <v>69.99936</v>
      </c>
      <c r="N145" s="336">
        <v>11329.9599</v>
      </c>
      <c r="O145" s="336">
        <v>11335.4904</v>
      </c>
      <c r="P145" s="338">
        <v>2041.83795</v>
      </c>
      <c r="Q145" s="338" t="s">
        <v>509</v>
      </c>
      <c r="R145" s="338" t="s">
        <v>12</v>
      </c>
      <c r="S145" s="338">
        <v>10.0</v>
      </c>
      <c r="T145" s="338">
        <v>5.0</v>
      </c>
      <c r="U145" s="338">
        <v>0.7</v>
      </c>
      <c r="V145" s="338">
        <v>0.7</v>
      </c>
      <c r="W145" s="338">
        <v>0.7</v>
      </c>
      <c r="X145" s="336">
        <v>2000.0</v>
      </c>
      <c r="Y145" s="336" t="s">
        <v>510</v>
      </c>
      <c r="Z145" s="336">
        <v>0.2</v>
      </c>
      <c r="AA145" s="336" t="s">
        <v>511</v>
      </c>
      <c r="AB145" s="336" t="s">
        <v>512</v>
      </c>
      <c r="AC145" s="336">
        <v>220.0</v>
      </c>
      <c r="AD145" s="339"/>
      <c r="AE145" s="340"/>
    </row>
    <row r="146">
      <c r="A146" s="336" t="s">
        <v>656</v>
      </c>
      <c r="B146" s="336">
        <v>4.0</v>
      </c>
      <c r="C146" s="336">
        <v>2.0</v>
      </c>
      <c r="D146" s="336" t="s">
        <v>540</v>
      </c>
      <c r="E146" s="336">
        <v>1.0</v>
      </c>
      <c r="F146" s="354">
        <v>45541.745833333334</v>
      </c>
      <c r="G146" s="336">
        <v>1.0</v>
      </c>
      <c r="H146" s="336">
        <v>51.3741</v>
      </c>
      <c r="I146" s="336">
        <v>7.79809</v>
      </c>
      <c r="J146" s="336">
        <v>-27.190406</v>
      </c>
      <c r="K146" s="336">
        <v>-26.078562</v>
      </c>
      <c r="L146" s="336">
        <v>1049.74</v>
      </c>
      <c r="M146" s="336">
        <v>74.000355</v>
      </c>
      <c r="N146" s="336">
        <v>11341.021</v>
      </c>
      <c r="O146" s="336">
        <v>11335.4904</v>
      </c>
      <c r="P146" s="338">
        <v>2041.83795</v>
      </c>
      <c r="Q146" s="338" t="s">
        <v>509</v>
      </c>
      <c r="R146" s="338" t="s">
        <v>12</v>
      </c>
      <c r="S146" s="338">
        <v>10.0</v>
      </c>
      <c r="T146" s="338">
        <v>5.0</v>
      </c>
      <c r="U146" s="338">
        <v>0.7</v>
      </c>
      <c r="V146" s="338">
        <v>0.7</v>
      </c>
      <c r="W146" s="338">
        <v>0.7</v>
      </c>
      <c r="X146" s="336">
        <v>2000.0</v>
      </c>
      <c r="Y146" s="336" t="s">
        <v>510</v>
      </c>
      <c r="Z146" s="336">
        <v>0.2</v>
      </c>
      <c r="AA146" s="336" t="s">
        <v>511</v>
      </c>
      <c r="AB146" s="336" t="s">
        <v>512</v>
      </c>
      <c r="AC146" s="336">
        <v>220.0</v>
      </c>
      <c r="AD146" s="339"/>
      <c r="AE146" s="340"/>
    </row>
    <row r="147">
      <c r="A147" s="336" t="s">
        <v>628</v>
      </c>
      <c r="B147" s="336">
        <v>5.0</v>
      </c>
      <c r="C147" s="336">
        <v>14.0</v>
      </c>
      <c r="D147" s="336" t="s">
        <v>544</v>
      </c>
      <c r="E147" s="336">
        <v>1.0</v>
      </c>
      <c r="F147" s="354">
        <v>45541.74930555555</v>
      </c>
      <c r="G147" s="336">
        <v>1.0</v>
      </c>
      <c r="H147" s="336">
        <v>51.3774</v>
      </c>
      <c r="I147" s="336">
        <v>7.76399</v>
      </c>
      <c r="J147" s="336">
        <v>-27.273531</v>
      </c>
      <c r="K147" s="336">
        <v>-26.469581</v>
      </c>
      <c r="L147" s="336">
        <v>1062.37</v>
      </c>
      <c r="M147" s="336">
        <v>88.999194</v>
      </c>
      <c r="N147" s="336">
        <v>11339.0817</v>
      </c>
      <c r="O147" s="336">
        <v>11290.4364</v>
      </c>
      <c r="P147" s="338">
        <v>2033.84753</v>
      </c>
      <c r="Q147" s="338" t="s">
        <v>519</v>
      </c>
      <c r="R147" s="338" t="s">
        <v>12</v>
      </c>
      <c r="S147" s="338">
        <v>10.0</v>
      </c>
      <c r="T147" s="338">
        <v>5.0</v>
      </c>
      <c r="U147" s="338">
        <v>0.7</v>
      </c>
      <c r="V147" s="338">
        <v>0.7</v>
      </c>
      <c r="W147" s="338">
        <v>0.7</v>
      </c>
      <c r="X147" s="336">
        <v>2000.0</v>
      </c>
      <c r="Y147" s="336" t="s">
        <v>510</v>
      </c>
      <c r="Z147" s="336">
        <v>0.2</v>
      </c>
      <c r="AA147" s="336" t="s">
        <v>511</v>
      </c>
      <c r="AB147" s="336" t="s">
        <v>512</v>
      </c>
      <c r="AC147" s="336">
        <v>220.0</v>
      </c>
      <c r="AD147" s="339"/>
      <c r="AE147" s="340"/>
    </row>
    <row r="148">
      <c r="A148" s="336" t="s">
        <v>657</v>
      </c>
      <c r="B148" s="336">
        <v>5.0</v>
      </c>
      <c r="C148" s="336">
        <v>14.0</v>
      </c>
      <c r="D148" s="336" t="s">
        <v>544</v>
      </c>
      <c r="E148" s="336">
        <v>1.0</v>
      </c>
      <c r="F148" s="354">
        <v>45541.75277777778</v>
      </c>
      <c r="G148" s="336">
        <v>1.0</v>
      </c>
      <c r="H148" s="336">
        <v>51.3807</v>
      </c>
      <c r="I148" s="336">
        <v>7.82831</v>
      </c>
      <c r="J148" s="336">
        <v>-27.226531</v>
      </c>
      <c r="K148" s="336">
        <v>-25.7869</v>
      </c>
      <c r="L148" s="336">
        <v>1051.15</v>
      </c>
      <c r="M148" s="336">
        <v>69.999168</v>
      </c>
      <c r="N148" s="336">
        <v>11290.282</v>
      </c>
      <c r="O148" s="336">
        <v>11290.4364</v>
      </c>
      <c r="P148" s="338">
        <v>2033.84753</v>
      </c>
      <c r="Q148" s="338" t="s">
        <v>509</v>
      </c>
      <c r="R148" s="338" t="s">
        <v>12</v>
      </c>
      <c r="S148" s="338">
        <v>10.0</v>
      </c>
      <c r="T148" s="338">
        <v>5.0</v>
      </c>
      <c r="U148" s="338">
        <v>0.7</v>
      </c>
      <c r="V148" s="338">
        <v>0.7</v>
      </c>
      <c r="W148" s="338">
        <v>0.7</v>
      </c>
      <c r="X148" s="336">
        <v>2000.0</v>
      </c>
      <c r="Y148" s="336" t="s">
        <v>510</v>
      </c>
      <c r="Z148" s="336">
        <v>0.2</v>
      </c>
      <c r="AA148" s="336" t="s">
        <v>511</v>
      </c>
      <c r="AB148" s="336" t="s">
        <v>512</v>
      </c>
      <c r="AC148" s="336">
        <v>220.0</v>
      </c>
      <c r="AD148" s="339"/>
      <c r="AE148" s="340"/>
    </row>
    <row r="149">
      <c r="A149" s="336" t="s">
        <v>658</v>
      </c>
      <c r="B149" s="336">
        <v>5.0</v>
      </c>
      <c r="C149" s="336">
        <v>14.0</v>
      </c>
      <c r="D149" s="336" t="s">
        <v>544</v>
      </c>
      <c r="E149" s="336">
        <v>1.0</v>
      </c>
      <c r="F149" s="354">
        <v>45541.75555555556</v>
      </c>
      <c r="G149" s="336">
        <v>1.0</v>
      </c>
      <c r="H149" s="336">
        <v>51.3741</v>
      </c>
      <c r="I149" s="336">
        <v>7.75579</v>
      </c>
      <c r="J149" s="336">
        <v>-27.225594</v>
      </c>
      <c r="K149" s="336">
        <v>-25.628575</v>
      </c>
      <c r="L149" s="336">
        <v>1050.6</v>
      </c>
      <c r="M149" s="336">
        <v>67.000461</v>
      </c>
      <c r="N149" s="336">
        <v>11290.5908</v>
      </c>
      <c r="O149" s="336">
        <v>11290.4364</v>
      </c>
      <c r="P149" s="338">
        <v>2033.84753</v>
      </c>
      <c r="Q149" s="338" t="s">
        <v>509</v>
      </c>
      <c r="R149" s="338" t="s">
        <v>12</v>
      </c>
      <c r="S149" s="338">
        <v>10.0</v>
      </c>
      <c r="T149" s="338">
        <v>5.0</v>
      </c>
      <c r="U149" s="338">
        <v>0.7</v>
      </c>
      <c r="V149" s="338">
        <v>0.7</v>
      </c>
      <c r="W149" s="338">
        <v>0.7</v>
      </c>
      <c r="X149" s="336">
        <v>2000.0</v>
      </c>
      <c r="Y149" s="336" t="s">
        <v>510</v>
      </c>
      <c r="Z149" s="336">
        <v>0.2</v>
      </c>
      <c r="AA149" s="336" t="s">
        <v>511</v>
      </c>
      <c r="AB149" s="336" t="s">
        <v>512</v>
      </c>
      <c r="AC149" s="336">
        <v>220.0</v>
      </c>
      <c r="AD149" s="339"/>
      <c r="AE149" s="340"/>
    </row>
    <row r="150">
      <c r="A150" s="336" t="s">
        <v>630</v>
      </c>
      <c r="B150" s="336">
        <v>6.0</v>
      </c>
      <c r="C150" s="336">
        <v>15.0</v>
      </c>
      <c r="D150" s="336" t="s">
        <v>548</v>
      </c>
      <c r="E150" s="336">
        <v>1.0</v>
      </c>
      <c r="F150" s="354">
        <v>45541.75833333333</v>
      </c>
      <c r="G150" s="336">
        <v>1.0</v>
      </c>
      <c r="H150" s="336">
        <v>51.3774</v>
      </c>
      <c r="I150" s="336">
        <v>7.73945</v>
      </c>
      <c r="J150" s="336">
        <v>-27.296938</v>
      </c>
      <c r="K150" s="336">
        <v>-25.59765</v>
      </c>
      <c r="L150" s="336">
        <v>1046.75</v>
      </c>
      <c r="M150" s="336">
        <v>67.000251</v>
      </c>
      <c r="N150" s="336">
        <v>11326.4058</v>
      </c>
      <c r="O150" s="336">
        <v>11330.1335</v>
      </c>
      <c r="P150" s="338">
        <v>2040.88789</v>
      </c>
      <c r="Q150" s="338" t="s">
        <v>509</v>
      </c>
      <c r="R150" s="338" t="s">
        <v>12</v>
      </c>
      <c r="S150" s="338">
        <v>10.0</v>
      </c>
      <c r="T150" s="338">
        <v>5.0</v>
      </c>
      <c r="U150" s="338">
        <v>0.7</v>
      </c>
      <c r="V150" s="338">
        <v>0.7</v>
      </c>
      <c r="W150" s="338">
        <v>0.7</v>
      </c>
      <c r="X150" s="336">
        <v>2000.0</v>
      </c>
      <c r="Y150" s="336" t="s">
        <v>510</v>
      </c>
      <c r="Z150" s="336">
        <v>0.2</v>
      </c>
      <c r="AA150" s="336" t="s">
        <v>511</v>
      </c>
      <c r="AB150" s="336" t="s">
        <v>512</v>
      </c>
      <c r="AC150" s="336">
        <v>220.0</v>
      </c>
      <c r="AD150" s="339"/>
      <c r="AE150" s="340"/>
    </row>
    <row r="151">
      <c r="A151" s="336" t="s">
        <v>659</v>
      </c>
      <c r="B151" s="336">
        <v>6.0</v>
      </c>
      <c r="C151" s="336">
        <v>15.0</v>
      </c>
      <c r="D151" s="336" t="s">
        <v>548</v>
      </c>
      <c r="E151" s="336">
        <v>1.0</v>
      </c>
      <c r="F151" s="354">
        <v>45541.76111111111</v>
      </c>
      <c r="G151" s="336">
        <v>1.0</v>
      </c>
      <c r="H151" s="336">
        <v>51.3774</v>
      </c>
      <c r="I151" s="336">
        <v>7.76824</v>
      </c>
      <c r="J151" s="336">
        <v>-27.169669</v>
      </c>
      <c r="K151" s="336">
        <v>-25.574625</v>
      </c>
      <c r="L151" s="336">
        <v>1057.11</v>
      </c>
      <c r="M151" s="336">
        <v>68.000352</v>
      </c>
      <c r="N151" s="336">
        <v>11333.8612</v>
      </c>
      <c r="O151" s="336">
        <v>11330.1335</v>
      </c>
      <c r="P151" s="338">
        <v>2040.88789</v>
      </c>
      <c r="Q151" s="338" t="s">
        <v>509</v>
      </c>
      <c r="R151" s="338" t="s">
        <v>12</v>
      </c>
      <c r="S151" s="338">
        <v>10.0</v>
      </c>
      <c r="T151" s="338">
        <v>5.0</v>
      </c>
      <c r="U151" s="338">
        <v>0.7</v>
      </c>
      <c r="V151" s="338">
        <v>0.7</v>
      </c>
      <c r="W151" s="338">
        <v>0.7</v>
      </c>
      <c r="X151" s="336">
        <v>2000.0</v>
      </c>
      <c r="Y151" s="336" t="s">
        <v>510</v>
      </c>
      <c r="Z151" s="336">
        <v>0.2</v>
      </c>
      <c r="AA151" s="336" t="s">
        <v>511</v>
      </c>
      <c r="AB151" s="336" t="s">
        <v>512</v>
      </c>
      <c r="AC151" s="336">
        <v>220.0</v>
      </c>
      <c r="AD151" s="339"/>
      <c r="AE151" s="340"/>
    </row>
    <row r="152">
      <c r="A152" s="336" t="s">
        <v>631</v>
      </c>
      <c r="B152" s="336">
        <v>7.0</v>
      </c>
      <c r="C152" s="336">
        <v>27.0</v>
      </c>
      <c r="D152" s="336" t="s">
        <v>551</v>
      </c>
      <c r="E152" s="336">
        <v>1.0</v>
      </c>
      <c r="F152" s="354">
        <v>45541.76458333333</v>
      </c>
      <c r="G152" s="336">
        <v>1.0</v>
      </c>
      <c r="H152" s="336">
        <v>51.3774</v>
      </c>
      <c r="I152" s="336">
        <v>7.76768</v>
      </c>
      <c r="J152" s="336">
        <v>-27.300338</v>
      </c>
      <c r="K152" s="336">
        <v>-25.061487</v>
      </c>
      <c r="L152" s="336">
        <v>1020.25</v>
      </c>
      <c r="M152" s="336">
        <v>63.500577</v>
      </c>
      <c r="N152" s="336">
        <v>11249.1295</v>
      </c>
      <c r="O152" s="336">
        <v>0.0</v>
      </c>
      <c r="P152" s="338">
        <v>0.0</v>
      </c>
      <c r="Q152" s="338" t="s">
        <v>588</v>
      </c>
      <c r="R152" s="338" t="s">
        <v>534</v>
      </c>
      <c r="S152" s="338">
        <v>10.0</v>
      </c>
      <c r="T152" s="338">
        <v>5.0</v>
      </c>
      <c r="U152" s="338">
        <v>0.7</v>
      </c>
      <c r="V152" s="338">
        <v>0.7</v>
      </c>
      <c r="W152" s="338">
        <v>0.7</v>
      </c>
      <c r="X152" s="336">
        <v>2000.0</v>
      </c>
      <c r="Y152" s="336" t="s">
        <v>510</v>
      </c>
      <c r="Z152" s="336">
        <v>0.2</v>
      </c>
      <c r="AA152" s="336" t="s">
        <v>511</v>
      </c>
      <c r="AB152" s="336" t="s">
        <v>512</v>
      </c>
      <c r="AC152" s="336">
        <v>220.0</v>
      </c>
      <c r="AD152" s="339"/>
      <c r="AE152" s="340"/>
    </row>
    <row r="153">
      <c r="A153" s="336" t="s">
        <v>660</v>
      </c>
      <c r="B153" s="336">
        <v>7.0</v>
      </c>
      <c r="C153" s="336">
        <v>27.0</v>
      </c>
      <c r="D153" s="336" t="s">
        <v>551</v>
      </c>
      <c r="E153" s="336">
        <v>1.0</v>
      </c>
      <c r="F153" s="354">
        <v>45541.76736111111</v>
      </c>
      <c r="G153" s="336">
        <v>1.0</v>
      </c>
      <c r="H153" s="336">
        <v>51.3774</v>
      </c>
      <c r="I153" s="336">
        <v>7.77211</v>
      </c>
      <c r="J153" s="336">
        <v>-27.232156</v>
      </c>
      <c r="K153" s="336">
        <v>-25.711119</v>
      </c>
      <c r="L153" s="336">
        <v>1065.19</v>
      </c>
      <c r="M153" s="336">
        <v>68.001554</v>
      </c>
      <c r="N153" s="336">
        <v>11296.357</v>
      </c>
      <c r="O153" s="336">
        <v>0.0</v>
      </c>
      <c r="P153" s="338">
        <v>0.0</v>
      </c>
      <c r="Q153" s="338" t="s">
        <v>588</v>
      </c>
      <c r="R153" s="338" t="s">
        <v>534</v>
      </c>
      <c r="S153" s="338">
        <v>10.0</v>
      </c>
      <c r="T153" s="338">
        <v>5.0</v>
      </c>
      <c r="U153" s="338">
        <v>0.7</v>
      </c>
      <c r="V153" s="338">
        <v>0.7</v>
      </c>
      <c r="W153" s="338">
        <v>0.7</v>
      </c>
      <c r="X153" s="336">
        <v>2000.0</v>
      </c>
      <c r="Y153" s="336" t="s">
        <v>510</v>
      </c>
      <c r="Z153" s="336">
        <v>0.2</v>
      </c>
      <c r="AA153" s="336" t="s">
        <v>511</v>
      </c>
      <c r="AB153" s="336" t="s">
        <v>512</v>
      </c>
      <c r="AC153" s="336">
        <v>220.0</v>
      </c>
      <c r="AD153" s="339"/>
      <c r="AE153" s="340"/>
    </row>
    <row r="154">
      <c r="A154" s="336" t="s">
        <v>661</v>
      </c>
      <c r="B154" s="336">
        <v>7.0</v>
      </c>
      <c r="C154" s="336">
        <v>27.0</v>
      </c>
      <c r="D154" s="336" t="s">
        <v>551</v>
      </c>
      <c r="E154" s="336">
        <v>1.0</v>
      </c>
      <c r="F154" s="354">
        <v>45541.77013888889</v>
      </c>
      <c r="G154" s="336">
        <v>1.0</v>
      </c>
      <c r="H154" s="336">
        <v>51.3741</v>
      </c>
      <c r="I154" s="336">
        <v>7.75785</v>
      </c>
      <c r="J154" s="336">
        <v>-27.366813</v>
      </c>
      <c r="K154" s="336">
        <v>-24.572675</v>
      </c>
      <c r="L154" s="336">
        <v>1051.43</v>
      </c>
      <c r="M154" s="336">
        <v>60.500635</v>
      </c>
      <c r="N154" s="336">
        <v>11270.3987</v>
      </c>
      <c r="O154" s="336">
        <v>0.0</v>
      </c>
      <c r="P154" s="338">
        <v>0.0</v>
      </c>
      <c r="Q154" s="338" t="s">
        <v>588</v>
      </c>
      <c r="R154" s="338" t="s">
        <v>534</v>
      </c>
      <c r="S154" s="338">
        <v>10.0</v>
      </c>
      <c r="T154" s="338">
        <v>5.0</v>
      </c>
      <c r="U154" s="338">
        <v>0.7</v>
      </c>
      <c r="V154" s="338">
        <v>0.7</v>
      </c>
      <c r="W154" s="338">
        <v>0.7</v>
      </c>
      <c r="X154" s="336">
        <v>2000.0</v>
      </c>
      <c r="Y154" s="336" t="s">
        <v>510</v>
      </c>
      <c r="Z154" s="336">
        <v>0.2</v>
      </c>
      <c r="AA154" s="336" t="s">
        <v>511</v>
      </c>
      <c r="AB154" s="336" t="s">
        <v>512</v>
      </c>
      <c r="AC154" s="336">
        <v>220.0</v>
      </c>
      <c r="AD154" s="339"/>
      <c r="AE154" s="340"/>
    </row>
    <row r="155">
      <c r="A155" s="336" t="s">
        <v>662</v>
      </c>
      <c r="B155" s="336">
        <v>7.0</v>
      </c>
      <c r="C155" s="336">
        <v>27.0</v>
      </c>
      <c r="D155" s="336" t="s">
        <v>551</v>
      </c>
      <c r="E155" s="336">
        <v>1.0</v>
      </c>
      <c r="F155" s="354">
        <v>45541.77291666667</v>
      </c>
      <c r="G155" s="336">
        <v>1.0</v>
      </c>
      <c r="H155" s="336">
        <v>51.3774</v>
      </c>
      <c r="I155" s="336">
        <v>7.89418</v>
      </c>
      <c r="J155" s="336">
        <v>-27.253494</v>
      </c>
      <c r="K155" s="336">
        <v>-25.748587</v>
      </c>
      <c r="L155" s="336">
        <v>1036.78</v>
      </c>
      <c r="M155" s="336">
        <v>69.998776</v>
      </c>
      <c r="N155" s="336">
        <v>11246.8783</v>
      </c>
      <c r="O155" s="336">
        <v>0.0</v>
      </c>
      <c r="P155" s="338">
        <v>0.0</v>
      </c>
      <c r="Q155" s="338" t="s">
        <v>588</v>
      </c>
      <c r="R155" s="338" t="s">
        <v>534</v>
      </c>
      <c r="S155" s="338">
        <v>10.0</v>
      </c>
      <c r="T155" s="338">
        <v>5.0</v>
      </c>
      <c r="U155" s="338">
        <v>0.7</v>
      </c>
      <c r="V155" s="338">
        <v>0.7</v>
      </c>
      <c r="W155" s="338">
        <v>0.7</v>
      </c>
      <c r="X155" s="336">
        <v>2000.0</v>
      </c>
      <c r="Y155" s="336" t="s">
        <v>510</v>
      </c>
      <c r="Z155" s="336">
        <v>0.2</v>
      </c>
      <c r="AA155" s="336" t="s">
        <v>511</v>
      </c>
      <c r="AB155" s="336" t="s">
        <v>512</v>
      </c>
      <c r="AC155" s="336">
        <v>220.0</v>
      </c>
      <c r="AD155" s="339"/>
      <c r="AE155" s="340"/>
    </row>
    <row r="156">
      <c r="A156" s="336" t="s">
        <v>663</v>
      </c>
      <c r="B156" s="336">
        <v>7.0</v>
      </c>
      <c r="C156" s="336">
        <v>27.0</v>
      </c>
      <c r="D156" s="336" t="s">
        <v>551</v>
      </c>
      <c r="E156" s="336">
        <v>1.0</v>
      </c>
      <c r="F156" s="354">
        <v>45541.77569444444</v>
      </c>
      <c r="G156" s="336">
        <v>1.0</v>
      </c>
      <c r="H156" s="336">
        <v>51.3774</v>
      </c>
      <c r="I156" s="336">
        <v>7.93189</v>
      </c>
      <c r="J156" s="336">
        <v>-27.249212</v>
      </c>
      <c r="K156" s="336">
        <v>-25.735937</v>
      </c>
      <c r="L156" s="336">
        <v>1034.57</v>
      </c>
      <c r="M156" s="336">
        <v>68.999896</v>
      </c>
      <c r="N156" s="336">
        <v>11293.2559</v>
      </c>
      <c r="O156" s="336">
        <v>0.0</v>
      </c>
      <c r="P156" s="338">
        <v>0.0</v>
      </c>
      <c r="Q156" s="338" t="s">
        <v>588</v>
      </c>
      <c r="R156" s="338" t="s">
        <v>534</v>
      </c>
      <c r="S156" s="338">
        <v>10.0</v>
      </c>
      <c r="T156" s="338">
        <v>5.0</v>
      </c>
      <c r="U156" s="338">
        <v>0.7</v>
      </c>
      <c r="V156" s="338">
        <v>0.7</v>
      </c>
      <c r="W156" s="338">
        <v>0.7</v>
      </c>
      <c r="X156" s="336">
        <v>2000.0</v>
      </c>
      <c r="Y156" s="336" t="s">
        <v>510</v>
      </c>
      <c r="Z156" s="336">
        <v>0.2</v>
      </c>
      <c r="AA156" s="336" t="s">
        <v>511</v>
      </c>
      <c r="AB156" s="336" t="s">
        <v>512</v>
      </c>
      <c r="AC156" s="336">
        <v>220.0</v>
      </c>
      <c r="AD156" s="339"/>
      <c r="AE156" s="340"/>
    </row>
    <row r="157">
      <c r="A157" s="336" t="s">
        <v>664</v>
      </c>
      <c r="B157" s="336">
        <v>7.0</v>
      </c>
      <c r="C157" s="336">
        <v>27.0</v>
      </c>
      <c r="D157" s="336" t="s">
        <v>551</v>
      </c>
      <c r="E157" s="336">
        <v>1.0</v>
      </c>
      <c r="F157" s="354">
        <v>45541.77847222222</v>
      </c>
      <c r="G157" s="336">
        <v>2.0</v>
      </c>
      <c r="H157" s="336">
        <v>51.3774</v>
      </c>
      <c r="I157" s="336">
        <v>7.89188</v>
      </c>
      <c r="J157" s="336">
        <v>-27.291031</v>
      </c>
      <c r="K157" s="336">
        <v>-25.649475</v>
      </c>
      <c r="L157" s="336">
        <v>1055.39</v>
      </c>
      <c r="M157" s="336">
        <v>68.000642</v>
      </c>
      <c r="N157" s="336">
        <v>11305.3377</v>
      </c>
      <c r="O157" s="336">
        <v>11306.2582</v>
      </c>
      <c r="P157" s="338">
        <v>2036.65356</v>
      </c>
      <c r="Q157" s="338" t="s">
        <v>509</v>
      </c>
      <c r="R157" s="338" t="s">
        <v>12</v>
      </c>
      <c r="S157" s="338">
        <v>10.0</v>
      </c>
      <c r="T157" s="338">
        <v>5.0</v>
      </c>
      <c r="U157" s="338">
        <v>0.7</v>
      </c>
      <c r="V157" s="338">
        <v>0.7</v>
      </c>
      <c r="W157" s="338">
        <v>0.7</v>
      </c>
      <c r="X157" s="336">
        <v>2000.0</v>
      </c>
      <c r="Y157" s="336" t="s">
        <v>510</v>
      </c>
      <c r="Z157" s="336">
        <v>0.2</v>
      </c>
      <c r="AA157" s="336" t="s">
        <v>511</v>
      </c>
      <c r="AB157" s="336" t="s">
        <v>512</v>
      </c>
      <c r="AC157" s="336">
        <v>220.0</v>
      </c>
      <c r="AD157" s="339"/>
      <c r="AE157" s="340"/>
    </row>
    <row r="158">
      <c r="A158" s="336" t="s">
        <v>665</v>
      </c>
      <c r="B158" s="336">
        <v>7.0</v>
      </c>
      <c r="C158" s="336">
        <v>27.0</v>
      </c>
      <c r="D158" s="336" t="s">
        <v>551</v>
      </c>
      <c r="E158" s="336">
        <v>1.0</v>
      </c>
      <c r="F158" s="354">
        <v>45541.78125</v>
      </c>
      <c r="G158" s="336">
        <v>2.0</v>
      </c>
      <c r="H158" s="336">
        <v>51.3774</v>
      </c>
      <c r="I158" s="336">
        <v>7.93157</v>
      </c>
      <c r="J158" s="336">
        <v>-27.331438</v>
      </c>
      <c r="K158" s="336">
        <v>-26.093369</v>
      </c>
      <c r="L158" s="336">
        <v>1067.5</v>
      </c>
      <c r="M158" s="336">
        <v>71.500744</v>
      </c>
      <c r="N158" s="336">
        <v>11307.1787</v>
      </c>
      <c r="O158" s="336">
        <v>11306.2582</v>
      </c>
      <c r="P158" s="338">
        <v>2036.65356</v>
      </c>
      <c r="Q158" s="338" t="s">
        <v>509</v>
      </c>
      <c r="R158" s="338" t="s">
        <v>12</v>
      </c>
      <c r="S158" s="338">
        <v>10.0</v>
      </c>
      <c r="T158" s="338">
        <v>5.0</v>
      </c>
      <c r="U158" s="338">
        <v>0.7</v>
      </c>
      <c r="V158" s="338">
        <v>0.7</v>
      </c>
      <c r="W158" s="338">
        <v>0.7</v>
      </c>
      <c r="X158" s="336">
        <v>2000.0</v>
      </c>
      <c r="Y158" s="336" t="s">
        <v>510</v>
      </c>
      <c r="Z158" s="336">
        <v>0.2</v>
      </c>
      <c r="AA158" s="336" t="s">
        <v>511</v>
      </c>
      <c r="AB158" s="336" t="s">
        <v>512</v>
      </c>
      <c r="AC158" s="336">
        <v>220.0</v>
      </c>
      <c r="AD158" s="339"/>
      <c r="AE158" s="340"/>
    </row>
    <row r="159">
      <c r="A159" s="336" t="s">
        <v>632</v>
      </c>
      <c r="B159" s="336">
        <v>8.0</v>
      </c>
      <c r="C159" s="336">
        <v>28.0</v>
      </c>
      <c r="D159" s="336" t="s">
        <v>554</v>
      </c>
      <c r="E159" s="336">
        <v>1.0</v>
      </c>
      <c r="F159" s="354">
        <v>45541.78472222222</v>
      </c>
      <c r="G159" s="336">
        <v>1.0</v>
      </c>
      <c r="H159" s="336">
        <v>51.3741</v>
      </c>
      <c r="I159" s="336">
        <v>7.80399</v>
      </c>
      <c r="J159" s="336">
        <v>-27.282569</v>
      </c>
      <c r="K159" s="336">
        <v>-25.738325</v>
      </c>
      <c r="L159" s="336">
        <v>1089.78</v>
      </c>
      <c r="M159" s="336">
        <v>67.499909</v>
      </c>
      <c r="N159" s="336">
        <v>11490.7213</v>
      </c>
      <c r="O159" s="336">
        <v>11487.8426</v>
      </c>
      <c r="P159" s="338">
        <v>2068.85788</v>
      </c>
      <c r="Q159" s="338" t="s">
        <v>509</v>
      </c>
      <c r="R159" s="338" t="s">
        <v>12</v>
      </c>
      <c r="S159" s="338">
        <v>10.0</v>
      </c>
      <c r="T159" s="338">
        <v>5.0</v>
      </c>
      <c r="U159" s="338">
        <v>0.7</v>
      </c>
      <c r="V159" s="338">
        <v>0.7</v>
      </c>
      <c r="W159" s="338">
        <v>0.7</v>
      </c>
      <c r="X159" s="336">
        <v>2000.0</v>
      </c>
      <c r="Y159" s="336" t="s">
        <v>510</v>
      </c>
      <c r="Z159" s="336">
        <v>0.2</v>
      </c>
      <c r="AA159" s="336" t="s">
        <v>511</v>
      </c>
      <c r="AB159" s="336" t="s">
        <v>512</v>
      </c>
      <c r="AC159" s="336">
        <v>220.0</v>
      </c>
      <c r="AD159" s="339"/>
      <c r="AE159" s="340"/>
    </row>
    <row r="160">
      <c r="A160" s="336" t="s">
        <v>666</v>
      </c>
      <c r="B160" s="336">
        <v>8.0</v>
      </c>
      <c r="C160" s="336">
        <v>28.0</v>
      </c>
      <c r="D160" s="336" t="s">
        <v>554</v>
      </c>
      <c r="E160" s="336">
        <v>1.0</v>
      </c>
      <c r="F160" s="354">
        <v>45541.7875</v>
      </c>
      <c r="G160" s="336">
        <v>1.0</v>
      </c>
      <c r="H160" s="336">
        <v>51.3774</v>
      </c>
      <c r="I160" s="336">
        <v>7.89466</v>
      </c>
      <c r="J160" s="336">
        <v>-27.279881</v>
      </c>
      <c r="K160" s="336">
        <v>-25.653125</v>
      </c>
      <c r="L160" s="336">
        <v>1074.76</v>
      </c>
      <c r="M160" s="336">
        <v>66.997659</v>
      </c>
      <c r="N160" s="336">
        <v>11484.9639</v>
      </c>
      <c r="O160" s="336">
        <v>11487.8426</v>
      </c>
      <c r="P160" s="338">
        <v>2068.85788</v>
      </c>
      <c r="Q160" s="338" t="s">
        <v>509</v>
      </c>
      <c r="R160" s="338" t="s">
        <v>12</v>
      </c>
      <c r="S160" s="338">
        <v>10.0</v>
      </c>
      <c r="T160" s="338">
        <v>5.0</v>
      </c>
      <c r="U160" s="338">
        <v>0.7</v>
      </c>
      <c r="V160" s="338">
        <v>0.7</v>
      </c>
      <c r="W160" s="338">
        <v>0.7</v>
      </c>
      <c r="X160" s="336">
        <v>2000.0</v>
      </c>
      <c r="Y160" s="336" t="s">
        <v>510</v>
      </c>
      <c r="Z160" s="336">
        <v>0.2</v>
      </c>
      <c r="AA160" s="336" t="s">
        <v>511</v>
      </c>
      <c r="AB160" s="336" t="s">
        <v>512</v>
      </c>
      <c r="AC160" s="336">
        <v>220.0</v>
      </c>
      <c r="AD160" s="339"/>
      <c r="AE160" s="340"/>
    </row>
    <row r="161">
      <c r="A161" s="336" t="s">
        <v>633</v>
      </c>
      <c r="B161" s="336">
        <v>9.0</v>
      </c>
      <c r="C161" s="336">
        <v>40.0</v>
      </c>
      <c r="D161" s="336" t="s">
        <v>558</v>
      </c>
      <c r="E161" s="336">
        <v>1.0</v>
      </c>
      <c r="F161" s="354">
        <v>45541.790972222225</v>
      </c>
      <c r="G161" s="336">
        <v>1.0</v>
      </c>
      <c r="H161" s="336">
        <v>51.3774</v>
      </c>
      <c r="I161" s="336">
        <v>7.87005</v>
      </c>
      <c r="J161" s="336">
        <v>-27.250213</v>
      </c>
      <c r="K161" s="336">
        <v>-25.436719</v>
      </c>
      <c r="L161" s="336">
        <v>1056.6</v>
      </c>
      <c r="M161" s="336">
        <v>69.99861</v>
      </c>
      <c r="N161" s="336">
        <v>11368.8179</v>
      </c>
      <c r="O161" s="336">
        <v>11295.8036</v>
      </c>
      <c r="P161" s="338">
        <v>2034.79943</v>
      </c>
      <c r="Q161" s="338" t="s">
        <v>519</v>
      </c>
      <c r="R161" s="338" t="s">
        <v>12</v>
      </c>
      <c r="S161" s="338">
        <v>10.0</v>
      </c>
      <c r="T161" s="338">
        <v>5.0</v>
      </c>
      <c r="U161" s="338">
        <v>0.7</v>
      </c>
      <c r="V161" s="338">
        <v>0.7</v>
      </c>
      <c r="W161" s="338">
        <v>0.7</v>
      </c>
      <c r="X161" s="336">
        <v>2000.0</v>
      </c>
      <c r="Y161" s="336" t="s">
        <v>510</v>
      </c>
      <c r="Z161" s="336">
        <v>0.2</v>
      </c>
      <c r="AA161" s="336" t="s">
        <v>511</v>
      </c>
      <c r="AB161" s="336" t="s">
        <v>512</v>
      </c>
      <c r="AC161" s="336">
        <v>220.0</v>
      </c>
      <c r="AD161" s="339"/>
      <c r="AE161" s="340"/>
    </row>
    <row r="162">
      <c r="A162" s="336" t="s">
        <v>667</v>
      </c>
      <c r="B162" s="336">
        <v>9.0</v>
      </c>
      <c r="C162" s="336">
        <v>40.0</v>
      </c>
      <c r="D162" s="336" t="s">
        <v>558</v>
      </c>
      <c r="E162" s="336">
        <v>1.0</v>
      </c>
      <c r="F162" s="354">
        <v>45541.79375</v>
      </c>
      <c r="G162" s="336">
        <v>1.0</v>
      </c>
      <c r="H162" s="336">
        <v>51.3774</v>
      </c>
      <c r="I162" s="336">
        <v>7.89122</v>
      </c>
      <c r="J162" s="336">
        <v>-27.25195</v>
      </c>
      <c r="K162" s="336">
        <v>-24.233056</v>
      </c>
      <c r="L162" s="336">
        <v>1057.44</v>
      </c>
      <c r="M162" s="336">
        <v>59.501019</v>
      </c>
      <c r="N162" s="336">
        <v>11292.2761</v>
      </c>
      <c r="O162" s="336">
        <v>11295.8036</v>
      </c>
      <c r="P162" s="338">
        <v>2034.79943</v>
      </c>
      <c r="Q162" s="338" t="s">
        <v>509</v>
      </c>
      <c r="R162" s="338" t="s">
        <v>12</v>
      </c>
      <c r="S162" s="338">
        <v>10.0</v>
      </c>
      <c r="T162" s="338">
        <v>5.0</v>
      </c>
      <c r="U162" s="338">
        <v>0.7</v>
      </c>
      <c r="V162" s="338">
        <v>0.7</v>
      </c>
      <c r="W162" s="338">
        <v>0.7</v>
      </c>
      <c r="X162" s="336">
        <v>2000.0</v>
      </c>
      <c r="Y162" s="336" t="s">
        <v>510</v>
      </c>
      <c r="Z162" s="336">
        <v>0.2</v>
      </c>
      <c r="AA162" s="336" t="s">
        <v>511</v>
      </c>
      <c r="AB162" s="336" t="s">
        <v>512</v>
      </c>
      <c r="AC162" s="336">
        <v>220.0</v>
      </c>
      <c r="AD162" s="339"/>
      <c r="AE162" s="340"/>
    </row>
    <row r="163">
      <c r="A163" s="336" t="s">
        <v>668</v>
      </c>
      <c r="B163" s="336">
        <v>9.0</v>
      </c>
      <c r="C163" s="336">
        <v>40.0</v>
      </c>
      <c r="D163" s="336" t="s">
        <v>558</v>
      </c>
      <c r="E163" s="336">
        <v>1.0</v>
      </c>
      <c r="F163" s="354">
        <v>45541.79583333333</v>
      </c>
      <c r="G163" s="336">
        <v>1.0</v>
      </c>
      <c r="H163" s="336">
        <v>51.3807</v>
      </c>
      <c r="I163" s="336">
        <v>7.90288</v>
      </c>
      <c r="J163" s="336">
        <v>-27.276987</v>
      </c>
      <c r="K163" s="336">
        <v>-24.790406</v>
      </c>
      <c r="L163" s="336">
        <v>1039.88</v>
      </c>
      <c r="M163" s="336">
        <v>61.499696</v>
      </c>
      <c r="N163" s="336">
        <v>11299.3312</v>
      </c>
      <c r="O163" s="336">
        <v>11295.8036</v>
      </c>
      <c r="P163" s="338">
        <v>2034.79943</v>
      </c>
      <c r="Q163" s="338" t="s">
        <v>509</v>
      </c>
      <c r="R163" s="338" t="s">
        <v>12</v>
      </c>
      <c r="S163" s="338">
        <v>10.0</v>
      </c>
      <c r="T163" s="338">
        <v>5.0</v>
      </c>
      <c r="U163" s="338">
        <v>0.7</v>
      </c>
      <c r="V163" s="338">
        <v>0.7</v>
      </c>
      <c r="W163" s="338">
        <v>0.7</v>
      </c>
      <c r="X163" s="336">
        <v>2000.0</v>
      </c>
      <c r="Y163" s="336" t="s">
        <v>510</v>
      </c>
      <c r="Z163" s="336">
        <v>0.2</v>
      </c>
      <c r="AA163" s="336" t="s">
        <v>511</v>
      </c>
      <c r="AB163" s="336" t="s">
        <v>512</v>
      </c>
      <c r="AC163" s="336">
        <v>220.0</v>
      </c>
      <c r="AD163" s="339"/>
      <c r="AE163" s="340"/>
    </row>
    <row r="164">
      <c r="A164" s="336" t="s">
        <v>634</v>
      </c>
      <c r="B164" s="336">
        <v>10.0</v>
      </c>
      <c r="C164" s="336">
        <v>41.0</v>
      </c>
      <c r="D164" s="336" t="s">
        <v>561</v>
      </c>
      <c r="E164" s="336">
        <v>1.0</v>
      </c>
      <c r="F164" s="354">
        <v>45541.799305555556</v>
      </c>
      <c r="G164" s="336">
        <v>1.0</v>
      </c>
      <c r="H164" s="336">
        <v>51.3741</v>
      </c>
      <c r="I164" s="336">
        <v>7.82995</v>
      </c>
      <c r="J164" s="336">
        <v>-27.313562</v>
      </c>
      <c r="K164" s="336">
        <v>-25.241131</v>
      </c>
      <c r="L164" s="336">
        <v>1038.74</v>
      </c>
      <c r="M164" s="336">
        <v>64.498791</v>
      </c>
      <c r="N164" s="336">
        <v>11292.4017</v>
      </c>
      <c r="O164" s="336">
        <v>11327.3502</v>
      </c>
      <c r="P164" s="338">
        <v>2040.39426</v>
      </c>
      <c r="Q164" s="338" t="s">
        <v>519</v>
      </c>
      <c r="R164" s="338" t="s">
        <v>12</v>
      </c>
      <c r="S164" s="338">
        <v>10.0</v>
      </c>
      <c r="T164" s="338">
        <v>5.0</v>
      </c>
      <c r="U164" s="338">
        <v>0.7</v>
      </c>
      <c r="V164" s="338">
        <v>0.7</v>
      </c>
      <c r="W164" s="338">
        <v>0.7</v>
      </c>
      <c r="X164" s="336">
        <v>2000.0</v>
      </c>
      <c r="Y164" s="336" t="s">
        <v>510</v>
      </c>
      <c r="Z164" s="336">
        <v>0.2</v>
      </c>
      <c r="AA164" s="336" t="s">
        <v>511</v>
      </c>
      <c r="AB164" s="336" t="s">
        <v>512</v>
      </c>
      <c r="AC164" s="336">
        <v>220.0</v>
      </c>
      <c r="AD164" s="339"/>
      <c r="AE164" s="340"/>
    </row>
    <row r="165">
      <c r="A165" s="336" t="s">
        <v>669</v>
      </c>
      <c r="B165" s="336">
        <v>10.0</v>
      </c>
      <c r="C165" s="336">
        <v>41.0</v>
      </c>
      <c r="D165" s="336" t="s">
        <v>561</v>
      </c>
      <c r="E165" s="336">
        <v>1.0</v>
      </c>
      <c r="F165" s="354">
        <v>45541.802083333336</v>
      </c>
      <c r="G165" s="336">
        <v>1.0</v>
      </c>
      <c r="H165" s="336">
        <v>51.3774</v>
      </c>
      <c r="I165" s="336">
        <v>7.81107</v>
      </c>
      <c r="J165" s="336">
        <v>-27.2173</v>
      </c>
      <c r="K165" s="336">
        <v>-25.905838</v>
      </c>
      <c r="L165" s="336">
        <v>1050.51</v>
      </c>
      <c r="M165" s="336">
        <v>71.000702</v>
      </c>
      <c r="N165" s="336">
        <v>11329.7568</v>
      </c>
      <c r="O165" s="336">
        <v>11327.3502</v>
      </c>
      <c r="P165" s="338">
        <v>2040.39426</v>
      </c>
      <c r="Q165" s="338" t="s">
        <v>509</v>
      </c>
      <c r="R165" s="338" t="s">
        <v>12</v>
      </c>
      <c r="S165" s="338">
        <v>10.0</v>
      </c>
      <c r="T165" s="338">
        <v>5.0</v>
      </c>
      <c r="U165" s="338">
        <v>0.7</v>
      </c>
      <c r="V165" s="338">
        <v>0.7</v>
      </c>
      <c r="W165" s="338">
        <v>0.7</v>
      </c>
      <c r="X165" s="336">
        <v>2000.0</v>
      </c>
      <c r="Y165" s="336" t="s">
        <v>510</v>
      </c>
      <c r="Z165" s="336">
        <v>0.2</v>
      </c>
      <c r="AA165" s="336" t="s">
        <v>511</v>
      </c>
      <c r="AB165" s="336" t="s">
        <v>512</v>
      </c>
      <c r="AC165" s="336">
        <v>220.0</v>
      </c>
      <c r="AD165" s="339"/>
      <c r="AE165" s="340"/>
    </row>
    <row r="166">
      <c r="A166" s="336" t="s">
        <v>670</v>
      </c>
      <c r="B166" s="336">
        <v>10.0</v>
      </c>
      <c r="C166" s="336">
        <v>41.0</v>
      </c>
      <c r="D166" s="336" t="s">
        <v>561</v>
      </c>
      <c r="E166" s="336">
        <v>1.0</v>
      </c>
      <c r="F166" s="354">
        <v>45541.80486111111</v>
      </c>
      <c r="G166" s="336">
        <v>1.0</v>
      </c>
      <c r="H166" s="336">
        <v>51.3807</v>
      </c>
      <c r="I166" s="336">
        <v>7.85514</v>
      </c>
      <c r="J166" s="336">
        <v>-27.315156</v>
      </c>
      <c r="K166" s="336">
        <v>-25.71405</v>
      </c>
      <c r="L166" s="336">
        <v>1045.96</v>
      </c>
      <c r="M166" s="336">
        <v>68.999258</v>
      </c>
      <c r="N166" s="336">
        <v>11324.9435</v>
      </c>
      <c r="O166" s="336">
        <v>11327.3502</v>
      </c>
      <c r="P166" s="338">
        <v>2040.39426</v>
      </c>
      <c r="Q166" s="338" t="s">
        <v>509</v>
      </c>
      <c r="R166" s="338" t="s">
        <v>12</v>
      </c>
      <c r="S166" s="338">
        <v>10.0</v>
      </c>
      <c r="T166" s="338">
        <v>5.0</v>
      </c>
      <c r="U166" s="338">
        <v>0.7</v>
      </c>
      <c r="V166" s="338">
        <v>0.7</v>
      </c>
      <c r="W166" s="338">
        <v>0.7</v>
      </c>
      <c r="X166" s="336">
        <v>2000.0</v>
      </c>
      <c r="Y166" s="336" t="s">
        <v>510</v>
      </c>
      <c r="Z166" s="336">
        <v>0.2</v>
      </c>
      <c r="AA166" s="336" t="s">
        <v>511</v>
      </c>
      <c r="AB166" s="336" t="s">
        <v>512</v>
      </c>
      <c r="AC166" s="336">
        <v>220.0</v>
      </c>
      <c r="AD166" s="339"/>
      <c r="AE166" s="340"/>
    </row>
    <row r="167">
      <c r="A167" s="336" t="s">
        <v>671</v>
      </c>
      <c r="B167" s="336" t="s">
        <v>517</v>
      </c>
      <c r="C167" s="336" t="s">
        <v>639</v>
      </c>
      <c r="D167" s="336" t="s">
        <v>508</v>
      </c>
      <c r="E167" s="336">
        <v>0.8</v>
      </c>
      <c r="F167" s="354">
        <v>45541.808333333334</v>
      </c>
      <c r="G167" s="336">
        <v>1.0</v>
      </c>
      <c r="H167" s="336">
        <v>51.3774</v>
      </c>
      <c r="I167" s="336">
        <v>7.78162</v>
      </c>
      <c r="J167" s="336">
        <v>-27.335963</v>
      </c>
      <c r="K167" s="336">
        <v>-25.7038</v>
      </c>
      <c r="L167" s="336">
        <v>1001.58</v>
      </c>
      <c r="M167" s="336">
        <v>67.999513</v>
      </c>
      <c r="N167" s="336">
        <v>9165.60327</v>
      </c>
      <c r="O167" s="336">
        <v>9168.29564</v>
      </c>
      <c r="P167" s="338">
        <v>2070.3457</v>
      </c>
      <c r="Q167" s="338" t="s">
        <v>509</v>
      </c>
      <c r="R167" s="338" t="s">
        <v>12</v>
      </c>
      <c r="S167" s="338">
        <v>10.0</v>
      </c>
      <c r="T167" s="338">
        <v>5.0</v>
      </c>
      <c r="U167" s="338">
        <v>0.7</v>
      </c>
      <c r="V167" s="338">
        <v>0.7</v>
      </c>
      <c r="W167" s="338">
        <v>0.7</v>
      </c>
      <c r="X167" s="336">
        <v>2000.0</v>
      </c>
      <c r="Y167" s="336" t="s">
        <v>510</v>
      </c>
      <c r="Z167" s="336">
        <v>0.2</v>
      </c>
      <c r="AA167" s="336" t="s">
        <v>511</v>
      </c>
      <c r="AB167" s="336" t="s">
        <v>512</v>
      </c>
      <c r="AC167" s="336">
        <v>220.0</v>
      </c>
      <c r="AD167" s="339"/>
      <c r="AE167" s="340"/>
    </row>
    <row r="168">
      <c r="A168" s="336" t="s">
        <v>672</v>
      </c>
      <c r="B168" s="336" t="s">
        <v>517</v>
      </c>
      <c r="C168" s="336" t="s">
        <v>639</v>
      </c>
      <c r="D168" s="336" t="s">
        <v>508</v>
      </c>
      <c r="E168" s="336">
        <v>0.8</v>
      </c>
      <c r="F168" s="354">
        <v>45541.811111111114</v>
      </c>
      <c r="G168" s="336">
        <v>1.0</v>
      </c>
      <c r="H168" s="336">
        <v>51.3807</v>
      </c>
      <c r="I168" s="336">
        <v>7.85227</v>
      </c>
      <c r="J168" s="336">
        <v>-27.240412</v>
      </c>
      <c r="K168" s="336">
        <v>-26.073369</v>
      </c>
      <c r="L168" s="336">
        <v>988.306</v>
      </c>
      <c r="M168" s="336">
        <v>71.500665</v>
      </c>
      <c r="N168" s="336">
        <v>9170.988</v>
      </c>
      <c r="O168" s="336">
        <v>9168.29564</v>
      </c>
      <c r="P168" s="338">
        <v>2070.3457</v>
      </c>
      <c r="Q168" s="338" t="s">
        <v>509</v>
      </c>
      <c r="R168" s="338" t="s">
        <v>12</v>
      </c>
      <c r="S168" s="338">
        <v>10.0</v>
      </c>
      <c r="T168" s="338">
        <v>5.0</v>
      </c>
      <c r="U168" s="338">
        <v>0.7</v>
      </c>
      <c r="V168" s="338">
        <v>0.7</v>
      </c>
      <c r="W168" s="338">
        <v>0.7</v>
      </c>
      <c r="X168" s="336">
        <v>2000.0</v>
      </c>
      <c r="Y168" s="336" t="s">
        <v>510</v>
      </c>
      <c r="Z168" s="336">
        <v>0.2</v>
      </c>
      <c r="AA168" s="336" t="s">
        <v>511</v>
      </c>
      <c r="AB168" s="336" t="s">
        <v>512</v>
      </c>
      <c r="AC168" s="336">
        <v>220.0</v>
      </c>
      <c r="AD168" s="339"/>
      <c r="AE168" s="340"/>
    </row>
    <row r="169">
      <c r="A169" s="336" t="s">
        <v>673</v>
      </c>
      <c r="B169" s="342" t="s">
        <v>523</v>
      </c>
      <c r="C169" s="342" t="s">
        <v>639</v>
      </c>
      <c r="D169" s="342" t="s">
        <v>508</v>
      </c>
      <c r="E169" s="342">
        <v>1.0</v>
      </c>
      <c r="F169" s="355">
        <v>45541.813888888886</v>
      </c>
      <c r="G169" s="342">
        <v>1.0</v>
      </c>
      <c r="H169" s="342">
        <v>51.3807</v>
      </c>
      <c r="I169" s="342">
        <v>7.88447</v>
      </c>
      <c r="J169" s="342">
        <v>-27.320425</v>
      </c>
      <c r="K169" s="342">
        <v>-25.288387</v>
      </c>
      <c r="L169" s="342">
        <v>1066.32</v>
      </c>
      <c r="M169" s="342">
        <v>63.499922</v>
      </c>
      <c r="N169" s="342">
        <v>11473.2224</v>
      </c>
      <c r="O169" s="342">
        <v>11484.6097</v>
      </c>
      <c r="P169" s="344">
        <v>2070.3457</v>
      </c>
      <c r="Q169" s="344" t="s">
        <v>509</v>
      </c>
      <c r="R169" s="338" t="s">
        <v>12</v>
      </c>
      <c r="S169" s="338">
        <v>10.0</v>
      </c>
      <c r="T169" s="338">
        <v>5.0</v>
      </c>
      <c r="U169" s="338">
        <v>0.7</v>
      </c>
      <c r="V169" s="338">
        <v>0.7</v>
      </c>
      <c r="W169" s="338">
        <v>0.7</v>
      </c>
      <c r="X169" s="336">
        <v>2000.0</v>
      </c>
      <c r="Y169" s="336" t="s">
        <v>510</v>
      </c>
      <c r="Z169" s="336">
        <v>0.2</v>
      </c>
      <c r="AA169" s="336" t="s">
        <v>511</v>
      </c>
      <c r="AB169" s="336" t="s">
        <v>512</v>
      </c>
      <c r="AC169" s="336">
        <v>220.0</v>
      </c>
      <c r="AD169" s="339"/>
      <c r="AE169" s="340"/>
    </row>
    <row r="170">
      <c r="A170" s="336" t="s">
        <v>674</v>
      </c>
      <c r="B170" s="342" t="s">
        <v>523</v>
      </c>
      <c r="C170" s="342" t="s">
        <v>639</v>
      </c>
      <c r="D170" s="342" t="s">
        <v>508</v>
      </c>
      <c r="E170" s="342">
        <v>1.0</v>
      </c>
      <c r="F170" s="355">
        <v>45541.816666666666</v>
      </c>
      <c r="G170" s="342">
        <v>1.0</v>
      </c>
      <c r="H170" s="342">
        <v>51.3708</v>
      </c>
      <c r="I170" s="342">
        <v>7.84293</v>
      </c>
      <c r="J170" s="342">
        <v>-27.420944</v>
      </c>
      <c r="K170" s="342">
        <v>-25.634269</v>
      </c>
      <c r="L170" s="342">
        <v>1071.3</v>
      </c>
      <c r="M170" s="342">
        <v>67.499655</v>
      </c>
      <c r="N170" s="342">
        <v>11495.9971</v>
      </c>
      <c r="O170" s="342">
        <v>11484.6097</v>
      </c>
      <c r="P170" s="344">
        <v>2070.3457</v>
      </c>
      <c r="Q170" s="344" t="s">
        <v>509</v>
      </c>
      <c r="R170" s="338" t="s">
        <v>12</v>
      </c>
      <c r="S170" s="338">
        <v>10.0</v>
      </c>
      <c r="T170" s="338">
        <v>5.0</v>
      </c>
      <c r="U170" s="338">
        <v>0.7</v>
      </c>
      <c r="V170" s="338">
        <v>0.7</v>
      </c>
      <c r="W170" s="338">
        <v>0.7</v>
      </c>
      <c r="X170" s="336">
        <v>2000.0</v>
      </c>
      <c r="Y170" s="336" t="s">
        <v>510</v>
      </c>
      <c r="Z170" s="336">
        <v>0.2</v>
      </c>
      <c r="AA170" s="336" t="s">
        <v>511</v>
      </c>
      <c r="AB170" s="336" t="s">
        <v>512</v>
      </c>
      <c r="AC170" s="336">
        <v>220.0</v>
      </c>
      <c r="AD170" s="339"/>
      <c r="AE170" s="340"/>
    </row>
    <row r="171">
      <c r="A171" s="336" t="s">
        <v>675</v>
      </c>
      <c r="B171" s="336" t="s">
        <v>527</v>
      </c>
      <c r="C171" s="336" t="s">
        <v>639</v>
      </c>
      <c r="D171" s="336" t="s">
        <v>508</v>
      </c>
      <c r="E171" s="336">
        <v>1.2</v>
      </c>
      <c r="F171" s="354">
        <v>45541.819444444445</v>
      </c>
      <c r="G171" s="336">
        <v>1.0</v>
      </c>
      <c r="H171" s="336">
        <v>51.3774</v>
      </c>
      <c r="I171" s="336">
        <v>7.74094</v>
      </c>
      <c r="J171" s="336">
        <v>-27.267425</v>
      </c>
      <c r="K171" s="336">
        <v>-25.125763</v>
      </c>
      <c r="L171" s="336">
        <v>1101.61</v>
      </c>
      <c r="M171" s="336">
        <v>67.00056</v>
      </c>
      <c r="N171" s="336">
        <v>13793.1789</v>
      </c>
      <c r="O171" s="336">
        <v>13840.3599</v>
      </c>
      <c r="P171" s="338">
        <v>2070.3457</v>
      </c>
      <c r="Q171" s="338" t="s">
        <v>519</v>
      </c>
      <c r="R171" s="338" t="s">
        <v>12</v>
      </c>
      <c r="S171" s="338">
        <v>10.0</v>
      </c>
      <c r="T171" s="338">
        <v>5.0</v>
      </c>
      <c r="U171" s="338">
        <v>0.7</v>
      </c>
      <c r="V171" s="338">
        <v>0.7</v>
      </c>
      <c r="W171" s="338">
        <v>0.7</v>
      </c>
      <c r="X171" s="336">
        <v>2000.0</v>
      </c>
      <c r="Y171" s="336" t="s">
        <v>510</v>
      </c>
      <c r="Z171" s="336">
        <v>0.2</v>
      </c>
      <c r="AA171" s="336" t="s">
        <v>511</v>
      </c>
      <c r="AB171" s="336" t="s">
        <v>512</v>
      </c>
      <c r="AC171" s="336">
        <v>220.0</v>
      </c>
      <c r="AD171" s="339"/>
      <c r="AE171" s="340"/>
    </row>
    <row r="172">
      <c r="A172" s="336" t="s">
        <v>676</v>
      </c>
      <c r="B172" s="336" t="s">
        <v>527</v>
      </c>
      <c r="C172" s="336" t="s">
        <v>639</v>
      </c>
      <c r="D172" s="336" t="s">
        <v>508</v>
      </c>
      <c r="E172" s="336">
        <v>1.2</v>
      </c>
      <c r="F172" s="354">
        <v>45541.822222222225</v>
      </c>
      <c r="G172" s="336">
        <v>1.0</v>
      </c>
      <c r="H172" s="336">
        <v>51.3708</v>
      </c>
      <c r="I172" s="336">
        <v>7.75766</v>
      </c>
      <c r="J172" s="336">
        <v>-27.358475</v>
      </c>
      <c r="K172" s="336">
        <v>-25.248025</v>
      </c>
      <c r="L172" s="336">
        <v>1108.39</v>
      </c>
      <c r="M172" s="336">
        <v>69.999858</v>
      </c>
      <c r="N172" s="336">
        <v>13841.3356</v>
      </c>
      <c r="O172" s="336">
        <v>13840.3599</v>
      </c>
      <c r="P172" s="338">
        <v>2070.3457</v>
      </c>
      <c r="Q172" s="338" t="s">
        <v>509</v>
      </c>
      <c r="R172" s="338" t="s">
        <v>12</v>
      </c>
      <c r="S172" s="338">
        <v>10.0</v>
      </c>
      <c r="T172" s="338">
        <v>5.0</v>
      </c>
      <c r="U172" s="338">
        <v>0.7</v>
      </c>
      <c r="V172" s="338">
        <v>0.7</v>
      </c>
      <c r="W172" s="338">
        <v>0.7</v>
      </c>
      <c r="X172" s="336">
        <v>2000.0</v>
      </c>
      <c r="Y172" s="336" t="s">
        <v>510</v>
      </c>
      <c r="Z172" s="336">
        <v>0.2</v>
      </c>
      <c r="AA172" s="336" t="s">
        <v>511</v>
      </c>
      <c r="AB172" s="336" t="s">
        <v>512</v>
      </c>
      <c r="AC172" s="336">
        <v>220.0</v>
      </c>
      <c r="AD172" s="339"/>
      <c r="AE172" s="340"/>
    </row>
    <row r="173">
      <c r="A173" s="336" t="s">
        <v>677</v>
      </c>
      <c r="B173" s="336" t="s">
        <v>527</v>
      </c>
      <c r="C173" s="336" t="s">
        <v>639</v>
      </c>
      <c r="D173" s="336" t="s">
        <v>508</v>
      </c>
      <c r="E173" s="336">
        <v>1.2</v>
      </c>
      <c r="F173" s="354">
        <v>45541.825</v>
      </c>
      <c r="G173" s="336">
        <v>1.0</v>
      </c>
      <c r="H173" s="336">
        <v>51.3708</v>
      </c>
      <c r="I173" s="336">
        <v>7.82114</v>
      </c>
      <c r="J173" s="336">
        <v>-27.263869</v>
      </c>
      <c r="K173" s="336">
        <v>-25.315206</v>
      </c>
      <c r="L173" s="336">
        <v>1101.64</v>
      </c>
      <c r="M173" s="336">
        <v>70.499982</v>
      </c>
      <c r="N173" s="336">
        <v>13839.3842</v>
      </c>
      <c r="O173" s="336">
        <v>13840.3599</v>
      </c>
      <c r="P173" s="338">
        <v>2070.3457</v>
      </c>
      <c r="Q173" s="338" t="s">
        <v>509</v>
      </c>
      <c r="R173" s="338" t="s">
        <v>12</v>
      </c>
      <c r="S173" s="338">
        <v>10.0</v>
      </c>
      <c r="T173" s="338">
        <v>5.0</v>
      </c>
      <c r="U173" s="338">
        <v>0.7</v>
      </c>
      <c r="V173" s="338">
        <v>0.7</v>
      </c>
      <c r="W173" s="338">
        <v>0.7</v>
      </c>
      <c r="X173" s="336">
        <v>2000.0</v>
      </c>
      <c r="Y173" s="336" t="s">
        <v>510</v>
      </c>
      <c r="Z173" s="336">
        <v>0.2</v>
      </c>
      <c r="AA173" s="336" t="s">
        <v>511</v>
      </c>
      <c r="AB173" s="336" t="s">
        <v>512</v>
      </c>
      <c r="AC173" s="336">
        <v>220.0</v>
      </c>
      <c r="AD173" s="339"/>
      <c r="AE173" s="340"/>
    </row>
    <row r="174">
      <c r="A174" s="336" t="s">
        <v>678</v>
      </c>
      <c r="B174" s="336">
        <v>2.0</v>
      </c>
      <c r="C174" s="336">
        <v>79.0</v>
      </c>
      <c r="D174" s="336" t="s">
        <v>532</v>
      </c>
      <c r="E174" s="336">
        <v>1.0</v>
      </c>
      <c r="F174" s="354">
        <v>45541.82847222222</v>
      </c>
      <c r="G174" s="336">
        <v>1.0</v>
      </c>
      <c r="H174" s="336">
        <v>51.3774</v>
      </c>
      <c r="I174" s="336">
        <v>7.6694</v>
      </c>
      <c r="J174" s="336">
        <v>-27.397394</v>
      </c>
      <c r="K174" s="336">
        <v>-25.760956</v>
      </c>
      <c r="L174" s="336">
        <v>1051.08</v>
      </c>
      <c r="M174" s="336">
        <v>67.500694</v>
      </c>
      <c r="N174" s="336">
        <v>11302.3183</v>
      </c>
      <c r="O174" s="336">
        <v>11303.9291</v>
      </c>
      <c r="P174" s="338">
        <v>2035.98942</v>
      </c>
      <c r="Q174" s="338" t="s">
        <v>519</v>
      </c>
      <c r="R174" s="338" t="s">
        <v>12</v>
      </c>
      <c r="S174" s="338">
        <v>10.0</v>
      </c>
      <c r="T174" s="338">
        <v>5.0</v>
      </c>
      <c r="U174" s="338">
        <v>0.7</v>
      </c>
      <c r="V174" s="338">
        <v>0.7</v>
      </c>
      <c r="W174" s="338">
        <v>0.7</v>
      </c>
      <c r="X174" s="336">
        <v>2000.0</v>
      </c>
      <c r="Y174" s="336" t="s">
        <v>510</v>
      </c>
      <c r="Z174" s="336">
        <v>0.2</v>
      </c>
      <c r="AA174" s="336" t="s">
        <v>511</v>
      </c>
      <c r="AB174" s="336" t="s">
        <v>512</v>
      </c>
      <c r="AC174" s="336">
        <v>220.0</v>
      </c>
      <c r="AD174" s="339"/>
      <c r="AE174" s="340"/>
    </row>
    <row r="175">
      <c r="A175" s="336" t="s">
        <v>679</v>
      </c>
      <c r="B175" s="336">
        <v>2.0</v>
      </c>
      <c r="C175" s="336">
        <v>79.0</v>
      </c>
      <c r="D175" s="336" t="s">
        <v>532</v>
      </c>
      <c r="E175" s="336">
        <v>1.0</v>
      </c>
      <c r="F175" s="354">
        <v>45541.83125</v>
      </c>
      <c r="G175" s="336">
        <v>1.0</v>
      </c>
      <c r="H175" s="336">
        <v>51.3708</v>
      </c>
      <c r="I175" s="336">
        <v>7.76509</v>
      </c>
      <c r="J175" s="336">
        <v>-27.28825</v>
      </c>
      <c r="K175" s="336">
        <v>-26.038294</v>
      </c>
      <c r="L175" s="336">
        <v>1048.93</v>
      </c>
      <c r="M175" s="336">
        <v>79.998506</v>
      </c>
      <c r="N175" s="336">
        <v>11340.3774</v>
      </c>
      <c r="O175" s="336">
        <v>11303.9291</v>
      </c>
      <c r="P175" s="338">
        <v>2035.98942</v>
      </c>
      <c r="Q175" s="338" t="s">
        <v>519</v>
      </c>
      <c r="R175" s="338" t="s">
        <v>12</v>
      </c>
      <c r="S175" s="338">
        <v>10.0</v>
      </c>
      <c r="T175" s="338">
        <v>5.0</v>
      </c>
      <c r="U175" s="338">
        <v>0.7</v>
      </c>
      <c r="V175" s="338">
        <v>0.7</v>
      </c>
      <c r="W175" s="338">
        <v>0.7</v>
      </c>
      <c r="X175" s="336">
        <v>2000.0</v>
      </c>
      <c r="Y175" s="336" t="s">
        <v>510</v>
      </c>
      <c r="Z175" s="336">
        <v>0.2</v>
      </c>
      <c r="AA175" s="336" t="s">
        <v>511</v>
      </c>
      <c r="AB175" s="336" t="s">
        <v>512</v>
      </c>
      <c r="AC175" s="336">
        <v>220.0</v>
      </c>
      <c r="AD175" s="339"/>
      <c r="AE175" s="340"/>
    </row>
    <row r="176">
      <c r="A176" s="336" t="s">
        <v>680</v>
      </c>
      <c r="B176" s="336">
        <v>2.0</v>
      </c>
      <c r="C176" s="336">
        <v>79.0</v>
      </c>
      <c r="D176" s="336" t="s">
        <v>532</v>
      </c>
      <c r="E176" s="336">
        <v>1.0</v>
      </c>
      <c r="F176" s="354">
        <v>45541.834027777775</v>
      </c>
      <c r="G176" s="336">
        <v>1.0</v>
      </c>
      <c r="H176" s="336">
        <v>51.3741</v>
      </c>
      <c r="I176" s="336">
        <v>7.77643</v>
      </c>
      <c r="J176" s="336">
        <v>-27.2584</v>
      </c>
      <c r="K176" s="336">
        <v>-25.817588</v>
      </c>
      <c r="L176" s="336">
        <v>1040.83</v>
      </c>
      <c r="M176" s="336">
        <v>68.499746</v>
      </c>
      <c r="N176" s="336">
        <v>11309.7645</v>
      </c>
      <c r="O176" s="336">
        <v>11303.9291</v>
      </c>
      <c r="P176" s="338">
        <v>2035.98942</v>
      </c>
      <c r="Q176" s="338" t="s">
        <v>509</v>
      </c>
      <c r="R176" s="338" t="s">
        <v>12</v>
      </c>
      <c r="S176" s="338">
        <v>10.0</v>
      </c>
      <c r="T176" s="338">
        <v>5.0</v>
      </c>
      <c r="U176" s="338">
        <v>0.7</v>
      </c>
      <c r="V176" s="338">
        <v>0.7</v>
      </c>
      <c r="W176" s="338">
        <v>0.7</v>
      </c>
      <c r="X176" s="336">
        <v>2000.0</v>
      </c>
      <c r="Y176" s="336" t="s">
        <v>510</v>
      </c>
      <c r="Z176" s="336">
        <v>0.2</v>
      </c>
      <c r="AA176" s="336" t="s">
        <v>511</v>
      </c>
      <c r="AB176" s="336" t="s">
        <v>512</v>
      </c>
      <c r="AC176" s="336">
        <v>220.0</v>
      </c>
      <c r="AD176" s="339"/>
      <c r="AE176" s="340"/>
    </row>
    <row r="177">
      <c r="A177" s="336" t="s">
        <v>681</v>
      </c>
      <c r="B177" s="336">
        <v>2.0</v>
      </c>
      <c r="C177" s="336">
        <v>79.0</v>
      </c>
      <c r="D177" s="336" t="s">
        <v>532</v>
      </c>
      <c r="E177" s="336">
        <v>1.0</v>
      </c>
      <c r="F177" s="354">
        <v>45541.836805555555</v>
      </c>
      <c r="G177" s="336">
        <v>1.0</v>
      </c>
      <c r="H177" s="336">
        <v>51.3774</v>
      </c>
      <c r="I177" s="336">
        <v>7.7719</v>
      </c>
      <c r="J177" s="336">
        <v>-27.338894</v>
      </c>
      <c r="K177" s="336">
        <v>-25.35705</v>
      </c>
      <c r="L177" s="336">
        <v>1031.42</v>
      </c>
      <c r="M177" s="336">
        <v>64.000524</v>
      </c>
      <c r="N177" s="336">
        <v>11298.0937</v>
      </c>
      <c r="O177" s="336">
        <v>11303.9291</v>
      </c>
      <c r="P177" s="338">
        <v>2035.98942</v>
      </c>
      <c r="Q177" s="338" t="s">
        <v>509</v>
      </c>
      <c r="R177" s="338" t="s">
        <v>12</v>
      </c>
      <c r="S177" s="338">
        <v>10.0</v>
      </c>
      <c r="T177" s="338">
        <v>5.0</v>
      </c>
      <c r="U177" s="338">
        <v>0.7</v>
      </c>
      <c r="V177" s="338">
        <v>0.7</v>
      </c>
      <c r="W177" s="338">
        <v>0.7</v>
      </c>
      <c r="X177" s="336">
        <v>2000.0</v>
      </c>
      <c r="Y177" s="336" t="s">
        <v>510</v>
      </c>
      <c r="Z177" s="336">
        <v>0.2</v>
      </c>
      <c r="AA177" s="336" t="s">
        <v>511</v>
      </c>
      <c r="AB177" s="336" t="s">
        <v>512</v>
      </c>
      <c r="AC177" s="336">
        <v>220.0</v>
      </c>
      <c r="AD177" s="339"/>
      <c r="AE177" s="340"/>
    </row>
    <row r="178">
      <c r="A178" s="336" t="s">
        <v>682</v>
      </c>
      <c r="B178" s="336">
        <v>3.0</v>
      </c>
      <c r="C178" s="336">
        <v>80.0</v>
      </c>
      <c r="D178" s="336" t="s">
        <v>540</v>
      </c>
      <c r="E178" s="336">
        <v>1.0</v>
      </c>
      <c r="F178" s="354">
        <v>45541.84027777778</v>
      </c>
      <c r="G178" s="336">
        <v>1.0</v>
      </c>
      <c r="H178" s="336">
        <v>51.3774</v>
      </c>
      <c r="I178" s="336">
        <v>7.83732</v>
      </c>
      <c r="J178" s="336">
        <v>-27.284625</v>
      </c>
      <c r="K178" s="336">
        <v>-26.140806</v>
      </c>
      <c r="L178" s="336">
        <v>1050.51</v>
      </c>
      <c r="M178" s="336">
        <v>72.999629</v>
      </c>
      <c r="N178" s="336">
        <v>11397.7263</v>
      </c>
      <c r="O178" s="336">
        <v>11324.9796</v>
      </c>
      <c r="P178" s="338">
        <v>2039.7207</v>
      </c>
      <c r="Q178" s="338" t="s">
        <v>519</v>
      </c>
      <c r="R178" s="338" t="s">
        <v>12</v>
      </c>
      <c r="S178" s="338">
        <v>10.0</v>
      </c>
      <c r="T178" s="338">
        <v>5.0</v>
      </c>
      <c r="U178" s="338">
        <v>0.7</v>
      </c>
      <c r="V178" s="338">
        <v>0.7</v>
      </c>
      <c r="W178" s="338">
        <v>0.7</v>
      </c>
      <c r="X178" s="336">
        <v>2000.0</v>
      </c>
      <c r="Y178" s="336" t="s">
        <v>510</v>
      </c>
      <c r="Z178" s="336">
        <v>0.2</v>
      </c>
      <c r="AA178" s="336" t="s">
        <v>511</v>
      </c>
      <c r="AB178" s="336" t="s">
        <v>512</v>
      </c>
      <c r="AC178" s="336">
        <v>220.0</v>
      </c>
      <c r="AD178" s="339"/>
      <c r="AE178" s="340"/>
    </row>
    <row r="179">
      <c r="A179" s="336" t="s">
        <v>683</v>
      </c>
      <c r="B179" s="336">
        <v>3.0</v>
      </c>
      <c r="C179" s="336">
        <v>80.0</v>
      </c>
      <c r="D179" s="336" t="s">
        <v>540</v>
      </c>
      <c r="E179" s="336">
        <v>1.0</v>
      </c>
      <c r="F179" s="354">
        <v>45541.84305555555</v>
      </c>
      <c r="G179" s="336">
        <v>1.0</v>
      </c>
      <c r="H179" s="336">
        <v>51.3708</v>
      </c>
      <c r="I179" s="336">
        <v>7.89109</v>
      </c>
      <c r="J179" s="336">
        <v>-27.342244</v>
      </c>
      <c r="K179" s="336">
        <v>-25.875781</v>
      </c>
      <c r="L179" s="336">
        <v>1024.45</v>
      </c>
      <c r="M179" s="336">
        <v>68.999393</v>
      </c>
      <c r="N179" s="336">
        <v>11318.4636</v>
      </c>
      <c r="O179" s="336">
        <v>11324.9796</v>
      </c>
      <c r="P179" s="338">
        <v>2039.7207</v>
      </c>
      <c r="Q179" s="338" t="s">
        <v>509</v>
      </c>
      <c r="R179" s="338" t="s">
        <v>12</v>
      </c>
      <c r="S179" s="338">
        <v>10.0</v>
      </c>
      <c r="T179" s="338">
        <v>5.0</v>
      </c>
      <c r="U179" s="338">
        <v>0.7</v>
      </c>
      <c r="V179" s="338">
        <v>0.7</v>
      </c>
      <c r="W179" s="338">
        <v>0.7</v>
      </c>
      <c r="X179" s="336">
        <v>2000.0</v>
      </c>
      <c r="Y179" s="336" t="s">
        <v>510</v>
      </c>
      <c r="Z179" s="336">
        <v>0.2</v>
      </c>
      <c r="AA179" s="336" t="s">
        <v>511</v>
      </c>
      <c r="AB179" s="336" t="s">
        <v>512</v>
      </c>
      <c r="AC179" s="336">
        <v>220.0</v>
      </c>
      <c r="AD179" s="339"/>
      <c r="AE179" s="340"/>
    </row>
    <row r="180">
      <c r="A180" s="336" t="s">
        <v>684</v>
      </c>
      <c r="B180" s="336">
        <v>3.0</v>
      </c>
      <c r="C180" s="336">
        <v>80.0</v>
      </c>
      <c r="D180" s="336" t="s">
        <v>540</v>
      </c>
      <c r="E180" s="336">
        <v>1.0</v>
      </c>
      <c r="F180" s="354">
        <v>45541.84583333333</v>
      </c>
      <c r="G180" s="336">
        <v>1.0</v>
      </c>
      <c r="H180" s="336">
        <v>51.3741</v>
      </c>
      <c r="I180" s="336">
        <v>7.94294</v>
      </c>
      <c r="J180" s="336">
        <v>-27.271331</v>
      </c>
      <c r="K180" s="336">
        <v>-25.829644</v>
      </c>
      <c r="L180" s="336">
        <v>1049.3</v>
      </c>
      <c r="M180" s="336">
        <v>68.999361</v>
      </c>
      <c r="N180" s="336">
        <v>11331.4957</v>
      </c>
      <c r="O180" s="336">
        <v>11324.9796</v>
      </c>
      <c r="P180" s="338">
        <v>2039.7207</v>
      </c>
      <c r="Q180" s="338" t="s">
        <v>509</v>
      </c>
      <c r="R180" s="338" t="s">
        <v>12</v>
      </c>
      <c r="S180" s="338">
        <v>10.0</v>
      </c>
      <c r="T180" s="338">
        <v>5.0</v>
      </c>
      <c r="U180" s="338">
        <v>0.7</v>
      </c>
      <c r="V180" s="338">
        <v>0.7</v>
      </c>
      <c r="W180" s="338">
        <v>0.7</v>
      </c>
      <c r="X180" s="336">
        <v>2000.0</v>
      </c>
      <c r="Y180" s="336" t="s">
        <v>510</v>
      </c>
      <c r="Z180" s="336">
        <v>0.2</v>
      </c>
      <c r="AA180" s="336" t="s">
        <v>511</v>
      </c>
      <c r="AB180" s="336" t="s">
        <v>512</v>
      </c>
      <c r="AC180" s="336">
        <v>220.0</v>
      </c>
      <c r="AD180" s="339"/>
      <c r="AE180" s="340"/>
    </row>
    <row r="181">
      <c r="A181" s="336" t="s">
        <v>685</v>
      </c>
      <c r="B181" s="336">
        <v>4.0</v>
      </c>
      <c r="C181" s="336">
        <v>196.0</v>
      </c>
      <c r="D181" s="336" t="s">
        <v>544</v>
      </c>
      <c r="E181" s="336">
        <v>1.0</v>
      </c>
      <c r="F181" s="354">
        <v>45541.84930555556</v>
      </c>
      <c r="G181" s="336">
        <v>1.0</v>
      </c>
      <c r="H181" s="336">
        <v>51.3741</v>
      </c>
      <c r="I181" s="336">
        <v>7.89903</v>
      </c>
      <c r="J181" s="336">
        <v>-27.335</v>
      </c>
      <c r="K181" s="336">
        <v>-25.689975</v>
      </c>
      <c r="L181" s="336">
        <v>1062.6</v>
      </c>
      <c r="M181" s="336">
        <v>66.999648</v>
      </c>
      <c r="N181" s="336">
        <v>11215.2385</v>
      </c>
      <c r="O181" s="336">
        <v>11208.9521</v>
      </c>
      <c r="P181" s="338">
        <v>2019.15444</v>
      </c>
      <c r="Q181" s="338" t="s">
        <v>509</v>
      </c>
      <c r="R181" s="338" t="s">
        <v>12</v>
      </c>
      <c r="S181" s="338">
        <v>10.0</v>
      </c>
      <c r="T181" s="338">
        <v>5.0</v>
      </c>
      <c r="U181" s="338">
        <v>0.7</v>
      </c>
      <c r="V181" s="338">
        <v>0.7</v>
      </c>
      <c r="W181" s="338">
        <v>0.7</v>
      </c>
      <c r="X181" s="336">
        <v>2000.0</v>
      </c>
      <c r="Y181" s="336" t="s">
        <v>510</v>
      </c>
      <c r="Z181" s="336">
        <v>0.2</v>
      </c>
      <c r="AA181" s="336" t="s">
        <v>511</v>
      </c>
      <c r="AB181" s="336" t="s">
        <v>512</v>
      </c>
      <c r="AC181" s="336">
        <v>220.0</v>
      </c>
      <c r="AD181" s="339"/>
      <c r="AE181" s="340"/>
    </row>
    <row r="182">
      <c r="A182" s="336" t="s">
        <v>686</v>
      </c>
      <c r="B182" s="336">
        <v>4.0</v>
      </c>
      <c r="C182" s="336">
        <v>196.0</v>
      </c>
      <c r="D182" s="336" t="s">
        <v>544</v>
      </c>
      <c r="E182" s="336">
        <v>1.0</v>
      </c>
      <c r="F182" s="354">
        <v>45541.85208333333</v>
      </c>
      <c r="G182" s="336">
        <v>1.0</v>
      </c>
      <c r="H182" s="336">
        <v>51.3741</v>
      </c>
      <c r="I182" s="336">
        <v>7.86514</v>
      </c>
      <c r="J182" s="336">
        <v>-27.105619</v>
      </c>
      <c r="K182" s="336">
        <v>-25.472706</v>
      </c>
      <c r="L182" s="336">
        <v>1053.52</v>
      </c>
      <c r="M182" s="336">
        <v>64.00044</v>
      </c>
      <c r="N182" s="336">
        <v>11202.6656</v>
      </c>
      <c r="O182" s="336">
        <v>11208.9521</v>
      </c>
      <c r="P182" s="338">
        <v>2019.15444</v>
      </c>
      <c r="Q182" s="338" t="s">
        <v>509</v>
      </c>
      <c r="R182" s="338" t="s">
        <v>12</v>
      </c>
      <c r="S182" s="338">
        <v>10.0</v>
      </c>
      <c r="T182" s="338">
        <v>5.0</v>
      </c>
      <c r="U182" s="338">
        <v>0.7</v>
      </c>
      <c r="V182" s="338">
        <v>0.7</v>
      </c>
      <c r="W182" s="338">
        <v>0.7</v>
      </c>
      <c r="X182" s="336">
        <v>2000.0</v>
      </c>
      <c r="Y182" s="336" t="s">
        <v>510</v>
      </c>
      <c r="Z182" s="336">
        <v>0.2</v>
      </c>
      <c r="AA182" s="336" t="s">
        <v>511</v>
      </c>
      <c r="AB182" s="336" t="s">
        <v>512</v>
      </c>
      <c r="AC182" s="336">
        <v>220.0</v>
      </c>
      <c r="AD182" s="339"/>
      <c r="AE182" s="340"/>
    </row>
    <row r="183">
      <c r="A183" s="336" t="s">
        <v>687</v>
      </c>
      <c r="B183" s="336">
        <v>5.0</v>
      </c>
      <c r="C183" s="336">
        <v>157.0</v>
      </c>
      <c r="D183" s="336" t="s">
        <v>548</v>
      </c>
      <c r="E183" s="336">
        <v>1.0</v>
      </c>
      <c r="F183" s="354">
        <v>45541.85555555556</v>
      </c>
      <c r="G183" s="336">
        <v>1.0</v>
      </c>
      <c r="H183" s="336">
        <v>51.3774</v>
      </c>
      <c r="I183" s="336">
        <v>7.78151</v>
      </c>
      <c r="J183" s="336">
        <v>-27.396612</v>
      </c>
      <c r="K183" s="336">
        <v>-25.699375</v>
      </c>
      <c r="L183" s="336">
        <v>1039.56</v>
      </c>
      <c r="M183" s="336">
        <v>66.001109</v>
      </c>
      <c r="N183" s="336">
        <v>11269.4646</v>
      </c>
      <c r="O183" s="336">
        <v>11266.7954</v>
      </c>
      <c r="P183" s="338">
        <v>2029.40736</v>
      </c>
      <c r="Q183" s="338" t="s">
        <v>509</v>
      </c>
      <c r="R183" s="338" t="s">
        <v>12</v>
      </c>
      <c r="S183" s="338">
        <v>10.0</v>
      </c>
      <c r="T183" s="338">
        <v>5.0</v>
      </c>
      <c r="U183" s="338">
        <v>0.7</v>
      </c>
      <c r="V183" s="338">
        <v>0.7</v>
      </c>
      <c r="W183" s="338">
        <v>0.7</v>
      </c>
      <c r="X183" s="336">
        <v>2000.0</v>
      </c>
      <c r="Y183" s="336" t="s">
        <v>510</v>
      </c>
      <c r="Z183" s="336">
        <v>0.2</v>
      </c>
      <c r="AA183" s="336" t="s">
        <v>511</v>
      </c>
      <c r="AB183" s="336" t="s">
        <v>512</v>
      </c>
      <c r="AC183" s="336">
        <v>220.0</v>
      </c>
      <c r="AD183" s="339"/>
      <c r="AE183" s="340"/>
    </row>
    <row r="184">
      <c r="A184" s="336" t="s">
        <v>688</v>
      </c>
      <c r="B184" s="336">
        <v>5.0</v>
      </c>
      <c r="C184" s="336">
        <v>157.0</v>
      </c>
      <c r="D184" s="336" t="s">
        <v>548</v>
      </c>
      <c r="E184" s="336">
        <v>1.0</v>
      </c>
      <c r="F184" s="354">
        <v>45541.85833333333</v>
      </c>
      <c r="G184" s="336">
        <v>1.0</v>
      </c>
      <c r="H184" s="336">
        <v>51.3774</v>
      </c>
      <c r="I184" s="336">
        <v>7.86831</v>
      </c>
      <c r="J184" s="336">
        <v>-27.313687</v>
      </c>
      <c r="K184" s="336">
        <v>-25.922581</v>
      </c>
      <c r="L184" s="336">
        <v>1027.41</v>
      </c>
      <c r="M184" s="336">
        <v>71.499854</v>
      </c>
      <c r="N184" s="336">
        <v>11264.1263</v>
      </c>
      <c r="O184" s="336">
        <v>11266.7954</v>
      </c>
      <c r="P184" s="338">
        <v>2029.40736</v>
      </c>
      <c r="Q184" s="338" t="s">
        <v>509</v>
      </c>
      <c r="R184" s="338" t="s">
        <v>12</v>
      </c>
      <c r="S184" s="338">
        <v>10.0</v>
      </c>
      <c r="T184" s="338">
        <v>5.0</v>
      </c>
      <c r="U184" s="338">
        <v>0.7</v>
      </c>
      <c r="V184" s="338">
        <v>0.7</v>
      </c>
      <c r="W184" s="338">
        <v>0.7</v>
      </c>
      <c r="X184" s="336">
        <v>2000.0</v>
      </c>
      <c r="Y184" s="336" t="s">
        <v>510</v>
      </c>
      <c r="Z184" s="336">
        <v>0.2</v>
      </c>
      <c r="AA184" s="336" t="s">
        <v>511</v>
      </c>
      <c r="AB184" s="336" t="s">
        <v>512</v>
      </c>
      <c r="AC184" s="336">
        <v>220.0</v>
      </c>
      <c r="AD184" s="339"/>
      <c r="AE184" s="340"/>
    </row>
    <row r="185">
      <c r="A185" s="336" t="s">
        <v>689</v>
      </c>
      <c r="B185" s="336">
        <v>6.0</v>
      </c>
      <c r="C185" s="336">
        <v>197.0</v>
      </c>
      <c r="D185" s="336" t="s">
        <v>551</v>
      </c>
      <c r="E185" s="336">
        <v>1.0</v>
      </c>
      <c r="F185" s="354">
        <v>45541.861805555556</v>
      </c>
      <c r="G185" s="336">
        <v>1.0</v>
      </c>
      <c r="H185" s="336">
        <v>51.3741</v>
      </c>
      <c r="I185" s="336">
        <v>7.834</v>
      </c>
      <c r="J185" s="336">
        <v>-27.329287</v>
      </c>
      <c r="K185" s="336">
        <v>-25.7721</v>
      </c>
      <c r="L185" s="336">
        <v>1064.28</v>
      </c>
      <c r="M185" s="336">
        <v>70.499737</v>
      </c>
      <c r="N185" s="336">
        <v>11220.5472</v>
      </c>
      <c r="O185" s="336">
        <v>11224.8317</v>
      </c>
      <c r="P185" s="338">
        <v>2021.96915</v>
      </c>
      <c r="Q185" s="338" t="s">
        <v>509</v>
      </c>
      <c r="R185" s="338" t="s">
        <v>12</v>
      </c>
      <c r="S185" s="338">
        <v>10.0</v>
      </c>
      <c r="T185" s="338">
        <v>5.0</v>
      </c>
      <c r="U185" s="338">
        <v>0.7</v>
      </c>
      <c r="V185" s="338">
        <v>0.7</v>
      </c>
      <c r="W185" s="338">
        <v>0.7</v>
      </c>
      <c r="X185" s="336">
        <v>2000.0</v>
      </c>
      <c r="Y185" s="336" t="s">
        <v>510</v>
      </c>
      <c r="Z185" s="336">
        <v>0.2</v>
      </c>
      <c r="AA185" s="336" t="s">
        <v>511</v>
      </c>
      <c r="AB185" s="336" t="s">
        <v>512</v>
      </c>
      <c r="AC185" s="336">
        <v>220.0</v>
      </c>
      <c r="AD185" s="339"/>
      <c r="AE185" s="340"/>
    </row>
    <row r="186">
      <c r="A186" s="336" t="s">
        <v>690</v>
      </c>
      <c r="B186" s="336">
        <v>6.0</v>
      </c>
      <c r="C186" s="336">
        <v>197.0</v>
      </c>
      <c r="D186" s="336" t="s">
        <v>551</v>
      </c>
      <c r="E186" s="336">
        <v>1.0</v>
      </c>
      <c r="F186" s="354">
        <v>45541.864583333336</v>
      </c>
      <c r="G186" s="336">
        <v>1.0</v>
      </c>
      <c r="H186" s="336">
        <v>51.3741</v>
      </c>
      <c r="I186" s="336">
        <v>7.78923</v>
      </c>
      <c r="J186" s="336">
        <v>-27.393881</v>
      </c>
      <c r="K186" s="336">
        <v>-25.565181</v>
      </c>
      <c r="L186" s="336">
        <v>1022.71</v>
      </c>
      <c r="M186" s="336">
        <v>67.500522</v>
      </c>
      <c r="N186" s="336">
        <v>11229.1161</v>
      </c>
      <c r="O186" s="336">
        <v>11224.8317</v>
      </c>
      <c r="P186" s="338">
        <v>2021.96915</v>
      </c>
      <c r="Q186" s="338" t="s">
        <v>509</v>
      </c>
      <c r="R186" s="338" t="s">
        <v>12</v>
      </c>
      <c r="S186" s="338">
        <v>10.0</v>
      </c>
      <c r="T186" s="338">
        <v>5.0</v>
      </c>
      <c r="U186" s="338">
        <v>0.7</v>
      </c>
      <c r="V186" s="338">
        <v>0.7</v>
      </c>
      <c r="W186" s="338">
        <v>0.7</v>
      </c>
      <c r="X186" s="336">
        <v>2000.0</v>
      </c>
      <c r="Y186" s="336" t="s">
        <v>510</v>
      </c>
      <c r="Z186" s="336">
        <v>0.2</v>
      </c>
      <c r="AA186" s="336" t="s">
        <v>511</v>
      </c>
      <c r="AB186" s="336" t="s">
        <v>512</v>
      </c>
      <c r="AC186" s="336">
        <v>220.0</v>
      </c>
      <c r="AD186" s="339"/>
      <c r="AE186" s="340"/>
    </row>
    <row r="187">
      <c r="A187" s="336" t="s">
        <v>691</v>
      </c>
      <c r="B187" s="336">
        <v>7.0</v>
      </c>
      <c r="C187" s="336">
        <v>158.0</v>
      </c>
      <c r="D187" s="336" t="s">
        <v>554</v>
      </c>
      <c r="E187" s="336">
        <v>1.0</v>
      </c>
      <c r="F187" s="354">
        <v>45541.86736111111</v>
      </c>
      <c r="G187" s="336">
        <v>1.0</v>
      </c>
      <c r="H187" s="336">
        <v>51.3774</v>
      </c>
      <c r="I187" s="336">
        <v>7.70763</v>
      </c>
      <c r="J187" s="336">
        <v>-27.447956</v>
      </c>
      <c r="K187" s="336">
        <v>-25.259338</v>
      </c>
      <c r="L187" s="336">
        <v>1048.33</v>
      </c>
      <c r="M187" s="336">
        <v>61.499906</v>
      </c>
      <c r="N187" s="336">
        <v>11296.0241</v>
      </c>
      <c r="O187" s="336">
        <v>11295.811</v>
      </c>
      <c r="P187" s="338">
        <v>2034.55046</v>
      </c>
      <c r="Q187" s="338" t="s">
        <v>509</v>
      </c>
      <c r="R187" s="338" t="s">
        <v>12</v>
      </c>
      <c r="S187" s="338">
        <v>10.0</v>
      </c>
      <c r="T187" s="338">
        <v>5.0</v>
      </c>
      <c r="U187" s="338">
        <v>0.7</v>
      </c>
      <c r="V187" s="338">
        <v>0.7</v>
      </c>
      <c r="W187" s="338">
        <v>0.7</v>
      </c>
      <c r="X187" s="336">
        <v>2000.0</v>
      </c>
      <c r="Y187" s="336" t="s">
        <v>510</v>
      </c>
      <c r="Z187" s="336">
        <v>0.2</v>
      </c>
      <c r="AA187" s="336" t="s">
        <v>511</v>
      </c>
      <c r="AB187" s="336" t="s">
        <v>512</v>
      </c>
      <c r="AC187" s="336">
        <v>220.0</v>
      </c>
      <c r="AD187" s="339"/>
      <c r="AE187" s="340"/>
    </row>
    <row r="188">
      <c r="A188" s="336" t="s">
        <v>692</v>
      </c>
      <c r="B188" s="336">
        <v>7.0</v>
      </c>
      <c r="C188" s="336">
        <v>158.0</v>
      </c>
      <c r="D188" s="336" t="s">
        <v>554</v>
      </c>
      <c r="E188" s="336">
        <v>1.0</v>
      </c>
      <c r="F188" s="354">
        <v>45541.87013888889</v>
      </c>
      <c r="G188" s="336">
        <v>1.0</v>
      </c>
      <c r="H188" s="336">
        <v>51.3741</v>
      </c>
      <c r="I188" s="336">
        <v>7.8541</v>
      </c>
      <c r="J188" s="336">
        <v>-27.402375</v>
      </c>
      <c r="K188" s="336">
        <v>-25.757362</v>
      </c>
      <c r="L188" s="336">
        <v>1039.33</v>
      </c>
      <c r="M188" s="336">
        <v>66.999222</v>
      </c>
      <c r="N188" s="336">
        <v>11295.5979</v>
      </c>
      <c r="O188" s="336">
        <v>11295.811</v>
      </c>
      <c r="P188" s="338">
        <v>2034.55046</v>
      </c>
      <c r="Q188" s="338" t="s">
        <v>509</v>
      </c>
      <c r="R188" s="338" t="s">
        <v>12</v>
      </c>
      <c r="S188" s="338">
        <v>10.0</v>
      </c>
      <c r="T188" s="338">
        <v>5.0</v>
      </c>
      <c r="U188" s="338">
        <v>0.7</v>
      </c>
      <c r="V188" s="338">
        <v>0.7</v>
      </c>
      <c r="W188" s="338">
        <v>0.7</v>
      </c>
      <c r="X188" s="336">
        <v>2000.0</v>
      </c>
      <c r="Y188" s="336" t="s">
        <v>510</v>
      </c>
      <c r="Z188" s="336">
        <v>0.2</v>
      </c>
      <c r="AA188" s="336" t="s">
        <v>511</v>
      </c>
      <c r="AB188" s="336" t="s">
        <v>512</v>
      </c>
      <c r="AC188" s="336">
        <v>220.0</v>
      </c>
      <c r="AD188" s="339"/>
      <c r="AE188" s="340"/>
    </row>
    <row r="189">
      <c r="A189" s="336" t="s">
        <v>693</v>
      </c>
      <c r="B189" s="336">
        <v>8.0</v>
      </c>
      <c r="C189" s="336">
        <v>53.0</v>
      </c>
      <c r="D189" s="336" t="s">
        <v>558</v>
      </c>
      <c r="E189" s="336">
        <v>1.0</v>
      </c>
      <c r="F189" s="354">
        <v>45541.873611111114</v>
      </c>
      <c r="G189" s="336">
        <v>1.0</v>
      </c>
      <c r="H189" s="336">
        <v>51.3741</v>
      </c>
      <c r="I189" s="336">
        <v>7.76277</v>
      </c>
      <c r="J189" s="336">
        <v>-27.321406</v>
      </c>
      <c r="K189" s="336">
        <v>-25.210869</v>
      </c>
      <c r="L189" s="336">
        <v>1017.47</v>
      </c>
      <c r="M189" s="336">
        <v>62.499994</v>
      </c>
      <c r="N189" s="336">
        <v>11255.926</v>
      </c>
      <c r="O189" s="336">
        <v>11247.4869</v>
      </c>
      <c r="P189" s="338">
        <v>2025.98487</v>
      </c>
      <c r="Q189" s="338" t="s">
        <v>509</v>
      </c>
      <c r="R189" s="338" t="s">
        <v>12</v>
      </c>
      <c r="S189" s="338">
        <v>10.0</v>
      </c>
      <c r="T189" s="338">
        <v>5.0</v>
      </c>
      <c r="U189" s="338">
        <v>0.7</v>
      </c>
      <c r="V189" s="338">
        <v>0.7</v>
      </c>
      <c r="W189" s="338">
        <v>0.7</v>
      </c>
      <c r="X189" s="336">
        <v>2000.0</v>
      </c>
      <c r="Y189" s="336" t="s">
        <v>510</v>
      </c>
      <c r="Z189" s="336">
        <v>0.2</v>
      </c>
      <c r="AA189" s="336" t="s">
        <v>511</v>
      </c>
      <c r="AB189" s="336" t="s">
        <v>512</v>
      </c>
      <c r="AC189" s="336">
        <v>220.0</v>
      </c>
      <c r="AD189" s="339"/>
      <c r="AE189" s="340"/>
    </row>
    <row r="190">
      <c r="A190" s="336" t="s">
        <v>694</v>
      </c>
      <c r="B190" s="336">
        <v>8.0</v>
      </c>
      <c r="C190" s="336">
        <v>53.0</v>
      </c>
      <c r="D190" s="336" t="s">
        <v>558</v>
      </c>
      <c r="E190" s="336">
        <v>1.0</v>
      </c>
      <c r="F190" s="354">
        <v>45541.876388888886</v>
      </c>
      <c r="G190" s="336">
        <v>1.0</v>
      </c>
      <c r="H190" s="336">
        <v>51.3807</v>
      </c>
      <c r="I190" s="336">
        <v>7.83895</v>
      </c>
      <c r="J190" s="336">
        <v>-27.224212</v>
      </c>
      <c r="K190" s="336">
        <v>-25.349</v>
      </c>
      <c r="L190" s="336">
        <v>1042.9</v>
      </c>
      <c r="M190" s="336">
        <v>63.500594</v>
      </c>
      <c r="N190" s="336">
        <v>11239.0479</v>
      </c>
      <c r="O190" s="336">
        <v>11247.4869</v>
      </c>
      <c r="P190" s="338">
        <v>2025.98487</v>
      </c>
      <c r="Q190" s="338" t="s">
        <v>509</v>
      </c>
      <c r="R190" s="338" t="s">
        <v>12</v>
      </c>
      <c r="S190" s="338">
        <v>10.0</v>
      </c>
      <c r="T190" s="338">
        <v>5.0</v>
      </c>
      <c r="U190" s="338">
        <v>0.7</v>
      </c>
      <c r="V190" s="338">
        <v>0.7</v>
      </c>
      <c r="W190" s="338">
        <v>0.7</v>
      </c>
      <c r="X190" s="336">
        <v>2000.0</v>
      </c>
      <c r="Y190" s="336" t="s">
        <v>510</v>
      </c>
      <c r="Z190" s="336">
        <v>0.2</v>
      </c>
      <c r="AA190" s="336" t="s">
        <v>511</v>
      </c>
      <c r="AB190" s="336" t="s">
        <v>512</v>
      </c>
      <c r="AC190" s="336">
        <v>220.0</v>
      </c>
      <c r="AD190" s="339"/>
      <c r="AE190" s="340"/>
    </row>
    <row r="191">
      <c r="A191" s="336" t="s">
        <v>695</v>
      </c>
      <c r="B191" s="336">
        <v>9.0</v>
      </c>
      <c r="C191" s="336">
        <v>54.0</v>
      </c>
      <c r="D191" s="336" t="s">
        <v>561</v>
      </c>
      <c r="E191" s="336">
        <v>1.0</v>
      </c>
      <c r="F191" s="354">
        <v>45541.87986111111</v>
      </c>
      <c r="G191" s="336">
        <v>1.0</v>
      </c>
      <c r="H191" s="336">
        <v>51.3741</v>
      </c>
      <c r="I191" s="336">
        <v>7.69216</v>
      </c>
      <c r="J191" s="336">
        <v>-27.381756</v>
      </c>
      <c r="K191" s="336">
        <v>-26.099756</v>
      </c>
      <c r="L191" s="336">
        <v>1028.54</v>
      </c>
      <c r="M191" s="336">
        <v>72.999853</v>
      </c>
      <c r="N191" s="336">
        <v>11289.1501</v>
      </c>
      <c r="O191" s="336">
        <v>11258.5384</v>
      </c>
      <c r="P191" s="338">
        <v>2027.94377</v>
      </c>
      <c r="Q191" s="338" t="s">
        <v>519</v>
      </c>
      <c r="R191" s="338" t="s">
        <v>12</v>
      </c>
      <c r="S191" s="338">
        <v>10.0</v>
      </c>
      <c r="T191" s="338">
        <v>5.0</v>
      </c>
      <c r="U191" s="338">
        <v>0.7</v>
      </c>
      <c r="V191" s="338">
        <v>0.7</v>
      </c>
      <c r="W191" s="338">
        <v>0.7</v>
      </c>
      <c r="X191" s="336">
        <v>2000.0</v>
      </c>
      <c r="Y191" s="336" t="s">
        <v>510</v>
      </c>
      <c r="Z191" s="336">
        <v>0.2</v>
      </c>
      <c r="AA191" s="336" t="s">
        <v>511</v>
      </c>
      <c r="AB191" s="336" t="s">
        <v>512</v>
      </c>
      <c r="AC191" s="336">
        <v>220.0</v>
      </c>
      <c r="AD191" s="339"/>
      <c r="AE191" s="340"/>
    </row>
    <row r="192">
      <c r="A192" s="336" t="s">
        <v>696</v>
      </c>
      <c r="B192" s="336">
        <v>9.0</v>
      </c>
      <c r="C192" s="336">
        <v>54.0</v>
      </c>
      <c r="D192" s="336" t="s">
        <v>561</v>
      </c>
      <c r="E192" s="336">
        <v>1.0</v>
      </c>
      <c r="F192" s="354">
        <v>45541.88263888889</v>
      </c>
      <c r="G192" s="336">
        <v>1.0</v>
      </c>
      <c r="H192" s="336">
        <v>51.3741</v>
      </c>
      <c r="I192" s="336">
        <v>7.78311</v>
      </c>
      <c r="J192" s="336">
        <v>-27.376406</v>
      </c>
      <c r="K192" s="336">
        <v>-25.5296</v>
      </c>
      <c r="L192" s="336">
        <v>1020.87</v>
      </c>
      <c r="M192" s="336">
        <v>66.000634</v>
      </c>
      <c r="N192" s="336">
        <v>11263.5876</v>
      </c>
      <c r="O192" s="336">
        <v>11258.5384</v>
      </c>
      <c r="P192" s="338">
        <v>2027.94377</v>
      </c>
      <c r="Q192" s="338" t="s">
        <v>519</v>
      </c>
      <c r="R192" s="338" t="s">
        <v>12</v>
      </c>
      <c r="S192" s="338">
        <v>10.0</v>
      </c>
      <c r="T192" s="338">
        <v>5.0</v>
      </c>
      <c r="U192" s="338">
        <v>0.7</v>
      </c>
      <c r="V192" s="338">
        <v>0.7</v>
      </c>
      <c r="W192" s="338">
        <v>0.7</v>
      </c>
      <c r="X192" s="336">
        <v>2000.0</v>
      </c>
      <c r="Y192" s="336" t="s">
        <v>510</v>
      </c>
      <c r="Z192" s="336">
        <v>0.2</v>
      </c>
      <c r="AA192" s="336" t="s">
        <v>511</v>
      </c>
      <c r="AB192" s="336" t="s">
        <v>512</v>
      </c>
      <c r="AC192" s="336">
        <v>220.0</v>
      </c>
      <c r="AD192" s="339"/>
      <c r="AE192" s="340"/>
    </row>
    <row r="193">
      <c r="A193" s="336" t="s">
        <v>697</v>
      </c>
      <c r="B193" s="336">
        <v>9.0</v>
      </c>
      <c r="C193" s="336">
        <v>54.0</v>
      </c>
      <c r="D193" s="336" t="s">
        <v>561</v>
      </c>
      <c r="E193" s="336">
        <v>1.0</v>
      </c>
      <c r="F193" s="354">
        <v>45541.885416666664</v>
      </c>
      <c r="G193" s="336">
        <v>1.0</v>
      </c>
      <c r="H193" s="336">
        <v>51.3741</v>
      </c>
      <c r="I193" s="336">
        <v>7.81774</v>
      </c>
      <c r="J193" s="336">
        <v>-27.332769</v>
      </c>
      <c r="K193" s="336">
        <v>-26.217463</v>
      </c>
      <c r="L193" s="336">
        <v>1039.03</v>
      </c>
      <c r="M193" s="336">
        <v>75.500638</v>
      </c>
      <c r="N193" s="336">
        <v>11293.8762</v>
      </c>
      <c r="O193" s="336">
        <v>11258.5384</v>
      </c>
      <c r="P193" s="338">
        <v>2027.94377</v>
      </c>
      <c r="Q193" s="338" t="s">
        <v>519</v>
      </c>
      <c r="R193" s="338" t="s">
        <v>12</v>
      </c>
      <c r="S193" s="338">
        <v>10.0</v>
      </c>
      <c r="T193" s="338">
        <v>5.0</v>
      </c>
      <c r="U193" s="338">
        <v>0.7</v>
      </c>
      <c r="V193" s="338">
        <v>0.7</v>
      </c>
      <c r="W193" s="338">
        <v>0.7</v>
      </c>
      <c r="X193" s="336">
        <v>2000.0</v>
      </c>
      <c r="Y193" s="336" t="s">
        <v>510</v>
      </c>
      <c r="Z193" s="336">
        <v>0.2</v>
      </c>
      <c r="AA193" s="336" t="s">
        <v>511</v>
      </c>
      <c r="AB193" s="336" t="s">
        <v>512</v>
      </c>
      <c r="AC193" s="336">
        <v>220.0</v>
      </c>
      <c r="AD193" s="339"/>
      <c r="AE193" s="340"/>
    </row>
    <row r="194">
      <c r="A194" s="336" t="s">
        <v>698</v>
      </c>
      <c r="B194" s="336">
        <v>9.0</v>
      </c>
      <c r="C194" s="336">
        <v>54.0</v>
      </c>
      <c r="D194" s="336" t="s">
        <v>561</v>
      </c>
      <c r="E194" s="336">
        <v>1.0</v>
      </c>
      <c r="F194" s="354">
        <v>45541.888194444444</v>
      </c>
      <c r="G194" s="336">
        <v>1.0</v>
      </c>
      <c r="H194" s="336">
        <v>51.3807</v>
      </c>
      <c r="I194" s="336">
        <v>7.79321</v>
      </c>
      <c r="J194" s="336">
        <v>-27.330131</v>
      </c>
      <c r="K194" s="336">
        <v>-25.932719</v>
      </c>
      <c r="L194" s="336">
        <v>1050.63</v>
      </c>
      <c r="M194" s="336">
        <v>70.00055</v>
      </c>
      <c r="N194" s="336">
        <v>11266.0243</v>
      </c>
      <c r="O194" s="336">
        <v>11258.5384</v>
      </c>
      <c r="P194" s="338">
        <v>2027.94377</v>
      </c>
      <c r="Q194" s="338" t="s">
        <v>509</v>
      </c>
      <c r="R194" s="338" t="s">
        <v>12</v>
      </c>
      <c r="S194" s="338">
        <v>10.0</v>
      </c>
      <c r="T194" s="338">
        <v>5.0</v>
      </c>
      <c r="U194" s="338">
        <v>0.7</v>
      </c>
      <c r="V194" s="338">
        <v>0.7</v>
      </c>
      <c r="W194" s="338">
        <v>0.7</v>
      </c>
      <c r="X194" s="336">
        <v>2000.0</v>
      </c>
      <c r="Y194" s="336" t="s">
        <v>510</v>
      </c>
      <c r="Z194" s="336">
        <v>0.2</v>
      </c>
      <c r="AA194" s="336" t="s">
        <v>511</v>
      </c>
      <c r="AB194" s="336" t="s">
        <v>512</v>
      </c>
      <c r="AC194" s="336">
        <v>220.0</v>
      </c>
      <c r="AD194" s="339"/>
      <c r="AE194" s="340"/>
    </row>
    <row r="195">
      <c r="A195" s="336" t="s">
        <v>699</v>
      </c>
      <c r="B195" s="336">
        <v>9.0</v>
      </c>
      <c r="C195" s="336">
        <v>54.0</v>
      </c>
      <c r="D195" s="336" t="s">
        <v>561</v>
      </c>
      <c r="E195" s="336">
        <v>1.0</v>
      </c>
      <c r="F195" s="354">
        <v>45541.89097222222</v>
      </c>
      <c r="G195" s="336">
        <v>1.0</v>
      </c>
      <c r="H195" s="336">
        <v>51.3807</v>
      </c>
      <c r="I195" s="336">
        <v>7.82448</v>
      </c>
      <c r="J195" s="336">
        <v>-27.311756</v>
      </c>
      <c r="K195" s="336">
        <v>-25.908912</v>
      </c>
      <c r="L195" s="336">
        <v>1017.79</v>
      </c>
      <c r="M195" s="336">
        <v>70.500951</v>
      </c>
      <c r="N195" s="336">
        <v>11251.0524</v>
      </c>
      <c r="O195" s="336">
        <v>11258.5384</v>
      </c>
      <c r="P195" s="338">
        <v>2027.94377</v>
      </c>
      <c r="Q195" s="338" t="s">
        <v>509</v>
      </c>
      <c r="R195" s="338" t="s">
        <v>12</v>
      </c>
      <c r="S195" s="338">
        <v>10.0</v>
      </c>
      <c r="T195" s="338">
        <v>5.0</v>
      </c>
      <c r="U195" s="338">
        <v>0.7</v>
      </c>
      <c r="V195" s="338">
        <v>0.7</v>
      </c>
      <c r="W195" s="338">
        <v>0.7</v>
      </c>
      <c r="X195" s="336">
        <v>2000.0</v>
      </c>
      <c r="Y195" s="336" t="s">
        <v>510</v>
      </c>
      <c r="Z195" s="336">
        <v>0.2</v>
      </c>
      <c r="AA195" s="336" t="s">
        <v>511</v>
      </c>
      <c r="AB195" s="336" t="s">
        <v>512</v>
      </c>
      <c r="AC195" s="336">
        <v>220.0</v>
      </c>
      <c r="AD195" s="339"/>
      <c r="AE195" s="340"/>
    </row>
    <row r="196">
      <c r="A196" s="342" t="s">
        <v>700</v>
      </c>
      <c r="B196" s="342">
        <v>10.0</v>
      </c>
      <c r="C196" s="342" t="s">
        <v>639</v>
      </c>
      <c r="D196" s="342" t="s">
        <v>508</v>
      </c>
      <c r="E196" s="342">
        <v>1.0</v>
      </c>
      <c r="F196" s="355">
        <v>45541.89444444444</v>
      </c>
      <c r="G196" s="342">
        <v>1.0</v>
      </c>
      <c r="H196" s="342">
        <v>51.3741</v>
      </c>
      <c r="I196" s="342">
        <v>7.78855</v>
      </c>
      <c r="J196" s="342">
        <v>-27.442662</v>
      </c>
      <c r="K196" s="342">
        <v>-25.608781</v>
      </c>
      <c r="L196" s="342">
        <v>1061.53</v>
      </c>
      <c r="M196" s="342">
        <v>64.500988</v>
      </c>
      <c r="N196" s="342">
        <v>11461.629</v>
      </c>
      <c r="O196" s="342">
        <v>11470.7383</v>
      </c>
      <c r="P196" s="344">
        <v>2065.55689</v>
      </c>
      <c r="Q196" s="344" t="s">
        <v>509</v>
      </c>
      <c r="R196" s="338" t="s">
        <v>12</v>
      </c>
      <c r="S196" s="338">
        <v>10.0</v>
      </c>
      <c r="T196" s="338">
        <v>5.0</v>
      </c>
      <c r="U196" s="338">
        <v>0.7</v>
      </c>
      <c r="V196" s="338">
        <v>0.7</v>
      </c>
      <c r="W196" s="338">
        <v>0.7</v>
      </c>
      <c r="X196" s="336">
        <v>2000.0</v>
      </c>
      <c r="Y196" s="336" t="s">
        <v>510</v>
      </c>
      <c r="Z196" s="336">
        <v>0.2</v>
      </c>
      <c r="AA196" s="336" t="s">
        <v>511</v>
      </c>
      <c r="AB196" s="336" t="s">
        <v>512</v>
      </c>
      <c r="AC196" s="336">
        <v>220.0</v>
      </c>
      <c r="AD196" s="339"/>
      <c r="AE196" s="340"/>
    </row>
    <row r="197">
      <c r="A197" s="336" t="s">
        <v>701</v>
      </c>
      <c r="B197" s="336">
        <v>10.0</v>
      </c>
      <c r="C197" s="336" t="s">
        <v>639</v>
      </c>
      <c r="D197" s="336" t="s">
        <v>508</v>
      </c>
      <c r="E197" s="336">
        <v>1.0</v>
      </c>
      <c r="F197" s="354">
        <v>45541.89722222222</v>
      </c>
      <c r="G197" s="336">
        <v>1.0</v>
      </c>
      <c r="H197" s="336">
        <v>51.3741</v>
      </c>
      <c r="I197" s="336">
        <v>7.71837</v>
      </c>
      <c r="J197" s="336">
        <v>-27.387919</v>
      </c>
      <c r="K197" s="336">
        <v>-26.000569</v>
      </c>
      <c r="L197" s="336">
        <v>1069.73</v>
      </c>
      <c r="M197" s="336">
        <v>71.49914</v>
      </c>
      <c r="N197" s="336">
        <v>11479.8476</v>
      </c>
      <c r="O197" s="336">
        <v>11470.7383</v>
      </c>
      <c r="P197" s="338">
        <v>2065.55689</v>
      </c>
      <c r="Q197" s="338" t="s">
        <v>509</v>
      </c>
      <c r="R197" s="338" t="s">
        <v>12</v>
      </c>
      <c r="S197" s="338">
        <v>10.0</v>
      </c>
      <c r="T197" s="338">
        <v>5.0</v>
      </c>
      <c r="U197" s="338">
        <v>0.7</v>
      </c>
      <c r="V197" s="338">
        <v>0.7</v>
      </c>
      <c r="W197" s="338">
        <v>0.7</v>
      </c>
      <c r="X197" s="336">
        <v>2000.0</v>
      </c>
      <c r="Y197" s="336" t="s">
        <v>510</v>
      </c>
      <c r="Z197" s="336">
        <v>0.2</v>
      </c>
      <c r="AA197" s="336" t="s">
        <v>511</v>
      </c>
      <c r="AB197" s="336" t="s">
        <v>512</v>
      </c>
      <c r="AC197" s="336">
        <v>220.0</v>
      </c>
      <c r="AD197" s="339"/>
      <c r="AE197" s="340"/>
    </row>
    <row r="198">
      <c r="A198" s="336" t="s">
        <v>636</v>
      </c>
      <c r="B198" s="336" t="s">
        <v>506</v>
      </c>
      <c r="C198" s="336" t="s">
        <v>507</v>
      </c>
      <c r="D198" s="336" t="s">
        <v>508</v>
      </c>
      <c r="E198" s="336">
        <v>1.0</v>
      </c>
      <c r="F198" s="354">
        <v>45544.38402777778</v>
      </c>
      <c r="G198" s="336">
        <v>1.0</v>
      </c>
      <c r="H198" s="336">
        <v>51.3708</v>
      </c>
      <c r="I198" s="336">
        <v>14.1587</v>
      </c>
      <c r="J198" s="336">
        <v>-26.40915</v>
      </c>
      <c r="K198" s="336">
        <v>-25.285131</v>
      </c>
      <c r="L198" s="336">
        <v>1011.8</v>
      </c>
      <c r="M198" s="336">
        <v>78.500846</v>
      </c>
      <c r="N198" s="336">
        <v>11306.8338</v>
      </c>
      <c r="O198" s="336">
        <v>11306.8338</v>
      </c>
      <c r="P198" s="338">
        <v>2036.50428</v>
      </c>
      <c r="Q198" s="338" t="s">
        <v>509</v>
      </c>
      <c r="R198" s="338" t="s">
        <v>12</v>
      </c>
      <c r="S198" s="338">
        <v>10.0</v>
      </c>
      <c r="T198" s="338">
        <v>5.0</v>
      </c>
      <c r="U198" s="338">
        <v>0.7</v>
      </c>
      <c r="V198" s="338">
        <v>0.7</v>
      </c>
      <c r="W198" s="338">
        <v>0.7</v>
      </c>
      <c r="X198" s="336">
        <v>2000.0</v>
      </c>
      <c r="Y198" s="336" t="s">
        <v>510</v>
      </c>
      <c r="Z198" s="336">
        <v>0.2</v>
      </c>
      <c r="AA198" s="336" t="s">
        <v>511</v>
      </c>
      <c r="AB198" s="336" t="s">
        <v>512</v>
      </c>
      <c r="AC198" s="336">
        <v>220.0</v>
      </c>
      <c r="AD198" s="339"/>
      <c r="AE198" s="340"/>
    </row>
    <row r="199">
      <c r="A199" s="336" t="s">
        <v>531</v>
      </c>
      <c r="B199" s="336" t="s">
        <v>506</v>
      </c>
      <c r="C199" s="336" t="s">
        <v>507</v>
      </c>
      <c r="D199" s="336" t="s">
        <v>508</v>
      </c>
      <c r="E199" s="336">
        <v>1.0</v>
      </c>
      <c r="F199" s="354">
        <v>45544.38680555556</v>
      </c>
      <c r="G199" s="336">
        <v>1.0</v>
      </c>
      <c r="H199" s="336">
        <v>51.3774</v>
      </c>
      <c r="I199" s="336">
        <v>13.202</v>
      </c>
      <c r="J199" s="336">
        <v>-26.693519</v>
      </c>
      <c r="K199" s="336">
        <v>-25.015831</v>
      </c>
      <c r="L199" s="336">
        <v>996.275</v>
      </c>
      <c r="M199" s="336">
        <v>68.000319</v>
      </c>
      <c r="N199" s="336">
        <v>11220.2938</v>
      </c>
      <c r="O199" s="336">
        <v>11220.2938</v>
      </c>
      <c r="P199" s="338">
        <v>2021.16479</v>
      </c>
      <c r="Q199" s="338" t="s">
        <v>509</v>
      </c>
      <c r="R199" s="338" t="s">
        <v>12</v>
      </c>
      <c r="S199" s="338">
        <v>10.0</v>
      </c>
      <c r="T199" s="338">
        <v>5.0</v>
      </c>
      <c r="U199" s="338">
        <v>0.7</v>
      </c>
      <c r="V199" s="338">
        <v>0.7</v>
      </c>
      <c r="W199" s="338">
        <v>0.7</v>
      </c>
      <c r="X199" s="336">
        <v>2000.0</v>
      </c>
      <c r="Y199" s="336" t="s">
        <v>510</v>
      </c>
      <c r="Z199" s="336">
        <v>0.2</v>
      </c>
      <c r="AA199" s="336" t="s">
        <v>511</v>
      </c>
      <c r="AB199" s="336" t="s">
        <v>512</v>
      </c>
      <c r="AC199" s="336">
        <v>220.0</v>
      </c>
      <c r="AD199" s="339"/>
      <c r="AE199" s="340"/>
    </row>
    <row r="200">
      <c r="A200" s="336" t="s">
        <v>539</v>
      </c>
      <c r="B200" s="336" t="s">
        <v>506</v>
      </c>
      <c r="C200" s="336" t="s">
        <v>507</v>
      </c>
      <c r="D200" s="336" t="s">
        <v>508</v>
      </c>
      <c r="E200" s="336">
        <v>1.0</v>
      </c>
      <c r="F200" s="354">
        <v>45544.38958333333</v>
      </c>
      <c r="G200" s="336">
        <v>1.0</v>
      </c>
      <c r="H200" s="336">
        <v>51.3741</v>
      </c>
      <c r="I200" s="336">
        <v>12.2865</v>
      </c>
      <c r="J200" s="336">
        <v>-26.799425</v>
      </c>
      <c r="K200" s="336">
        <v>-25.471919</v>
      </c>
      <c r="L200" s="336">
        <v>1006.74</v>
      </c>
      <c r="M200" s="336">
        <v>75.999218</v>
      </c>
      <c r="N200" s="336">
        <v>11277.0411</v>
      </c>
      <c r="O200" s="336">
        <v>11277.0411</v>
      </c>
      <c r="P200" s="338">
        <v>2031.22345</v>
      </c>
      <c r="Q200" s="338" t="s">
        <v>509</v>
      </c>
      <c r="R200" s="338" t="s">
        <v>12</v>
      </c>
      <c r="S200" s="338">
        <v>10.0</v>
      </c>
      <c r="T200" s="338">
        <v>5.0</v>
      </c>
      <c r="U200" s="338">
        <v>0.7</v>
      </c>
      <c r="V200" s="338">
        <v>0.7</v>
      </c>
      <c r="W200" s="338">
        <v>0.7</v>
      </c>
      <c r="X200" s="336">
        <v>2000.0</v>
      </c>
      <c r="Y200" s="336" t="s">
        <v>510</v>
      </c>
      <c r="Z200" s="336">
        <v>0.2</v>
      </c>
      <c r="AA200" s="336" t="s">
        <v>511</v>
      </c>
      <c r="AB200" s="336" t="s">
        <v>512</v>
      </c>
      <c r="AC200" s="336">
        <v>220.0</v>
      </c>
      <c r="AD200" s="339"/>
      <c r="AE200" s="340"/>
    </row>
    <row r="201">
      <c r="A201" s="336" t="s">
        <v>543</v>
      </c>
      <c r="B201" s="336" t="s">
        <v>506</v>
      </c>
      <c r="C201" s="336" t="s">
        <v>507</v>
      </c>
      <c r="D201" s="336" t="s">
        <v>508</v>
      </c>
      <c r="E201" s="336">
        <v>1.0</v>
      </c>
      <c r="F201" s="354">
        <v>45544.39236111111</v>
      </c>
      <c r="G201" s="336">
        <v>1.0</v>
      </c>
      <c r="H201" s="336">
        <v>51.3741</v>
      </c>
      <c r="I201" s="336">
        <v>11.4367</v>
      </c>
      <c r="J201" s="336">
        <v>-26.847112</v>
      </c>
      <c r="K201" s="336">
        <v>-25.455494</v>
      </c>
      <c r="L201" s="336">
        <v>1004.78</v>
      </c>
      <c r="M201" s="336">
        <v>72.999536</v>
      </c>
      <c r="N201" s="336">
        <v>11290.6567</v>
      </c>
      <c r="O201" s="336">
        <v>11290.6567</v>
      </c>
      <c r="P201" s="338">
        <v>2033.63685</v>
      </c>
      <c r="Q201" s="338" t="s">
        <v>509</v>
      </c>
      <c r="R201" s="338" t="s">
        <v>12</v>
      </c>
      <c r="S201" s="338">
        <v>10.0</v>
      </c>
      <c r="T201" s="338">
        <v>5.0</v>
      </c>
      <c r="U201" s="338">
        <v>0.7</v>
      </c>
      <c r="V201" s="338">
        <v>0.7</v>
      </c>
      <c r="W201" s="338">
        <v>0.7</v>
      </c>
      <c r="X201" s="336">
        <v>2000.0</v>
      </c>
      <c r="Y201" s="336" t="s">
        <v>510</v>
      </c>
      <c r="Z201" s="336">
        <v>0.2</v>
      </c>
      <c r="AA201" s="336" t="s">
        <v>511</v>
      </c>
      <c r="AB201" s="336" t="s">
        <v>512</v>
      </c>
      <c r="AC201" s="336">
        <v>220.0</v>
      </c>
      <c r="AD201" s="339"/>
      <c r="AE201" s="340"/>
    </row>
    <row r="202">
      <c r="A202" s="336" t="s">
        <v>547</v>
      </c>
      <c r="B202" s="336" t="s">
        <v>506</v>
      </c>
      <c r="C202" s="336" t="s">
        <v>507</v>
      </c>
      <c r="D202" s="336" t="s">
        <v>508</v>
      </c>
      <c r="E202" s="336">
        <v>1.0</v>
      </c>
      <c r="F202" s="354">
        <v>45544.39513888889</v>
      </c>
      <c r="G202" s="336">
        <v>1.0</v>
      </c>
      <c r="H202" s="336">
        <v>51.3774</v>
      </c>
      <c r="I202" s="336">
        <v>10.8221</v>
      </c>
      <c r="J202" s="336">
        <v>-26.916062</v>
      </c>
      <c r="K202" s="336">
        <v>-25.083288</v>
      </c>
      <c r="L202" s="336">
        <v>1004.67</v>
      </c>
      <c r="M202" s="336">
        <v>66.499881</v>
      </c>
      <c r="N202" s="336">
        <v>11284.9463</v>
      </c>
      <c r="O202" s="336">
        <v>11284.9463</v>
      </c>
      <c r="P202" s="338">
        <v>2032.62465</v>
      </c>
      <c r="Q202" s="338" t="s">
        <v>509</v>
      </c>
      <c r="R202" s="338" t="s">
        <v>12</v>
      </c>
      <c r="S202" s="338">
        <v>10.0</v>
      </c>
      <c r="T202" s="338">
        <v>5.0</v>
      </c>
      <c r="U202" s="338">
        <v>0.7</v>
      </c>
      <c r="V202" s="338">
        <v>0.7</v>
      </c>
      <c r="W202" s="338">
        <v>0.7</v>
      </c>
      <c r="X202" s="336">
        <v>2000.0</v>
      </c>
      <c r="Y202" s="336" t="s">
        <v>510</v>
      </c>
      <c r="Z202" s="336">
        <v>0.2</v>
      </c>
      <c r="AA202" s="336" t="s">
        <v>511</v>
      </c>
      <c r="AB202" s="336" t="s">
        <v>512</v>
      </c>
      <c r="AC202" s="336">
        <v>220.0</v>
      </c>
      <c r="AD202" s="339"/>
      <c r="AE202" s="340"/>
    </row>
    <row r="203">
      <c r="A203" s="336" t="s">
        <v>550</v>
      </c>
      <c r="B203" s="336" t="s">
        <v>506</v>
      </c>
      <c r="C203" s="336" t="s">
        <v>507</v>
      </c>
      <c r="D203" s="336" t="s">
        <v>508</v>
      </c>
      <c r="E203" s="336">
        <v>1.0</v>
      </c>
      <c r="F203" s="354">
        <v>45544.39791666667</v>
      </c>
      <c r="G203" s="336">
        <v>1.0</v>
      </c>
      <c r="H203" s="336">
        <v>51.3741</v>
      </c>
      <c r="I203" s="336">
        <v>10.1647</v>
      </c>
      <c r="J203" s="336">
        <v>-26.94725</v>
      </c>
      <c r="K203" s="336">
        <v>-25.588162</v>
      </c>
      <c r="L203" s="336">
        <v>1005.92</v>
      </c>
      <c r="M203" s="336">
        <v>78.000338</v>
      </c>
      <c r="N203" s="336">
        <v>11293.8738</v>
      </c>
      <c r="O203" s="336">
        <v>11293.8738</v>
      </c>
      <c r="P203" s="338">
        <v>2034.20709</v>
      </c>
      <c r="Q203" s="338" t="s">
        <v>509</v>
      </c>
      <c r="R203" s="338" t="s">
        <v>12</v>
      </c>
      <c r="S203" s="338">
        <v>10.0</v>
      </c>
      <c r="T203" s="338">
        <v>5.0</v>
      </c>
      <c r="U203" s="338">
        <v>0.7</v>
      </c>
      <c r="V203" s="338">
        <v>0.7</v>
      </c>
      <c r="W203" s="338">
        <v>0.7</v>
      </c>
      <c r="X203" s="336">
        <v>2000.0</v>
      </c>
      <c r="Y203" s="336" t="s">
        <v>510</v>
      </c>
      <c r="Z203" s="336">
        <v>0.2</v>
      </c>
      <c r="AA203" s="336" t="s">
        <v>511</v>
      </c>
      <c r="AB203" s="336" t="s">
        <v>512</v>
      </c>
      <c r="AC203" s="336">
        <v>220.0</v>
      </c>
      <c r="AD203" s="339"/>
      <c r="AE203" s="340"/>
    </row>
    <row r="204">
      <c r="A204" s="336" t="s">
        <v>702</v>
      </c>
      <c r="B204" s="336" t="s">
        <v>517</v>
      </c>
      <c r="C204" s="336" t="s">
        <v>703</v>
      </c>
      <c r="D204" s="336" t="s">
        <v>508</v>
      </c>
      <c r="E204" s="336">
        <v>0.8</v>
      </c>
      <c r="F204" s="354">
        <v>45544.407638888886</v>
      </c>
      <c r="G204" s="336">
        <v>1.0</v>
      </c>
      <c r="H204" s="336">
        <v>51.3741</v>
      </c>
      <c r="I204" s="336">
        <v>9.83789</v>
      </c>
      <c r="J204" s="336">
        <v>-26.922863</v>
      </c>
      <c r="K204" s="336">
        <v>-25.472894</v>
      </c>
      <c r="L204" s="336">
        <v>980.03</v>
      </c>
      <c r="M204" s="336">
        <v>65.499563</v>
      </c>
      <c r="N204" s="336">
        <v>9101.91615</v>
      </c>
      <c r="O204" s="336">
        <v>9196.42337</v>
      </c>
      <c r="P204" s="338">
        <v>2070.3457</v>
      </c>
      <c r="Q204" s="338" t="s">
        <v>519</v>
      </c>
      <c r="R204" s="338" t="s">
        <v>12</v>
      </c>
      <c r="S204" s="338">
        <v>10.0</v>
      </c>
      <c r="T204" s="338">
        <v>5.0</v>
      </c>
      <c r="U204" s="338">
        <v>0.7</v>
      </c>
      <c r="V204" s="338">
        <v>0.7</v>
      </c>
      <c r="W204" s="338">
        <v>0.7</v>
      </c>
      <c r="X204" s="336">
        <v>2000.0</v>
      </c>
      <c r="Y204" s="336" t="s">
        <v>510</v>
      </c>
      <c r="Z204" s="336">
        <v>0.2</v>
      </c>
      <c r="AA204" s="336" t="s">
        <v>511</v>
      </c>
      <c r="AB204" s="336" t="s">
        <v>512</v>
      </c>
      <c r="AC204" s="336">
        <v>220.0</v>
      </c>
      <c r="AD204" s="339"/>
      <c r="AE204" s="340"/>
    </row>
    <row r="205">
      <c r="A205" s="336" t="s">
        <v>704</v>
      </c>
      <c r="B205" s="336" t="s">
        <v>517</v>
      </c>
      <c r="C205" s="336" t="s">
        <v>703</v>
      </c>
      <c r="D205" s="336" t="s">
        <v>508</v>
      </c>
      <c r="E205" s="336">
        <v>0.8</v>
      </c>
      <c r="F205" s="354">
        <v>45544.40972222222</v>
      </c>
      <c r="G205" s="336">
        <v>1.0</v>
      </c>
      <c r="H205" s="336">
        <v>51.3708</v>
      </c>
      <c r="I205" s="336">
        <v>9.31397</v>
      </c>
      <c r="J205" s="336">
        <v>-26.9776</v>
      </c>
      <c r="K205" s="336">
        <v>-25.903331</v>
      </c>
      <c r="L205" s="336">
        <v>997.761</v>
      </c>
      <c r="M205" s="336">
        <v>67.000333</v>
      </c>
      <c r="N205" s="336">
        <v>9192.66893</v>
      </c>
      <c r="O205" s="336">
        <v>9196.42337</v>
      </c>
      <c r="P205" s="338">
        <v>2070.3457</v>
      </c>
      <c r="Q205" s="338" t="s">
        <v>509</v>
      </c>
      <c r="R205" s="338" t="s">
        <v>12</v>
      </c>
      <c r="S205" s="338">
        <v>10.0</v>
      </c>
      <c r="T205" s="338">
        <v>5.0</v>
      </c>
      <c r="U205" s="338">
        <v>0.7</v>
      </c>
      <c r="V205" s="338">
        <v>0.7</v>
      </c>
      <c r="W205" s="338">
        <v>0.7</v>
      </c>
      <c r="X205" s="336">
        <v>2000.0</v>
      </c>
      <c r="Y205" s="336" t="s">
        <v>510</v>
      </c>
      <c r="Z205" s="336">
        <v>0.2</v>
      </c>
      <c r="AA205" s="336" t="s">
        <v>511</v>
      </c>
      <c r="AB205" s="336" t="s">
        <v>512</v>
      </c>
      <c r="AC205" s="336">
        <v>220.0</v>
      </c>
      <c r="AD205" s="339"/>
      <c r="AE205" s="340"/>
    </row>
    <row r="206">
      <c r="A206" s="336" t="s">
        <v>705</v>
      </c>
      <c r="B206" s="336" t="s">
        <v>517</v>
      </c>
      <c r="C206" s="336" t="s">
        <v>703</v>
      </c>
      <c r="D206" s="336" t="s">
        <v>508</v>
      </c>
      <c r="E206" s="336">
        <v>0.8</v>
      </c>
      <c r="F206" s="354">
        <v>45544.4125</v>
      </c>
      <c r="G206" s="336">
        <v>1.0</v>
      </c>
      <c r="H206" s="336">
        <v>51.3741</v>
      </c>
      <c r="I206" s="336">
        <v>9.06194</v>
      </c>
      <c r="J206" s="336">
        <v>-27.045094</v>
      </c>
      <c r="K206" s="336">
        <v>-25.842781</v>
      </c>
      <c r="L206" s="336">
        <v>1002.36</v>
      </c>
      <c r="M206" s="336">
        <v>66.50058</v>
      </c>
      <c r="N206" s="336">
        <v>9200.17781</v>
      </c>
      <c r="O206" s="336">
        <v>9196.42337</v>
      </c>
      <c r="P206" s="338">
        <v>2070.3457</v>
      </c>
      <c r="Q206" s="338" t="s">
        <v>509</v>
      </c>
      <c r="R206" s="338" t="s">
        <v>12</v>
      </c>
      <c r="S206" s="338">
        <v>10.0</v>
      </c>
      <c r="T206" s="338">
        <v>5.0</v>
      </c>
      <c r="U206" s="338">
        <v>0.7</v>
      </c>
      <c r="V206" s="338">
        <v>0.7</v>
      </c>
      <c r="W206" s="338">
        <v>0.7</v>
      </c>
      <c r="X206" s="336">
        <v>2000.0</v>
      </c>
      <c r="Y206" s="336" t="s">
        <v>510</v>
      </c>
      <c r="Z206" s="336">
        <v>0.2</v>
      </c>
      <c r="AA206" s="336" t="s">
        <v>511</v>
      </c>
      <c r="AB206" s="336" t="s">
        <v>512</v>
      </c>
      <c r="AC206" s="336">
        <v>220.0</v>
      </c>
      <c r="AD206" s="339"/>
      <c r="AE206" s="340"/>
    </row>
    <row r="207">
      <c r="A207" s="342" t="s">
        <v>706</v>
      </c>
      <c r="B207" s="342" t="s">
        <v>523</v>
      </c>
      <c r="C207" s="342" t="s">
        <v>703</v>
      </c>
      <c r="D207" s="342" t="s">
        <v>508</v>
      </c>
      <c r="E207" s="342">
        <v>1.0</v>
      </c>
      <c r="F207" s="355">
        <v>45544.41527777778</v>
      </c>
      <c r="G207" s="342">
        <v>1.0</v>
      </c>
      <c r="H207" s="342">
        <v>51.3807</v>
      </c>
      <c r="I207" s="342">
        <v>9.04683</v>
      </c>
      <c r="J207" s="342">
        <v>-27.084112</v>
      </c>
      <c r="K207" s="342">
        <v>-26.134056</v>
      </c>
      <c r="L207" s="342">
        <v>1070.41</v>
      </c>
      <c r="M207" s="342">
        <v>80.499409</v>
      </c>
      <c r="N207" s="342">
        <v>11550.8239</v>
      </c>
      <c r="O207" s="342">
        <v>11556.0006</v>
      </c>
      <c r="P207" s="344">
        <v>2070.3457</v>
      </c>
      <c r="Q207" s="344" t="s">
        <v>509</v>
      </c>
      <c r="R207" s="338" t="s">
        <v>12</v>
      </c>
      <c r="S207" s="338">
        <v>10.0</v>
      </c>
      <c r="T207" s="338">
        <v>5.0</v>
      </c>
      <c r="U207" s="338">
        <v>0.7</v>
      </c>
      <c r="V207" s="338">
        <v>0.7</v>
      </c>
      <c r="W207" s="338">
        <v>0.7</v>
      </c>
      <c r="X207" s="336">
        <v>2000.0</v>
      </c>
      <c r="Y207" s="336" t="s">
        <v>510</v>
      </c>
      <c r="Z207" s="336">
        <v>0.2</v>
      </c>
      <c r="AA207" s="336" t="s">
        <v>511</v>
      </c>
      <c r="AB207" s="336" t="s">
        <v>512</v>
      </c>
      <c r="AC207" s="336">
        <v>220.0</v>
      </c>
      <c r="AD207" s="339"/>
      <c r="AE207" s="340"/>
    </row>
    <row r="208">
      <c r="A208" s="342" t="s">
        <v>707</v>
      </c>
      <c r="B208" s="342" t="s">
        <v>523</v>
      </c>
      <c r="C208" s="342" t="s">
        <v>703</v>
      </c>
      <c r="D208" s="342" t="s">
        <v>508</v>
      </c>
      <c r="E208" s="342">
        <v>1.0</v>
      </c>
      <c r="F208" s="355">
        <v>45544.41875</v>
      </c>
      <c r="G208" s="342">
        <v>1.0</v>
      </c>
      <c r="H208" s="342">
        <v>51.3774</v>
      </c>
      <c r="I208" s="342">
        <v>8.78657</v>
      </c>
      <c r="J208" s="342">
        <v>-27.058425</v>
      </c>
      <c r="K208" s="342">
        <v>-25.683606</v>
      </c>
      <c r="L208" s="342">
        <v>1071.29</v>
      </c>
      <c r="M208" s="342">
        <v>68.999384</v>
      </c>
      <c r="N208" s="342">
        <v>11561.1773</v>
      </c>
      <c r="O208" s="342">
        <v>11556.0006</v>
      </c>
      <c r="P208" s="344">
        <v>2070.3457</v>
      </c>
      <c r="Q208" s="344" t="s">
        <v>509</v>
      </c>
      <c r="R208" s="338" t="s">
        <v>12</v>
      </c>
      <c r="S208" s="338">
        <v>10.0</v>
      </c>
      <c r="T208" s="338">
        <v>5.0</v>
      </c>
      <c r="U208" s="338">
        <v>0.7</v>
      </c>
      <c r="V208" s="338">
        <v>0.7</v>
      </c>
      <c r="W208" s="338">
        <v>0.7</v>
      </c>
      <c r="X208" s="336">
        <v>2000.0</v>
      </c>
      <c r="Y208" s="336" t="s">
        <v>510</v>
      </c>
      <c r="Z208" s="336">
        <v>0.2</v>
      </c>
      <c r="AA208" s="336" t="s">
        <v>511</v>
      </c>
      <c r="AB208" s="336" t="s">
        <v>512</v>
      </c>
      <c r="AC208" s="336">
        <v>220.0</v>
      </c>
      <c r="AD208" s="339"/>
      <c r="AE208" s="340"/>
    </row>
    <row r="209">
      <c r="A209" s="336" t="s">
        <v>708</v>
      </c>
      <c r="B209" s="336" t="s">
        <v>527</v>
      </c>
      <c r="C209" s="336" t="s">
        <v>703</v>
      </c>
      <c r="D209" s="336" t="s">
        <v>508</v>
      </c>
      <c r="E209" s="336">
        <v>1.2</v>
      </c>
      <c r="F209" s="354">
        <v>45544.42152777778</v>
      </c>
      <c r="G209" s="336">
        <v>1.0</v>
      </c>
      <c r="H209" s="336">
        <v>51.3774</v>
      </c>
      <c r="I209" s="336">
        <v>8.80341</v>
      </c>
      <c r="J209" s="336">
        <v>-27.035981</v>
      </c>
      <c r="K209" s="336">
        <v>-25.710025</v>
      </c>
      <c r="L209" s="336">
        <v>1086.3</v>
      </c>
      <c r="M209" s="336">
        <v>78.999696</v>
      </c>
      <c r="N209" s="336">
        <v>13900.5692</v>
      </c>
      <c r="O209" s="336">
        <v>13901.3949</v>
      </c>
      <c r="P209" s="338">
        <v>2070.3457</v>
      </c>
      <c r="Q209" s="338" t="s">
        <v>509</v>
      </c>
      <c r="R209" s="338" t="s">
        <v>12</v>
      </c>
      <c r="S209" s="338">
        <v>10.0</v>
      </c>
      <c r="T209" s="338">
        <v>5.0</v>
      </c>
      <c r="U209" s="338">
        <v>0.7</v>
      </c>
      <c r="V209" s="338">
        <v>0.7</v>
      </c>
      <c r="W209" s="338">
        <v>0.7</v>
      </c>
      <c r="X209" s="336">
        <v>2000.0</v>
      </c>
      <c r="Y209" s="336" t="s">
        <v>510</v>
      </c>
      <c r="Z209" s="336">
        <v>0.2</v>
      </c>
      <c r="AA209" s="336" t="s">
        <v>511</v>
      </c>
      <c r="AB209" s="336" t="s">
        <v>512</v>
      </c>
      <c r="AC209" s="336">
        <v>220.0</v>
      </c>
      <c r="AD209" s="339"/>
      <c r="AE209" s="340"/>
    </row>
    <row r="210">
      <c r="A210" s="336" t="s">
        <v>709</v>
      </c>
      <c r="B210" s="336" t="s">
        <v>527</v>
      </c>
      <c r="C210" s="336" t="s">
        <v>703</v>
      </c>
      <c r="D210" s="336" t="s">
        <v>508</v>
      </c>
      <c r="E210" s="336">
        <v>1.2</v>
      </c>
      <c r="F210" s="354">
        <v>45544.424305555556</v>
      </c>
      <c r="G210" s="336">
        <v>1.0</v>
      </c>
      <c r="H210" s="336">
        <v>51.3708</v>
      </c>
      <c r="I210" s="336">
        <v>8.84586</v>
      </c>
      <c r="J210" s="336">
        <v>-27.065356</v>
      </c>
      <c r="K210" s="336">
        <v>-25.662412</v>
      </c>
      <c r="L210" s="336">
        <v>1093.01</v>
      </c>
      <c r="M210" s="336">
        <v>82.999742</v>
      </c>
      <c r="N210" s="336">
        <v>13902.2205</v>
      </c>
      <c r="O210" s="336">
        <v>13901.3949</v>
      </c>
      <c r="P210" s="338">
        <v>2070.3457</v>
      </c>
      <c r="Q210" s="338" t="s">
        <v>509</v>
      </c>
      <c r="R210" s="338" t="s">
        <v>12</v>
      </c>
      <c r="S210" s="338">
        <v>10.0</v>
      </c>
      <c r="T210" s="338">
        <v>5.0</v>
      </c>
      <c r="U210" s="338">
        <v>0.7</v>
      </c>
      <c r="V210" s="338">
        <v>0.7</v>
      </c>
      <c r="W210" s="338">
        <v>0.7</v>
      </c>
      <c r="X210" s="336">
        <v>2000.0</v>
      </c>
      <c r="Y210" s="336" t="s">
        <v>510</v>
      </c>
      <c r="Z210" s="336">
        <v>0.2</v>
      </c>
      <c r="AA210" s="336" t="s">
        <v>511</v>
      </c>
      <c r="AB210" s="336" t="s">
        <v>512</v>
      </c>
      <c r="AC210" s="336">
        <v>220.0</v>
      </c>
      <c r="AD210" s="339"/>
      <c r="AE210" s="340"/>
    </row>
    <row r="211">
      <c r="A211" s="336" t="s">
        <v>557</v>
      </c>
      <c r="B211" s="336">
        <v>2.0</v>
      </c>
      <c r="C211" s="336">
        <v>209.0</v>
      </c>
      <c r="D211" s="336" t="s">
        <v>532</v>
      </c>
      <c r="E211" s="336">
        <v>1.0</v>
      </c>
      <c r="F211" s="354">
        <v>45544.427777777775</v>
      </c>
      <c r="G211" s="336">
        <v>1.0</v>
      </c>
      <c r="H211" s="336">
        <v>51.3774</v>
      </c>
      <c r="I211" s="336">
        <v>8.71395</v>
      </c>
      <c r="J211" s="336">
        <v>-27.118862</v>
      </c>
      <c r="K211" s="336">
        <v>-25.466669</v>
      </c>
      <c r="L211" s="336">
        <v>1038.18</v>
      </c>
      <c r="M211" s="336">
        <v>68.99949</v>
      </c>
      <c r="N211" s="336">
        <v>11379.7555</v>
      </c>
      <c r="O211" s="336">
        <v>11386.4411</v>
      </c>
      <c r="P211" s="338">
        <v>2041.33308</v>
      </c>
      <c r="Q211" s="338" t="s">
        <v>509</v>
      </c>
      <c r="R211" s="338" t="s">
        <v>12</v>
      </c>
      <c r="S211" s="338">
        <v>10.0</v>
      </c>
      <c r="T211" s="338">
        <v>5.0</v>
      </c>
      <c r="U211" s="338">
        <v>0.7</v>
      </c>
      <c r="V211" s="338">
        <v>0.7</v>
      </c>
      <c r="W211" s="338">
        <v>0.7</v>
      </c>
      <c r="X211" s="336">
        <v>2000.0</v>
      </c>
      <c r="Y211" s="336" t="s">
        <v>510</v>
      </c>
      <c r="Z211" s="336">
        <v>0.2</v>
      </c>
      <c r="AA211" s="336" t="s">
        <v>511</v>
      </c>
      <c r="AB211" s="336" t="s">
        <v>512</v>
      </c>
      <c r="AC211" s="336">
        <v>220.0</v>
      </c>
      <c r="AD211" s="339"/>
      <c r="AE211" s="340"/>
    </row>
    <row r="212">
      <c r="A212" s="336" t="s">
        <v>559</v>
      </c>
      <c r="B212" s="336">
        <v>2.0</v>
      </c>
      <c r="C212" s="336">
        <v>209.0</v>
      </c>
      <c r="D212" s="336" t="s">
        <v>532</v>
      </c>
      <c r="E212" s="336">
        <v>1.0</v>
      </c>
      <c r="F212" s="337">
        <v>45544.430555555555</v>
      </c>
      <c r="G212" s="336">
        <v>1.0</v>
      </c>
      <c r="H212" s="336">
        <v>51.3774</v>
      </c>
      <c r="I212" s="336">
        <v>8.81089</v>
      </c>
      <c r="J212" s="336">
        <v>-26.987337</v>
      </c>
      <c r="K212" s="336">
        <v>-25.508856</v>
      </c>
      <c r="L212" s="336">
        <v>1046.62</v>
      </c>
      <c r="M212" s="336">
        <v>69.500699</v>
      </c>
      <c r="N212" s="336">
        <v>11393.1267</v>
      </c>
      <c r="O212" s="336">
        <v>11386.4411</v>
      </c>
      <c r="P212" s="338">
        <v>2041.33308</v>
      </c>
      <c r="Q212" s="338" t="s">
        <v>509</v>
      </c>
      <c r="R212" s="338" t="s">
        <v>12</v>
      </c>
      <c r="S212" s="338">
        <v>10.0</v>
      </c>
      <c r="T212" s="338">
        <v>5.0</v>
      </c>
      <c r="U212" s="338">
        <v>0.7</v>
      </c>
      <c r="V212" s="338">
        <v>0.7</v>
      </c>
      <c r="W212" s="338">
        <v>0.7</v>
      </c>
      <c r="X212" s="336">
        <v>2000.0</v>
      </c>
      <c r="Y212" s="336" t="s">
        <v>510</v>
      </c>
      <c r="Z212" s="336">
        <v>0.2</v>
      </c>
      <c r="AA212" s="336" t="s">
        <v>511</v>
      </c>
      <c r="AB212" s="336" t="s">
        <v>512</v>
      </c>
      <c r="AC212" s="336">
        <v>220.0</v>
      </c>
      <c r="AD212" s="339"/>
      <c r="AE212" s="340"/>
    </row>
    <row r="213">
      <c r="A213" s="336" t="s">
        <v>560</v>
      </c>
      <c r="B213" s="336">
        <v>3.0</v>
      </c>
      <c r="C213" s="336">
        <v>210.0</v>
      </c>
      <c r="D213" s="336" t="s">
        <v>540</v>
      </c>
      <c r="E213" s="336">
        <v>1.0</v>
      </c>
      <c r="F213" s="337">
        <v>45544.43402777778</v>
      </c>
      <c r="G213" s="336">
        <v>1.0</v>
      </c>
      <c r="H213" s="336">
        <v>51.3741</v>
      </c>
      <c r="I213" s="336">
        <v>8.80123</v>
      </c>
      <c r="J213" s="336">
        <v>-27.029331</v>
      </c>
      <c r="K213" s="336">
        <v>-25.518812</v>
      </c>
      <c r="L213" s="336">
        <v>1039.7</v>
      </c>
      <c r="M213" s="336">
        <v>68.501389</v>
      </c>
      <c r="N213" s="336">
        <v>11361.6489</v>
      </c>
      <c r="O213" s="336">
        <v>11361.0553</v>
      </c>
      <c r="P213" s="338">
        <v>2036.86484</v>
      </c>
      <c r="Q213" s="338" t="s">
        <v>509</v>
      </c>
      <c r="R213" s="338" t="s">
        <v>12</v>
      </c>
      <c r="S213" s="338">
        <v>10.0</v>
      </c>
      <c r="T213" s="338">
        <v>5.0</v>
      </c>
      <c r="U213" s="338">
        <v>0.7</v>
      </c>
      <c r="V213" s="338">
        <v>0.7</v>
      </c>
      <c r="W213" s="338">
        <v>0.7</v>
      </c>
      <c r="X213" s="336">
        <v>2000.0</v>
      </c>
      <c r="Y213" s="336" t="s">
        <v>510</v>
      </c>
      <c r="Z213" s="336">
        <v>0.2</v>
      </c>
      <c r="AA213" s="336" t="s">
        <v>511</v>
      </c>
      <c r="AB213" s="336" t="s">
        <v>512</v>
      </c>
      <c r="AC213" s="336">
        <v>220.0</v>
      </c>
      <c r="AD213" s="339"/>
      <c r="AE213" s="340"/>
    </row>
    <row r="214">
      <c r="A214" s="336" t="s">
        <v>562</v>
      </c>
      <c r="B214" s="336">
        <v>3.0</v>
      </c>
      <c r="C214" s="336">
        <v>210.0</v>
      </c>
      <c r="D214" s="336" t="s">
        <v>540</v>
      </c>
      <c r="E214" s="336">
        <v>1.0</v>
      </c>
      <c r="F214" s="337">
        <v>45544.43680555555</v>
      </c>
      <c r="G214" s="336">
        <v>1.0</v>
      </c>
      <c r="H214" s="336">
        <v>51.3741</v>
      </c>
      <c r="I214" s="336">
        <v>8.78663</v>
      </c>
      <c r="J214" s="336">
        <v>-26.941669</v>
      </c>
      <c r="K214" s="336">
        <v>-25.563375</v>
      </c>
      <c r="L214" s="336">
        <v>1040.75</v>
      </c>
      <c r="M214" s="336">
        <v>68.99979</v>
      </c>
      <c r="N214" s="336">
        <v>11360.4617</v>
      </c>
      <c r="O214" s="336">
        <v>11361.0553</v>
      </c>
      <c r="P214" s="338">
        <v>2036.86484</v>
      </c>
      <c r="Q214" s="338" t="s">
        <v>509</v>
      </c>
      <c r="R214" s="338" t="s">
        <v>12</v>
      </c>
      <c r="S214" s="338">
        <v>10.0</v>
      </c>
      <c r="T214" s="338">
        <v>5.0</v>
      </c>
      <c r="U214" s="338">
        <v>0.7</v>
      </c>
      <c r="V214" s="338">
        <v>0.7</v>
      </c>
      <c r="W214" s="338">
        <v>0.7</v>
      </c>
      <c r="X214" s="336">
        <v>2000.0</v>
      </c>
      <c r="Y214" s="336" t="s">
        <v>510</v>
      </c>
      <c r="Z214" s="336">
        <v>0.2</v>
      </c>
      <c r="AA214" s="336" t="s">
        <v>511</v>
      </c>
      <c r="AB214" s="336" t="s">
        <v>512</v>
      </c>
      <c r="AC214" s="336">
        <v>220.0</v>
      </c>
      <c r="AD214" s="339"/>
      <c r="AE214" s="340"/>
    </row>
    <row r="215">
      <c r="A215" s="336" t="s">
        <v>637</v>
      </c>
      <c r="B215" s="336">
        <v>4.0</v>
      </c>
      <c r="C215" s="336">
        <v>313.0</v>
      </c>
      <c r="D215" s="336" t="s">
        <v>544</v>
      </c>
      <c r="E215" s="336">
        <v>1.0</v>
      </c>
      <c r="F215" s="337">
        <v>45544.44027777778</v>
      </c>
      <c r="G215" s="336">
        <v>1.0</v>
      </c>
      <c r="H215" s="336">
        <v>51.3741</v>
      </c>
      <c r="I215" s="336">
        <v>8.75531</v>
      </c>
      <c r="J215" s="336">
        <v>-27.017119</v>
      </c>
      <c r="K215" s="336">
        <v>-26.005581</v>
      </c>
      <c r="L215" s="336">
        <v>1071.72</v>
      </c>
      <c r="M215" s="336">
        <v>81.999465</v>
      </c>
      <c r="N215" s="336">
        <v>11516.5136</v>
      </c>
      <c r="O215" s="336">
        <v>11505.709</v>
      </c>
      <c r="P215" s="338">
        <v>2062.32583</v>
      </c>
      <c r="Q215" s="338" t="s">
        <v>509</v>
      </c>
      <c r="R215" s="338" t="s">
        <v>12</v>
      </c>
      <c r="S215" s="338">
        <v>10.0</v>
      </c>
      <c r="T215" s="338">
        <v>5.0</v>
      </c>
      <c r="U215" s="338">
        <v>0.7</v>
      </c>
      <c r="V215" s="338">
        <v>0.7</v>
      </c>
      <c r="W215" s="338">
        <v>0.7</v>
      </c>
      <c r="X215" s="336">
        <v>2000.0</v>
      </c>
      <c r="Y215" s="336" t="s">
        <v>510</v>
      </c>
      <c r="Z215" s="336">
        <v>0.2</v>
      </c>
      <c r="AA215" s="336" t="s">
        <v>511</v>
      </c>
      <c r="AB215" s="336" t="s">
        <v>512</v>
      </c>
      <c r="AC215" s="336">
        <v>220.0</v>
      </c>
      <c r="AD215" s="339"/>
      <c r="AE215" s="340"/>
    </row>
    <row r="216">
      <c r="A216" s="336" t="s">
        <v>710</v>
      </c>
      <c r="B216" s="336">
        <v>4.0</v>
      </c>
      <c r="C216" s="336">
        <v>313.0</v>
      </c>
      <c r="D216" s="336" t="s">
        <v>544</v>
      </c>
      <c r="E216" s="336">
        <v>1.0</v>
      </c>
      <c r="F216" s="337">
        <v>45544.44305555556</v>
      </c>
      <c r="G216" s="336">
        <v>1.0</v>
      </c>
      <c r="H216" s="336">
        <v>51.3675</v>
      </c>
      <c r="I216" s="336">
        <v>8.74613</v>
      </c>
      <c r="J216" s="336">
        <v>-27.00975</v>
      </c>
      <c r="K216" s="336">
        <v>-25.253737</v>
      </c>
      <c r="L216" s="336">
        <v>1067.27</v>
      </c>
      <c r="M216" s="336">
        <v>65.500333</v>
      </c>
      <c r="N216" s="336">
        <v>11494.9044</v>
      </c>
      <c r="O216" s="336">
        <v>11505.709</v>
      </c>
      <c r="P216" s="338">
        <v>2062.32583</v>
      </c>
      <c r="Q216" s="338" t="s">
        <v>509</v>
      </c>
      <c r="R216" s="338" t="s">
        <v>12</v>
      </c>
      <c r="S216" s="338">
        <v>10.0</v>
      </c>
      <c r="T216" s="338">
        <v>5.0</v>
      </c>
      <c r="U216" s="338">
        <v>0.7</v>
      </c>
      <c r="V216" s="338">
        <v>0.7</v>
      </c>
      <c r="W216" s="338">
        <v>0.7</v>
      </c>
      <c r="X216" s="336">
        <v>2000.0</v>
      </c>
      <c r="Y216" s="336" t="s">
        <v>510</v>
      </c>
      <c r="Z216" s="336">
        <v>0.2</v>
      </c>
      <c r="AA216" s="336" t="s">
        <v>511</v>
      </c>
      <c r="AB216" s="336" t="s">
        <v>512</v>
      </c>
      <c r="AC216" s="336">
        <v>220.0</v>
      </c>
      <c r="AD216" s="339"/>
      <c r="AE216" s="340"/>
    </row>
    <row r="217">
      <c r="A217" s="336" t="s">
        <v>571</v>
      </c>
      <c r="B217" s="336">
        <v>5.0</v>
      </c>
      <c r="C217" s="336">
        <v>314.0</v>
      </c>
      <c r="D217" s="336" t="s">
        <v>548</v>
      </c>
      <c r="E217" s="336">
        <v>1.0</v>
      </c>
      <c r="F217" s="337">
        <v>45544.44652777778</v>
      </c>
      <c r="G217" s="336">
        <v>1.0</v>
      </c>
      <c r="H217" s="336">
        <v>51.3741</v>
      </c>
      <c r="I217" s="336">
        <v>8.82604</v>
      </c>
      <c r="J217" s="336">
        <v>-27.044069</v>
      </c>
      <c r="K217" s="336">
        <v>-25.862525</v>
      </c>
      <c r="L217" s="336">
        <v>1070.86</v>
      </c>
      <c r="M217" s="336">
        <v>70.999622</v>
      </c>
      <c r="N217" s="336">
        <v>11497.2916</v>
      </c>
      <c r="O217" s="336">
        <v>11459.3178</v>
      </c>
      <c r="P217" s="338">
        <v>2054.16036</v>
      </c>
      <c r="Q217" s="338" t="s">
        <v>519</v>
      </c>
      <c r="R217" s="338" t="s">
        <v>12</v>
      </c>
      <c r="S217" s="338">
        <v>10.0</v>
      </c>
      <c r="T217" s="338">
        <v>5.0</v>
      </c>
      <c r="U217" s="338">
        <v>0.7</v>
      </c>
      <c r="V217" s="338">
        <v>0.7</v>
      </c>
      <c r="W217" s="338">
        <v>0.7</v>
      </c>
      <c r="X217" s="336">
        <v>2000.0</v>
      </c>
      <c r="Y217" s="336" t="s">
        <v>510</v>
      </c>
      <c r="Z217" s="336">
        <v>0.2</v>
      </c>
      <c r="AA217" s="336" t="s">
        <v>511</v>
      </c>
      <c r="AB217" s="336" t="s">
        <v>512</v>
      </c>
      <c r="AC217" s="336">
        <v>220.0</v>
      </c>
      <c r="AD217" s="339"/>
      <c r="AE217" s="340"/>
    </row>
    <row r="218">
      <c r="A218" s="336" t="s">
        <v>572</v>
      </c>
      <c r="B218" s="336">
        <v>5.0</v>
      </c>
      <c r="C218" s="336">
        <v>314.0</v>
      </c>
      <c r="D218" s="336" t="s">
        <v>548</v>
      </c>
      <c r="E218" s="336">
        <v>1.0</v>
      </c>
      <c r="F218" s="337">
        <v>45544.44930555556</v>
      </c>
      <c r="G218" s="336">
        <v>1.0</v>
      </c>
      <c r="H218" s="336">
        <v>51.3774</v>
      </c>
      <c r="I218" s="336">
        <v>8.88302</v>
      </c>
      <c r="J218" s="336">
        <v>-27.066306</v>
      </c>
      <c r="K218" s="336">
        <v>-25.025287</v>
      </c>
      <c r="L218" s="336">
        <v>1051.66</v>
      </c>
      <c r="M218" s="336">
        <v>64.99991</v>
      </c>
      <c r="N218" s="336">
        <v>11455.7697</v>
      </c>
      <c r="O218" s="336">
        <v>11459.3178</v>
      </c>
      <c r="P218" s="338">
        <v>2054.16036</v>
      </c>
      <c r="Q218" s="338" t="s">
        <v>509</v>
      </c>
      <c r="R218" s="338" t="s">
        <v>12</v>
      </c>
      <c r="S218" s="338">
        <v>10.0</v>
      </c>
      <c r="T218" s="338">
        <v>5.0</v>
      </c>
      <c r="U218" s="338">
        <v>0.7</v>
      </c>
      <c r="V218" s="338">
        <v>0.7</v>
      </c>
      <c r="W218" s="338">
        <v>0.7</v>
      </c>
      <c r="X218" s="336">
        <v>2000.0</v>
      </c>
      <c r="Y218" s="336" t="s">
        <v>510</v>
      </c>
      <c r="Z218" s="336">
        <v>0.2</v>
      </c>
      <c r="AA218" s="336" t="s">
        <v>511</v>
      </c>
      <c r="AB218" s="336" t="s">
        <v>512</v>
      </c>
      <c r="AC218" s="336">
        <v>220.0</v>
      </c>
      <c r="AD218" s="339"/>
      <c r="AE218" s="340"/>
    </row>
    <row r="219">
      <c r="A219" s="336" t="s">
        <v>711</v>
      </c>
      <c r="B219" s="336">
        <v>5.0</v>
      </c>
      <c r="C219" s="336">
        <v>314.0</v>
      </c>
      <c r="D219" s="336" t="s">
        <v>548</v>
      </c>
      <c r="E219" s="336">
        <v>1.0</v>
      </c>
      <c r="F219" s="337">
        <v>45544.45208333333</v>
      </c>
      <c r="G219" s="336">
        <v>1.0</v>
      </c>
      <c r="H219" s="336">
        <v>51.3741</v>
      </c>
      <c r="I219" s="336">
        <v>8.71115</v>
      </c>
      <c r="J219" s="336">
        <v>-27.07185</v>
      </c>
      <c r="K219" s="336">
        <v>-24.826844</v>
      </c>
      <c r="L219" s="336">
        <v>1059.76</v>
      </c>
      <c r="M219" s="336">
        <v>61.998396</v>
      </c>
      <c r="N219" s="336">
        <v>11462.8659</v>
      </c>
      <c r="O219" s="336">
        <v>11459.3178</v>
      </c>
      <c r="P219" s="338">
        <v>2054.16036</v>
      </c>
      <c r="Q219" s="338" t="s">
        <v>509</v>
      </c>
      <c r="R219" s="338" t="s">
        <v>12</v>
      </c>
      <c r="S219" s="338">
        <v>10.0</v>
      </c>
      <c r="T219" s="338">
        <v>5.0</v>
      </c>
      <c r="U219" s="338">
        <v>0.7</v>
      </c>
      <c r="V219" s="338">
        <v>0.7</v>
      </c>
      <c r="W219" s="338">
        <v>0.7</v>
      </c>
      <c r="X219" s="336">
        <v>2000.0</v>
      </c>
      <c r="Y219" s="336" t="s">
        <v>510</v>
      </c>
      <c r="Z219" s="336">
        <v>0.2</v>
      </c>
      <c r="AA219" s="336" t="s">
        <v>511</v>
      </c>
      <c r="AB219" s="336" t="s">
        <v>512</v>
      </c>
      <c r="AC219" s="336">
        <v>220.0</v>
      </c>
      <c r="AD219" s="339"/>
      <c r="AE219" s="340"/>
    </row>
    <row r="220">
      <c r="A220" s="336" t="s">
        <v>573</v>
      </c>
      <c r="B220" s="336">
        <v>6.0</v>
      </c>
      <c r="C220" s="336">
        <v>235.0</v>
      </c>
      <c r="D220" s="336" t="s">
        <v>551</v>
      </c>
      <c r="E220" s="336">
        <v>1.0</v>
      </c>
      <c r="F220" s="337">
        <v>45544.45486111111</v>
      </c>
      <c r="G220" s="336">
        <v>1.0</v>
      </c>
      <c r="H220" s="336">
        <v>51.3741</v>
      </c>
      <c r="I220" s="336">
        <v>8.72308</v>
      </c>
      <c r="J220" s="336">
        <v>-27.184581</v>
      </c>
      <c r="K220" s="336">
        <v>-25.466062</v>
      </c>
      <c r="L220" s="336">
        <v>1030.72</v>
      </c>
      <c r="M220" s="336">
        <v>66.502582</v>
      </c>
      <c r="N220" s="336">
        <v>11220.0222</v>
      </c>
      <c r="O220" s="336">
        <v>11210.6284</v>
      </c>
      <c r="P220" s="338">
        <v>2010.38768</v>
      </c>
      <c r="Q220" s="338" t="s">
        <v>509</v>
      </c>
      <c r="R220" s="338" t="s">
        <v>12</v>
      </c>
      <c r="S220" s="338">
        <v>10.0</v>
      </c>
      <c r="T220" s="338">
        <v>5.0</v>
      </c>
      <c r="U220" s="338">
        <v>0.7</v>
      </c>
      <c r="V220" s="338">
        <v>0.7</v>
      </c>
      <c r="W220" s="338">
        <v>0.7</v>
      </c>
      <c r="X220" s="336">
        <v>2000.0</v>
      </c>
      <c r="Y220" s="336" t="s">
        <v>510</v>
      </c>
      <c r="Z220" s="336">
        <v>0.2</v>
      </c>
      <c r="AA220" s="336" t="s">
        <v>511</v>
      </c>
      <c r="AB220" s="336" t="s">
        <v>512</v>
      </c>
      <c r="AC220" s="336">
        <v>220.0</v>
      </c>
      <c r="AD220" s="339"/>
      <c r="AE220" s="340"/>
    </row>
    <row r="221">
      <c r="A221" s="336" t="s">
        <v>574</v>
      </c>
      <c r="B221" s="336">
        <v>6.0</v>
      </c>
      <c r="C221" s="336">
        <v>235.0</v>
      </c>
      <c r="D221" s="336" t="s">
        <v>551</v>
      </c>
      <c r="E221" s="336">
        <v>1.0</v>
      </c>
      <c r="F221" s="337">
        <v>45544.45763888889</v>
      </c>
      <c r="G221" s="336">
        <v>1.0</v>
      </c>
      <c r="H221" s="336">
        <v>51.3741</v>
      </c>
      <c r="I221" s="336">
        <v>8.68193</v>
      </c>
      <c r="J221" s="336">
        <v>-27.125144</v>
      </c>
      <c r="K221" s="336">
        <v>-25.406544</v>
      </c>
      <c r="L221" s="336">
        <v>1020.1</v>
      </c>
      <c r="M221" s="336">
        <v>66.99861</v>
      </c>
      <c r="N221" s="336">
        <v>11201.2347</v>
      </c>
      <c r="O221" s="336">
        <v>11210.6284</v>
      </c>
      <c r="P221" s="338">
        <v>2010.38768</v>
      </c>
      <c r="Q221" s="338" t="s">
        <v>509</v>
      </c>
      <c r="R221" s="338" t="s">
        <v>12</v>
      </c>
      <c r="S221" s="338">
        <v>10.0</v>
      </c>
      <c r="T221" s="338">
        <v>5.0</v>
      </c>
      <c r="U221" s="338">
        <v>0.7</v>
      </c>
      <c r="V221" s="338">
        <v>0.7</v>
      </c>
      <c r="W221" s="338">
        <v>0.7</v>
      </c>
      <c r="X221" s="336">
        <v>2000.0</v>
      </c>
      <c r="Y221" s="336" t="s">
        <v>510</v>
      </c>
      <c r="Z221" s="336">
        <v>0.2</v>
      </c>
      <c r="AA221" s="336" t="s">
        <v>511</v>
      </c>
      <c r="AB221" s="336" t="s">
        <v>512</v>
      </c>
      <c r="AC221" s="336">
        <v>220.0</v>
      </c>
      <c r="AD221" s="339"/>
      <c r="AE221" s="340"/>
    </row>
    <row r="222">
      <c r="A222" s="336" t="s">
        <v>577</v>
      </c>
      <c r="B222" s="336">
        <v>7.0</v>
      </c>
      <c r="C222" s="336">
        <v>236.0</v>
      </c>
      <c r="D222" s="336" t="s">
        <v>554</v>
      </c>
      <c r="E222" s="336">
        <v>1.0</v>
      </c>
      <c r="F222" s="337">
        <v>45544.46111111111</v>
      </c>
      <c r="G222" s="336">
        <v>1.0</v>
      </c>
      <c r="H222" s="336">
        <v>51.3741</v>
      </c>
      <c r="I222" s="336">
        <v>8.56295</v>
      </c>
      <c r="J222" s="336">
        <v>-27.080606</v>
      </c>
      <c r="K222" s="336">
        <v>-25.201706</v>
      </c>
      <c r="L222" s="336">
        <v>1035.88</v>
      </c>
      <c r="M222" s="336">
        <v>64.500311</v>
      </c>
      <c r="N222" s="336">
        <v>11263.195</v>
      </c>
      <c r="O222" s="336">
        <v>0.0</v>
      </c>
      <c r="P222" s="338">
        <v>0.0</v>
      </c>
      <c r="Q222" s="338" t="s">
        <v>588</v>
      </c>
      <c r="R222" s="338" t="s">
        <v>534</v>
      </c>
      <c r="S222" s="338">
        <v>10.0</v>
      </c>
      <c r="T222" s="338">
        <v>5.0</v>
      </c>
      <c r="U222" s="338">
        <v>0.7</v>
      </c>
      <c r="V222" s="338">
        <v>0.7</v>
      </c>
      <c r="W222" s="338">
        <v>0.7</v>
      </c>
      <c r="X222" s="336">
        <v>2000.0</v>
      </c>
      <c r="Y222" s="336" t="s">
        <v>510</v>
      </c>
      <c r="Z222" s="336">
        <v>0.2</v>
      </c>
      <c r="AA222" s="336" t="s">
        <v>511</v>
      </c>
      <c r="AB222" s="336" t="s">
        <v>512</v>
      </c>
      <c r="AC222" s="336">
        <v>220.0</v>
      </c>
      <c r="AD222" s="339"/>
      <c r="AE222" s="340"/>
    </row>
    <row r="223">
      <c r="A223" s="336" t="s">
        <v>578</v>
      </c>
      <c r="B223" s="336">
        <v>7.0</v>
      </c>
      <c r="C223" s="336">
        <v>236.0</v>
      </c>
      <c r="D223" s="336" t="s">
        <v>554</v>
      </c>
      <c r="E223" s="336">
        <v>1.0</v>
      </c>
      <c r="F223" s="337">
        <v>45544.46388888889</v>
      </c>
      <c r="G223" s="336">
        <v>1.0</v>
      </c>
      <c r="H223" s="336">
        <v>51.3741</v>
      </c>
      <c r="I223" s="336">
        <v>8.51516</v>
      </c>
      <c r="J223" s="336">
        <v>-26.950275</v>
      </c>
      <c r="K223" s="336">
        <v>-24.674112</v>
      </c>
      <c r="L223" s="336">
        <v>1028.39</v>
      </c>
      <c r="M223" s="336">
        <v>61.499417</v>
      </c>
      <c r="N223" s="336">
        <v>11215.6554</v>
      </c>
      <c r="O223" s="336">
        <v>0.0</v>
      </c>
      <c r="P223" s="338">
        <v>0.0</v>
      </c>
      <c r="Q223" s="338" t="s">
        <v>588</v>
      </c>
      <c r="R223" s="338" t="s">
        <v>534</v>
      </c>
      <c r="S223" s="338">
        <v>10.0</v>
      </c>
      <c r="T223" s="338">
        <v>5.0</v>
      </c>
      <c r="U223" s="338">
        <v>0.7</v>
      </c>
      <c r="V223" s="338">
        <v>0.7</v>
      </c>
      <c r="W223" s="338">
        <v>0.7</v>
      </c>
      <c r="X223" s="336">
        <v>2000.0</v>
      </c>
      <c r="Y223" s="336" t="s">
        <v>510</v>
      </c>
      <c r="Z223" s="336">
        <v>0.2</v>
      </c>
      <c r="AA223" s="336" t="s">
        <v>511</v>
      </c>
      <c r="AB223" s="336" t="s">
        <v>512</v>
      </c>
      <c r="AC223" s="336">
        <v>220.0</v>
      </c>
      <c r="AD223" s="339"/>
      <c r="AE223" s="340"/>
    </row>
    <row r="224">
      <c r="A224" s="336" t="s">
        <v>579</v>
      </c>
      <c r="B224" s="336">
        <v>7.0</v>
      </c>
      <c r="C224" s="336">
        <v>236.0</v>
      </c>
      <c r="D224" s="336" t="s">
        <v>554</v>
      </c>
      <c r="E224" s="336">
        <v>1.0</v>
      </c>
      <c r="F224" s="337">
        <v>45544.46666666667</v>
      </c>
      <c r="G224" s="336">
        <v>1.0</v>
      </c>
      <c r="H224" s="336">
        <v>51.3741</v>
      </c>
      <c r="I224" s="336">
        <v>8.64953</v>
      </c>
      <c r="J224" s="336">
        <v>-26.950812</v>
      </c>
      <c r="K224" s="336">
        <v>-25.666081</v>
      </c>
      <c r="L224" s="336">
        <v>1029.6</v>
      </c>
      <c r="M224" s="336">
        <v>70.500629</v>
      </c>
      <c r="N224" s="336">
        <v>11276.0037</v>
      </c>
      <c r="O224" s="336">
        <v>0.0</v>
      </c>
      <c r="P224" s="338">
        <v>0.0</v>
      </c>
      <c r="Q224" s="338" t="s">
        <v>588</v>
      </c>
      <c r="R224" s="338" t="s">
        <v>534</v>
      </c>
      <c r="S224" s="338">
        <v>10.0</v>
      </c>
      <c r="T224" s="338">
        <v>5.0</v>
      </c>
      <c r="U224" s="338">
        <v>0.7</v>
      </c>
      <c r="V224" s="338">
        <v>0.7</v>
      </c>
      <c r="W224" s="338">
        <v>0.7</v>
      </c>
      <c r="X224" s="336">
        <v>2000.0</v>
      </c>
      <c r="Y224" s="336" t="s">
        <v>510</v>
      </c>
      <c r="Z224" s="336">
        <v>0.2</v>
      </c>
      <c r="AA224" s="336" t="s">
        <v>511</v>
      </c>
      <c r="AB224" s="336" t="s">
        <v>512</v>
      </c>
      <c r="AC224" s="336">
        <v>220.0</v>
      </c>
      <c r="AD224" s="339"/>
      <c r="AE224" s="340"/>
    </row>
    <row r="225">
      <c r="A225" s="336" t="s">
        <v>712</v>
      </c>
      <c r="B225" s="336">
        <v>7.0</v>
      </c>
      <c r="C225" s="336">
        <v>236.0</v>
      </c>
      <c r="D225" s="336" t="s">
        <v>554</v>
      </c>
      <c r="E225" s="336">
        <v>1.0</v>
      </c>
      <c r="F225" s="337">
        <v>45544.46944444445</v>
      </c>
      <c r="G225" s="336">
        <v>1.0</v>
      </c>
      <c r="H225" s="336">
        <v>51.3708</v>
      </c>
      <c r="I225" s="336">
        <v>8.59951</v>
      </c>
      <c r="J225" s="336">
        <v>-26.983269</v>
      </c>
      <c r="K225" s="336">
        <v>-25.289719</v>
      </c>
      <c r="L225" s="336">
        <v>1025.48</v>
      </c>
      <c r="M225" s="336">
        <v>65.999712</v>
      </c>
      <c r="N225" s="336">
        <v>11211.1133</v>
      </c>
      <c r="O225" s="336">
        <v>0.0</v>
      </c>
      <c r="P225" s="338">
        <v>0.0</v>
      </c>
      <c r="Q225" s="338" t="s">
        <v>588</v>
      </c>
      <c r="R225" s="338" t="s">
        <v>534</v>
      </c>
      <c r="S225" s="338">
        <v>10.0</v>
      </c>
      <c r="T225" s="338">
        <v>5.0</v>
      </c>
      <c r="U225" s="338">
        <v>0.7</v>
      </c>
      <c r="V225" s="338">
        <v>0.7</v>
      </c>
      <c r="W225" s="338">
        <v>0.7</v>
      </c>
      <c r="X225" s="336">
        <v>2000.0</v>
      </c>
      <c r="Y225" s="336" t="s">
        <v>510</v>
      </c>
      <c r="Z225" s="336">
        <v>0.2</v>
      </c>
      <c r="AA225" s="336" t="s">
        <v>511</v>
      </c>
      <c r="AB225" s="336" t="s">
        <v>512</v>
      </c>
      <c r="AC225" s="336">
        <v>220.0</v>
      </c>
      <c r="AD225" s="339"/>
      <c r="AE225" s="340"/>
    </row>
    <row r="226">
      <c r="A226" s="336" t="s">
        <v>713</v>
      </c>
      <c r="B226" s="336">
        <v>7.0</v>
      </c>
      <c r="C226" s="336">
        <v>236.0</v>
      </c>
      <c r="D226" s="336" t="s">
        <v>554</v>
      </c>
      <c r="E226" s="336">
        <v>1.0</v>
      </c>
      <c r="F226" s="337">
        <v>45544.47222222222</v>
      </c>
      <c r="G226" s="336">
        <v>1.0</v>
      </c>
      <c r="H226" s="336">
        <v>51.3741</v>
      </c>
      <c r="I226" s="336">
        <v>8.53432</v>
      </c>
      <c r="J226" s="336">
        <v>-27.005556</v>
      </c>
      <c r="K226" s="336">
        <v>-25.717575</v>
      </c>
      <c r="L226" s="336">
        <v>1038.37</v>
      </c>
      <c r="M226" s="336">
        <v>70.999987</v>
      </c>
      <c r="N226" s="336">
        <v>11248.8594</v>
      </c>
      <c r="O226" s="336">
        <v>0.0</v>
      </c>
      <c r="P226" s="338">
        <v>0.0</v>
      </c>
      <c r="Q226" s="338" t="s">
        <v>588</v>
      </c>
      <c r="R226" s="338" t="s">
        <v>534</v>
      </c>
      <c r="S226" s="338">
        <v>10.0</v>
      </c>
      <c r="T226" s="338">
        <v>5.0</v>
      </c>
      <c r="U226" s="338">
        <v>0.7</v>
      </c>
      <c r="V226" s="338">
        <v>0.7</v>
      </c>
      <c r="W226" s="338">
        <v>0.7</v>
      </c>
      <c r="X226" s="336">
        <v>2000.0</v>
      </c>
      <c r="Y226" s="336" t="s">
        <v>510</v>
      </c>
      <c r="Z226" s="336">
        <v>0.2</v>
      </c>
      <c r="AA226" s="336" t="s">
        <v>511</v>
      </c>
      <c r="AB226" s="336" t="s">
        <v>512</v>
      </c>
      <c r="AC226" s="336">
        <v>220.0</v>
      </c>
      <c r="AD226" s="339"/>
      <c r="AE226" s="340"/>
    </row>
    <row r="227">
      <c r="A227" s="336" t="s">
        <v>714</v>
      </c>
      <c r="B227" s="336">
        <v>7.0</v>
      </c>
      <c r="C227" s="336">
        <v>236.0</v>
      </c>
      <c r="D227" s="336" t="s">
        <v>554</v>
      </c>
      <c r="E227" s="336">
        <v>1.0</v>
      </c>
      <c r="F227" s="337">
        <v>45544.475</v>
      </c>
      <c r="G227" s="336">
        <v>2.0</v>
      </c>
      <c r="H227" s="336">
        <v>51.3708</v>
      </c>
      <c r="I227" s="336">
        <v>8.60356</v>
      </c>
      <c r="J227" s="336">
        <v>-27.090237</v>
      </c>
      <c r="K227" s="336">
        <v>-25.424769</v>
      </c>
      <c r="L227" s="336">
        <v>1033.33</v>
      </c>
      <c r="M227" s="336">
        <v>66.499711</v>
      </c>
      <c r="N227" s="336">
        <v>11232.0733</v>
      </c>
      <c r="O227" s="336">
        <v>11241.2445</v>
      </c>
      <c r="P227" s="338">
        <v>2015.77653</v>
      </c>
      <c r="Q227" s="338" t="s">
        <v>509</v>
      </c>
      <c r="R227" s="338" t="s">
        <v>12</v>
      </c>
      <c r="S227" s="338">
        <v>10.0</v>
      </c>
      <c r="T227" s="338">
        <v>5.0</v>
      </c>
      <c r="U227" s="338">
        <v>0.7</v>
      </c>
      <c r="V227" s="338">
        <v>0.7</v>
      </c>
      <c r="W227" s="338">
        <v>0.7</v>
      </c>
      <c r="X227" s="336">
        <v>2000.0</v>
      </c>
      <c r="Y227" s="336" t="s">
        <v>510</v>
      </c>
      <c r="Z227" s="336">
        <v>0.2</v>
      </c>
      <c r="AA227" s="336" t="s">
        <v>511</v>
      </c>
      <c r="AB227" s="336" t="s">
        <v>512</v>
      </c>
      <c r="AC227" s="336">
        <v>220.0</v>
      </c>
      <c r="AD227" s="339"/>
      <c r="AE227" s="340"/>
    </row>
    <row r="228">
      <c r="A228" s="336" t="s">
        <v>715</v>
      </c>
      <c r="B228" s="336">
        <v>7.0</v>
      </c>
      <c r="C228" s="336">
        <v>236.0</v>
      </c>
      <c r="D228" s="336" t="s">
        <v>554</v>
      </c>
      <c r="E228" s="336">
        <v>1.0</v>
      </c>
      <c r="F228" s="337">
        <v>45544.47777777778</v>
      </c>
      <c r="G228" s="336">
        <v>2.0</v>
      </c>
      <c r="H228" s="336">
        <v>51.3708</v>
      </c>
      <c r="I228" s="336">
        <v>8.67435</v>
      </c>
      <c r="J228" s="336">
        <v>-27.009512</v>
      </c>
      <c r="K228" s="336">
        <v>-25.799338</v>
      </c>
      <c r="L228" s="336">
        <v>1023.04</v>
      </c>
      <c r="M228" s="336">
        <v>72.000235</v>
      </c>
      <c r="N228" s="336">
        <v>11250.4157</v>
      </c>
      <c r="O228" s="336">
        <v>11241.2445</v>
      </c>
      <c r="P228" s="338">
        <v>2015.77653</v>
      </c>
      <c r="Q228" s="338" t="s">
        <v>509</v>
      </c>
      <c r="R228" s="338" t="s">
        <v>12</v>
      </c>
      <c r="S228" s="338">
        <v>10.0</v>
      </c>
      <c r="T228" s="338">
        <v>5.0</v>
      </c>
      <c r="U228" s="338">
        <v>0.7</v>
      </c>
      <c r="V228" s="338">
        <v>0.7</v>
      </c>
      <c r="W228" s="338">
        <v>0.7</v>
      </c>
      <c r="X228" s="336">
        <v>2000.0</v>
      </c>
      <c r="Y228" s="336" t="s">
        <v>510</v>
      </c>
      <c r="Z228" s="336">
        <v>0.2</v>
      </c>
      <c r="AA228" s="336" t="s">
        <v>511</v>
      </c>
      <c r="AB228" s="336" t="s">
        <v>512</v>
      </c>
      <c r="AC228" s="336">
        <v>220.0</v>
      </c>
      <c r="AD228" s="339"/>
      <c r="AE228" s="340"/>
    </row>
    <row r="229">
      <c r="A229" s="336" t="s">
        <v>580</v>
      </c>
      <c r="B229" s="336">
        <v>8.0</v>
      </c>
      <c r="C229" s="336">
        <v>300.0</v>
      </c>
      <c r="D229" s="336" t="s">
        <v>558</v>
      </c>
      <c r="E229" s="336">
        <v>1.0</v>
      </c>
      <c r="F229" s="337">
        <v>45544.48125</v>
      </c>
      <c r="G229" s="336">
        <v>1.0</v>
      </c>
      <c r="H229" s="336">
        <v>51.3741</v>
      </c>
      <c r="I229" s="336">
        <v>8.56443</v>
      </c>
      <c r="J229" s="336">
        <v>-27.123769</v>
      </c>
      <c r="K229" s="336">
        <v>-25.845594</v>
      </c>
      <c r="L229" s="336">
        <v>1084.02</v>
      </c>
      <c r="M229" s="336">
        <v>74.499712</v>
      </c>
      <c r="N229" s="336">
        <v>11614.6967</v>
      </c>
      <c r="O229" s="336">
        <v>11612.0484</v>
      </c>
      <c r="P229" s="338">
        <v>2081.043</v>
      </c>
      <c r="Q229" s="338" t="s">
        <v>509</v>
      </c>
      <c r="R229" s="338" t="s">
        <v>12</v>
      </c>
      <c r="S229" s="338">
        <v>10.0</v>
      </c>
      <c r="T229" s="338">
        <v>5.0</v>
      </c>
      <c r="U229" s="338">
        <v>0.7</v>
      </c>
      <c r="V229" s="338">
        <v>0.7</v>
      </c>
      <c r="W229" s="338">
        <v>0.7</v>
      </c>
      <c r="X229" s="336">
        <v>2000.0</v>
      </c>
      <c r="Y229" s="336" t="s">
        <v>510</v>
      </c>
      <c r="Z229" s="336">
        <v>0.2</v>
      </c>
      <c r="AA229" s="336" t="s">
        <v>511</v>
      </c>
      <c r="AB229" s="336" t="s">
        <v>512</v>
      </c>
      <c r="AC229" s="336">
        <v>220.0</v>
      </c>
      <c r="AD229" s="339"/>
      <c r="AE229" s="340"/>
    </row>
    <row r="230">
      <c r="A230" s="336" t="s">
        <v>581</v>
      </c>
      <c r="B230" s="336">
        <v>8.0</v>
      </c>
      <c r="C230" s="336">
        <v>300.0</v>
      </c>
      <c r="D230" s="336" t="s">
        <v>558</v>
      </c>
      <c r="E230" s="336">
        <v>1.0</v>
      </c>
      <c r="F230" s="337">
        <v>45544.48402777778</v>
      </c>
      <c r="G230" s="336">
        <v>1.0</v>
      </c>
      <c r="H230" s="336">
        <v>51.3741</v>
      </c>
      <c r="I230" s="336">
        <v>8.57413</v>
      </c>
      <c r="J230" s="336">
        <v>-27.034062</v>
      </c>
      <c r="K230" s="336">
        <v>-25.522294</v>
      </c>
      <c r="L230" s="336">
        <v>1077.22</v>
      </c>
      <c r="M230" s="336">
        <v>68.500838</v>
      </c>
      <c r="N230" s="336">
        <v>11609.4001</v>
      </c>
      <c r="O230" s="336">
        <v>11612.0484</v>
      </c>
      <c r="P230" s="338">
        <v>2081.043</v>
      </c>
      <c r="Q230" s="338" t="s">
        <v>509</v>
      </c>
      <c r="R230" s="338" t="s">
        <v>12</v>
      </c>
      <c r="S230" s="338">
        <v>10.0</v>
      </c>
      <c r="T230" s="338">
        <v>5.0</v>
      </c>
      <c r="U230" s="338">
        <v>0.7</v>
      </c>
      <c r="V230" s="338">
        <v>0.7</v>
      </c>
      <c r="W230" s="338">
        <v>0.7</v>
      </c>
      <c r="X230" s="336">
        <v>2000.0</v>
      </c>
      <c r="Y230" s="336" t="s">
        <v>510</v>
      </c>
      <c r="Z230" s="336">
        <v>0.2</v>
      </c>
      <c r="AA230" s="336" t="s">
        <v>511</v>
      </c>
      <c r="AB230" s="336" t="s">
        <v>512</v>
      </c>
      <c r="AC230" s="336">
        <v>220.0</v>
      </c>
      <c r="AD230" s="339"/>
      <c r="AE230" s="340"/>
    </row>
    <row r="231">
      <c r="A231" s="336" t="s">
        <v>583</v>
      </c>
      <c r="B231" s="336">
        <v>9.0</v>
      </c>
      <c r="C231" s="336">
        <v>301.0</v>
      </c>
      <c r="D231" s="336" t="s">
        <v>561</v>
      </c>
      <c r="E231" s="336">
        <v>1.0</v>
      </c>
      <c r="F231" s="337">
        <v>45544.4875</v>
      </c>
      <c r="G231" s="336">
        <v>1.0</v>
      </c>
      <c r="H231" s="336">
        <v>51.3741</v>
      </c>
      <c r="I231" s="336">
        <v>8.50346</v>
      </c>
      <c r="J231" s="336">
        <v>-27.084575</v>
      </c>
      <c r="K231" s="336">
        <v>-25.512</v>
      </c>
      <c r="L231" s="336">
        <v>1073.5</v>
      </c>
      <c r="M231" s="336">
        <v>67.99801</v>
      </c>
      <c r="N231" s="336">
        <v>11624.6356</v>
      </c>
      <c r="O231" s="336">
        <v>11581.6266</v>
      </c>
      <c r="P231" s="338">
        <v>2075.68836</v>
      </c>
      <c r="Q231" s="338" t="s">
        <v>519</v>
      </c>
      <c r="R231" s="338" t="s">
        <v>12</v>
      </c>
      <c r="S231" s="338">
        <v>10.0</v>
      </c>
      <c r="T231" s="338">
        <v>5.0</v>
      </c>
      <c r="U231" s="338">
        <v>0.7</v>
      </c>
      <c r="V231" s="338">
        <v>0.7</v>
      </c>
      <c r="W231" s="338">
        <v>0.7</v>
      </c>
      <c r="X231" s="336">
        <v>2000.0</v>
      </c>
      <c r="Y231" s="336" t="s">
        <v>510</v>
      </c>
      <c r="Z231" s="336">
        <v>0.2</v>
      </c>
      <c r="AA231" s="336" t="s">
        <v>511</v>
      </c>
      <c r="AB231" s="336" t="s">
        <v>512</v>
      </c>
      <c r="AC231" s="336">
        <v>220.0</v>
      </c>
      <c r="AD231" s="339"/>
      <c r="AE231" s="340"/>
    </row>
    <row r="232">
      <c r="A232" s="336" t="s">
        <v>584</v>
      </c>
      <c r="B232" s="336">
        <v>9.0</v>
      </c>
      <c r="C232" s="336">
        <v>301.0</v>
      </c>
      <c r="D232" s="336" t="s">
        <v>561</v>
      </c>
      <c r="E232" s="336">
        <v>1.0</v>
      </c>
      <c r="F232" s="337">
        <v>45544.490277777775</v>
      </c>
      <c r="G232" s="336">
        <v>1.0</v>
      </c>
      <c r="H232" s="336">
        <v>51.3708</v>
      </c>
      <c r="I232" s="336">
        <v>8.45414</v>
      </c>
      <c r="J232" s="336">
        <v>-27.017837</v>
      </c>
      <c r="K232" s="336">
        <v>-24.748175</v>
      </c>
      <c r="L232" s="336">
        <v>1079.89</v>
      </c>
      <c r="M232" s="336">
        <v>62.998394</v>
      </c>
      <c r="N232" s="336">
        <v>11577.9045</v>
      </c>
      <c r="O232" s="336">
        <v>11581.6266</v>
      </c>
      <c r="P232" s="338">
        <v>2075.68836</v>
      </c>
      <c r="Q232" s="338" t="s">
        <v>509</v>
      </c>
      <c r="R232" s="338" t="s">
        <v>12</v>
      </c>
      <c r="S232" s="338">
        <v>10.0</v>
      </c>
      <c r="T232" s="338">
        <v>5.0</v>
      </c>
      <c r="U232" s="338">
        <v>0.7</v>
      </c>
      <c r="V232" s="338">
        <v>0.7</v>
      </c>
      <c r="W232" s="338">
        <v>0.7</v>
      </c>
      <c r="X232" s="336">
        <v>2000.0</v>
      </c>
      <c r="Y232" s="336" t="s">
        <v>510</v>
      </c>
      <c r="Z232" s="336">
        <v>0.2</v>
      </c>
      <c r="AA232" s="336" t="s">
        <v>511</v>
      </c>
      <c r="AB232" s="336" t="s">
        <v>512</v>
      </c>
      <c r="AC232" s="336">
        <v>220.0</v>
      </c>
      <c r="AD232" s="339"/>
      <c r="AE232" s="340"/>
    </row>
    <row r="233">
      <c r="A233" s="336" t="s">
        <v>585</v>
      </c>
      <c r="B233" s="336">
        <v>9.0</v>
      </c>
      <c r="C233" s="336">
        <v>301.0</v>
      </c>
      <c r="D233" s="336" t="s">
        <v>561</v>
      </c>
      <c r="E233" s="336">
        <v>1.0</v>
      </c>
      <c r="F233" s="337">
        <v>45544.493055555555</v>
      </c>
      <c r="G233" s="336">
        <v>1.0</v>
      </c>
      <c r="H233" s="336">
        <v>51.3774</v>
      </c>
      <c r="I233" s="336">
        <v>8.49975</v>
      </c>
      <c r="J233" s="336">
        <v>-26.935544</v>
      </c>
      <c r="K233" s="336">
        <v>-24.3076</v>
      </c>
      <c r="L233" s="336">
        <v>1052.82</v>
      </c>
      <c r="M233" s="336">
        <v>61.999478</v>
      </c>
      <c r="N233" s="336">
        <v>11585.3487</v>
      </c>
      <c r="O233" s="336">
        <v>11581.6266</v>
      </c>
      <c r="P233" s="338">
        <v>2075.68836</v>
      </c>
      <c r="Q233" s="338" t="s">
        <v>509</v>
      </c>
      <c r="R233" s="338" t="s">
        <v>12</v>
      </c>
      <c r="S233" s="338">
        <v>10.0</v>
      </c>
      <c r="T233" s="338">
        <v>5.0</v>
      </c>
      <c r="U233" s="338">
        <v>0.7</v>
      </c>
      <c r="V233" s="338">
        <v>0.7</v>
      </c>
      <c r="W233" s="338">
        <v>0.7</v>
      </c>
      <c r="X233" s="336">
        <v>2000.0</v>
      </c>
      <c r="Y233" s="336" t="s">
        <v>510</v>
      </c>
      <c r="Z233" s="336">
        <v>0.2</v>
      </c>
      <c r="AA233" s="336" t="s">
        <v>511</v>
      </c>
      <c r="AB233" s="336" t="s">
        <v>512</v>
      </c>
      <c r="AC233" s="336">
        <v>220.0</v>
      </c>
      <c r="AD233" s="339"/>
      <c r="AE233" s="340"/>
    </row>
    <row r="234">
      <c r="A234" s="336" t="s">
        <v>716</v>
      </c>
      <c r="B234" s="336" t="s">
        <v>517</v>
      </c>
      <c r="C234" s="336" t="s">
        <v>703</v>
      </c>
      <c r="D234" s="336" t="s">
        <v>508</v>
      </c>
      <c r="E234" s="336">
        <v>0.8</v>
      </c>
      <c r="F234" s="337">
        <v>45544.495833333334</v>
      </c>
      <c r="G234" s="336">
        <v>1.0</v>
      </c>
      <c r="H234" s="336">
        <v>51.3741</v>
      </c>
      <c r="I234" s="336">
        <v>8.47324</v>
      </c>
      <c r="J234" s="336">
        <v>-26.993737</v>
      </c>
      <c r="K234" s="336">
        <v>-25.560088</v>
      </c>
      <c r="L234" s="336">
        <v>1002.5</v>
      </c>
      <c r="M234" s="336">
        <v>65.001658</v>
      </c>
      <c r="N234" s="336">
        <v>9176.67286</v>
      </c>
      <c r="O234" s="336">
        <v>9183.16449</v>
      </c>
      <c r="P234" s="338">
        <v>2070.3457</v>
      </c>
      <c r="Q234" s="338" t="s">
        <v>509</v>
      </c>
      <c r="R234" s="338" t="s">
        <v>12</v>
      </c>
      <c r="S234" s="338">
        <v>10.0</v>
      </c>
      <c r="T234" s="338">
        <v>5.0</v>
      </c>
      <c r="U234" s="338">
        <v>0.7</v>
      </c>
      <c r="V234" s="338">
        <v>0.7</v>
      </c>
      <c r="W234" s="338">
        <v>0.7</v>
      </c>
      <c r="X234" s="336">
        <v>2000.0</v>
      </c>
      <c r="Y234" s="336" t="s">
        <v>510</v>
      </c>
      <c r="Z234" s="336">
        <v>0.2</v>
      </c>
      <c r="AA234" s="336" t="s">
        <v>511</v>
      </c>
      <c r="AB234" s="336" t="s">
        <v>512</v>
      </c>
      <c r="AC234" s="336">
        <v>220.0</v>
      </c>
      <c r="AD234" s="339"/>
      <c r="AE234" s="340"/>
    </row>
    <row r="235">
      <c r="A235" s="336" t="s">
        <v>717</v>
      </c>
      <c r="B235" s="336" t="s">
        <v>517</v>
      </c>
      <c r="C235" s="336" t="s">
        <v>703</v>
      </c>
      <c r="D235" s="336" t="s">
        <v>508</v>
      </c>
      <c r="E235" s="336">
        <v>0.8</v>
      </c>
      <c r="F235" s="337">
        <v>45544.498611111114</v>
      </c>
      <c r="G235" s="336">
        <v>1.0</v>
      </c>
      <c r="H235" s="336">
        <v>51.3708</v>
      </c>
      <c r="I235" s="336">
        <v>8.49458</v>
      </c>
      <c r="J235" s="336">
        <v>-27.043881</v>
      </c>
      <c r="K235" s="336">
        <v>-25.634138</v>
      </c>
      <c r="L235" s="336">
        <v>983.935</v>
      </c>
      <c r="M235" s="336">
        <v>70.999483</v>
      </c>
      <c r="N235" s="336">
        <v>9189.65613</v>
      </c>
      <c r="O235" s="336">
        <v>9183.16449</v>
      </c>
      <c r="P235" s="338">
        <v>2070.3457</v>
      </c>
      <c r="Q235" s="338" t="s">
        <v>509</v>
      </c>
      <c r="R235" s="338" t="s">
        <v>12</v>
      </c>
      <c r="S235" s="338">
        <v>10.0</v>
      </c>
      <c r="T235" s="338">
        <v>5.0</v>
      </c>
      <c r="U235" s="338">
        <v>0.7</v>
      </c>
      <c r="V235" s="338">
        <v>0.7</v>
      </c>
      <c r="W235" s="338">
        <v>0.7</v>
      </c>
      <c r="X235" s="336">
        <v>2000.0</v>
      </c>
      <c r="Y235" s="336" t="s">
        <v>510</v>
      </c>
      <c r="Z235" s="336">
        <v>0.2</v>
      </c>
      <c r="AA235" s="336" t="s">
        <v>511</v>
      </c>
      <c r="AB235" s="336" t="s">
        <v>512</v>
      </c>
      <c r="AC235" s="336">
        <v>220.0</v>
      </c>
      <c r="AD235" s="339"/>
      <c r="AE235" s="340"/>
    </row>
    <row r="236">
      <c r="A236" s="336" t="s">
        <v>718</v>
      </c>
      <c r="B236" s="336" t="s">
        <v>523</v>
      </c>
      <c r="C236" s="336" t="s">
        <v>703</v>
      </c>
      <c r="D236" s="336" t="s">
        <v>508</v>
      </c>
      <c r="E236" s="336">
        <v>1.0</v>
      </c>
      <c r="F236" s="337">
        <v>45544.501388888886</v>
      </c>
      <c r="G236" s="336">
        <v>1.0</v>
      </c>
      <c r="H236" s="336">
        <v>51.3741</v>
      </c>
      <c r="I236" s="336">
        <v>8.48887</v>
      </c>
      <c r="J236" s="336">
        <v>-27.054775</v>
      </c>
      <c r="K236" s="336">
        <v>-26.16525</v>
      </c>
      <c r="L236" s="336">
        <v>1048.88</v>
      </c>
      <c r="M236" s="336">
        <v>81.500007</v>
      </c>
      <c r="N236" s="336">
        <v>11556.7638</v>
      </c>
      <c r="O236" s="336">
        <v>11564.3472</v>
      </c>
      <c r="P236" s="338">
        <v>2070.3457</v>
      </c>
      <c r="Q236" s="338" t="s">
        <v>519</v>
      </c>
      <c r="R236" s="338" t="s">
        <v>12</v>
      </c>
      <c r="S236" s="338">
        <v>10.0</v>
      </c>
      <c r="T236" s="338">
        <v>5.0</v>
      </c>
      <c r="U236" s="338">
        <v>0.7</v>
      </c>
      <c r="V236" s="338">
        <v>0.7</v>
      </c>
      <c r="W236" s="338">
        <v>0.7</v>
      </c>
      <c r="X236" s="336">
        <v>2000.0</v>
      </c>
      <c r="Y236" s="336" t="s">
        <v>510</v>
      </c>
      <c r="Z236" s="336">
        <v>0.2</v>
      </c>
      <c r="AA236" s="336" t="s">
        <v>511</v>
      </c>
      <c r="AB236" s="336" t="s">
        <v>512</v>
      </c>
      <c r="AC236" s="336">
        <v>220.0</v>
      </c>
      <c r="AD236" s="339"/>
      <c r="AE236" s="340"/>
    </row>
    <row r="237">
      <c r="A237" s="336" t="s">
        <v>719</v>
      </c>
      <c r="B237" s="336" t="s">
        <v>523</v>
      </c>
      <c r="C237" s="336" t="s">
        <v>703</v>
      </c>
      <c r="D237" s="336" t="s">
        <v>508</v>
      </c>
      <c r="E237" s="336">
        <v>1.0</v>
      </c>
      <c r="F237" s="337">
        <v>45544.50486111111</v>
      </c>
      <c r="G237" s="336">
        <v>1.0</v>
      </c>
      <c r="H237" s="336">
        <v>51.3774</v>
      </c>
      <c r="I237" s="336">
        <v>8.39179</v>
      </c>
      <c r="J237" s="336">
        <v>-27.013675</v>
      </c>
      <c r="K237" s="336">
        <v>-24.354419</v>
      </c>
      <c r="L237" s="336">
        <v>1059.44</v>
      </c>
      <c r="M237" s="336">
        <v>59.00146</v>
      </c>
      <c r="N237" s="336">
        <v>11486.0157</v>
      </c>
      <c r="O237" s="336">
        <v>11564.3472</v>
      </c>
      <c r="P237" s="338">
        <v>2070.3457</v>
      </c>
      <c r="Q237" s="338" t="s">
        <v>519</v>
      </c>
      <c r="R237" s="338" t="s">
        <v>12</v>
      </c>
      <c r="S237" s="338">
        <v>10.0</v>
      </c>
      <c r="T237" s="338">
        <v>5.0</v>
      </c>
      <c r="U237" s="338">
        <v>0.7</v>
      </c>
      <c r="V237" s="338">
        <v>0.7</v>
      </c>
      <c r="W237" s="338">
        <v>0.7</v>
      </c>
      <c r="X237" s="336">
        <v>2000.0</v>
      </c>
      <c r="Y237" s="336" t="s">
        <v>510</v>
      </c>
      <c r="Z237" s="336">
        <v>0.2</v>
      </c>
      <c r="AA237" s="336" t="s">
        <v>511</v>
      </c>
      <c r="AB237" s="336" t="s">
        <v>512</v>
      </c>
      <c r="AC237" s="336">
        <v>220.0</v>
      </c>
      <c r="AD237" s="339"/>
      <c r="AE237" s="340"/>
    </row>
    <row r="238">
      <c r="A238" s="336" t="s">
        <v>720</v>
      </c>
      <c r="B238" s="336" t="s">
        <v>523</v>
      </c>
      <c r="C238" s="336" t="s">
        <v>703</v>
      </c>
      <c r="D238" s="336" t="s">
        <v>508</v>
      </c>
      <c r="E238" s="336">
        <v>1.0</v>
      </c>
      <c r="F238" s="337">
        <v>45544.50763888889</v>
      </c>
      <c r="G238" s="336">
        <v>1.0</v>
      </c>
      <c r="H238" s="336">
        <v>51.3741</v>
      </c>
      <c r="I238" s="336">
        <v>8.42846</v>
      </c>
      <c r="J238" s="336">
        <v>-27.12165</v>
      </c>
      <c r="K238" s="336">
        <v>-25.450631</v>
      </c>
      <c r="L238" s="336">
        <v>1067.06</v>
      </c>
      <c r="M238" s="336">
        <v>68.500929</v>
      </c>
      <c r="N238" s="336">
        <v>11534.2917</v>
      </c>
      <c r="O238" s="336">
        <v>11564.3472</v>
      </c>
      <c r="P238" s="338">
        <v>2070.3457</v>
      </c>
      <c r="Q238" s="338" t="s">
        <v>519</v>
      </c>
      <c r="R238" s="338" t="s">
        <v>12</v>
      </c>
      <c r="S238" s="338">
        <v>10.0</v>
      </c>
      <c r="T238" s="338">
        <v>5.0</v>
      </c>
      <c r="U238" s="338">
        <v>0.7</v>
      </c>
      <c r="V238" s="338">
        <v>0.7</v>
      </c>
      <c r="W238" s="338">
        <v>0.7</v>
      </c>
      <c r="X238" s="336">
        <v>2000.0</v>
      </c>
      <c r="Y238" s="336" t="s">
        <v>510</v>
      </c>
      <c r="Z238" s="336">
        <v>0.2</v>
      </c>
      <c r="AA238" s="336" t="s">
        <v>511</v>
      </c>
      <c r="AB238" s="336" t="s">
        <v>512</v>
      </c>
      <c r="AC238" s="336">
        <v>220.0</v>
      </c>
      <c r="AD238" s="339"/>
      <c r="AE238" s="340"/>
    </row>
    <row r="239">
      <c r="A239" s="342" t="s">
        <v>721</v>
      </c>
      <c r="B239" s="342" t="s">
        <v>523</v>
      </c>
      <c r="C239" s="342" t="s">
        <v>703</v>
      </c>
      <c r="D239" s="342" t="s">
        <v>508</v>
      </c>
      <c r="E239" s="342">
        <v>1.0</v>
      </c>
      <c r="F239" s="343">
        <v>45544.510416666664</v>
      </c>
      <c r="G239" s="342">
        <v>1.0</v>
      </c>
      <c r="H239" s="342">
        <v>51.3741</v>
      </c>
      <c r="I239" s="342">
        <v>8.49859</v>
      </c>
      <c r="J239" s="342">
        <v>-27.019844</v>
      </c>
      <c r="K239" s="342">
        <v>-26.013919</v>
      </c>
      <c r="L239" s="342">
        <v>1061.18</v>
      </c>
      <c r="M239" s="342">
        <v>82.498804</v>
      </c>
      <c r="N239" s="342">
        <v>11570.4602</v>
      </c>
      <c r="O239" s="342">
        <v>11564.3472</v>
      </c>
      <c r="P239" s="344">
        <v>2070.3457</v>
      </c>
      <c r="Q239" s="344" t="s">
        <v>509</v>
      </c>
      <c r="R239" s="338" t="s">
        <v>12</v>
      </c>
      <c r="S239" s="338">
        <v>10.0</v>
      </c>
      <c r="T239" s="338">
        <v>5.0</v>
      </c>
      <c r="U239" s="338">
        <v>0.7</v>
      </c>
      <c r="V239" s="338">
        <v>0.7</v>
      </c>
      <c r="W239" s="338">
        <v>0.7</v>
      </c>
      <c r="X239" s="336">
        <v>2000.0</v>
      </c>
      <c r="Y239" s="336" t="s">
        <v>510</v>
      </c>
      <c r="Z239" s="336">
        <v>0.2</v>
      </c>
      <c r="AA239" s="336" t="s">
        <v>511</v>
      </c>
      <c r="AB239" s="336" t="s">
        <v>512</v>
      </c>
      <c r="AC239" s="336">
        <v>220.0</v>
      </c>
      <c r="AD239" s="339"/>
      <c r="AE239" s="340"/>
    </row>
    <row r="240">
      <c r="A240" s="342" t="s">
        <v>722</v>
      </c>
      <c r="B240" s="342" t="s">
        <v>523</v>
      </c>
      <c r="C240" s="342" t="s">
        <v>703</v>
      </c>
      <c r="D240" s="342" t="s">
        <v>508</v>
      </c>
      <c r="E240" s="342">
        <v>1.0</v>
      </c>
      <c r="F240" s="343">
        <v>45544.513194444444</v>
      </c>
      <c r="G240" s="342">
        <v>1.0</v>
      </c>
      <c r="H240" s="342">
        <v>51.3708</v>
      </c>
      <c r="I240" s="342">
        <v>8.52611</v>
      </c>
      <c r="J240" s="342">
        <v>-27.030638</v>
      </c>
      <c r="K240" s="342">
        <v>-25.70685</v>
      </c>
      <c r="L240" s="342">
        <v>1060.83</v>
      </c>
      <c r="M240" s="342">
        <v>74.000429</v>
      </c>
      <c r="N240" s="342">
        <v>11558.2342</v>
      </c>
      <c r="O240" s="342">
        <v>11564.3472</v>
      </c>
      <c r="P240" s="344">
        <v>2070.3457</v>
      </c>
      <c r="Q240" s="344" t="s">
        <v>509</v>
      </c>
      <c r="R240" s="338" t="s">
        <v>12</v>
      </c>
      <c r="S240" s="338">
        <v>10.0</v>
      </c>
      <c r="T240" s="338">
        <v>5.0</v>
      </c>
      <c r="U240" s="338">
        <v>0.7</v>
      </c>
      <c r="V240" s="338">
        <v>0.7</v>
      </c>
      <c r="W240" s="338">
        <v>0.7</v>
      </c>
      <c r="X240" s="336">
        <v>2000.0</v>
      </c>
      <c r="Y240" s="336" t="s">
        <v>510</v>
      </c>
      <c r="Z240" s="336">
        <v>0.2</v>
      </c>
      <c r="AA240" s="336" t="s">
        <v>511</v>
      </c>
      <c r="AB240" s="336" t="s">
        <v>512</v>
      </c>
      <c r="AC240" s="336">
        <v>220.0</v>
      </c>
      <c r="AD240" s="339"/>
      <c r="AE240" s="340"/>
    </row>
    <row r="241">
      <c r="A241" s="336" t="s">
        <v>723</v>
      </c>
      <c r="B241" s="336" t="s">
        <v>527</v>
      </c>
      <c r="C241" s="336" t="s">
        <v>703</v>
      </c>
      <c r="D241" s="336" t="s">
        <v>508</v>
      </c>
      <c r="E241" s="336">
        <v>1.2</v>
      </c>
      <c r="F241" s="337">
        <v>45544.51597222222</v>
      </c>
      <c r="G241" s="336">
        <v>1.0</v>
      </c>
      <c r="H241" s="336">
        <v>51.3708</v>
      </c>
      <c r="I241" s="336">
        <v>8.49751</v>
      </c>
      <c r="J241" s="336">
        <v>-27.068325</v>
      </c>
      <c r="K241" s="336">
        <v>-25.868394</v>
      </c>
      <c r="L241" s="336">
        <v>1103.49</v>
      </c>
      <c r="M241" s="336">
        <v>88.499809</v>
      </c>
      <c r="N241" s="336">
        <v>13891.1376</v>
      </c>
      <c r="O241" s="336">
        <v>13850.1552</v>
      </c>
      <c r="P241" s="338">
        <v>2070.3457</v>
      </c>
      <c r="Q241" s="338" t="s">
        <v>519</v>
      </c>
      <c r="R241" s="338" t="s">
        <v>12</v>
      </c>
      <c r="S241" s="338">
        <v>10.0</v>
      </c>
      <c r="T241" s="338">
        <v>5.0</v>
      </c>
      <c r="U241" s="338">
        <v>0.7</v>
      </c>
      <c r="V241" s="338">
        <v>0.7</v>
      </c>
      <c r="W241" s="338">
        <v>0.7</v>
      </c>
      <c r="X241" s="336">
        <v>2000.0</v>
      </c>
      <c r="Y241" s="336" t="s">
        <v>510</v>
      </c>
      <c r="Z241" s="336">
        <v>0.2</v>
      </c>
      <c r="AA241" s="336" t="s">
        <v>511</v>
      </c>
      <c r="AB241" s="336" t="s">
        <v>512</v>
      </c>
      <c r="AC241" s="336">
        <v>220.0</v>
      </c>
      <c r="AD241" s="339"/>
      <c r="AE241" s="340"/>
    </row>
    <row r="242">
      <c r="A242" s="336" t="s">
        <v>724</v>
      </c>
      <c r="B242" s="336" t="s">
        <v>527</v>
      </c>
      <c r="C242" s="336" t="s">
        <v>703</v>
      </c>
      <c r="D242" s="336" t="s">
        <v>508</v>
      </c>
      <c r="E242" s="336">
        <v>1.2</v>
      </c>
      <c r="F242" s="337">
        <v>45544.51875</v>
      </c>
      <c r="G242" s="336">
        <v>1.0</v>
      </c>
      <c r="H242" s="336">
        <v>51.3741</v>
      </c>
      <c r="I242" s="336">
        <v>8.50346</v>
      </c>
      <c r="J242" s="336">
        <v>-26.969119</v>
      </c>
      <c r="K242" s="336">
        <v>-25.153887</v>
      </c>
      <c r="L242" s="336">
        <v>1104.42</v>
      </c>
      <c r="M242" s="336">
        <v>69.000294</v>
      </c>
      <c r="N242" s="336">
        <v>13856.3697</v>
      </c>
      <c r="O242" s="336">
        <v>13850.1552</v>
      </c>
      <c r="P242" s="338">
        <v>2070.3457</v>
      </c>
      <c r="Q242" s="338" t="s">
        <v>509</v>
      </c>
      <c r="R242" s="338" t="s">
        <v>12</v>
      </c>
      <c r="S242" s="338">
        <v>10.0</v>
      </c>
      <c r="T242" s="338">
        <v>5.0</v>
      </c>
      <c r="U242" s="338">
        <v>0.7</v>
      </c>
      <c r="V242" s="338">
        <v>0.7</v>
      </c>
      <c r="W242" s="338">
        <v>0.7</v>
      </c>
      <c r="X242" s="336">
        <v>2000.0</v>
      </c>
      <c r="Y242" s="336" t="s">
        <v>510</v>
      </c>
      <c r="Z242" s="336">
        <v>0.2</v>
      </c>
      <c r="AA242" s="336" t="s">
        <v>511</v>
      </c>
      <c r="AB242" s="336" t="s">
        <v>512</v>
      </c>
      <c r="AC242" s="336">
        <v>220.0</v>
      </c>
      <c r="AD242" s="339"/>
      <c r="AE242" s="340"/>
    </row>
    <row r="243">
      <c r="A243" s="336" t="s">
        <v>725</v>
      </c>
      <c r="B243" s="336" t="s">
        <v>527</v>
      </c>
      <c r="C243" s="336" t="s">
        <v>703</v>
      </c>
      <c r="D243" s="336" t="s">
        <v>508</v>
      </c>
      <c r="E243" s="336">
        <v>1.2</v>
      </c>
      <c r="F243" s="337">
        <v>45544.521527777775</v>
      </c>
      <c r="G243" s="336">
        <v>1.0</v>
      </c>
      <c r="H243" s="336">
        <v>51.3741</v>
      </c>
      <c r="I243" s="336">
        <v>8.46341</v>
      </c>
      <c r="J243" s="336">
        <v>-26.970725</v>
      </c>
      <c r="K243" s="336">
        <v>-24.799894</v>
      </c>
      <c r="L243" s="336">
        <v>1091.24</v>
      </c>
      <c r="M243" s="336">
        <v>67.000164</v>
      </c>
      <c r="N243" s="336">
        <v>13843.9406</v>
      </c>
      <c r="O243" s="336">
        <v>13850.1552</v>
      </c>
      <c r="P243" s="338">
        <v>2070.3457</v>
      </c>
      <c r="Q243" s="338" t="s">
        <v>509</v>
      </c>
      <c r="R243" s="338" t="s">
        <v>12</v>
      </c>
      <c r="S243" s="338">
        <v>10.0</v>
      </c>
      <c r="T243" s="338">
        <v>5.0</v>
      </c>
      <c r="U243" s="338">
        <v>0.7</v>
      </c>
      <c r="V243" s="338">
        <v>0.7</v>
      </c>
      <c r="W243" s="338">
        <v>0.7</v>
      </c>
      <c r="X243" s="336">
        <v>2000.0</v>
      </c>
      <c r="Y243" s="336" t="s">
        <v>510</v>
      </c>
      <c r="Z243" s="336">
        <v>0.2</v>
      </c>
      <c r="AA243" s="336" t="s">
        <v>511</v>
      </c>
      <c r="AB243" s="336" t="s">
        <v>512</v>
      </c>
      <c r="AC243" s="336">
        <v>220.0</v>
      </c>
      <c r="AD243" s="339"/>
      <c r="AE243" s="340"/>
    </row>
    <row r="244">
      <c r="A244" s="336" t="s">
        <v>598</v>
      </c>
      <c r="B244" s="336">
        <v>2.0</v>
      </c>
      <c r="C244" s="336">
        <v>222.0</v>
      </c>
      <c r="D244" s="336" t="s">
        <v>532</v>
      </c>
      <c r="E244" s="336">
        <v>1.0</v>
      </c>
      <c r="F244" s="337">
        <v>45544.525</v>
      </c>
      <c r="G244" s="336">
        <v>1.0</v>
      </c>
      <c r="H244" s="336">
        <v>51.3708</v>
      </c>
      <c r="I244" s="336">
        <v>8.46633</v>
      </c>
      <c r="J244" s="336">
        <v>-27.017706</v>
      </c>
      <c r="K244" s="336">
        <v>-25.680531</v>
      </c>
      <c r="L244" s="336">
        <v>1051.01</v>
      </c>
      <c r="M244" s="336">
        <v>69.999382</v>
      </c>
      <c r="N244" s="336">
        <v>11520.5823</v>
      </c>
      <c r="O244" s="336">
        <v>11513.9755</v>
      </c>
      <c r="P244" s="338">
        <v>2067.04874</v>
      </c>
      <c r="Q244" s="338" t="s">
        <v>519</v>
      </c>
      <c r="R244" s="338" t="s">
        <v>12</v>
      </c>
      <c r="S244" s="338">
        <v>10.0</v>
      </c>
      <c r="T244" s="338">
        <v>5.0</v>
      </c>
      <c r="U244" s="338">
        <v>0.7</v>
      </c>
      <c r="V244" s="338">
        <v>0.7</v>
      </c>
      <c r="W244" s="338">
        <v>0.7</v>
      </c>
      <c r="X244" s="336">
        <v>2000.0</v>
      </c>
      <c r="Y244" s="336" t="s">
        <v>510</v>
      </c>
      <c r="Z244" s="336">
        <v>0.2</v>
      </c>
      <c r="AA244" s="336" t="s">
        <v>511</v>
      </c>
      <c r="AB244" s="336" t="s">
        <v>512</v>
      </c>
      <c r="AC244" s="336">
        <v>220.0</v>
      </c>
      <c r="AD244" s="339"/>
      <c r="AE244" s="340"/>
    </row>
    <row r="245">
      <c r="A245" s="336" t="s">
        <v>599</v>
      </c>
      <c r="B245" s="336">
        <v>2.0</v>
      </c>
      <c r="C245" s="336">
        <v>222.0</v>
      </c>
      <c r="D245" s="336" t="s">
        <v>532</v>
      </c>
      <c r="E245" s="336">
        <v>1.0</v>
      </c>
      <c r="F245" s="337">
        <v>45544.52777777778</v>
      </c>
      <c r="G245" s="336">
        <v>1.0</v>
      </c>
      <c r="H245" s="336">
        <v>51.3741</v>
      </c>
      <c r="I245" s="336">
        <v>8.41216</v>
      </c>
      <c r="J245" s="336">
        <v>-27.009181</v>
      </c>
      <c r="K245" s="336">
        <v>-25.228406</v>
      </c>
      <c r="L245" s="336">
        <v>1050.23</v>
      </c>
      <c r="M245" s="336">
        <v>66.000143</v>
      </c>
      <c r="N245" s="336">
        <v>11476.8496</v>
      </c>
      <c r="O245" s="336">
        <v>11513.9755</v>
      </c>
      <c r="P245" s="338">
        <v>2067.04874</v>
      </c>
      <c r="Q245" s="338" t="s">
        <v>519</v>
      </c>
      <c r="R245" s="338" t="s">
        <v>12</v>
      </c>
      <c r="S245" s="338">
        <v>10.0</v>
      </c>
      <c r="T245" s="338">
        <v>5.0</v>
      </c>
      <c r="U245" s="338">
        <v>0.7</v>
      </c>
      <c r="V245" s="338">
        <v>0.7</v>
      </c>
      <c r="W245" s="338">
        <v>0.7</v>
      </c>
      <c r="X245" s="336">
        <v>2000.0</v>
      </c>
      <c r="Y245" s="336" t="s">
        <v>510</v>
      </c>
      <c r="Z245" s="336">
        <v>0.2</v>
      </c>
      <c r="AA245" s="336" t="s">
        <v>511</v>
      </c>
      <c r="AB245" s="336" t="s">
        <v>512</v>
      </c>
      <c r="AC245" s="336">
        <v>220.0</v>
      </c>
      <c r="AD245" s="339"/>
      <c r="AE245" s="340"/>
    </row>
    <row r="246">
      <c r="A246" s="336" t="s">
        <v>726</v>
      </c>
      <c r="B246" s="336">
        <v>2.0</v>
      </c>
      <c r="C246" s="336">
        <v>222.0</v>
      </c>
      <c r="D246" s="336" t="s">
        <v>532</v>
      </c>
      <c r="E246" s="336">
        <v>1.0</v>
      </c>
      <c r="F246" s="337">
        <v>45544.53055555555</v>
      </c>
      <c r="G246" s="336">
        <v>1.0</v>
      </c>
      <c r="H246" s="336">
        <v>51.3741</v>
      </c>
      <c r="I246" s="336">
        <v>8.54328</v>
      </c>
      <c r="J246" s="336">
        <v>-26.863275</v>
      </c>
      <c r="K246" s="336">
        <v>-25.855694</v>
      </c>
      <c r="L246" s="336">
        <v>1058.92</v>
      </c>
      <c r="M246" s="336">
        <v>81.499127</v>
      </c>
      <c r="N246" s="336">
        <v>11518.9633</v>
      </c>
      <c r="O246" s="336">
        <v>11513.9755</v>
      </c>
      <c r="P246" s="338">
        <v>2067.04874</v>
      </c>
      <c r="Q246" s="338" t="s">
        <v>509</v>
      </c>
      <c r="R246" s="338" t="s">
        <v>12</v>
      </c>
      <c r="S246" s="338">
        <v>10.0</v>
      </c>
      <c r="T246" s="338">
        <v>5.0</v>
      </c>
      <c r="U246" s="338">
        <v>0.7</v>
      </c>
      <c r="V246" s="338">
        <v>0.7</v>
      </c>
      <c r="W246" s="338">
        <v>0.7</v>
      </c>
      <c r="X246" s="336">
        <v>2000.0</v>
      </c>
      <c r="Y246" s="336" t="s">
        <v>510</v>
      </c>
      <c r="Z246" s="336">
        <v>0.2</v>
      </c>
      <c r="AA246" s="336" t="s">
        <v>511</v>
      </c>
      <c r="AB246" s="336" t="s">
        <v>512</v>
      </c>
      <c r="AC246" s="336">
        <v>220.0</v>
      </c>
      <c r="AD246" s="339"/>
      <c r="AE246" s="340"/>
    </row>
    <row r="247">
      <c r="A247" s="336" t="s">
        <v>727</v>
      </c>
      <c r="B247" s="336">
        <v>2.0</v>
      </c>
      <c r="C247" s="336">
        <v>222.0</v>
      </c>
      <c r="D247" s="336" t="s">
        <v>532</v>
      </c>
      <c r="E247" s="336">
        <v>1.0</v>
      </c>
      <c r="F247" s="337">
        <v>45544.53402777778</v>
      </c>
      <c r="G247" s="336">
        <v>1.0</v>
      </c>
      <c r="H247" s="336">
        <v>51.3741</v>
      </c>
      <c r="I247" s="336">
        <v>8.52488</v>
      </c>
      <c r="J247" s="336">
        <v>-27.004381</v>
      </c>
      <c r="K247" s="336">
        <v>-25.978262</v>
      </c>
      <c r="L247" s="336">
        <v>1050.49</v>
      </c>
      <c r="M247" s="336">
        <v>78.999188</v>
      </c>
      <c r="N247" s="336">
        <v>11508.9878</v>
      </c>
      <c r="O247" s="336">
        <v>11513.9755</v>
      </c>
      <c r="P247" s="338">
        <v>2067.04874</v>
      </c>
      <c r="Q247" s="338" t="s">
        <v>509</v>
      </c>
      <c r="R247" s="338" t="s">
        <v>12</v>
      </c>
      <c r="S247" s="338">
        <v>10.0</v>
      </c>
      <c r="T247" s="338">
        <v>5.0</v>
      </c>
      <c r="U247" s="338">
        <v>0.7</v>
      </c>
      <c r="V247" s="338">
        <v>0.7</v>
      </c>
      <c r="W247" s="338">
        <v>0.7</v>
      </c>
      <c r="X247" s="336">
        <v>2000.0</v>
      </c>
      <c r="Y247" s="336" t="s">
        <v>510</v>
      </c>
      <c r="Z247" s="336">
        <v>0.2</v>
      </c>
      <c r="AA247" s="336" t="s">
        <v>511</v>
      </c>
      <c r="AB247" s="336" t="s">
        <v>512</v>
      </c>
      <c r="AC247" s="336">
        <v>220.0</v>
      </c>
      <c r="AD247" s="339"/>
      <c r="AE247" s="340"/>
    </row>
    <row r="248">
      <c r="A248" s="336" t="s">
        <v>600</v>
      </c>
      <c r="B248" s="336">
        <v>3.0</v>
      </c>
      <c r="C248" s="336">
        <v>223.0</v>
      </c>
      <c r="D248" s="336" t="s">
        <v>540</v>
      </c>
      <c r="E248" s="336">
        <v>1.0</v>
      </c>
      <c r="F248" s="337">
        <v>45544.5375</v>
      </c>
      <c r="G248" s="336">
        <v>1.0</v>
      </c>
      <c r="H248" s="336">
        <v>51.3741</v>
      </c>
      <c r="I248" s="336">
        <v>8.37801</v>
      </c>
      <c r="J248" s="336">
        <v>-27.073681</v>
      </c>
      <c r="K248" s="336">
        <v>-25.3765</v>
      </c>
      <c r="L248" s="336">
        <v>1068.69</v>
      </c>
      <c r="M248" s="336">
        <v>66.499921</v>
      </c>
      <c r="N248" s="336">
        <v>11551.039</v>
      </c>
      <c r="O248" s="336">
        <v>11558.5579</v>
      </c>
      <c r="P248" s="338">
        <v>2074.95969</v>
      </c>
      <c r="Q248" s="338" t="s">
        <v>509</v>
      </c>
      <c r="R248" s="338" t="s">
        <v>12</v>
      </c>
      <c r="S248" s="338">
        <v>10.0</v>
      </c>
      <c r="T248" s="338">
        <v>5.0</v>
      </c>
      <c r="U248" s="338">
        <v>0.7</v>
      </c>
      <c r="V248" s="338">
        <v>0.7</v>
      </c>
      <c r="W248" s="338">
        <v>0.7</v>
      </c>
      <c r="X248" s="336">
        <v>2000.0</v>
      </c>
      <c r="Y248" s="336" t="s">
        <v>510</v>
      </c>
      <c r="Z248" s="336">
        <v>0.2</v>
      </c>
      <c r="AA248" s="336" t="s">
        <v>511</v>
      </c>
      <c r="AB248" s="336" t="s">
        <v>512</v>
      </c>
      <c r="AC248" s="336">
        <v>220.0</v>
      </c>
      <c r="AD248" s="339"/>
      <c r="AE248" s="340"/>
    </row>
    <row r="249">
      <c r="A249" s="336" t="s">
        <v>601</v>
      </c>
      <c r="B249" s="336">
        <v>3.0</v>
      </c>
      <c r="C249" s="336">
        <v>223.0</v>
      </c>
      <c r="D249" s="336" t="s">
        <v>540</v>
      </c>
      <c r="E249" s="336">
        <v>1.0</v>
      </c>
      <c r="F249" s="337">
        <v>45544.54027777778</v>
      </c>
      <c r="G249" s="336">
        <v>1.0</v>
      </c>
      <c r="H249" s="336">
        <v>51.3708</v>
      </c>
      <c r="I249" s="336">
        <v>8.52164</v>
      </c>
      <c r="J249" s="336">
        <v>-26.9081</v>
      </c>
      <c r="K249" s="336">
        <v>-25.605663</v>
      </c>
      <c r="L249" s="336">
        <v>1060.99</v>
      </c>
      <c r="M249" s="336">
        <v>71.001315</v>
      </c>
      <c r="N249" s="336">
        <v>11566.0767</v>
      </c>
      <c r="O249" s="336">
        <v>11558.5579</v>
      </c>
      <c r="P249" s="338">
        <v>2074.95969</v>
      </c>
      <c r="Q249" s="338" t="s">
        <v>509</v>
      </c>
      <c r="R249" s="338" t="s">
        <v>12</v>
      </c>
      <c r="S249" s="338">
        <v>10.0</v>
      </c>
      <c r="T249" s="338">
        <v>5.0</v>
      </c>
      <c r="U249" s="338">
        <v>0.7</v>
      </c>
      <c r="V249" s="338">
        <v>0.7</v>
      </c>
      <c r="W249" s="338">
        <v>0.7</v>
      </c>
      <c r="X249" s="336">
        <v>2000.0</v>
      </c>
      <c r="Y249" s="336" t="s">
        <v>510</v>
      </c>
      <c r="Z249" s="336">
        <v>0.2</v>
      </c>
      <c r="AA249" s="336" t="s">
        <v>511</v>
      </c>
      <c r="AB249" s="336" t="s">
        <v>512</v>
      </c>
      <c r="AC249" s="336">
        <v>220.0</v>
      </c>
      <c r="AD249" s="339"/>
      <c r="AE249" s="340"/>
    </row>
    <row r="250">
      <c r="A250" s="336" t="s">
        <v>652</v>
      </c>
      <c r="B250" s="336">
        <v>4.0</v>
      </c>
      <c r="C250" s="336">
        <v>326.0</v>
      </c>
      <c r="D250" s="336" t="s">
        <v>544</v>
      </c>
      <c r="E250" s="336">
        <v>1.0</v>
      </c>
      <c r="F250" s="337">
        <v>45544.54305555556</v>
      </c>
      <c r="G250" s="336">
        <v>1.0</v>
      </c>
      <c r="H250" s="336">
        <v>51.3741</v>
      </c>
      <c r="I250" s="336">
        <v>8.47685</v>
      </c>
      <c r="J250" s="336">
        <v>-27.005125</v>
      </c>
      <c r="K250" s="336">
        <v>-25.483906</v>
      </c>
      <c r="L250" s="336">
        <v>1068.19</v>
      </c>
      <c r="M250" s="336">
        <v>69.999821</v>
      </c>
      <c r="N250" s="336">
        <v>11619.2674</v>
      </c>
      <c r="O250" s="336">
        <v>11570.3035</v>
      </c>
      <c r="P250" s="338">
        <v>2077.0439</v>
      </c>
      <c r="Q250" s="338" t="s">
        <v>519</v>
      </c>
      <c r="R250" s="338" t="s">
        <v>12</v>
      </c>
      <c r="S250" s="338">
        <v>10.0</v>
      </c>
      <c r="T250" s="338">
        <v>5.0</v>
      </c>
      <c r="U250" s="338">
        <v>0.7</v>
      </c>
      <c r="V250" s="338">
        <v>0.7</v>
      </c>
      <c r="W250" s="338">
        <v>0.7</v>
      </c>
      <c r="X250" s="336">
        <v>2000.0</v>
      </c>
      <c r="Y250" s="336" t="s">
        <v>510</v>
      </c>
      <c r="Z250" s="336">
        <v>0.2</v>
      </c>
      <c r="AA250" s="336" t="s">
        <v>511</v>
      </c>
      <c r="AB250" s="336" t="s">
        <v>512</v>
      </c>
      <c r="AC250" s="336">
        <v>220.0</v>
      </c>
      <c r="AD250" s="339"/>
      <c r="AE250" s="340"/>
    </row>
    <row r="251">
      <c r="A251" s="336" t="s">
        <v>653</v>
      </c>
      <c r="B251" s="336">
        <v>4.0</v>
      </c>
      <c r="C251" s="336">
        <v>326.0</v>
      </c>
      <c r="D251" s="336" t="s">
        <v>544</v>
      </c>
      <c r="E251" s="336">
        <v>1.0</v>
      </c>
      <c r="F251" s="337">
        <v>45544.54583333333</v>
      </c>
      <c r="G251" s="336">
        <v>1.0</v>
      </c>
      <c r="H251" s="336">
        <v>51.3807</v>
      </c>
      <c r="I251" s="336">
        <v>8.44663</v>
      </c>
      <c r="J251" s="336">
        <v>-27.010169</v>
      </c>
      <c r="K251" s="336">
        <v>-25.601269</v>
      </c>
      <c r="L251" s="336">
        <v>1057.08</v>
      </c>
      <c r="M251" s="336">
        <v>70.498334</v>
      </c>
      <c r="N251" s="336">
        <v>11574.6316</v>
      </c>
      <c r="O251" s="336">
        <v>11570.3035</v>
      </c>
      <c r="P251" s="338">
        <v>2077.0439</v>
      </c>
      <c r="Q251" s="338" t="s">
        <v>509</v>
      </c>
      <c r="R251" s="338" t="s">
        <v>12</v>
      </c>
      <c r="S251" s="338">
        <v>10.0</v>
      </c>
      <c r="T251" s="338">
        <v>5.0</v>
      </c>
      <c r="U251" s="338">
        <v>0.7</v>
      </c>
      <c r="V251" s="338">
        <v>0.7</v>
      </c>
      <c r="W251" s="338">
        <v>0.7</v>
      </c>
      <c r="X251" s="336">
        <v>2000.0</v>
      </c>
      <c r="Y251" s="336" t="s">
        <v>510</v>
      </c>
      <c r="Z251" s="336">
        <v>0.2</v>
      </c>
      <c r="AA251" s="336" t="s">
        <v>511</v>
      </c>
      <c r="AB251" s="336" t="s">
        <v>512</v>
      </c>
      <c r="AC251" s="336">
        <v>220.0</v>
      </c>
      <c r="AD251" s="339"/>
      <c r="AE251" s="340"/>
    </row>
    <row r="252">
      <c r="A252" s="336" t="s">
        <v>654</v>
      </c>
      <c r="B252" s="336">
        <v>4.0</v>
      </c>
      <c r="C252" s="336">
        <v>326.0</v>
      </c>
      <c r="D252" s="336" t="s">
        <v>544</v>
      </c>
      <c r="E252" s="336">
        <v>1.0</v>
      </c>
      <c r="F252" s="337">
        <v>45544.54861111111</v>
      </c>
      <c r="G252" s="336">
        <v>1.0</v>
      </c>
      <c r="H252" s="336">
        <v>51.3741</v>
      </c>
      <c r="I252" s="336">
        <v>8.39372</v>
      </c>
      <c r="J252" s="336">
        <v>-27.032775</v>
      </c>
      <c r="K252" s="336">
        <v>-25.402231</v>
      </c>
      <c r="L252" s="336">
        <v>1062.92</v>
      </c>
      <c r="M252" s="336">
        <v>68.998734</v>
      </c>
      <c r="N252" s="336">
        <v>11565.9753</v>
      </c>
      <c r="O252" s="336">
        <v>11570.3035</v>
      </c>
      <c r="P252" s="338">
        <v>2077.0439</v>
      </c>
      <c r="Q252" s="338" t="s">
        <v>509</v>
      </c>
      <c r="R252" s="338" t="s">
        <v>12</v>
      </c>
      <c r="S252" s="338">
        <v>10.0</v>
      </c>
      <c r="T252" s="338">
        <v>5.0</v>
      </c>
      <c r="U252" s="338">
        <v>0.7</v>
      </c>
      <c r="V252" s="338">
        <v>0.7</v>
      </c>
      <c r="W252" s="338">
        <v>0.7</v>
      </c>
      <c r="X252" s="336">
        <v>2000.0</v>
      </c>
      <c r="Y252" s="336" t="s">
        <v>510</v>
      </c>
      <c r="Z252" s="336">
        <v>0.2</v>
      </c>
      <c r="AA252" s="336" t="s">
        <v>511</v>
      </c>
      <c r="AB252" s="336" t="s">
        <v>512</v>
      </c>
      <c r="AC252" s="336">
        <v>220.0</v>
      </c>
      <c r="AD252" s="339"/>
      <c r="AE252" s="340"/>
    </row>
    <row r="253">
      <c r="A253" s="336" t="s">
        <v>655</v>
      </c>
      <c r="B253" s="336">
        <v>5.0</v>
      </c>
      <c r="C253" s="336">
        <v>327.0</v>
      </c>
      <c r="D253" s="336" t="s">
        <v>548</v>
      </c>
      <c r="E253" s="336">
        <v>1.0</v>
      </c>
      <c r="F253" s="337">
        <v>45544.552083333336</v>
      </c>
      <c r="G253" s="336">
        <v>1.0</v>
      </c>
      <c r="H253" s="336">
        <v>51.3708</v>
      </c>
      <c r="I253" s="336">
        <v>8.45045</v>
      </c>
      <c r="J253" s="336">
        <v>-27.010094</v>
      </c>
      <c r="K253" s="336">
        <v>-25.776175</v>
      </c>
      <c r="L253" s="336">
        <v>1059.31</v>
      </c>
      <c r="M253" s="336">
        <v>73.500033</v>
      </c>
      <c r="N253" s="336">
        <v>11602.9608</v>
      </c>
      <c r="O253" s="336">
        <v>11614.1632</v>
      </c>
      <c r="P253" s="338">
        <v>2084.82664</v>
      </c>
      <c r="Q253" s="338" t="s">
        <v>509</v>
      </c>
      <c r="R253" s="338" t="s">
        <v>12</v>
      </c>
      <c r="S253" s="338">
        <v>10.0</v>
      </c>
      <c r="T253" s="338">
        <v>5.0</v>
      </c>
      <c r="U253" s="338">
        <v>0.7</v>
      </c>
      <c r="V253" s="338">
        <v>0.7</v>
      </c>
      <c r="W253" s="338">
        <v>0.7</v>
      </c>
      <c r="X253" s="336">
        <v>2000.0</v>
      </c>
      <c r="Y253" s="336" t="s">
        <v>510</v>
      </c>
      <c r="Z253" s="336">
        <v>0.2</v>
      </c>
      <c r="AA253" s="336" t="s">
        <v>511</v>
      </c>
      <c r="AB253" s="336" t="s">
        <v>512</v>
      </c>
      <c r="AC253" s="336">
        <v>220.0</v>
      </c>
      <c r="AD253" s="339"/>
      <c r="AE253" s="340"/>
    </row>
    <row r="254">
      <c r="A254" s="336" t="s">
        <v>656</v>
      </c>
      <c r="B254" s="336">
        <v>5.0</v>
      </c>
      <c r="C254" s="336">
        <v>327.0</v>
      </c>
      <c r="D254" s="336" t="s">
        <v>548</v>
      </c>
      <c r="E254" s="336">
        <v>1.0</v>
      </c>
      <c r="F254" s="337">
        <v>45544.55486111111</v>
      </c>
      <c r="G254" s="336">
        <v>1.0</v>
      </c>
      <c r="H254" s="336">
        <v>51.3741</v>
      </c>
      <c r="I254" s="336">
        <v>8.44131</v>
      </c>
      <c r="J254" s="336">
        <v>-27.030769</v>
      </c>
      <c r="K254" s="336">
        <v>-26.122962</v>
      </c>
      <c r="L254" s="336">
        <v>1065.57</v>
      </c>
      <c r="M254" s="336">
        <v>86.999959</v>
      </c>
      <c r="N254" s="336">
        <v>11625.3657</v>
      </c>
      <c r="O254" s="336">
        <v>11614.1632</v>
      </c>
      <c r="P254" s="338">
        <v>2084.82664</v>
      </c>
      <c r="Q254" s="338" t="s">
        <v>509</v>
      </c>
      <c r="R254" s="338" t="s">
        <v>12</v>
      </c>
      <c r="S254" s="338">
        <v>10.0</v>
      </c>
      <c r="T254" s="338">
        <v>5.0</v>
      </c>
      <c r="U254" s="338">
        <v>0.7</v>
      </c>
      <c r="V254" s="338">
        <v>0.7</v>
      </c>
      <c r="W254" s="338">
        <v>0.7</v>
      </c>
      <c r="X254" s="336">
        <v>2000.0</v>
      </c>
      <c r="Y254" s="336" t="s">
        <v>510</v>
      </c>
      <c r="Z254" s="336">
        <v>0.2</v>
      </c>
      <c r="AA254" s="336" t="s">
        <v>511</v>
      </c>
      <c r="AB254" s="336" t="s">
        <v>512</v>
      </c>
      <c r="AC254" s="336">
        <v>220.0</v>
      </c>
      <c r="AD254" s="339"/>
      <c r="AE254" s="340"/>
    </row>
    <row r="255">
      <c r="A255" s="336" t="s">
        <v>628</v>
      </c>
      <c r="B255" s="336">
        <v>6.0</v>
      </c>
      <c r="C255" s="336">
        <v>274.0</v>
      </c>
      <c r="D255" s="336" t="s">
        <v>551</v>
      </c>
      <c r="E255" s="336">
        <v>1.0</v>
      </c>
      <c r="F255" s="337">
        <v>45544.55902777778</v>
      </c>
      <c r="G255" s="336">
        <v>1.0</v>
      </c>
      <c r="H255" s="336">
        <v>51.3741</v>
      </c>
      <c r="I255" s="336">
        <v>8.29185</v>
      </c>
      <c r="J255" s="336">
        <v>-27.050975</v>
      </c>
      <c r="K255" s="336">
        <v>-26.082444</v>
      </c>
      <c r="L255" s="336">
        <v>1043.12</v>
      </c>
      <c r="M255" s="336">
        <v>78.499739</v>
      </c>
      <c r="N255" s="336">
        <v>11410.6403</v>
      </c>
      <c r="O255" s="336">
        <v>11369.5149</v>
      </c>
      <c r="P255" s="338">
        <v>2041.4148</v>
      </c>
      <c r="Q255" s="338" t="s">
        <v>519</v>
      </c>
      <c r="R255" s="338" t="s">
        <v>12</v>
      </c>
      <c r="S255" s="338">
        <v>10.0</v>
      </c>
      <c r="T255" s="338">
        <v>5.0</v>
      </c>
      <c r="U255" s="338">
        <v>0.7</v>
      </c>
      <c r="V255" s="338">
        <v>0.7</v>
      </c>
      <c r="W255" s="338">
        <v>0.7</v>
      </c>
      <c r="X255" s="336">
        <v>2000.0</v>
      </c>
      <c r="Y255" s="336" t="s">
        <v>510</v>
      </c>
      <c r="Z255" s="336">
        <v>0.2</v>
      </c>
      <c r="AA255" s="336" t="s">
        <v>511</v>
      </c>
      <c r="AB255" s="336" t="s">
        <v>512</v>
      </c>
      <c r="AC255" s="336">
        <v>220.0</v>
      </c>
      <c r="AD255" s="339"/>
      <c r="AE255" s="340"/>
    </row>
    <row r="256">
      <c r="A256" s="336" t="s">
        <v>657</v>
      </c>
      <c r="B256" s="336">
        <v>6.0</v>
      </c>
      <c r="C256" s="336">
        <v>274.0</v>
      </c>
      <c r="D256" s="336" t="s">
        <v>551</v>
      </c>
      <c r="E256" s="336">
        <v>1.0</v>
      </c>
      <c r="F256" s="337">
        <v>45544.56180555555</v>
      </c>
      <c r="G256" s="336">
        <v>1.0</v>
      </c>
      <c r="H256" s="336">
        <v>51.3774</v>
      </c>
      <c r="I256" s="336">
        <v>8.36103</v>
      </c>
      <c r="J256" s="336">
        <v>-27.017694</v>
      </c>
      <c r="K256" s="336">
        <v>-25.486812</v>
      </c>
      <c r="L256" s="336">
        <v>1022.95</v>
      </c>
      <c r="M256" s="336">
        <v>69.500306</v>
      </c>
      <c r="N256" s="336">
        <v>11339.2107</v>
      </c>
      <c r="O256" s="336">
        <v>11369.5149</v>
      </c>
      <c r="P256" s="338">
        <v>2041.4148</v>
      </c>
      <c r="Q256" s="338" t="s">
        <v>519</v>
      </c>
      <c r="R256" s="338" t="s">
        <v>12</v>
      </c>
      <c r="S256" s="338">
        <v>10.0</v>
      </c>
      <c r="T256" s="338">
        <v>5.0</v>
      </c>
      <c r="U256" s="338">
        <v>0.7</v>
      </c>
      <c r="V256" s="338">
        <v>0.7</v>
      </c>
      <c r="W256" s="338">
        <v>0.7</v>
      </c>
      <c r="X256" s="336">
        <v>2000.0</v>
      </c>
      <c r="Y256" s="336" t="s">
        <v>510</v>
      </c>
      <c r="Z256" s="336">
        <v>0.2</v>
      </c>
      <c r="AA256" s="336" t="s">
        <v>511</v>
      </c>
      <c r="AB256" s="336" t="s">
        <v>512</v>
      </c>
      <c r="AC256" s="336">
        <v>220.0</v>
      </c>
      <c r="AD256" s="339"/>
      <c r="AE256" s="340"/>
    </row>
    <row r="257">
      <c r="A257" s="336" t="s">
        <v>658</v>
      </c>
      <c r="B257" s="336">
        <v>6.0</v>
      </c>
      <c r="C257" s="336">
        <v>274.0</v>
      </c>
      <c r="D257" s="336" t="s">
        <v>551</v>
      </c>
      <c r="E257" s="336">
        <v>1.0</v>
      </c>
      <c r="F257" s="337">
        <v>45544.56458333333</v>
      </c>
      <c r="G257" s="336">
        <v>1.0</v>
      </c>
      <c r="H257" s="336">
        <v>51.3741</v>
      </c>
      <c r="I257" s="336">
        <v>8.35607</v>
      </c>
      <c r="J257" s="336">
        <v>-27.128963</v>
      </c>
      <c r="K257" s="336">
        <v>-25.817188</v>
      </c>
      <c r="L257" s="336">
        <v>1040.85</v>
      </c>
      <c r="M257" s="336">
        <v>76.999615</v>
      </c>
      <c r="N257" s="336">
        <v>11400.0655</v>
      </c>
      <c r="O257" s="336">
        <v>11369.5149</v>
      </c>
      <c r="P257" s="338">
        <v>2041.4148</v>
      </c>
      <c r="Q257" s="338" t="s">
        <v>519</v>
      </c>
      <c r="R257" s="338" t="s">
        <v>12</v>
      </c>
      <c r="S257" s="338">
        <v>10.0</v>
      </c>
      <c r="T257" s="338">
        <v>5.0</v>
      </c>
      <c r="U257" s="338">
        <v>0.7</v>
      </c>
      <c r="V257" s="338">
        <v>0.7</v>
      </c>
      <c r="W257" s="338">
        <v>0.7</v>
      </c>
      <c r="X257" s="336">
        <v>2000.0</v>
      </c>
      <c r="Y257" s="336" t="s">
        <v>510</v>
      </c>
      <c r="Z257" s="336">
        <v>0.2</v>
      </c>
      <c r="AA257" s="336" t="s">
        <v>511</v>
      </c>
      <c r="AB257" s="336" t="s">
        <v>512</v>
      </c>
      <c r="AC257" s="336">
        <v>220.0</v>
      </c>
      <c r="AD257" s="339"/>
      <c r="AE257" s="340"/>
    </row>
    <row r="258">
      <c r="A258" s="336" t="s">
        <v>728</v>
      </c>
      <c r="B258" s="336">
        <v>6.0</v>
      </c>
      <c r="C258" s="336">
        <v>274.0</v>
      </c>
      <c r="D258" s="336" t="s">
        <v>551</v>
      </c>
      <c r="E258" s="336">
        <v>1.0</v>
      </c>
      <c r="F258" s="337">
        <v>45544.56736111111</v>
      </c>
      <c r="G258" s="336">
        <v>1.0</v>
      </c>
      <c r="H258" s="336">
        <v>51.3774</v>
      </c>
      <c r="I258" s="336">
        <v>8.34327</v>
      </c>
      <c r="J258" s="336">
        <v>-27.001775</v>
      </c>
      <c r="K258" s="336">
        <v>-25.165631</v>
      </c>
      <c r="L258" s="336">
        <v>1053.93</v>
      </c>
      <c r="M258" s="336">
        <v>64.499649</v>
      </c>
      <c r="N258" s="336">
        <v>11371.1951</v>
      </c>
      <c r="O258" s="336">
        <v>11369.5149</v>
      </c>
      <c r="P258" s="338">
        <v>2041.4148</v>
      </c>
      <c r="Q258" s="338" t="s">
        <v>509</v>
      </c>
      <c r="R258" s="338" t="s">
        <v>12</v>
      </c>
      <c r="S258" s="338">
        <v>10.0</v>
      </c>
      <c r="T258" s="338">
        <v>5.0</v>
      </c>
      <c r="U258" s="338">
        <v>0.7</v>
      </c>
      <c r="V258" s="338">
        <v>0.7</v>
      </c>
      <c r="W258" s="338">
        <v>0.7</v>
      </c>
      <c r="X258" s="336">
        <v>2000.0</v>
      </c>
      <c r="Y258" s="336" t="s">
        <v>510</v>
      </c>
      <c r="Z258" s="336">
        <v>0.2</v>
      </c>
      <c r="AA258" s="336" t="s">
        <v>511</v>
      </c>
      <c r="AB258" s="336" t="s">
        <v>512</v>
      </c>
      <c r="AC258" s="336">
        <v>220.0</v>
      </c>
      <c r="AD258" s="339"/>
      <c r="AE258" s="340"/>
    </row>
    <row r="259">
      <c r="A259" s="336" t="s">
        <v>729</v>
      </c>
      <c r="B259" s="336">
        <v>6.0</v>
      </c>
      <c r="C259" s="336">
        <v>274.0</v>
      </c>
      <c r="D259" s="336" t="s">
        <v>551</v>
      </c>
      <c r="E259" s="336">
        <v>1.0</v>
      </c>
      <c r="F259" s="337">
        <v>45544.57013888889</v>
      </c>
      <c r="G259" s="336">
        <v>1.0</v>
      </c>
      <c r="H259" s="336">
        <v>51.3807</v>
      </c>
      <c r="I259" s="336">
        <v>8.33737</v>
      </c>
      <c r="J259" s="336">
        <v>-27.027369</v>
      </c>
      <c r="K259" s="336">
        <v>-25.487206</v>
      </c>
      <c r="L259" s="336">
        <v>1033.67</v>
      </c>
      <c r="M259" s="336">
        <v>67.499647</v>
      </c>
      <c r="N259" s="336">
        <v>11367.8347</v>
      </c>
      <c r="O259" s="336">
        <v>11369.5149</v>
      </c>
      <c r="P259" s="338">
        <v>2041.4148</v>
      </c>
      <c r="Q259" s="338" t="s">
        <v>509</v>
      </c>
      <c r="R259" s="338" t="s">
        <v>12</v>
      </c>
      <c r="S259" s="338">
        <v>10.0</v>
      </c>
      <c r="T259" s="338">
        <v>5.0</v>
      </c>
      <c r="U259" s="338">
        <v>0.7</v>
      </c>
      <c r="V259" s="338">
        <v>0.7</v>
      </c>
      <c r="W259" s="338">
        <v>0.7</v>
      </c>
      <c r="X259" s="336">
        <v>2000.0</v>
      </c>
      <c r="Y259" s="336" t="s">
        <v>510</v>
      </c>
      <c r="Z259" s="336">
        <v>0.2</v>
      </c>
      <c r="AA259" s="336" t="s">
        <v>511</v>
      </c>
      <c r="AB259" s="336" t="s">
        <v>512</v>
      </c>
      <c r="AC259" s="336">
        <v>220.0</v>
      </c>
      <c r="AD259" s="339"/>
      <c r="AE259" s="340"/>
    </row>
    <row r="260">
      <c r="A260" s="336" t="s">
        <v>630</v>
      </c>
      <c r="B260" s="336">
        <v>7.0</v>
      </c>
      <c r="C260" s="336">
        <v>275.0</v>
      </c>
      <c r="D260" s="336" t="s">
        <v>554</v>
      </c>
      <c r="E260" s="336">
        <v>1.0</v>
      </c>
      <c r="F260" s="337">
        <v>45544.57361111111</v>
      </c>
      <c r="G260" s="336">
        <v>1.0</v>
      </c>
      <c r="H260" s="336">
        <v>51.3774</v>
      </c>
      <c r="I260" s="336">
        <v>8.24434</v>
      </c>
      <c r="J260" s="336">
        <v>-26.879875</v>
      </c>
      <c r="K260" s="336">
        <v>-25.520869</v>
      </c>
      <c r="L260" s="336">
        <v>1031.59</v>
      </c>
      <c r="M260" s="336">
        <v>69.499821</v>
      </c>
      <c r="N260" s="336">
        <v>11373.4644</v>
      </c>
      <c r="O260" s="336">
        <v>11370.1815</v>
      </c>
      <c r="P260" s="338">
        <v>2041.53307</v>
      </c>
      <c r="Q260" s="338" t="s">
        <v>509</v>
      </c>
      <c r="R260" s="338" t="s">
        <v>12</v>
      </c>
      <c r="S260" s="338">
        <v>10.0</v>
      </c>
      <c r="T260" s="338">
        <v>5.0</v>
      </c>
      <c r="U260" s="338">
        <v>0.7</v>
      </c>
      <c r="V260" s="338">
        <v>0.7</v>
      </c>
      <c r="W260" s="338">
        <v>0.7</v>
      </c>
      <c r="X260" s="336">
        <v>2000.0</v>
      </c>
      <c r="Y260" s="336" t="s">
        <v>510</v>
      </c>
      <c r="Z260" s="336">
        <v>0.2</v>
      </c>
      <c r="AA260" s="336" t="s">
        <v>511</v>
      </c>
      <c r="AB260" s="336" t="s">
        <v>512</v>
      </c>
      <c r="AC260" s="336">
        <v>220.0</v>
      </c>
      <c r="AD260" s="339"/>
      <c r="AE260" s="340"/>
    </row>
    <row r="261">
      <c r="A261" s="336" t="s">
        <v>659</v>
      </c>
      <c r="B261" s="336">
        <v>7.0</v>
      </c>
      <c r="C261" s="336">
        <v>275.0</v>
      </c>
      <c r="D261" s="336" t="s">
        <v>554</v>
      </c>
      <c r="E261" s="336">
        <v>1.0</v>
      </c>
      <c r="F261" s="337">
        <v>45544.57638888889</v>
      </c>
      <c r="G261" s="336">
        <v>1.0</v>
      </c>
      <c r="H261" s="336">
        <v>51.3708</v>
      </c>
      <c r="I261" s="336">
        <v>8.29157</v>
      </c>
      <c r="J261" s="336">
        <v>-27.086987</v>
      </c>
      <c r="K261" s="336">
        <v>-25.2893</v>
      </c>
      <c r="L261" s="336">
        <v>1049.62</v>
      </c>
      <c r="M261" s="336">
        <v>65.499386</v>
      </c>
      <c r="N261" s="336">
        <v>11366.8985</v>
      </c>
      <c r="O261" s="336">
        <v>11370.1815</v>
      </c>
      <c r="P261" s="338">
        <v>2041.53307</v>
      </c>
      <c r="Q261" s="338" t="s">
        <v>509</v>
      </c>
      <c r="R261" s="338" t="s">
        <v>12</v>
      </c>
      <c r="S261" s="338">
        <v>10.0</v>
      </c>
      <c r="T261" s="338">
        <v>5.0</v>
      </c>
      <c r="U261" s="338">
        <v>0.7</v>
      </c>
      <c r="V261" s="338">
        <v>0.7</v>
      </c>
      <c r="W261" s="338">
        <v>0.7</v>
      </c>
      <c r="X261" s="336">
        <v>2000.0</v>
      </c>
      <c r="Y261" s="336" t="s">
        <v>510</v>
      </c>
      <c r="Z261" s="336">
        <v>0.2</v>
      </c>
      <c r="AA261" s="336" t="s">
        <v>511</v>
      </c>
      <c r="AB261" s="336" t="s">
        <v>512</v>
      </c>
      <c r="AC261" s="336">
        <v>220.0</v>
      </c>
      <c r="AD261" s="339"/>
      <c r="AE261" s="340"/>
    </row>
    <row r="262">
      <c r="A262" s="336" t="s">
        <v>631</v>
      </c>
      <c r="B262" s="336">
        <v>8.0</v>
      </c>
      <c r="C262" s="336">
        <v>287.0</v>
      </c>
      <c r="D262" s="336" t="s">
        <v>558</v>
      </c>
      <c r="E262" s="336">
        <v>1.0</v>
      </c>
      <c r="F262" s="337">
        <v>45544.57916666667</v>
      </c>
      <c r="G262" s="336">
        <v>1.0</v>
      </c>
      <c r="H262" s="336">
        <v>51.3774</v>
      </c>
      <c r="I262" s="336">
        <v>8.1664</v>
      </c>
      <c r="J262" s="336">
        <v>-27.037819</v>
      </c>
      <c r="K262" s="336">
        <v>-25.074794</v>
      </c>
      <c r="L262" s="336">
        <v>1045.88</v>
      </c>
      <c r="M262" s="336">
        <v>66.001127</v>
      </c>
      <c r="N262" s="336">
        <v>11373.3312</v>
      </c>
      <c r="O262" s="336">
        <v>11365.2398</v>
      </c>
      <c r="P262" s="338">
        <v>2040.65621</v>
      </c>
      <c r="Q262" s="338" t="s">
        <v>509</v>
      </c>
      <c r="R262" s="338" t="s">
        <v>12</v>
      </c>
      <c r="S262" s="338">
        <v>10.0</v>
      </c>
      <c r="T262" s="338">
        <v>5.0</v>
      </c>
      <c r="U262" s="338">
        <v>0.7</v>
      </c>
      <c r="V262" s="338">
        <v>0.7</v>
      </c>
      <c r="W262" s="338">
        <v>0.7</v>
      </c>
      <c r="X262" s="336">
        <v>2000.0</v>
      </c>
      <c r="Y262" s="336" t="s">
        <v>510</v>
      </c>
      <c r="Z262" s="336">
        <v>0.2</v>
      </c>
      <c r="AA262" s="336" t="s">
        <v>511</v>
      </c>
      <c r="AB262" s="336" t="s">
        <v>512</v>
      </c>
      <c r="AC262" s="336">
        <v>220.0</v>
      </c>
      <c r="AD262" s="339"/>
      <c r="AE262" s="340"/>
    </row>
    <row r="263">
      <c r="A263" s="336" t="s">
        <v>660</v>
      </c>
      <c r="B263" s="336">
        <v>8.0</v>
      </c>
      <c r="C263" s="336">
        <v>287.0</v>
      </c>
      <c r="D263" s="336" t="s">
        <v>558</v>
      </c>
      <c r="E263" s="336">
        <v>1.0</v>
      </c>
      <c r="F263" s="337">
        <v>45544.58194444444</v>
      </c>
      <c r="G263" s="336">
        <v>1.0</v>
      </c>
      <c r="H263" s="336">
        <v>51.384</v>
      </c>
      <c r="I263" s="336">
        <v>8.1482</v>
      </c>
      <c r="J263" s="336">
        <v>-27.049219</v>
      </c>
      <c r="K263" s="336">
        <v>-24.917431</v>
      </c>
      <c r="L263" s="336">
        <v>1044.18</v>
      </c>
      <c r="M263" s="336">
        <v>62.499923</v>
      </c>
      <c r="N263" s="336">
        <v>11357.1485</v>
      </c>
      <c r="O263" s="336">
        <v>11365.2398</v>
      </c>
      <c r="P263" s="338">
        <v>2040.65621</v>
      </c>
      <c r="Q263" s="338" t="s">
        <v>509</v>
      </c>
      <c r="R263" s="338" t="s">
        <v>12</v>
      </c>
      <c r="S263" s="338">
        <v>10.0</v>
      </c>
      <c r="T263" s="338">
        <v>5.0</v>
      </c>
      <c r="U263" s="338">
        <v>0.7</v>
      </c>
      <c r="V263" s="338">
        <v>0.7</v>
      </c>
      <c r="W263" s="338">
        <v>0.7</v>
      </c>
      <c r="X263" s="336">
        <v>2000.0</v>
      </c>
      <c r="Y263" s="336" t="s">
        <v>510</v>
      </c>
      <c r="Z263" s="336">
        <v>0.2</v>
      </c>
      <c r="AA263" s="336" t="s">
        <v>511</v>
      </c>
      <c r="AB263" s="336" t="s">
        <v>512</v>
      </c>
      <c r="AC263" s="336">
        <v>220.0</v>
      </c>
      <c r="AD263" s="339"/>
      <c r="AE263" s="340"/>
    </row>
    <row r="264">
      <c r="A264" s="336" t="s">
        <v>632</v>
      </c>
      <c r="B264" s="336">
        <v>9.0</v>
      </c>
      <c r="C264" s="336">
        <v>288.0</v>
      </c>
      <c r="D264" s="336" t="s">
        <v>561</v>
      </c>
      <c r="E264" s="336">
        <v>1.0</v>
      </c>
      <c r="F264" s="337">
        <v>45544.58541666667</v>
      </c>
      <c r="G264" s="336">
        <v>1.0</v>
      </c>
      <c r="H264" s="336">
        <v>51.3774</v>
      </c>
      <c r="I264" s="336">
        <v>8.25334</v>
      </c>
      <c r="J264" s="336">
        <v>-27.025506</v>
      </c>
      <c r="K264" s="336">
        <v>-25.891906</v>
      </c>
      <c r="L264" s="336">
        <v>1039.8</v>
      </c>
      <c r="M264" s="336">
        <v>77.499648</v>
      </c>
      <c r="N264" s="336">
        <v>11418.5764</v>
      </c>
      <c r="O264" s="336">
        <v>11419.2579</v>
      </c>
      <c r="P264" s="338">
        <v>2050.24149</v>
      </c>
      <c r="Q264" s="338" t="s">
        <v>509</v>
      </c>
      <c r="R264" s="338" t="s">
        <v>12</v>
      </c>
      <c r="S264" s="338">
        <v>10.0</v>
      </c>
      <c r="T264" s="338">
        <v>5.0</v>
      </c>
      <c r="U264" s="338">
        <v>0.7</v>
      </c>
      <c r="V264" s="338">
        <v>0.7</v>
      </c>
      <c r="W264" s="338">
        <v>0.7</v>
      </c>
      <c r="X264" s="336">
        <v>2000.0</v>
      </c>
      <c r="Y264" s="336" t="s">
        <v>510</v>
      </c>
      <c r="Z264" s="336">
        <v>0.2</v>
      </c>
      <c r="AA264" s="336" t="s">
        <v>511</v>
      </c>
      <c r="AB264" s="336" t="s">
        <v>512</v>
      </c>
      <c r="AC264" s="336">
        <v>220.0</v>
      </c>
      <c r="AD264" s="339"/>
      <c r="AE264" s="340"/>
    </row>
    <row r="265">
      <c r="A265" s="336" t="s">
        <v>666</v>
      </c>
      <c r="B265" s="336">
        <v>9.0</v>
      </c>
      <c r="C265" s="336">
        <v>288.0</v>
      </c>
      <c r="D265" s="336" t="s">
        <v>561</v>
      </c>
      <c r="E265" s="336">
        <v>1.0</v>
      </c>
      <c r="F265" s="337">
        <v>45544.58819444444</v>
      </c>
      <c r="G265" s="336">
        <v>1.0</v>
      </c>
      <c r="H265" s="336">
        <v>51.3708</v>
      </c>
      <c r="I265" s="336">
        <v>8.26847</v>
      </c>
      <c r="J265" s="336">
        <v>-26.883256</v>
      </c>
      <c r="K265" s="336">
        <v>-25.664581</v>
      </c>
      <c r="L265" s="336">
        <v>1052.15</v>
      </c>
      <c r="M265" s="336">
        <v>70.99911</v>
      </c>
      <c r="N265" s="336">
        <v>11419.9394</v>
      </c>
      <c r="O265" s="336">
        <v>11419.2579</v>
      </c>
      <c r="P265" s="338">
        <v>2050.24149</v>
      </c>
      <c r="Q265" s="338" t="s">
        <v>509</v>
      </c>
      <c r="R265" s="338" t="s">
        <v>12</v>
      </c>
      <c r="S265" s="338">
        <v>10.0</v>
      </c>
      <c r="T265" s="338">
        <v>5.0</v>
      </c>
      <c r="U265" s="338">
        <v>0.7</v>
      </c>
      <c r="V265" s="338">
        <v>0.7</v>
      </c>
      <c r="W265" s="338">
        <v>0.7</v>
      </c>
      <c r="X265" s="336">
        <v>2000.0</v>
      </c>
      <c r="Y265" s="336" t="s">
        <v>510</v>
      </c>
      <c r="Z265" s="336">
        <v>0.2</v>
      </c>
      <c r="AA265" s="336" t="s">
        <v>511</v>
      </c>
      <c r="AB265" s="336" t="s">
        <v>512</v>
      </c>
      <c r="AC265" s="336">
        <v>220.0</v>
      </c>
      <c r="AD265" s="339"/>
      <c r="AE265" s="340"/>
    </row>
    <row r="266">
      <c r="A266" s="336" t="s">
        <v>730</v>
      </c>
      <c r="B266" s="336" t="s">
        <v>517</v>
      </c>
      <c r="C266" s="336" t="s">
        <v>703</v>
      </c>
      <c r="D266" s="336" t="s">
        <v>508</v>
      </c>
      <c r="E266" s="336">
        <v>0.8</v>
      </c>
      <c r="F266" s="337">
        <v>45544.59166666667</v>
      </c>
      <c r="G266" s="336">
        <v>1.0</v>
      </c>
      <c r="H266" s="336">
        <v>51.3675</v>
      </c>
      <c r="I266" s="336">
        <v>8.1317</v>
      </c>
      <c r="J266" s="336">
        <v>-26.9677</v>
      </c>
      <c r="K266" s="336">
        <v>-25.965675</v>
      </c>
      <c r="L266" s="336">
        <v>985.603</v>
      </c>
      <c r="M266" s="336">
        <v>68.999346</v>
      </c>
      <c r="N266" s="336">
        <v>9203.90565</v>
      </c>
      <c r="O266" s="336">
        <v>9176.39256</v>
      </c>
      <c r="P266" s="338">
        <v>2070.3457</v>
      </c>
      <c r="Q266" s="338" t="s">
        <v>519</v>
      </c>
      <c r="R266" s="338" t="s">
        <v>12</v>
      </c>
      <c r="S266" s="338">
        <v>10.0</v>
      </c>
      <c r="T266" s="338">
        <v>5.0</v>
      </c>
      <c r="U266" s="338">
        <v>0.7</v>
      </c>
      <c r="V266" s="338">
        <v>0.7</v>
      </c>
      <c r="W266" s="338">
        <v>0.7</v>
      </c>
      <c r="X266" s="336">
        <v>2000.0</v>
      </c>
      <c r="Y266" s="336" t="s">
        <v>510</v>
      </c>
      <c r="Z266" s="336">
        <v>0.2</v>
      </c>
      <c r="AA266" s="336" t="s">
        <v>511</v>
      </c>
      <c r="AB266" s="336" t="s">
        <v>512</v>
      </c>
      <c r="AC266" s="336">
        <v>220.0</v>
      </c>
      <c r="AD266" s="339"/>
      <c r="AE266" s="340"/>
    </row>
    <row r="267">
      <c r="A267" s="336" t="s">
        <v>731</v>
      </c>
      <c r="B267" s="336" t="s">
        <v>517</v>
      </c>
      <c r="C267" s="336" t="s">
        <v>703</v>
      </c>
      <c r="D267" s="336" t="s">
        <v>508</v>
      </c>
      <c r="E267" s="336">
        <v>0.8</v>
      </c>
      <c r="F267" s="337">
        <v>45544.59444444445</v>
      </c>
      <c r="G267" s="336">
        <v>1.0</v>
      </c>
      <c r="H267" s="336">
        <v>51.3708</v>
      </c>
      <c r="I267" s="336">
        <v>8.24648</v>
      </c>
      <c r="J267" s="336">
        <v>-27.068013</v>
      </c>
      <c r="K267" s="336">
        <v>-25.842762</v>
      </c>
      <c r="L267" s="336">
        <v>991.564</v>
      </c>
      <c r="M267" s="336">
        <v>66.500665</v>
      </c>
      <c r="N267" s="336">
        <v>9180.76523</v>
      </c>
      <c r="O267" s="336">
        <v>9176.39256</v>
      </c>
      <c r="P267" s="338">
        <v>2070.3457</v>
      </c>
      <c r="Q267" s="338" t="s">
        <v>509</v>
      </c>
      <c r="R267" s="338" t="s">
        <v>12</v>
      </c>
      <c r="S267" s="338">
        <v>10.0</v>
      </c>
      <c r="T267" s="338">
        <v>5.0</v>
      </c>
      <c r="U267" s="338">
        <v>0.7</v>
      </c>
      <c r="V267" s="338">
        <v>0.7</v>
      </c>
      <c r="W267" s="338">
        <v>0.7</v>
      </c>
      <c r="X267" s="336">
        <v>2000.0</v>
      </c>
      <c r="Y267" s="336" t="s">
        <v>510</v>
      </c>
      <c r="Z267" s="336">
        <v>0.2</v>
      </c>
      <c r="AA267" s="336" t="s">
        <v>511</v>
      </c>
      <c r="AB267" s="336" t="s">
        <v>512</v>
      </c>
      <c r="AC267" s="336">
        <v>220.0</v>
      </c>
      <c r="AD267" s="339"/>
      <c r="AE267" s="340"/>
    </row>
    <row r="268">
      <c r="A268" s="336" t="s">
        <v>732</v>
      </c>
      <c r="B268" s="336" t="s">
        <v>517</v>
      </c>
      <c r="C268" s="336" t="s">
        <v>703</v>
      </c>
      <c r="D268" s="336" t="s">
        <v>508</v>
      </c>
      <c r="E268" s="336">
        <v>0.8</v>
      </c>
      <c r="F268" s="337">
        <v>45544.59722222222</v>
      </c>
      <c r="G268" s="336">
        <v>1.0</v>
      </c>
      <c r="H268" s="336">
        <v>51.3774</v>
      </c>
      <c r="I268" s="336">
        <v>8.17421</v>
      </c>
      <c r="J268" s="336">
        <v>-27.111825</v>
      </c>
      <c r="K268" s="336">
        <v>-25.469638</v>
      </c>
      <c r="L268" s="336">
        <v>1001.42</v>
      </c>
      <c r="M268" s="336">
        <v>61.499349</v>
      </c>
      <c r="N268" s="336">
        <v>9172.01988</v>
      </c>
      <c r="O268" s="336">
        <v>9176.39256</v>
      </c>
      <c r="P268" s="338">
        <v>2070.3457</v>
      </c>
      <c r="Q268" s="338" t="s">
        <v>509</v>
      </c>
      <c r="R268" s="338" t="s">
        <v>12</v>
      </c>
      <c r="S268" s="338">
        <v>10.0</v>
      </c>
      <c r="T268" s="338">
        <v>5.0</v>
      </c>
      <c r="U268" s="338">
        <v>0.7</v>
      </c>
      <c r="V268" s="338">
        <v>0.7</v>
      </c>
      <c r="W268" s="338">
        <v>0.7</v>
      </c>
      <c r="X268" s="336">
        <v>2000.0</v>
      </c>
      <c r="Y268" s="336" t="s">
        <v>510</v>
      </c>
      <c r="Z268" s="336">
        <v>0.2</v>
      </c>
      <c r="AA268" s="336" t="s">
        <v>511</v>
      </c>
      <c r="AB268" s="336" t="s">
        <v>512</v>
      </c>
      <c r="AC268" s="336">
        <v>220.0</v>
      </c>
      <c r="AD268" s="339"/>
      <c r="AE268" s="340"/>
    </row>
    <row r="269">
      <c r="A269" s="336" t="s">
        <v>733</v>
      </c>
      <c r="B269" s="336" t="s">
        <v>523</v>
      </c>
      <c r="C269" s="336" t="s">
        <v>703</v>
      </c>
      <c r="D269" s="336" t="s">
        <v>508</v>
      </c>
      <c r="E269" s="336">
        <v>1.0</v>
      </c>
      <c r="F269" s="337">
        <v>45544.6</v>
      </c>
      <c r="G269" s="336">
        <v>1.0</v>
      </c>
      <c r="H269" s="336">
        <v>51.3774</v>
      </c>
      <c r="I269" s="336">
        <v>8.39648</v>
      </c>
      <c r="J269" s="336">
        <v>-27.144112</v>
      </c>
      <c r="K269" s="336">
        <v>-25.688756</v>
      </c>
      <c r="L269" s="336">
        <v>1065.59</v>
      </c>
      <c r="M269" s="336">
        <v>72.000575</v>
      </c>
      <c r="N269" s="336">
        <v>11512.4468</v>
      </c>
      <c r="O269" s="336">
        <v>11510.9665</v>
      </c>
      <c r="P269" s="338">
        <v>2070.3457</v>
      </c>
      <c r="Q269" s="338" t="s">
        <v>519</v>
      </c>
      <c r="R269" s="338" t="s">
        <v>12</v>
      </c>
      <c r="S269" s="338">
        <v>10.0</v>
      </c>
      <c r="T269" s="338">
        <v>5.0</v>
      </c>
      <c r="U269" s="338">
        <v>0.7</v>
      </c>
      <c r="V269" s="338">
        <v>0.7</v>
      </c>
      <c r="W269" s="338">
        <v>0.7</v>
      </c>
      <c r="X269" s="336">
        <v>2000.0</v>
      </c>
      <c r="Y269" s="336" t="s">
        <v>510</v>
      </c>
      <c r="Z269" s="336">
        <v>0.2</v>
      </c>
      <c r="AA269" s="336" t="s">
        <v>511</v>
      </c>
      <c r="AB269" s="336" t="s">
        <v>512</v>
      </c>
      <c r="AC269" s="336">
        <v>220.0</v>
      </c>
      <c r="AD269" s="339"/>
      <c r="AE269" s="340"/>
    </row>
    <row r="270">
      <c r="A270" s="336" t="s">
        <v>734</v>
      </c>
      <c r="B270" s="336" t="s">
        <v>523</v>
      </c>
      <c r="C270" s="336" t="s">
        <v>703</v>
      </c>
      <c r="D270" s="336" t="s">
        <v>508</v>
      </c>
      <c r="E270" s="336">
        <v>1.0</v>
      </c>
      <c r="F270" s="337">
        <v>45544.60277777778</v>
      </c>
      <c r="G270" s="336">
        <v>1.0</v>
      </c>
      <c r="H270" s="336">
        <v>51.3708</v>
      </c>
      <c r="I270" s="336">
        <v>8.19026</v>
      </c>
      <c r="J270" s="336">
        <v>-27.036587</v>
      </c>
      <c r="K270" s="336">
        <v>-25.142344</v>
      </c>
      <c r="L270" s="336">
        <v>1049.21</v>
      </c>
      <c r="M270" s="336">
        <v>63.499052</v>
      </c>
      <c r="N270" s="336">
        <v>11476.5247</v>
      </c>
      <c r="O270" s="336">
        <v>11510.9665</v>
      </c>
      <c r="P270" s="338">
        <v>2070.3457</v>
      </c>
      <c r="Q270" s="338" t="s">
        <v>519</v>
      </c>
      <c r="R270" s="338" t="s">
        <v>12</v>
      </c>
      <c r="S270" s="338">
        <v>10.0</v>
      </c>
      <c r="T270" s="338">
        <v>5.0</v>
      </c>
      <c r="U270" s="338">
        <v>0.7</v>
      </c>
      <c r="V270" s="338">
        <v>0.7</v>
      </c>
      <c r="W270" s="338">
        <v>0.7</v>
      </c>
      <c r="X270" s="336">
        <v>2000.0</v>
      </c>
      <c r="Y270" s="336" t="s">
        <v>510</v>
      </c>
      <c r="Z270" s="336">
        <v>0.2</v>
      </c>
      <c r="AA270" s="336" t="s">
        <v>511</v>
      </c>
      <c r="AB270" s="336" t="s">
        <v>512</v>
      </c>
      <c r="AC270" s="336">
        <v>220.0</v>
      </c>
      <c r="AD270" s="339"/>
      <c r="AE270" s="340"/>
    </row>
    <row r="271">
      <c r="A271" s="342" t="s">
        <v>735</v>
      </c>
      <c r="B271" s="342" t="s">
        <v>523</v>
      </c>
      <c r="C271" s="342" t="s">
        <v>703</v>
      </c>
      <c r="D271" s="342" t="s">
        <v>508</v>
      </c>
      <c r="E271" s="342">
        <v>1.0</v>
      </c>
      <c r="F271" s="343">
        <v>45544.60555555556</v>
      </c>
      <c r="G271" s="342">
        <v>1.0</v>
      </c>
      <c r="H271" s="342">
        <v>51.3741</v>
      </c>
      <c r="I271" s="342">
        <v>8.25335</v>
      </c>
      <c r="J271" s="342">
        <v>-27.136862</v>
      </c>
      <c r="K271" s="342">
        <v>-25.446244</v>
      </c>
      <c r="L271" s="342">
        <v>1062.42</v>
      </c>
      <c r="M271" s="342">
        <v>67.499142</v>
      </c>
      <c r="N271" s="342">
        <v>11504.8869</v>
      </c>
      <c r="O271" s="342">
        <v>11510.9665</v>
      </c>
      <c r="P271" s="344">
        <v>2070.3457</v>
      </c>
      <c r="Q271" s="344" t="s">
        <v>509</v>
      </c>
      <c r="R271" s="338" t="s">
        <v>12</v>
      </c>
      <c r="S271" s="338">
        <v>10.0</v>
      </c>
      <c r="T271" s="338">
        <v>5.0</v>
      </c>
      <c r="U271" s="338">
        <v>0.7</v>
      </c>
      <c r="V271" s="338">
        <v>0.7</v>
      </c>
      <c r="W271" s="338">
        <v>0.7</v>
      </c>
      <c r="X271" s="336">
        <v>2000.0</v>
      </c>
      <c r="Y271" s="336" t="s">
        <v>510</v>
      </c>
      <c r="Z271" s="336">
        <v>0.2</v>
      </c>
      <c r="AA271" s="336" t="s">
        <v>511</v>
      </c>
      <c r="AB271" s="336" t="s">
        <v>512</v>
      </c>
      <c r="AC271" s="336">
        <v>220.0</v>
      </c>
      <c r="AD271" s="339"/>
      <c r="AE271" s="340"/>
    </row>
    <row r="272">
      <c r="A272" s="342" t="s">
        <v>736</v>
      </c>
      <c r="B272" s="342" t="s">
        <v>523</v>
      </c>
      <c r="C272" s="342" t="s">
        <v>703</v>
      </c>
      <c r="D272" s="342" t="s">
        <v>508</v>
      </c>
      <c r="E272" s="342">
        <v>1.0</v>
      </c>
      <c r="F272" s="343">
        <v>45544.60833333333</v>
      </c>
      <c r="G272" s="342">
        <v>1.0</v>
      </c>
      <c r="H272" s="342">
        <v>51.3741</v>
      </c>
      <c r="I272" s="342">
        <v>8.22525</v>
      </c>
      <c r="J272" s="342">
        <v>-27.089219</v>
      </c>
      <c r="K272" s="342">
        <v>-26.0385</v>
      </c>
      <c r="L272" s="342">
        <v>1054.42</v>
      </c>
      <c r="M272" s="342">
        <v>77.500409</v>
      </c>
      <c r="N272" s="342">
        <v>11517.046</v>
      </c>
      <c r="O272" s="342">
        <v>11510.9665</v>
      </c>
      <c r="P272" s="344">
        <v>2070.3457</v>
      </c>
      <c r="Q272" s="344" t="s">
        <v>509</v>
      </c>
      <c r="R272" s="338" t="s">
        <v>12</v>
      </c>
      <c r="S272" s="338">
        <v>10.0</v>
      </c>
      <c r="T272" s="338">
        <v>5.0</v>
      </c>
      <c r="U272" s="338">
        <v>0.7</v>
      </c>
      <c r="V272" s="338">
        <v>0.7</v>
      </c>
      <c r="W272" s="338">
        <v>0.7</v>
      </c>
      <c r="X272" s="336">
        <v>2000.0</v>
      </c>
      <c r="Y272" s="336" t="s">
        <v>510</v>
      </c>
      <c r="Z272" s="336">
        <v>0.2</v>
      </c>
      <c r="AA272" s="336" t="s">
        <v>511</v>
      </c>
      <c r="AB272" s="336" t="s">
        <v>512</v>
      </c>
      <c r="AC272" s="336">
        <v>220.0</v>
      </c>
      <c r="AD272" s="339"/>
      <c r="AE272" s="340"/>
    </row>
    <row r="273">
      <c r="A273" s="336" t="s">
        <v>737</v>
      </c>
      <c r="B273" s="336" t="s">
        <v>527</v>
      </c>
      <c r="C273" s="336" t="s">
        <v>703</v>
      </c>
      <c r="D273" s="336" t="s">
        <v>508</v>
      </c>
      <c r="E273" s="336">
        <v>1.2</v>
      </c>
      <c r="F273" s="337">
        <v>45544.61111111111</v>
      </c>
      <c r="G273" s="336">
        <v>1.0</v>
      </c>
      <c r="H273" s="336">
        <v>51.3741</v>
      </c>
      <c r="I273" s="336">
        <v>8.29207</v>
      </c>
      <c r="J273" s="336">
        <v>-27.028562</v>
      </c>
      <c r="K273" s="336">
        <v>-25.310713</v>
      </c>
      <c r="L273" s="336">
        <v>1098.58</v>
      </c>
      <c r="M273" s="336">
        <v>71.500533</v>
      </c>
      <c r="N273" s="336">
        <v>13834.8967</v>
      </c>
      <c r="O273" s="336">
        <v>13830.6616</v>
      </c>
      <c r="P273" s="338">
        <v>2070.3457</v>
      </c>
      <c r="Q273" s="338" t="s">
        <v>509</v>
      </c>
      <c r="R273" s="338" t="s">
        <v>12</v>
      </c>
      <c r="S273" s="338">
        <v>10.0</v>
      </c>
      <c r="T273" s="338">
        <v>5.0</v>
      </c>
      <c r="U273" s="338">
        <v>0.7</v>
      </c>
      <c r="V273" s="338">
        <v>0.7</v>
      </c>
      <c r="W273" s="338">
        <v>0.7</v>
      </c>
      <c r="X273" s="336">
        <v>2000.0</v>
      </c>
      <c r="Y273" s="336" t="s">
        <v>510</v>
      </c>
      <c r="Z273" s="336">
        <v>0.2</v>
      </c>
      <c r="AA273" s="336" t="s">
        <v>511</v>
      </c>
      <c r="AB273" s="336" t="s">
        <v>512</v>
      </c>
      <c r="AC273" s="336">
        <v>220.0</v>
      </c>
      <c r="AD273" s="339"/>
      <c r="AE273" s="340"/>
    </row>
    <row r="274">
      <c r="A274" s="336" t="s">
        <v>738</v>
      </c>
      <c r="B274" s="336" t="s">
        <v>527</v>
      </c>
      <c r="C274" s="336" t="s">
        <v>703</v>
      </c>
      <c r="D274" s="336" t="s">
        <v>508</v>
      </c>
      <c r="E274" s="336">
        <v>1.2</v>
      </c>
      <c r="F274" s="337">
        <v>45544.61388888889</v>
      </c>
      <c r="G274" s="336">
        <v>1.0</v>
      </c>
      <c r="H274" s="336">
        <v>51.3741</v>
      </c>
      <c r="I274" s="336">
        <v>8.22624</v>
      </c>
      <c r="J274" s="336">
        <v>-27.135125</v>
      </c>
      <c r="K274" s="336">
        <v>-25.317231</v>
      </c>
      <c r="L274" s="336">
        <v>1093.03</v>
      </c>
      <c r="M274" s="336">
        <v>70.001635</v>
      </c>
      <c r="N274" s="336">
        <v>13826.4266</v>
      </c>
      <c r="O274" s="336">
        <v>13830.6616</v>
      </c>
      <c r="P274" s="338">
        <v>2070.3457</v>
      </c>
      <c r="Q274" s="338" t="s">
        <v>509</v>
      </c>
      <c r="R274" s="338" t="s">
        <v>12</v>
      </c>
      <c r="S274" s="338">
        <v>10.0</v>
      </c>
      <c r="T274" s="338">
        <v>5.0</v>
      </c>
      <c r="U274" s="338">
        <v>0.7</v>
      </c>
      <c r="V274" s="338">
        <v>0.7</v>
      </c>
      <c r="W274" s="338">
        <v>0.7</v>
      </c>
      <c r="X274" s="336">
        <v>2000.0</v>
      </c>
      <c r="Y274" s="336" t="s">
        <v>510</v>
      </c>
      <c r="Z274" s="336">
        <v>0.2</v>
      </c>
      <c r="AA274" s="336" t="s">
        <v>511</v>
      </c>
      <c r="AB274" s="336" t="s">
        <v>512</v>
      </c>
      <c r="AC274" s="336">
        <v>220.0</v>
      </c>
      <c r="AD274" s="339"/>
      <c r="AE274" s="340"/>
    </row>
    <row r="275">
      <c r="A275" s="336" t="s">
        <v>634</v>
      </c>
      <c r="B275" s="336">
        <v>2.0</v>
      </c>
      <c r="C275" s="336">
        <v>261.0</v>
      </c>
      <c r="D275" s="336" t="s">
        <v>532</v>
      </c>
      <c r="E275" s="336">
        <v>1.0</v>
      </c>
      <c r="F275" s="337">
        <v>45544.61736111111</v>
      </c>
      <c r="G275" s="336">
        <v>1.0</v>
      </c>
      <c r="H275" s="336">
        <v>51.3741</v>
      </c>
      <c r="I275" s="336">
        <v>8.24073</v>
      </c>
      <c r="J275" s="336">
        <v>-27.075619</v>
      </c>
      <c r="K275" s="336">
        <v>-25.371187</v>
      </c>
      <c r="L275" s="336">
        <v>1046.08</v>
      </c>
      <c r="M275" s="336">
        <v>67.999407</v>
      </c>
      <c r="N275" s="336">
        <v>11406.2209</v>
      </c>
      <c r="O275" s="336">
        <v>11403.216</v>
      </c>
      <c r="P275" s="338">
        <v>2052.05603</v>
      </c>
      <c r="Q275" s="338" t="s">
        <v>509</v>
      </c>
      <c r="R275" s="338" t="s">
        <v>12</v>
      </c>
      <c r="S275" s="338">
        <v>10.0</v>
      </c>
      <c r="T275" s="338">
        <v>5.0</v>
      </c>
      <c r="U275" s="338">
        <v>0.7</v>
      </c>
      <c r="V275" s="338">
        <v>0.7</v>
      </c>
      <c r="W275" s="338">
        <v>0.7</v>
      </c>
      <c r="X275" s="336">
        <v>2000.0</v>
      </c>
      <c r="Y275" s="336" t="s">
        <v>510</v>
      </c>
      <c r="Z275" s="336">
        <v>0.2</v>
      </c>
      <c r="AA275" s="336" t="s">
        <v>511</v>
      </c>
      <c r="AB275" s="336" t="s">
        <v>512</v>
      </c>
      <c r="AC275" s="336">
        <v>220.0</v>
      </c>
      <c r="AD275" s="339"/>
      <c r="AE275" s="340"/>
    </row>
    <row r="276">
      <c r="A276" s="336" t="s">
        <v>669</v>
      </c>
      <c r="B276" s="336">
        <v>2.0</v>
      </c>
      <c r="C276" s="336">
        <v>261.0</v>
      </c>
      <c r="D276" s="336" t="s">
        <v>532</v>
      </c>
      <c r="E276" s="336">
        <v>1.0</v>
      </c>
      <c r="F276" s="337">
        <v>45544.62013888889</v>
      </c>
      <c r="G276" s="336">
        <v>1.0</v>
      </c>
      <c r="H276" s="336">
        <v>51.3807</v>
      </c>
      <c r="I276" s="336">
        <v>8.33185</v>
      </c>
      <c r="J276" s="336">
        <v>-27.110469</v>
      </c>
      <c r="K276" s="336">
        <v>-25.554913</v>
      </c>
      <c r="L276" s="336">
        <v>1033.25</v>
      </c>
      <c r="M276" s="336">
        <v>67.500032</v>
      </c>
      <c r="N276" s="336">
        <v>11400.2111</v>
      </c>
      <c r="O276" s="336">
        <v>11403.216</v>
      </c>
      <c r="P276" s="338">
        <v>2052.05603</v>
      </c>
      <c r="Q276" s="338" t="s">
        <v>509</v>
      </c>
      <c r="R276" s="338" t="s">
        <v>12</v>
      </c>
      <c r="S276" s="338">
        <v>10.0</v>
      </c>
      <c r="T276" s="338">
        <v>5.0</v>
      </c>
      <c r="U276" s="338">
        <v>0.7</v>
      </c>
      <c r="V276" s="338">
        <v>0.7</v>
      </c>
      <c r="W276" s="338">
        <v>0.7</v>
      </c>
      <c r="X276" s="336">
        <v>2000.0</v>
      </c>
      <c r="Y276" s="336" t="s">
        <v>510</v>
      </c>
      <c r="Z276" s="336">
        <v>0.2</v>
      </c>
      <c r="AA276" s="336" t="s">
        <v>511</v>
      </c>
      <c r="AB276" s="336" t="s">
        <v>512</v>
      </c>
      <c r="AC276" s="336">
        <v>220.0</v>
      </c>
      <c r="AD276" s="339"/>
      <c r="AE276" s="340"/>
    </row>
    <row r="277">
      <c r="A277" s="336" t="s">
        <v>635</v>
      </c>
      <c r="B277" s="336">
        <v>3.0</v>
      </c>
      <c r="C277" s="336">
        <v>262.0</v>
      </c>
      <c r="D277" s="336" t="s">
        <v>540</v>
      </c>
      <c r="E277" s="336">
        <v>1.0</v>
      </c>
      <c r="F277" s="337">
        <v>45544.623611111114</v>
      </c>
      <c r="G277" s="336">
        <v>1.0</v>
      </c>
      <c r="H277" s="336">
        <v>51.3774</v>
      </c>
      <c r="I277" s="336">
        <v>8.14247</v>
      </c>
      <c r="J277" s="336">
        <v>-27.028919</v>
      </c>
      <c r="K277" s="336">
        <v>-25.659106</v>
      </c>
      <c r="L277" s="336">
        <v>1055.28</v>
      </c>
      <c r="M277" s="336">
        <v>71.000149</v>
      </c>
      <c r="N277" s="336">
        <v>11420.1152</v>
      </c>
      <c r="O277" s="336">
        <v>11415.9316</v>
      </c>
      <c r="P277" s="338">
        <v>2054.31852</v>
      </c>
      <c r="Q277" s="338" t="s">
        <v>519</v>
      </c>
      <c r="R277" s="338" t="s">
        <v>12</v>
      </c>
      <c r="S277" s="338">
        <v>10.0</v>
      </c>
      <c r="T277" s="338">
        <v>5.0</v>
      </c>
      <c r="U277" s="338">
        <v>0.7</v>
      </c>
      <c r="V277" s="338">
        <v>0.7</v>
      </c>
      <c r="W277" s="338">
        <v>0.7</v>
      </c>
      <c r="X277" s="336">
        <v>2000.0</v>
      </c>
      <c r="Y277" s="336" t="s">
        <v>510</v>
      </c>
      <c r="Z277" s="336">
        <v>0.2</v>
      </c>
      <c r="AA277" s="336" t="s">
        <v>511</v>
      </c>
      <c r="AB277" s="336" t="s">
        <v>512</v>
      </c>
      <c r="AC277" s="336">
        <v>220.0</v>
      </c>
      <c r="AD277" s="339"/>
      <c r="AE277" s="340"/>
    </row>
    <row r="278">
      <c r="A278" s="336" t="s">
        <v>739</v>
      </c>
      <c r="B278" s="336">
        <v>3.0</v>
      </c>
      <c r="C278" s="336">
        <v>262.0</v>
      </c>
      <c r="D278" s="336" t="s">
        <v>540</v>
      </c>
      <c r="E278" s="336">
        <v>1.0</v>
      </c>
      <c r="F278" s="337">
        <v>45544.626388888886</v>
      </c>
      <c r="G278" s="336">
        <v>1.0</v>
      </c>
      <c r="H278" s="336">
        <v>51.3741</v>
      </c>
      <c r="I278" s="336">
        <v>8.1895</v>
      </c>
      <c r="J278" s="336">
        <v>-27.13625</v>
      </c>
      <c r="K278" s="336">
        <v>-25.490275</v>
      </c>
      <c r="L278" s="336">
        <v>1040.23</v>
      </c>
      <c r="M278" s="336">
        <v>69.000339</v>
      </c>
      <c r="N278" s="336">
        <v>11395.7175</v>
      </c>
      <c r="O278" s="336">
        <v>11415.9316</v>
      </c>
      <c r="P278" s="338">
        <v>2054.31852</v>
      </c>
      <c r="Q278" s="338" t="s">
        <v>519</v>
      </c>
      <c r="R278" s="338" t="s">
        <v>12</v>
      </c>
      <c r="S278" s="338">
        <v>10.0</v>
      </c>
      <c r="T278" s="338">
        <v>5.0</v>
      </c>
      <c r="U278" s="338">
        <v>0.7</v>
      </c>
      <c r="V278" s="338">
        <v>0.7</v>
      </c>
      <c r="W278" s="338">
        <v>0.7</v>
      </c>
      <c r="X278" s="336">
        <v>2000.0</v>
      </c>
      <c r="Y278" s="336" t="s">
        <v>510</v>
      </c>
      <c r="Z278" s="336">
        <v>0.2</v>
      </c>
      <c r="AA278" s="336" t="s">
        <v>511</v>
      </c>
      <c r="AB278" s="336" t="s">
        <v>512</v>
      </c>
      <c r="AC278" s="336">
        <v>220.0</v>
      </c>
      <c r="AD278" s="339"/>
      <c r="AE278" s="340"/>
    </row>
    <row r="279">
      <c r="A279" s="336" t="s">
        <v>740</v>
      </c>
      <c r="B279" s="336">
        <v>3.0</v>
      </c>
      <c r="C279" s="336">
        <v>262.0</v>
      </c>
      <c r="D279" s="336" t="s">
        <v>540</v>
      </c>
      <c r="E279" s="336">
        <v>1.0</v>
      </c>
      <c r="F279" s="337">
        <v>45544.629166666666</v>
      </c>
      <c r="G279" s="336">
        <v>1.0</v>
      </c>
      <c r="H279" s="336">
        <v>51.3741</v>
      </c>
      <c r="I279" s="336">
        <v>8.24581</v>
      </c>
      <c r="J279" s="336">
        <v>-27.190056</v>
      </c>
      <c r="K279" s="336">
        <v>-23.957275</v>
      </c>
      <c r="L279" s="336">
        <v>1047.88</v>
      </c>
      <c r="M279" s="336">
        <v>59.500719</v>
      </c>
      <c r="N279" s="336">
        <v>11355.5073</v>
      </c>
      <c r="O279" s="336">
        <v>11415.9316</v>
      </c>
      <c r="P279" s="338">
        <v>2054.31852</v>
      </c>
      <c r="Q279" s="338" t="s">
        <v>519</v>
      </c>
      <c r="R279" s="338" t="s">
        <v>12</v>
      </c>
      <c r="S279" s="338">
        <v>10.0</v>
      </c>
      <c r="T279" s="338">
        <v>5.0</v>
      </c>
      <c r="U279" s="338">
        <v>0.7</v>
      </c>
      <c r="V279" s="338">
        <v>0.7</v>
      </c>
      <c r="W279" s="338">
        <v>0.7</v>
      </c>
      <c r="X279" s="336">
        <v>2000.0</v>
      </c>
      <c r="Y279" s="336" t="s">
        <v>510</v>
      </c>
      <c r="Z279" s="336">
        <v>0.2</v>
      </c>
      <c r="AA279" s="336" t="s">
        <v>511</v>
      </c>
      <c r="AB279" s="336" t="s">
        <v>512</v>
      </c>
      <c r="AC279" s="336">
        <v>220.0</v>
      </c>
      <c r="AD279" s="339"/>
      <c r="AE279" s="340"/>
    </row>
    <row r="280">
      <c r="A280" s="336" t="s">
        <v>741</v>
      </c>
      <c r="B280" s="336">
        <v>3.0</v>
      </c>
      <c r="C280" s="336">
        <v>262.0</v>
      </c>
      <c r="D280" s="336" t="s">
        <v>540</v>
      </c>
      <c r="E280" s="336">
        <v>1.0</v>
      </c>
      <c r="F280" s="337">
        <v>45544.631944444445</v>
      </c>
      <c r="G280" s="336">
        <v>1.0</v>
      </c>
      <c r="H280" s="336">
        <v>51.3774</v>
      </c>
      <c r="I280" s="336">
        <v>8.26638</v>
      </c>
      <c r="J280" s="336">
        <v>-27.142956</v>
      </c>
      <c r="K280" s="336">
        <v>-25.671813</v>
      </c>
      <c r="L280" s="336">
        <v>1057.08</v>
      </c>
      <c r="M280" s="336">
        <v>69.500658</v>
      </c>
      <c r="N280" s="336">
        <v>11419.5727</v>
      </c>
      <c r="O280" s="336">
        <v>11415.9316</v>
      </c>
      <c r="P280" s="338">
        <v>2054.31852</v>
      </c>
      <c r="Q280" s="338" t="s">
        <v>509</v>
      </c>
      <c r="R280" s="338" t="s">
        <v>12</v>
      </c>
      <c r="S280" s="338">
        <v>10.0</v>
      </c>
      <c r="T280" s="338">
        <v>5.0</v>
      </c>
      <c r="U280" s="338">
        <v>0.7</v>
      </c>
      <c r="V280" s="338">
        <v>0.7</v>
      </c>
      <c r="W280" s="338">
        <v>0.7</v>
      </c>
      <c r="X280" s="336">
        <v>2000.0</v>
      </c>
      <c r="Y280" s="336" t="s">
        <v>510</v>
      </c>
      <c r="Z280" s="336">
        <v>0.2</v>
      </c>
      <c r="AA280" s="336" t="s">
        <v>511</v>
      </c>
      <c r="AB280" s="336" t="s">
        <v>512</v>
      </c>
      <c r="AC280" s="336">
        <v>220.0</v>
      </c>
      <c r="AD280" s="339"/>
      <c r="AE280" s="340"/>
    </row>
    <row r="281">
      <c r="A281" s="336" t="s">
        <v>742</v>
      </c>
      <c r="B281" s="336">
        <v>3.0</v>
      </c>
      <c r="C281" s="336">
        <v>262.0</v>
      </c>
      <c r="D281" s="336" t="s">
        <v>540</v>
      </c>
      <c r="E281" s="336">
        <v>1.0</v>
      </c>
      <c r="F281" s="337">
        <v>45544.634722222225</v>
      </c>
      <c r="G281" s="336">
        <v>1.0</v>
      </c>
      <c r="H281" s="336">
        <v>51.3774</v>
      </c>
      <c r="I281" s="336">
        <v>8.24067</v>
      </c>
      <c r="J281" s="336">
        <v>-27.136675</v>
      </c>
      <c r="K281" s="336">
        <v>-25.687556</v>
      </c>
      <c r="L281" s="336">
        <v>1053.51</v>
      </c>
      <c r="M281" s="336">
        <v>69.49949</v>
      </c>
      <c r="N281" s="336">
        <v>11412.2905</v>
      </c>
      <c r="O281" s="336">
        <v>11415.9316</v>
      </c>
      <c r="P281" s="338">
        <v>2054.31852</v>
      </c>
      <c r="Q281" s="338" t="s">
        <v>509</v>
      </c>
      <c r="R281" s="338" t="s">
        <v>12</v>
      </c>
      <c r="S281" s="338">
        <v>10.0</v>
      </c>
      <c r="T281" s="338">
        <v>5.0</v>
      </c>
      <c r="U281" s="338">
        <v>0.7</v>
      </c>
      <c r="V281" s="338">
        <v>0.7</v>
      </c>
      <c r="W281" s="338">
        <v>0.7</v>
      </c>
      <c r="X281" s="336">
        <v>2000.0</v>
      </c>
      <c r="Y281" s="336" t="s">
        <v>510</v>
      </c>
      <c r="Z281" s="336">
        <v>0.2</v>
      </c>
      <c r="AA281" s="336" t="s">
        <v>511</v>
      </c>
      <c r="AB281" s="336" t="s">
        <v>512</v>
      </c>
      <c r="AC281" s="336">
        <v>220.0</v>
      </c>
      <c r="AD281" s="339"/>
      <c r="AE281" s="340"/>
    </row>
    <row r="282">
      <c r="A282" s="336" t="s">
        <v>678</v>
      </c>
      <c r="B282" s="336">
        <v>4.0</v>
      </c>
      <c r="C282" s="336">
        <v>248.0</v>
      </c>
      <c r="D282" s="336" t="s">
        <v>544</v>
      </c>
      <c r="E282" s="336">
        <v>1.0</v>
      </c>
      <c r="F282" s="337">
        <v>45544.638194444444</v>
      </c>
      <c r="G282" s="336">
        <v>1.0</v>
      </c>
      <c r="H282" s="336">
        <v>51.3741</v>
      </c>
      <c r="I282" s="336">
        <v>8.19193</v>
      </c>
      <c r="J282" s="336">
        <v>-27.157356</v>
      </c>
      <c r="K282" s="336">
        <v>-25.8179</v>
      </c>
      <c r="L282" s="336">
        <v>1043.94</v>
      </c>
      <c r="M282" s="336">
        <v>74.501852</v>
      </c>
      <c r="N282" s="336">
        <v>11332.6916</v>
      </c>
      <c r="O282" s="336">
        <v>11326.2869</v>
      </c>
      <c r="P282" s="338">
        <v>2038.36797</v>
      </c>
      <c r="Q282" s="338" t="s">
        <v>509</v>
      </c>
      <c r="R282" s="338" t="s">
        <v>12</v>
      </c>
      <c r="S282" s="338">
        <v>10.0</v>
      </c>
      <c r="T282" s="338">
        <v>5.0</v>
      </c>
      <c r="U282" s="338">
        <v>0.7</v>
      </c>
      <c r="V282" s="338">
        <v>0.7</v>
      </c>
      <c r="W282" s="338">
        <v>0.7</v>
      </c>
      <c r="X282" s="336">
        <v>2000.0</v>
      </c>
      <c r="Y282" s="336" t="s">
        <v>510</v>
      </c>
      <c r="Z282" s="336">
        <v>0.2</v>
      </c>
      <c r="AA282" s="336" t="s">
        <v>511</v>
      </c>
      <c r="AB282" s="336" t="s">
        <v>512</v>
      </c>
      <c r="AC282" s="336">
        <v>220.0</v>
      </c>
      <c r="AD282" s="339"/>
      <c r="AE282" s="340"/>
    </row>
    <row r="283">
      <c r="A283" s="349" t="s">
        <v>679</v>
      </c>
      <c r="B283" s="349">
        <v>4.0</v>
      </c>
      <c r="C283" s="349">
        <v>248.0</v>
      </c>
      <c r="D283" s="349" t="s">
        <v>544</v>
      </c>
      <c r="E283" s="349">
        <v>1.0</v>
      </c>
      <c r="F283" s="350">
        <v>45544.64097222222</v>
      </c>
      <c r="G283" s="349">
        <v>1.0</v>
      </c>
      <c r="H283" s="349">
        <v>51.3741</v>
      </c>
      <c r="I283" s="349">
        <v>8.2198</v>
      </c>
      <c r="J283" s="349">
        <v>-26.962781</v>
      </c>
      <c r="K283" s="349">
        <v>-25.603063</v>
      </c>
      <c r="L283" s="349">
        <v>1042.97</v>
      </c>
      <c r="M283" s="349">
        <v>68.001356</v>
      </c>
      <c r="N283" s="349">
        <v>11319.8823</v>
      </c>
      <c r="O283" s="349">
        <v>11326.2869</v>
      </c>
      <c r="P283" s="351">
        <v>2038.36797</v>
      </c>
      <c r="Q283" s="351" t="s">
        <v>509</v>
      </c>
      <c r="R283" s="338" t="s">
        <v>12</v>
      </c>
      <c r="S283" s="338">
        <v>10.0</v>
      </c>
      <c r="T283" s="338">
        <v>5.0</v>
      </c>
      <c r="U283" s="338">
        <v>0.7</v>
      </c>
      <c r="V283" s="338">
        <v>0.7</v>
      </c>
      <c r="W283" s="338">
        <v>0.7</v>
      </c>
      <c r="X283" s="336">
        <v>2000.0</v>
      </c>
      <c r="Y283" s="336" t="s">
        <v>510</v>
      </c>
      <c r="Z283" s="336">
        <v>0.2</v>
      </c>
      <c r="AA283" s="336" t="s">
        <v>511</v>
      </c>
      <c r="AB283" s="336" t="s">
        <v>512</v>
      </c>
      <c r="AC283" s="336">
        <v>220.0</v>
      </c>
      <c r="AD283" s="356" t="s">
        <v>743</v>
      </c>
      <c r="AE283" s="340"/>
    </row>
    <row r="284">
      <c r="A284" s="336" t="s">
        <v>682</v>
      </c>
      <c r="B284" s="336">
        <v>5.0</v>
      </c>
      <c r="C284" s="336" t="s">
        <v>703</v>
      </c>
      <c r="D284" s="336" t="s">
        <v>508</v>
      </c>
      <c r="E284" s="336">
        <v>1.0</v>
      </c>
      <c r="F284" s="337">
        <v>45544.64444444444</v>
      </c>
      <c r="G284" s="336">
        <v>1.0</v>
      </c>
      <c r="H284" s="336">
        <v>51.3708</v>
      </c>
      <c r="I284" s="336">
        <v>8.17511</v>
      </c>
      <c r="J284" s="336">
        <v>-27.090238</v>
      </c>
      <c r="K284" s="336">
        <v>-25.39295</v>
      </c>
      <c r="L284" s="336">
        <v>1042.94</v>
      </c>
      <c r="M284" s="336">
        <v>66.500304</v>
      </c>
      <c r="N284" s="336">
        <v>11480.0487</v>
      </c>
      <c r="O284" s="336">
        <v>11512.3879</v>
      </c>
      <c r="P284" s="338">
        <v>2071.48107</v>
      </c>
      <c r="Q284" s="338" t="s">
        <v>519</v>
      </c>
      <c r="R284" s="338" t="s">
        <v>12</v>
      </c>
      <c r="S284" s="338">
        <v>10.0</v>
      </c>
      <c r="T284" s="338">
        <v>5.0</v>
      </c>
      <c r="U284" s="338">
        <v>0.7</v>
      </c>
      <c r="V284" s="338">
        <v>0.7</v>
      </c>
      <c r="W284" s="338">
        <v>0.7</v>
      </c>
      <c r="X284" s="336">
        <v>2000.0</v>
      </c>
      <c r="Y284" s="336" t="s">
        <v>510</v>
      </c>
      <c r="Z284" s="336">
        <v>0.2</v>
      </c>
      <c r="AA284" s="336" t="s">
        <v>511</v>
      </c>
      <c r="AB284" s="336" t="s">
        <v>512</v>
      </c>
      <c r="AC284" s="336">
        <v>220.0</v>
      </c>
      <c r="AD284" s="339"/>
      <c r="AE284" s="340"/>
    </row>
    <row r="285">
      <c r="A285" s="342" t="s">
        <v>683</v>
      </c>
      <c r="B285" s="342">
        <v>5.0</v>
      </c>
      <c r="C285" s="342" t="s">
        <v>703</v>
      </c>
      <c r="D285" s="342" t="s">
        <v>508</v>
      </c>
      <c r="E285" s="342">
        <v>1.0</v>
      </c>
      <c r="F285" s="343">
        <v>45544.64722222222</v>
      </c>
      <c r="G285" s="342">
        <v>1.0</v>
      </c>
      <c r="H285" s="342">
        <v>51.3708</v>
      </c>
      <c r="I285" s="342">
        <v>8.24138</v>
      </c>
      <c r="J285" s="342">
        <v>-27.1064</v>
      </c>
      <c r="K285" s="342">
        <v>-25.568806</v>
      </c>
      <c r="L285" s="342">
        <v>1056.73</v>
      </c>
      <c r="M285" s="342">
        <v>68.001398</v>
      </c>
      <c r="N285" s="342">
        <v>11503.2734</v>
      </c>
      <c r="O285" s="342">
        <v>11512.3879</v>
      </c>
      <c r="P285" s="344">
        <v>2071.48107</v>
      </c>
      <c r="Q285" s="344" t="s">
        <v>509</v>
      </c>
      <c r="R285" s="338" t="s">
        <v>12</v>
      </c>
      <c r="S285" s="338">
        <v>10.0</v>
      </c>
      <c r="T285" s="338">
        <v>5.0</v>
      </c>
      <c r="U285" s="338">
        <v>0.7</v>
      </c>
      <c r="V285" s="338">
        <v>0.7</v>
      </c>
      <c r="W285" s="338">
        <v>0.7</v>
      </c>
      <c r="X285" s="336">
        <v>2000.0</v>
      </c>
      <c r="Y285" s="336" t="s">
        <v>510</v>
      </c>
      <c r="Z285" s="336">
        <v>0.2</v>
      </c>
      <c r="AA285" s="336" t="s">
        <v>511</v>
      </c>
      <c r="AB285" s="336" t="s">
        <v>512</v>
      </c>
      <c r="AC285" s="336">
        <v>220.0</v>
      </c>
      <c r="AD285" s="339"/>
      <c r="AE285" s="340"/>
    </row>
    <row r="286">
      <c r="A286" s="342" t="s">
        <v>684</v>
      </c>
      <c r="B286" s="342">
        <v>5.0</v>
      </c>
      <c r="C286" s="342" t="s">
        <v>703</v>
      </c>
      <c r="D286" s="342" t="s">
        <v>508</v>
      </c>
      <c r="E286" s="342">
        <v>1.0</v>
      </c>
      <c r="F286" s="343">
        <v>45544.65</v>
      </c>
      <c r="G286" s="342">
        <v>1.0</v>
      </c>
      <c r="H286" s="342">
        <v>51.3774</v>
      </c>
      <c r="I286" s="342">
        <v>8.33577</v>
      </c>
      <c r="J286" s="342">
        <v>-27.091638</v>
      </c>
      <c r="K286" s="342">
        <v>-25.90125</v>
      </c>
      <c r="L286" s="342">
        <v>1059.98</v>
      </c>
      <c r="M286" s="342">
        <v>75.999006</v>
      </c>
      <c r="N286" s="342">
        <v>11521.5023</v>
      </c>
      <c r="O286" s="342">
        <v>11512.3879</v>
      </c>
      <c r="P286" s="344">
        <v>2071.48107</v>
      </c>
      <c r="Q286" s="344" t="s">
        <v>509</v>
      </c>
      <c r="R286" s="338" t="s">
        <v>12</v>
      </c>
      <c r="S286" s="338">
        <v>10.0</v>
      </c>
      <c r="T286" s="338">
        <v>5.0</v>
      </c>
      <c r="U286" s="338">
        <v>0.7</v>
      </c>
      <c r="V286" s="338">
        <v>0.7</v>
      </c>
      <c r="W286" s="338">
        <v>0.7</v>
      </c>
      <c r="X286" s="336">
        <v>2000.0</v>
      </c>
      <c r="Y286" s="336" t="s">
        <v>510</v>
      </c>
      <c r="Z286" s="336">
        <v>0.2</v>
      </c>
      <c r="AA286" s="336" t="s">
        <v>511</v>
      </c>
      <c r="AB286" s="336" t="s">
        <v>512</v>
      </c>
      <c r="AC286" s="336">
        <v>220.0</v>
      </c>
      <c r="AD286" s="339"/>
      <c r="AE286" s="340"/>
    </row>
    <row r="287">
      <c r="A287" s="336" t="s">
        <v>505</v>
      </c>
      <c r="B287" s="336" t="s">
        <v>506</v>
      </c>
      <c r="C287" s="336" t="s">
        <v>507</v>
      </c>
      <c r="D287" s="336" t="s">
        <v>508</v>
      </c>
      <c r="E287" s="336">
        <v>1.0</v>
      </c>
      <c r="F287" s="337">
        <v>45545.47708333333</v>
      </c>
      <c r="G287" s="336">
        <v>1.0</v>
      </c>
      <c r="H287" s="336">
        <v>51.3741</v>
      </c>
      <c r="I287" s="336">
        <v>10.8894</v>
      </c>
      <c r="J287" s="336">
        <v>-26.5707</v>
      </c>
      <c r="K287" s="336">
        <v>-24.7593</v>
      </c>
      <c r="L287" s="336">
        <v>1002.96</v>
      </c>
      <c r="M287" s="336">
        <v>68.000204</v>
      </c>
      <c r="N287" s="336">
        <v>11304.4585</v>
      </c>
      <c r="O287" s="336">
        <v>11304.4585</v>
      </c>
      <c r="P287" s="338">
        <v>2034.48402</v>
      </c>
      <c r="Q287" s="338" t="s">
        <v>509</v>
      </c>
      <c r="R287" s="338" t="s">
        <v>12</v>
      </c>
      <c r="S287" s="338">
        <v>10.0</v>
      </c>
      <c r="T287" s="338">
        <v>5.0</v>
      </c>
      <c r="U287" s="338">
        <v>0.7</v>
      </c>
      <c r="V287" s="338">
        <v>0.7</v>
      </c>
      <c r="W287" s="338">
        <v>0.7</v>
      </c>
      <c r="X287" s="336">
        <v>2000.0</v>
      </c>
      <c r="Y287" s="336" t="s">
        <v>510</v>
      </c>
      <c r="Z287" s="336">
        <v>0.2</v>
      </c>
      <c r="AA287" s="336" t="s">
        <v>511</v>
      </c>
      <c r="AB287" s="336" t="s">
        <v>512</v>
      </c>
      <c r="AC287" s="336">
        <v>220.0</v>
      </c>
      <c r="AD287" s="339"/>
      <c r="AE287" s="340"/>
    </row>
    <row r="288">
      <c r="A288" s="336" t="s">
        <v>513</v>
      </c>
      <c r="B288" s="336" t="s">
        <v>506</v>
      </c>
      <c r="C288" s="336" t="s">
        <v>507</v>
      </c>
      <c r="D288" s="336" t="s">
        <v>508</v>
      </c>
      <c r="E288" s="336">
        <v>1.0</v>
      </c>
      <c r="F288" s="337">
        <v>45545.47986111111</v>
      </c>
      <c r="G288" s="336">
        <v>1.0</v>
      </c>
      <c r="H288" s="336">
        <v>51.3741</v>
      </c>
      <c r="I288" s="336">
        <v>10.8788</v>
      </c>
      <c r="J288" s="336">
        <v>-26.690363</v>
      </c>
      <c r="K288" s="336">
        <v>-24.497244</v>
      </c>
      <c r="L288" s="336">
        <v>998.008</v>
      </c>
      <c r="M288" s="336">
        <v>63.499526</v>
      </c>
      <c r="N288" s="336">
        <v>11194.8312</v>
      </c>
      <c r="O288" s="336">
        <v>11194.8312</v>
      </c>
      <c r="P288" s="338">
        <v>2014.97792</v>
      </c>
      <c r="Q288" s="338" t="s">
        <v>509</v>
      </c>
      <c r="R288" s="338" t="s">
        <v>12</v>
      </c>
      <c r="S288" s="338">
        <v>10.0</v>
      </c>
      <c r="T288" s="338">
        <v>5.0</v>
      </c>
      <c r="U288" s="338">
        <v>0.7</v>
      </c>
      <c r="V288" s="338">
        <v>0.7</v>
      </c>
      <c r="W288" s="338">
        <v>0.7</v>
      </c>
      <c r="X288" s="336">
        <v>2000.0</v>
      </c>
      <c r="Y288" s="336" t="s">
        <v>510</v>
      </c>
      <c r="Z288" s="336">
        <v>0.2</v>
      </c>
      <c r="AA288" s="336" t="s">
        <v>511</v>
      </c>
      <c r="AB288" s="336" t="s">
        <v>512</v>
      </c>
      <c r="AC288" s="336">
        <v>220.0</v>
      </c>
      <c r="AD288" s="339"/>
      <c r="AE288" s="340"/>
    </row>
    <row r="289">
      <c r="A289" s="336" t="s">
        <v>514</v>
      </c>
      <c r="B289" s="336" t="s">
        <v>506</v>
      </c>
      <c r="C289" s="336" t="s">
        <v>507</v>
      </c>
      <c r="D289" s="336" t="s">
        <v>508</v>
      </c>
      <c r="E289" s="336">
        <v>1.0</v>
      </c>
      <c r="F289" s="337">
        <v>45545.48263888889</v>
      </c>
      <c r="G289" s="336">
        <v>1.0</v>
      </c>
      <c r="H289" s="336">
        <v>51.3741</v>
      </c>
      <c r="I289" s="336">
        <v>10.399</v>
      </c>
      <c r="J289" s="336">
        <v>-26.788775</v>
      </c>
      <c r="K289" s="336">
        <v>-24.764937</v>
      </c>
      <c r="L289" s="336">
        <v>987.683</v>
      </c>
      <c r="M289" s="336">
        <v>65.50051</v>
      </c>
      <c r="N289" s="336">
        <v>11230.5118</v>
      </c>
      <c r="O289" s="336">
        <v>11230.5118</v>
      </c>
      <c r="P289" s="338">
        <v>2021.32661</v>
      </c>
      <c r="Q289" s="338" t="s">
        <v>509</v>
      </c>
      <c r="R289" s="338" t="s">
        <v>12</v>
      </c>
      <c r="S289" s="338">
        <v>10.0</v>
      </c>
      <c r="T289" s="338">
        <v>5.0</v>
      </c>
      <c r="U289" s="338">
        <v>0.7</v>
      </c>
      <c r="V289" s="338">
        <v>0.7</v>
      </c>
      <c r="W289" s="338">
        <v>0.7</v>
      </c>
      <c r="X289" s="336">
        <v>2000.0</v>
      </c>
      <c r="Y289" s="336" t="s">
        <v>510</v>
      </c>
      <c r="Z289" s="336">
        <v>0.2</v>
      </c>
      <c r="AA289" s="336" t="s">
        <v>511</v>
      </c>
      <c r="AB289" s="336" t="s">
        <v>512</v>
      </c>
      <c r="AC289" s="336">
        <v>220.0</v>
      </c>
      <c r="AD289" s="339"/>
      <c r="AE289" s="340"/>
    </row>
    <row r="290">
      <c r="A290" s="336" t="s">
        <v>515</v>
      </c>
      <c r="B290" s="336" t="s">
        <v>506</v>
      </c>
      <c r="C290" s="336" t="s">
        <v>507</v>
      </c>
      <c r="D290" s="336" t="s">
        <v>508</v>
      </c>
      <c r="E290" s="336">
        <v>1.0</v>
      </c>
      <c r="F290" s="337">
        <v>45545.48541666667</v>
      </c>
      <c r="G290" s="336">
        <v>1.0</v>
      </c>
      <c r="H290" s="336">
        <v>51.3708</v>
      </c>
      <c r="I290" s="336">
        <v>9.79377</v>
      </c>
      <c r="J290" s="336">
        <v>-26.736837</v>
      </c>
      <c r="K290" s="336">
        <v>-23.873644</v>
      </c>
      <c r="L290" s="336">
        <v>990.427</v>
      </c>
      <c r="M290" s="336">
        <v>60.501291</v>
      </c>
      <c r="N290" s="336">
        <v>11198.1943</v>
      </c>
      <c r="O290" s="336">
        <v>11198.1943</v>
      </c>
      <c r="P290" s="338">
        <v>2015.57634</v>
      </c>
      <c r="Q290" s="338" t="s">
        <v>509</v>
      </c>
      <c r="R290" s="338" t="s">
        <v>12</v>
      </c>
      <c r="S290" s="338">
        <v>10.0</v>
      </c>
      <c r="T290" s="338">
        <v>5.0</v>
      </c>
      <c r="U290" s="338">
        <v>0.7</v>
      </c>
      <c r="V290" s="338">
        <v>0.7</v>
      </c>
      <c r="W290" s="338">
        <v>0.7</v>
      </c>
      <c r="X290" s="336">
        <v>2000.0</v>
      </c>
      <c r="Y290" s="336" t="s">
        <v>510</v>
      </c>
      <c r="Z290" s="336">
        <v>0.2</v>
      </c>
      <c r="AA290" s="336" t="s">
        <v>511</v>
      </c>
      <c r="AB290" s="336" t="s">
        <v>512</v>
      </c>
      <c r="AC290" s="336">
        <v>220.0</v>
      </c>
      <c r="AD290" s="339"/>
      <c r="AE290" s="340"/>
    </row>
    <row r="291">
      <c r="A291" s="336" t="s">
        <v>636</v>
      </c>
      <c r="B291" s="336" t="s">
        <v>506</v>
      </c>
      <c r="C291" s="336" t="s">
        <v>507</v>
      </c>
      <c r="D291" s="336" t="s">
        <v>508</v>
      </c>
      <c r="E291" s="336">
        <v>1.0</v>
      </c>
      <c r="F291" s="337">
        <v>45545.4875</v>
      </c>
      <c r="G291" s="336">
        <v>1.0</v>
      </c>
      <c r="H291" s="336">
        <v>51.3774</v>
      </c>
      <c r="I291" s="336">
        <v>9.33715</v>
      </c>
      <c r="J291" s="336">
        <v>-26.754306</v>
      </c>
      <c r="K291" s="336">
        <v>-24.870838</v>
      </c>
      <c r="L291" s="336">
        <v>997.498</v>
      </c>
      <c r="M291" s="336">
        <v>65.500054</v>
      </c>
      <c r="N291" s="336">
        <v>11239.159</v>
      </c>
      <c r="O291" s="336">
        <v>11239.159</v>
      </c>
      <c r="P291" s="338">
        <v>2022.86521</v>
      </c>
      <c r="Q291" s="338" t="s">
        <v>509</v>
      </c>
      <c r="R291" s="338" t="s">
        <v>12</v>
      </c>
      <c r="S291" s="338">
        <v>10.0</v>
      </c>
      <c r="T291" s="338">
        <v>5.0</v>
      </c>
      <c r="U291" s="338">
        <v>0.7</v>
      </c>
      <c r="V291" s="338">
        <v>0.7</v>
      </c>
      <c r="W291" s="338">
        <v>0.7</v>
      </c>
      <c r="X291" s="336">
        <v>2000.0</v>
      </c>
      <c r="Y291" s="336" t="s">
        <v>510</v>
      </c>
      <c r="Z291" s="336">
        <v>0.2</v>
      </c>
      <c r="AA291" s="336" t="s">
        <v>511</v>
      </c>
      <c r="AB291" s="336" t="s">
        <v>512</v>
      </c>
      <c r="AC291" s="336">
        <v>220.0</v>
      </c>
      <c r="AD291" s="339"/>
      <c r="AE291" s="340"/>
    </row>
    <row r="292">
      <c r="A292" s="336" t="s">
        <v>531</v>
      </c>
      <c r="B292" s="336" t="s">
        <v>506</v>
      </c>
      <c r="C292" s="336" t="s">
        <v>507</v>
      </c>
      <c r="D292" s="336" t="s">
        <v>508</v>
      </c>
      <c r="E292" s="336">
        <v>1.0</v>
      </c>
      <c r="F292" s="337">
        <v>45545.490277777775</v>
      </c>
      <c r="G292" s="336">
        <v>1.0</v>
      </c>
      <c r="H292" s="336">
        <v>51.3741</v>
      </c>
      <c r="I292" s="336">
        <v>9.24063</v>
      </c>
      <c r="J292" s="336">
        <v>-26.807206</v>
      </c>
      <c r="K292" s="336">
        <v>-25.548494</v>
      </c>
      <c r="L292" s="336">
        <v>993.625</v>
      </c>
      <c r="M292" s="336">
        <v>79.499843</v>
      </c>
      <c r="N292" s="336">
        <v>11253.0105</v>
      </c>
      <c r="O292" s="336">
        <v>11253.0105</v>
      </c>
      <c r="P292" s="338">
        <v>2025.32983</v>
      </c>
      <c r="Q292" s="338" t="s">
        <v>509</v>
      </c>
      <c r="R292" s="338" t="s">
        <v>12</v>
      </c>
      <c r="S292" s="338">
        <v>10.0</v>
      </c>
      <c r="T292" s="338">
        <v>5.0</v>
      </c>
      <c r="U292" s="338">
        <v>0.7</v>
      </c>
      <c r="V292" s="338">
        <v>0.7</v>
      </c>
      <c r="W292" s="338">
        <v>0.7</v>
      </c>
      <c r="X292" s="336">
        <v>2000.0</v>
      </c>
      <c r="Y292" s="336" t="s">
        <v>510</v>
      </c>
      <c r="Z292" s="336">
        <v>0.2</v>
      </c>
      <c r="AA292" s="336" t="s">
        <v>511</v>
      </c>
      <c r="AB292" s="336" t="s">
        <v>512</v>
      </c>
      <c r="AC292" s="336">
        <v>220.0</v>
      </c>
      <c r="AD292" s="339"/>
      <c r="AE292" s="340"/>
    </row>
    <row r="293">
      <c r="A293" s="336" t="s">
        <v>539</v>
      </c>
      <c r="B293" s="336" t="s">
        <v>506</v>
      </c>
      <c r="C293" s="336" t="s">
        <v>507</v>
      </c>
      <c r="D293" s="336" t="s">
        <v>508</v>
      </c>
      <c r="E293" s="336">
        <v>1.0</v>
      </c>
      <c r="F293" s="337">
        <v>45545.493055555555</v>
      </c>
      <c r="G293" s="336">
        <v>1.0</v>
      </c>
      <c r="H293" s="336">
        <v>51.3708</v>
      </c>
      <c r="I293" s="336">
        <v>9.12753</v>
      </c>
      <c r="J293" s="336">
        <v>-26.893813</v>
      </c>
      <c r="K293" s="336">
        <v>-26.134256</v>
      </c>
      <c r="L293" s="336">
        <v>996.174</v>
      </c>
      <c r="M293" s="336">
        <v>98.999688</v>
      </c>
      <c r="N293" s="336">
        <v>11293.4394</v>
      </c>
      <c r="O293" s="336">
        <v>11293.4394</v>
      </c>
      <c r="P293" s="338">
        <v>2032.52338</v>
      </c>
      <c r="Q293" s="338" t="s">
        <v>509</v>
      </c>
      <c r="R293" s="338" t="s">
        <v>12</v>
      </c>
      <c r="S293" s="338">
        <v>10.0</v>
      </c>
      <c r="T293" s="338">
        <v>5.0</v>
      </c>
      <c r="U293" s="338">
        <v>0.7</v>
      </c>
      <c r="V293" s="338">
        <v>0.7</v>
      </c>
      <c r="W293" s="338">
        <v>0.7</v>
      </c>
      <c r="X293" s="336">
        <v>2000.0</v>
      </c>
      <c r="Y293" s="336" t="s">
        <v>510</v>
      </c>
      <c r="Z293" s="336">
        <v>0.2</v>
      </c>
      <c r="AA293" s="336" t="s">
        <v>511</v>
      </c>
      <c r="AB293" s="336" t="s">
        <v>512</v>
      </c>
      <c r="AC293" s="336">
        <v>220.0</v>
      </c>
      <c r="AD293" s="339"/>
      <c r="AE293" s="340"/>
    </row>
    <row r="294">
      <c r="A294" s="336" t="s">
        <v>543</v>
      </c>
      <c r="B294" s="336" t="s">
        <v>506</v>
      </c>
      <c r="C294" s="336" t="s">
        <v>507</v>
      </c>
      <c r="D294" s="336" t="s">
        <v>508</v>
      </c>
      <c r="E294" s="336">
        <v>1.0</v>
      </c>
      <c r="F294" s="337">
        <v>45545.49652777778</v>
      </c>
      <c r="G294" s="336">
        <v>1.0</v>
      </c>
      <c r="H294" s="336">
        <v>51.3741</v>
      </c>
      <c r="I294" s="336">
        <v>8.88082</v>
      </c>
      <c r="J294" s="336">
        <v>-26.920744</v>
      </c>
      <c r="K294" s="336">
        <v>-25.439206</v>
      </c>
      <c r="L294" s="336">
        <v>1003.09</v>
      </c>
      <c r="M294" s="336">
        <v>70.000399</v>
      </c>
      <c r="N294" s="336">
        <v>11238.8554</v>
      </c>
      <c r="O294" s="336">
        <v>11238.8554</v>
      </c>
      <c r="P294" s="338">
        <v>2022.81119</v>
      </c>
      <c r="Q294" s="338" t="s">
        <v>509</v>
      </c>
      <c r="R294" s="338" t="s">
        <v>12</v>
      </c>
      <c r="S294" s="338">
        <v>10.0</v>
      </c>
      <c r="T294" s="338">
        <v>5.0</v>
      </c>
      <c r="U294" s="338">
        <v>0.7</v>
      </c>
      <c r="V294" s="338">
        <v>0.7</v>
      </c>
      <c r="W294" s="338">
        <v>0.7</v>
      </c>
      <c r="X294" s="336">
        <v>2000.0</v>
      </c>
      <c r="Y294" s="336" t="s">
        <v>510</v>
      </c>
      <c r="Z294" s="336">
        <v>0.2</v>
      </c>
      <c r="AA294" s="336" t="s">
        <v>511</v>
      </c>
      <c r="AB294" s="336" t="s">
        <v>512</v>
      </c>
      <c r="AC294" s="336">
        <v>220.0</v>
      </c>
      <c r="AD294" s="339"/>
      <c r="AE294" s="340"/>
    </row>
    <row r="295">
      <c r="A295" s="336" t="s">
        <v>547</v>
      </c>
      <c r="B295" s="336" t="s">
        <v>506</v>
      </c>
      <c r="C295" s="336" t="s">
        <v>507</v>
      </c>
      <c r="D295" s="336" t="s">
        <v>508</v>
      </c>
      <c r="E295" s="336">
        <v>1.0</v>
      </c>
      <c r="F295" s="337">
        <v>45545.49930555555</v>
      </c>
      <c r="G295" s="336">
        <v>1.0</v>
      </c>
      <c r="H295" s="336">
        <v>51.3641</v>
      </c>
      <c r="I295" s="336">
        <v>8.90882</v>
      </c>
      <c r="J295" s="336">
        <v>-26.811663</v>
      </c>
      <c r="K295" s="336">
        <v>-25.319025</v>
      </c>
      <c r="L295" s="336">
        <v>995.917</v>
      </c>
      <c r="M295" s="336">
        <v>70.000695</v>
      </c>
      <c r="N295" s="336">
        <v>11244.1811</v>
      </c>
      <c r="O295" s="336">
        <v>11244.1811</v>
      </c>
      <c r="P295" s="338">
        <v>2023.75881</v>
      </c>
      <c r="Q295" s="338" t="s">
        <v>509</v>
      </c>
      <c r="R295" s="338" t="s">
        <v>12</v>
      </c>
      <c r="S295" s="338">
        <v>10.0</v>
      </c>
      <c r="T295" s="338">
        <v>5.0</v>
      </c>
      <c r="U295" s="338">
        <v>0.7</v>
      </c>
      <c r="V295" s="338">
        <v>0.7</v>
      </c>
      <c r="W295" s="338">
        <v>0.7</v>
      </c>
      <c r="X295" s="336">
        <v>2000.0</v>
      </c>
      <c r="Y295" s="336" t="s">
        <v>510</v>
      </c>
      <c r="Z295" s="336">
        <v>0.2</v>
      </c>
      <c r="AA295" s="336" t="s">
        <v>511</v>
      </c>
      <c r="AB295" s="336" t="s">
        <v>512</v>
      </c>
      <c r="AC295" s="336">
        <v>220.0</v>
      </c>
      <c r="AD295" s="339"/>
      <c r="AE295" s="340"/>
    </row>
    <row r="296">
      <c r="A296" s="336" t="s">
        <v>550</v>
      </c>
      <c r="B296" s="336" t="s">
        <v>506</v>
      </c>
      <c r="C296" s="336" t="s">
        <v>507</v>
      </c>
      <c r="D296" s="336" t="s">
        <v>508</v>
      </c>
      <c r="E296" s="336">
        <v>1.0</v>
      </c>
      <c r="F296" s="337">
        <v>45545.50208333333</v>
      </c>
      <c r="G296" s="336">
        <v>1.0</v>
      </c>
      <c r="H296" s="336">
        <v>51.3774</v>
      </c>
      <c r="I296" s="336">
        <v>8.85438</v>
      </c>
      <c r="J296" s="336">
        <v>-26.939963</v>
      </c>
      <c r="K296" s="336">
        <v>-24.961781</v>
      </c>
      <c r="L296" s="336">
        <v>1003.67</v>
      </c>
      <c r="M296" s="336">
        <v>65.001306</v>
      </c>
      <c r="N296" s="336">
        <v>11230.0801</v>
      </c>
      <c r="O296" s="336">
        <v>11230.0801</v>
      </c>
      <c r="P296" s="338">
        <v>2021.2498</v>
      </c>
      <c r="Q296" s="338" t="s">
        <v>509</v>
      </c>
      <c r="R296" s="338" t="s">
        <v>12</v>
      </c>
      <c r="S296" s="338">
        <v>10.0</v>
      </c>
      <c r="T296" s="338">
        <v>5.0</v>
      </c>
      <c r="U296" s="338">
        <v>0.7</v>
      </c>
      <c r="V296" s="338">
        <v>0.7</v>
      </c>
      <c r="W296" s="338">
        <v>0.7</v>
      </c>
      <c r="X296" s="336">
        <v>2000.0</v>
      </c>
      <c r="Y296" s="336" t="s">
        <v>510</v>
      </c>
      <c r="Z296" s="336">
        <v>0.2</v>
      </c>
      <c r="AA296" s="336" t="s">
        <v>511</v>
      </c>
      <c r="AB296" s="336" t="s">
        <v>512</v>
      </c>
      <c r="AC296" s="336">
        <v>220.0</v>
      </c>
      <c r="AD296" s="339"/>
      <c r="AE296" s="340"/>
    </row>
    <row r="297">
      <c r="A297" s="336" t="s">
        <v>702</v>
      </c>
      <c r="B297" s="336" t="s">
        <v>517</v>
      </c>
      <c r="C297" s="336" t="s">
        <v>744</v>
      </c>
      <c r="D297" s="336" t="s">
        <v>508</v>
      </c>
      <c r="E297" s="336">
        <v>0.8</v>
      </c>
      <c r="F297" s="337">
        <v>45545.50625</v>
      </c>
      <c r="G297" s="336">
        <v>1.0</v>
      </c>
      <c r="H297" s="336">
        <v>51.3708</v>
      </c>
      <c r="I297" s="336">
        <v>8.72759</v>
      </c>
      <c r="J297" s="336">
        <v>-26.935425</v>
      </c>
      <c r="K297" s="336">
        <v>-25.825344</v>
      </c>
      <c r="L297" s="336">
        <v>966.497</v>
      </c>
      <c r="M297" s="336">
        <v>71.000542</v>
      </c>
      <c r="N297" s="336">
        <v>9108.75959</v>
      </c>
      <c r="O297" s="336">
        <v>9155.57647</v>
      </c>
      <c r="P297" s="338">
        <v>2070.3457</v>
      </c>
      <c r="Q297" s="338" t="s">
        <v>519</v>
      </c>
      <c r="R297" s="338" t="s">
        <v>12</v>
      </c>
      <c r="S297" s="338">
        <v>10.0</v>
      </c>
      <c r="T297" s="338">
        <v>5.0</v>
      </c>
      <c r="U297" s="338">
        <v>0.7</v>
      </c>
      <c r="V297" s="338">
        <v>0.7</v>
      </c>
      <c r="W297" s="338">
        <v>0.7</v>
      </c>
      <c r="X297" s="336">
        <v>2000.0</v>
      </c>
      <c r="Y297" s="336" t="s">
        <v>510</v>
      </c>
      <c r="Z297" s="336">
        <v>0.2</v>
      </c>
      <c r="AA297" s="336" t="s">
        <v>511</v>
      </c>
      <c r="AB297" s="336" t="s">
        <v>512</v>
      </c>
      <c r="AC297" s="336">
        <v>220.0</v>
      </c>
      <c r="AD297" s="339"/>
      <c r="AE297" s="340"/>
    </row>
    <row r="298">
      <c r="A298" s="336" t="s">
        <v>704</v>
      </c>
      <c r="B298" s="336" t="s">
        <v>517</v>
      </c>
      <c r="C298" s="336" t="s">
        <v>744</v>
      </c>
      <c r="D298" s="336" t="s">
        <v>508</v>
      </c>
      <c r="E298" s="336">
        <v>0.8</v>
      </c>
      <c r="F298" s="337">
        <v>45545.50902777778</v>
      </c>
      <c r="G298" s="336">
        <v>1.0</v>
      </c>
      <c r="H298" s="336">
        <v>51.3741</v>
      </c>
      <c r="I298" s="336">
        <v>8.66212</v>
      </c>
      <c r="J298" s="336">
        <v>-26.936106</v>
      </c>
      <c r="K298" s="336">
        <v>-25.639144</v>
      </c>
      <c r="L298" s="336">
        <v>991.967</v>
      </c>
      <c r="M298" s="336">
        <v>65.499979</v>
      </c>
      <c r="N298" s="336">
        <v>9151.18464</v>
      </c>
      <c r="O298" s="336">
        <v>9155.57647</v>
      </c>
      <c r="P298" s="338">
        <v>2070.3457</v>
      </c>
      <c r="Q298" s="338" t="s">
        <v>509</v>
      </c>
      <c r="R298" s="338" t="s">
        <v>12</v>
      </c>
      <c r="S298" s="338">
        <v>10.0</v>
      </c>
      <c r="T298" s="338">
        <v>5.0</v>
      </c>
      <c r="U298" s="338">
        <v>0.7</v>
      </c>
      <c r="V298" s="338">
        <v>0.7</v>
      </c>
      <c r="W298" s="338">
        <v>0.7</v>
      </c>
      <c r="X298" s="336">
        <v>2000.0</v>
      </c>
      <c r="Y298" s="336" t="s">
        <v>510</v>
      </c>
      <c r="Z298" s="336">
        <v>0.2</v>
      </c>
      <c r="AA298" s="336" t="s">
        <v>511</v>
      </c>
      <c r="AB298" s="336" t="s">
        <v>512</v>
      </c>
      <c r="AC298" s="336">
        <v>220.0</v>
      </c>
      <c r="AD298" s="339"/>
      <c r="AE298" s="340"/>
    </row>
    <row r="299">
      <c r="A299" s="336" t="s">
        <v>705</v>
      </c>
      <c r="B299" s="336" t="s">
        <v>517</v>
      </c>
      <c r="C299" s="336" t="s">
        <v>744</v>
      </c>
      <c r="D299" s="336" t="s">
        <v>508</v>
      </c>
      <c r="E299" s="336">
        <v>0.8</v>
      </c>
      <c r="F299" s="337">
        <v>45545.51180555556</v>
      </c>
      <c r="G299" s="336">
        <v>1.0</v>
      </c>
      <c r="H299" s="336">
        <v>51.3741</v>
      </c>
      <c r="I299" s="336">
        <v>8.63691</v>
      </c>
      <c r="J299" s="336">
        <v>-26.953812</v>
      </c>
      <c r="K299" s="336">
        <v>-25.849281</v>
      </c>
      <c r="L299" s="336">
        <v>987.327</v>
      </c>
      <c r="M299" s="336">
        <v>69.00005</v>
      </c>
      <c r="N299" s="336">
        <v>9159.96829</v>
      </c>
      <c r="O299" s="336">
        <v>9155.57647</v>
      </c>
      <c r="P299" s="338">
        <v>2070.3457</v>
      </c>
      <c r="Q299" s="338" t="s">
        <v>509</v>
      </c>
      <c r="R299" s="338" t="s">
        <v>12</v>
      </c>
      <c r="S299" s="338">
        <v>10.0</v>
      </c>
      <c r="T299" s="338">
        <v>5.0</v>
      </c>
      <c r="U299" s="338">
        <v>0.7</v>
      </c>
      <c r="V299" s="338">
        <v>0.7</v>
      </c>
      <c r="W299" s="338">
        <v>0.7</v>
      </c>
      <c r="X299" s="336">
        <v>2000.0</v>
      </c>
      <c r="Y299" s="336" t="s">
        <v>510</v>
      </c>
      <c r="Z299" s="336">
        <v>0.2</v>
      </c>
      <c r="AA299" s="336" t="s">
        <v>511</v>
      </c>
      <c r="AB299" s="336" t="s">
        <v>512</v>
      </c>
      <c r="AC299" s="336">
        <v>220.0</v>
      </c>
      <c r="AD299" s="339"/>
      <c r="AE299" s="340"/>
    </row>
    <row r="300">
      <c r="A300" s="336" t="s">
        <v>706</v>
      </c>
      <c r="B300" s="336" t="s">
        <v>523</v>
      </c>
      <c r="C300" s="336" t="s">
        <v>744</v>
      </c>
      <c r="D300" s="336" t="s">
        <v>508</v>
      </c>
      <c r="E300" s="336">
        <v>1.0</v>
      </c>
      <c r="F300" s="337">
        <v>45545.51458333333</v>
      </c>
      <c r="G300" s="336">
        <v>1.0</v>
      </c>
      <c r="H300" s="336">
        <v>51.3774</v>
      </c>
      <c r="I300" s="336">
        <v>8.61144</v>
      </c>
      <c r="J300" s="336">
        <v>-27.036262</v>
      </c>
      <c r="K300" s="336">
        <v>-24.730644</v>
      </c>
      <c r="L300" s="336">
        <v>1067.3</v>
      </c>
      <c r="M300" s="336">
        <v>62.499862</v>
      </c>
      <c r="N300" s="336">
        <v>11449.4652</v>
      </c>
      <c r="O300" s="336">
        <v>11493.1993</v>
      </c>
      <c r="P300" s="338">
        <v>2070.3457</v>
      </c>
      <c r="Q300" s="338" t="s">
        <v>519</v>
      </c>
      <c r="R300" s="338" t="s">
        <v>12</v>
      </c>
      <c r="S300" s="338">
        <v>10.0</v>
      </c>
      <c r="T300" s="338">
        <v>5.0</v>
      </c>
      <c r="U300" s="338">
        <v>0.7</v>
      </c>
      <c r="V300" s="338">
        <v>0.7</v>
      </c>
      <c r="W300" s="338">
        <v>0.7</v>
      </c>
      <c r="X300" s="336">
        <v>2000.0</v>
      </c>
      <c r="Y300" s="336" t="s">
        <v>510</v>
      </c>
      <c r="Z300" s="336">
        <v>0.2</v>
      </c>
      <c r="AA300" s="336" t="s">
        <v>511</v>
      </c>
      <c r="AB300" s="336" t="s">
        <v>512</v>
      </c>
      <c r="AC300" s="336">
        <v>220.0</v>
      </c>
      <c r="AD300" s="339"/>
      <c r="AE300" s="340"/>
    </row>
    <row r="301">
      <c r="A301" s="342" t="s">
        <v>707</v>
      </c>
      <c r="B301" s="342" t="s">
        <v>523</v>
      </c>
      <c r="C301" s="342" t="s">
        <v>744</v>
      </c>
      <c r="D301" s="342" t="s">
        <v>508</v>
      </c>
      <c r="E301" s="342">
        <v>1.0</v>
      </c>
      <c r="F301" s="343">
        <v>45545.51736111111</v>
      </c>
      <c r="G301" s="342">
        <v>1.0</v>
      </c>
      <c r="H301" s="342">
        <v>51.3774</v>
      </c>
      <c r="I301" s="342">
        <v>8.73892</v>
      </c>
      <c r="J301" s="342">
        <v>-27.031781</v>
      </c>
      <c r="K301" s="342">
        <v>-25.614131</v>
      </c>
      <c r="L301" s="342">
        <v>1048.43</v>
      </c>
      <c r="M301" s="342">
        <v>72.500004</v>
      </c>
      <c r="N301" s="342">
        <v>11493.3799</v>
      </c>
      <c r="O301" s="342">
        <v>11493.1993</v>
      </c>
      <c r="P301" s="344">
        <v>2070.3457</v>
      </c>
      <c r="Q301" s="344" t="s">
        <v>509</v>
      </c>
      <c r="R301" s="338" t="s">
        <v>12</v>
      </c>
      <c r="S301" s="338">
        <v>10.0</v>
      </c>
      <c r="T301" s="338">
        <v>5.0</v>
      </c>
      <c r="U301" s="338">
        <v>0.7</v>
      </c>
      <c r="V301" s="338">
        <v>0.7</v>
      </c>
      <c r="W301" s="338">
        <v>0.7</v>
      </c>
      <c r="X301" s="336">
        <v>2000.0</v>
      </c>
      <c r="Y301" s="336" t="s">
        <v>510</v>
      </c>
      <c r="Z301" s="336">
        <v>0.2</v>
      </c>
      <c r="AA301" s="336" t="s">
        <v>511</v>
      </c>
      <c r="AB301" s="336" t="s">
        <v>512</v>
      </c>
      <c r="AC301" s="336">
        <v>220.0</v>
      </c>
      <c r="AD301" s="339"/>
      <c r="AE301" s="340"/>
    </row>
    <row r="302">
      <c r="A302" s="342" t="s">
        <v>745</v>
      </c>
      <c r="B302" s="342" t="s">
        <v>523</v>
      </c>
      <c r="C302" s="342" t="s">
        <v>744</v>
      </c>
      <c r="D302" s="342" t="s">
        <v>508</v>
      </c>
      <c r="E302" s="342">
        <v>1.0</v>
      </c>
      <c r="F302" s="343">
        <v>45545.52013888889</v>
      </c>
      <c r="G302" s="342">
        <v>1.0</v>
      </c>
      <c r="H302" s="342">
        <v>51.3741</v>
      </c>
      <c r="I302" s="342">
        <v>8.64056</v>
      </c>
      <c r="J302" s="342">
        <v>-27.061044</v>
      </c>
      <c r="K302" s="342">
        <v>-25.445481</v>
      </c>
      <c r="L302" s="342">
        <v>1068.69</v>
      </c>
      <c r="M302" s="342">
        <v>68.998736</v>
      </c>
      <c r="N302" s="342">
        <v>11493.0186</v>
      </c>
      <c r="O302" s="342">
        <v>11493.1993</v>
      </c>
      <c r="P302" s="344">
        <v>2070.3457</v>
      </c>
      <c r="Q302" s="344" t="s">
        <v>509</v>
      </c>
      <c r="R302" s="338" t="s">
        <v>12</v>
      </c>
      <c r="S302" s="338">
        <v>10.0</v>
      </c>
      <c r="T302" s="338">
        <v>5.0</v>
      </c>
      <c r="U302" s="338">
        <v>0.7</v>
      </c>
      <c r="V302" s="338">
        <v>0.7</v>
      </c>
      <c r="W302" s="338">
        <v>0.7</v>
      </c>
      <c r="X302" s="336">
        <v>2000.0</v>
      </c>
      <c r="Y302" s="336" t="s">
        <v>510</v>
      </c>
      <c r="Z302" s="336">
        <v>0.2</v>
      </c>
      <c r="AA302" s="336" t="s">
        <v>511</v>
      </c>
      <c r="AB302" s="336" t="s">
        <v>512</v>
      </c>
      <c r="AC302" s="336">
        <v>220.0</v>
      </c>
      <c r="AD302" s="339"/>
      <c r="AE302" s="340"/>
    </row>
    <row r="303">
      <c r="A303" s="336" t="s">
        <v>708</v>
      </c>
      <c r="B303" s="336" t="s">
        <v>527</v>
      </c>
      <c r="C303" s="336" t="s">
        <v>744</v>
      </c>
      <c r="D303" s="336" t="s">
        <v>508</v>
      </c>
      <c r="E303" s="336">
        <v>1.2</v>
      </c>
      <c r="F303" s="337">
        <v>45545.52291666667</v>
      </c>
      <c r="G303" s="336">
        <v>1.0</v>
      </c>
      <c r="H303" s="336">
        <v>51.3741</v>
      </c>
      <c r="I303" s="336">
        <v>8.63309</v>
      </c>
      <c r="J303" s="336">
        <v>-27.005406</v>
      </c>
      <c r="K303" s="336">
        <v>-24.658513</v>
      </c>
      <c r="L303" s="336">
        <v>1099.8</v>
      </c>
      <c r="M303" s="336">
        <v>67.000111</v>
      </c>
      <c r="N303" s="336">
        <v>13794.3284</v>
      </c>
      <c r="O303" s="336">
        <v>13839.96</v>
      </c>
      <c r="P303" s="338">
        <v>2070.3457</v>
      </c>
      <c r="Q303" s="338" t="s">
        <v>519</v>
      </c>
      <c r="R303" s="338" t="s">
        <v>12</v>
      </c>
      <c r="S303" s="338">
        <v>10.0</v>
      </c>
      <c r="T303" s="338">
        <v>5.0</v>
      </c>
      <c r="U303" s="338">
        <v>0.7</v>
      </c>
      <c r="V303" s="338">
        <v>0.7</v>
      </c>
      <c r="W303" s="338">
        <v>0.7</v>
      </c>
      <c r="X303" s="336">
        <v>2000.0</v>
      </c>
      <c r="Y303" s="336" t="s">
        <v>510</v>
      </c>
      <c r="Z303" s="336">
        <v>0.2</v>
      </c>
      <c r="AA303" s="336" t="s">
        <v>511</v>
      </c>
      <c r="AB303" s="336" t="s">
        <v>512</v>
      </c>
      <c r="AC303" s="336">
        <v>220.0</v>
      </c>
      <c r="AD303" s="339"/>
      <c r="AE303" s="340"/>
    </row>
    <row r="304">
      <c r="A304" s="336" t="s">
        <v>709</v>
      </c>
      <c r="B304" s="336" t="s">
        <v>527</v>
      </c>
      <c r="C304" s="336" t="s">
        <v>744</v>
      </c>
      <c r="D304" s="336" t="s">
        <v>508</v>
      </c>
      <c r="E304" s="336">
        <v>1.2</v>
      </c>
      <c r="F304" s="337">
        <v>45545.52569444444</v>
      </c>
      <c r="G304" s="336">
        <v>1.0</v>
      </c>
      <c r="H304" s="336">
        <v>51.3708</v>
      </c>
      <c r="I304" s="336">
        <v>8.56316</v>
      </c>
      <c r="J304" s="336">
        <v>-26.908606</v>
      </c>
      <c r="K304" s="336">
        <v>-25.45635</v>
      </c>
      <c r="L304" s="336">
        <v>1106.71</v>
      </c>
      <c r="M304" s="336">
        <v>72.501447</v>
      </c>
      <c r="N304" s="336">
        <v>13830.5035</v>
      </c>
      <c r="O304" s="336">
        <v>13839.96</v>
      </c>
      <c r="P304" s="338">
        <v>2070.3457</v>
      </c>
      <c r="Q304" s="338" t="s">
        <v>509</v>
      </c>
      <c r="R304" s="338" t="s">
        <v>12</v>
      </c>
      <c r="S304" s="338">
        <v>10.0</v>
      </c>
      <c r="T304" s="338">
        <v>5.0</v>
      </c>
      <c r="U304" s="338">
        <v>0.7</v>
      </c>
      <c r="V304" s="338">
        <v>0.7</v>
      </c>
      <c r="W304" s="338">
        <v>0.7</v>
      </c>
      <c r="X304" s="336">
        <v>2000.0</v>
      </c>
      <c r="Y304" s="336" t="s">
        <v>510</v>
      </c>
      <c r="Z304" s="336">
        <v>0.2</v>
      </c>
      <c r="AA304" s="336" t="s">
        <v>511</v>
      </c>
      <c r="AB304" s="336" t="s">
        <v>512</v>
      </c>
      <c r="AC304" s="336">
        <v>220.0</v>
      </c>
      <c r="AD304" s="339"/>
      <c r="AE304" s="340"/>
    </row>
    <row r="305">
      <c r="A305" s="336" t="s">
        <v>746</v>
      </c>
      <c r="B305" s="336" t="s">
        <v>527</v>
      </c>
      <c r="C305" s="336" t="s">
        <v>744</v>
      </c>
      <c r="D305" s="336" t="s">
        <v>508</v>
      </c>
      <c r="E305" s="336">
        <v>1.2</v>
      </c>
      <c r="F305" s="337">
        <v>45545.52847222222</v>
      </c>
      <c r="G305" s="336">
        <v>1.0</v>
      </c>
      <c r="H305" s="336">
        <v>51.3708</v>
      </c>
      <c r="I305" s="336">
        <v>8.58157</v>
      </c>
      <c r="J305" s="336">
        <v>-27.000763</v>
      </c>
      <c r="K305" s="336">
        <v>-25.829431</v>
      </c>
      <c r="L305" s="336">
        <v>1106.12</v>
      </c>
      <c r="M305" s="336">
        <v>86.000165</v>
      </c>
      <c r="N305" s="336">
        <v>13849.4165</v>
      </c>
      <c r="O305" s="336">
        <v>13839.96</v>
      </c>
      <c r="P305" s="338">
        <v>2070.3457</v>
      </c>
      <c r="Q305" s="338" t="s">
        <v>509</v>
      </c>
      <c r="R305" s="338" t="s">
        <v>12</v>
      </c>
      <c r="S305" s="338">
        <v>10.0</v>
      </c>
      <c r="T305" s="338">
        <v>5.0</v>
      </c>
      <c r="U305" s="338">
        <v>0.7</v>
      </c>
      <c r="V305" s="338">
        <v>0.7</v>
      </c>
      <c r="W305" s="338">
        <v>0.7</v>
      </c>
      <c r="X305" s="336">
        <v>2000.0</v>
      </c>
      <c r="Y305" s="336" t="s">
        <v>510</v>
      </c>
      <c r="Z305" s="336">
        <v>0.2</v>
      </c>
      <c r="AA305" s="336" t="s">
        <v>511</v>
      </c>
      <c r="AB305" s="336" t="s">
        <v>512</v>
      </c>
      <c r="AC305" s="336">
        <v>220.0</v>
      </c>
      <c r="AD305" s="339"/>
      <c r="AE305" s="340"/>
    </row>
    <row r="306">
      <c r="A306" s="336" t="s">
        <v>557</v>
      </c>
      <c r="B306" s="336">
        <v>2.0</v>
      </c>
      <c r="C306" s="336">
        <v>456.0</v>
      </c>
      <c r="D306" s="336" t="s">
        <v>532</v>
      </c>
      <c r="E306" s="336">
        <v>1.0</v>
      </c>
      <c r="F306" s="346"/>
      <c r="G306" s="336">
        <v>1.0</v>
      </c>
      <c r="H306" s="336">
        <v>0.0</v>
      </c>
      <c r="I306" s="336">
        <v>0.0</v>
      </c>
      <c r="J306" s="336">
        <v>0.0</v>
      </c>
      <c r="K306" s="336">
        <v>0.0</v>
      </c>
      <c r="L306" s="336">
        <v>0.0</v>
      </c>
      <c r="M306" s="336">
        <v>0.0</v>
      </c>
      <c r="N306" s="336">
        <v>0.0</v>
      </c>
      <c r="O306" s="336">
        <v>0.0</v>
      </c>
      <c r="P306" s="338">
        <v>0.0</v>
      </c>
      <c r="Q306" s="338" t="s">
        <v>533</v>
      </c>
      <c r="R306" s="338" t="s">
        <v>534</v>
      </c>
      <c r="S306" s="338">
        <v>10.0</v>
      </c>
      <c r="T306" s="338">
        <v>5.0</v>
      </c>
      <c r="U306" s="338">
        <v>0.7</v>
      </c>
      <c r="V306" s="338">
        <v>0.7</v>
      </c>
      <c r="W306" s="338">
        <v>0.7</v>
      </c>
      <c r="X306" s="336">
        <v>2000.0</v>
      </c>
      <c r="Y306" s="347"/>
      <c r="Z306" s="347"/>
      <c r="AA306" s="336" t="s">
        <v>511</v>
      </c>
      <c r="AB306" s="336" t="s">
        <v>512</v>
      </c>
      <c r="AC306" s="336">
        <v>220.0</v>
      </c>
      <c r="AD306" s="339"/>
      <c r="AE306" s="340"/>
    </row>
    <row r="307">
      <c r="A307" s="336" t="s">
        <v>559</v>
      </c>
      <c r="B307" s="336">
        <v>2.0</v>
      </c>
      <c r="C307" s="336">
        <v>456.0</v>
      </c>
      <c r="D307" s="336" t="s">
        <v>532</v>
      </c>
      <c r="E307" s="336">
        <v>1.0</v>
      </c>
      <c r="F307" s="337">
        <v>45545.56180555555</v>
      </c>
      <c r="G307" s="336">
        <v>1.0</v>
      </c>
      <c r="H307" s="336">
        <v>51.3774</v>
      </c>
      <c r="I307" s="336">
        <v>7.63746</v>
      </c>
      <c r="J307" s="336">
        <v>-26.909163</v>
      </c>
      <c r="K307" s="336">
        <v>-25.715381</v>
      </c>
      <c r="L307" s="336">
        <v>759.622</v>
      </c>
      <c r="M307" s="336">
        <v>66.501599</v>
      </c>
      <c r="N307" s="336">
        <v>7929.62344</v>
      </c>
      <c r="O307" s="336">
        <v>11476.6538</v>
      </c>
      <c r="P307" s="338">
        <v>2066.88219</v>
      </c>
      <c r="Q307" s="338" t="s">
        <v>519</v>
      </c>
      <c r="R307" s="338" t="s">
        <v>12</v>
      </c>
      <c r="S307" s="338">
        <v>10.0</v>
      </c>
      <c r="T307" s="338">
        <v>5.0</v>
      </c>
      <c r="U307" s="338">
        <v>0.7</v>
      </c>
      <c r="V307" s="338">
        <v>0.7</v>
      </c>
      <c r="W307" s="338">
        <v>0.7</v>
      </c>
      <c r="X307" s="336">
        <v>2000.0</v>
      </c>
      <c r="Y307" s="336" t="s">
        <v>510</v>
      </c>
      <c r="Z307" s="336">
        <v>0.2</v>
      </c>
      <c r="AA307" s="336" t="s">
        <v>511</v>
      </c>
      <c r="AB307" s="336" t="s">
        <v>512</v>
      </c>
      <c r="AC307" s="336">
        <v>220.0</v>
      </c>
      <c r="AD307" s="339"/>
      <c r="AE307" s="340"/>
    </row>
    <row r="308">
      <c r="A308" s="336" t="s">
        <v>747</v>
      </c>
      <c r="B308" s="336">
        <v>2.0</v>
      </c>
      <c r="C308" s="336">
        <v>456.0</v>
      </c>
      <c r="D308" s="336" t="s">
        <v>532</v>
      </c>
      <c r="E308" s="336">
        <v>1.0</v>
      </c>
      <c r="F308" s="337">
        <v>45545.56458333333</v>
      </c>
      <c r="G308" s="336">
        <v>1.0</v>
      </c>
      <c r="H308" s="336">
        <v>51.3708</v>
      </c>
      <c r="I308" s="336">
        <v>8.29532</v>
      </c>
      <c r="J308" s="336">
        <v>-26.8963</v>
      </c>
      <c r="K308" s="336">
        <v>-25.379275</v>
      </c>
      <c r="L308" s="336">
        <v>1044.71</v>
      </c>
      <c r="M308" s="336">
        <v>73.499282</v>
      </c>
      <c r="N308" s="336">
        <v>11492.5295</v>
      </c>
      <c r="O308" s="336">
        <v>11476.6538</v>
      </c>
      <c r="P308" s="338">
        <v>2066.88219</v>
      </c>
      <c r="Q308" s="338" t="s">
        <v>519</v>
      </c>
      <c r="R308" s="338" t="s">
        <v>12</v>
      </c>
      <c r="S308" s="338">
        <v>10.0</v>
      </c>
      <c r="T308" s="338">
        <v>5.0</v>
      </c>
      <c r="U308" s="338">
        <v>0.7</v>
      </c>
      <c r="V308" s="338">
        <v>0.7</v>
      </c>
      <c r="W308" s="338">
        <v>0.7</v>
      </c>
      <c r="X308" s="336">
        <v>2000.0</v>
      </c>
      <c r="Y308" s="336" t="s">
        <v>510</v>
      </c>
      <c r="Z308" s="336">
        <v>0.2</v>
      </c>
      <c r="AA308" s="336" t="s">
        <v>511</v>
      </c>
      <c r="AB308" s="336" t="s">
        <v>512</v>
      </c>
      <c r="AC308" s="336">
        <v>220.0</v>
      </c>
      <c r="AD308" s="339"/>
      <c r="AE308" s="340"/>
    </row>
    <row r="309">
      <c r="A309" s="336" t="s">
        <v>748</v>
      </c>
      <c r="B309" s="336">
        <v>2.0</v>
      </c>
      <c r="C309" s="336">
        <v>456.0</v>
      </c>
      <c r="D309" s="336" t="s">
        <v>532</v>
      </c>
      <c r="E309" s="336">
        <v>1.0</v>
      </c>
      <c r="F309" s="337">
        <v>45545.56736111111</v>
      </c>
      <c r="G309" s="336">
        <v>1.0</v>
      </c>
      <c r="H309" s="336">
        <v>51.3708</v>
      </c>
      <c r="I309" s="336">
        <v>8.52127</v>
      </c>
      <c r="J309" s="336">
        <v>-26.879625</v>
      </c>
      <c r="K309" s="336">
        <v>-26.017469</v>
      </c>
      <c r="L309" s="336">
        <v>1044.0</v>
      </c>
      <c r="M309" s="336">
        <v>86.000257</v>
      </c>
      <c r="N309" s="336">
        <v>11532.1149</v>
      </c>
      <c r="O309" s="336">
        <v>11476.6538</v>
      </c>
      <c r="P309" s="338">
        <v>2066.88219</v>
      </c>
      <c r="Q309" s="338" t="s">
        <v>519</v>
      </c>
      <c r="R309" s="338" t="s">
        <v>12</v>
      </c>
      <c r="S309" s="338">
        <v>10.0</v>
      </c>
      <c r="T309" s="338">
        <v>5.0</v>
      </c>
      <c r="U309" s="338">
        <v>0.7</v>
      </c>
      <c r="V309" s="338">
        <v>0.7</v>
      </c>
      <c r="W309" s="338">
        <v>0.7</v>
      </c>
      <c r="X309" s="336">
        <v>2000.0</v>
      </c>
      <c r="Y309" s="336" t="s">
        <v>510</v>
      </c>
      <c r="Z309" s="336">
        <v>0.2</v>
      </c>
      <c r="AA309" s="336" t="s">
        <v>511</v>
      </c>
      <c r="AB309" s="336" t="s">
        <v>512</v>
      </c>
      <c r="AC309" s="336">
        <v>220.0</v>
      </c>
      <c r="AD309" s="339"/>
      <c r="AE309" s="340"/>
    </row>
    <row r="310">
      <c r="A310" s="336" t="s">
        <v>749</v>
      </c>
      <c r="B310" s="336">
        <v>2.0</v>
      </c>
      <c r="C310" s="336">
        <v>456.0</v>
      </c>
      <c r="D310" s="336" t="s">
        <v>532</v>
      </c>
      <c r="E310" s="336">
        <v>1.0</v>
      </c>
      <c r="F310" s="337">
        <v>45545.57013888889</v>
      </c>
      <c r="G310" s="336">
        <v>1.0</v>
      </c>
      <c r="H310" s="336">
        <v>51.3708</v>
      </c>
      <c r="I310" s="336">
        <v>8.47597</v>
      </c>
      <c r="J310" s="336">
        <v>-27.017131</v>
      </c>
      <c r="K310" s="336">
        <v>-24.812194</v>
      </c>
      <c r="L310" s="336">
        <v>1060.1</v>
      </c>
      <c r="M310" s="336">
        <v>62.99891</v>
      </c>
      <c r="N310" s="336">
        <v>11479.8912</v>
      </c>
      <c r="O310" s="336">
        <v>11476.6538</v>
      </c>
      <c r="P310" s="338">
        <v>2066.88219</v>
      </c>
      <c r="Q310" s="338" t="s">
        <v>509</v>
      </c>
      <c r="R310" s="338" t="s">
        <v>12</v>
      </c>
      <c r="S310" s="338">
        <v>10.0</v>
      </c>
      <c r="T310" s="338">
        <v>5.0</v>
      </c>
      <c r="U310" s="338">
        <v>0.7</v>
      </c>
      <c r="V310" s="338">
        <v>0.7</v>
      </c>
      <c r="W310" s="338">
        <v>0.7</v>
      </c>
      <c r="X310" s="336">
        <v>2000.0</v>
      </c>
      <c r="Y310" s="336" t="s">
        <v>510</v>
      </c>
      <c r="Z310" s="336">
        <v>0.2</v>
      </c>
      <c r="AA310" s="336" t="s">
        <v>511</v>
      </c>
      <c r="AB310" s="336" t="s">
        <v>512</v>
      </c>
      <c r="AC310" s="336">
        <v>220.0</v>
      </c>
      <c r="AD310" s="339"/>
      <c r="AE310" s="340"/>
    </row>
    <row r="311">
      <c r="A311" s="336" t="s">
        <v>750</v>
      </c>
      <c r="B311" s="336">
        <v>2.0</v>
      </c>
      <c r="C311" s="336">
        <v>456.0</v>
      </c>
      <c r="D311" s="336" t="s">
        <v>532</v>
      </c>
      <c r="E311" s="336">
        <v>1.0</v>
      </c>
      <c r="F311" s="337">
        <v>45545.572916666664</v>
      </c>
      <c r="G311" s="336">
        <v>1.0</v>
      </c>
      <c r="H311" s="336">
        <v>51.3741</v>
      </c>
      <c r="I311" s="336">
        <v>8.28484</v>
      </c>
      <c r="J311" s="336">
        <v>-27.016894</v>
      </c>
      <c r="K311" s="336">
        <v>-25.154263</v>
      </c>
      <c r="L311" s="336">
        <v>1059.03</v>
      </c>
      <c r="M311" s="336">
        <v>65.5004</v>
      </c>
      <c r="N311" s="336">
        <v>11473.4164</v>
      </c>
      <c r="O311" s="336">
        <v>11476.6538</v>
      </c>
      <c r="P311" s="338">
        <v>2066.88219</v>
      </c>
      <c r="Q311" s="338" t="s">
        <v>509</v>
      </c>
      <c r="R311" s="338" t="s">
        <v>12</v>
      </c>
      <c r="S311" s="338">
        <v>10.0</v>
      </c>
      <c r="T311" s="338">
        <v>5.0</v>
      </c>
      <c r="U311" s="338">
        <v>0.7</v>
      </c>
      <c r="V311" s="338">
        <v>0.7</v>
      </c>
      <c r="W311" s="338">
        <v>0.7</v>
      </c>
      <c r="X311" s="336">
        <v>2000.0</v>
      </c>
      <c r="Y311" s="336" t="s">
        <v>510</v>
      </c>
      <c r="Z311" s="336">
        <v>0.2</v>
      </c>
      <c r="AA311" s="336" t="s">
        <v>511</v>
      </c>
      <c r="AB311" s="336" t="s">
        <v>512</v>
      </c>
      <c r="AC311" s="336">
        <v>220.0</v>
      </c>
      <c r="AD311" s="339"/>
      <c r="AE311" s="340"/>
    </row>
    <row r="312">
      <c r="A312" s="336" t="s">
        <v>560</v>
      </c>
      <c r="B312" s="336">
        <v>3.0</v>
      </c>
      <c r="C312" s="336">
        <v>457.0</v>
      </c>
      <c r="D312" s="336" t="s">
        <v>540</v>
      </c>
      <c r="E312" s="336">
        <v>1.0</v>
      </c>
      <c r="F312" s="337">
        <v>45545.57638888889</v>
      </c>
      <c r="G312" s="336">
        <v>1.0</v>
      </c>
      <c r="H312" s="336">
        <v>51.3774</v>
      </c>
      <c r="I312" s="336">
        <v>8.22168</v>
      </c>
      <c r="J312" s="336">
        <v>-27.038119</v>
      </c>
      <c r="K312" s="336">
        <v>-25.993406</v>
      </c>
      <c r="L312" s="336">
        <v>1079.63</v>
      </c>
      <c r="M312" s="336">
        <v>84.499587</v>
      </c>
      <c r="N312" s="336">
        <v>11532.121</v>
      </c>
      <c r="O312" s="336">
        <v>11530.1393</v>
      </c>
      <c r="P312" s="338">
        <v>2076.33773</v>
      </c>
      <c r="Q312" s="338" t="s">
        <v>519</v>
      </c>
      <c r="R312" s="338" t="s">
        <v>12</v>
      </c>
      <c r="S312" s="338">
        <v>10.0</v>
      </c>
      <c r="T312" s="338">
        <v>5.0</v>
      </c>
      <c r="U312" s="338">
        <v>0.7</v>
      </c>
      <c r="V312" s="338">
        <v>0.7</v>
      </c>
      <c r="W312" s="338">
        <v>0.7</v>
      </c>
      <c r="X312" s="336">
        <v>2000.0</v>
      </c>
      <c r="Y312" s="336" t="s">
        <v>510</v>
      </c>
      <c r="Z312" s="336">
        <v>0.2</v>
      </c>
      <c r="AA312" s="336" t="s">
        <v>511</v>
      </c>
      <c r="AB312" s="336" t="s">
        <v>512</v>
      </c>
      <c r="AC312" s="336">
        <v>220.0</v>
      </c>
      <c r="AD312" s="339"/>
      <c r="AE312" s="340"/>
    </row>
    <row r="313">
      <c r="A313" s="336" t="s">
        <v>562</v>
      </c>
      <c r="B313" s="336">
        <v>3.0</v>
      </c>
      <c r="C313" s="336">
        <v>457.0</v>
      </c>
      <c r="D313" s="336" t="s">
        <v>540</v>
      </c>
      <c r="E313" s="336">
        <v>1.0</v>
      </c>
      <c r="F313" s="337">
        <v>45545.57916666667</v>
      </c>
      <c r="G313" s="336">
        <v>1.0</v>
      </c>
      <c r="H313" s="336">
        <v>51.3741</v>
      </c>
      <c r="I313" s="336">
        <v>8.07899</v>
      </c>
      <c r="J313" s="336">
        <v>-27.0927</v>
      </c>
      <c r="K313" s="336">
        <v>-25.53065</v>
      </c>
      <c r="L313" s="336">
        <v>1068.89</v>
      </c>
      <c r="M313" s="336">
        <v>70.999574</v>
      </c>
      <c r="N313" s="336">
        <v>11479.857</v>
      </c>
      <c r="O313" s="336">
        <v>11530.1393</v>
      </c>
      <c r="P313" s="338">
        <v>2076.33773</v>
      </c>
      <c r="Q313" s="338" t="s">
        <v>519</v>
      </c>
      <c r="R313" s="338" t="s">
        <v>12</v>
      </c>
      <c r="S313" s="338">
        <v>10.0</v>
      </c>
      <c r="T313" s="338">
        <v>5.0</v>
      </c>
      <c r="U313" s="338">
        <v>0.7</v>
      </c>
      <c r="V313" s="338">
        <v>0.7</v>
      </c>
      <c r="W313" s="338">
        <v>0.7</v>
      </c>
      <c r="X313" s="336">
        <v>2000.0</v>
      </c>
      <c r="Y313" s="336" t="s">
        <v>510</v>
      </c>
      <c r="Z313" s="336">
        <v>0.2</v>
      </c>
      <c r="AA313" s="336" t="s">
        <v>511</v>
      </c>
      <c r="AB313" s="336" t="s">
        <v>512</v>
      </c>
      <c r="AC313" s="336">
        <v>220.0</v>
      </c>
      <c r="AD313" s="339"/>
      <c r="AE313" s="340"/>
    </row>
    <row r="314">
      <c r="A314" s="336" t="s">
        <v>751</v>
      </c>
      <c r="B314" s="336">
        <v>3.0</v>
      </c>
      <c r="C314" s="336">
        <v>457.0</v>
      </c>
      <c r="D314" s="336" t="s">
        <v>540</v>
      </c>
      <c r="E314" s="336">
        <v>1.0</v>
      </c>
      <c r="F314" s="337">
        <v>45545.58194444444</v>
      </c>
      <c r="G314" s="336">
        <v>1.0</v>
      </c>
      <c r="H314" s="336">
        <v>51.3708</v>
      </c>
      <c r="I314" s="336">
        <v>7.96356</v>
      </c>
      <c r="J314" s="336">
        <v>-27.078256</v>
      </c>
      <c r="K314" s="336">
        <v>-25.877288</v>
      </c>
      <c r="L314" s="336">
        <v>1056.2</v>
      </c>
      <c r="M314" s="336">
        <v>76.500948</v>
      </c>
      <c r="N314" s="336">
        <v>11538.5591</v>
      </c>
      <c r="O314" s="336">
        <v>11530.1393</v>
      </c>
      <c r="P314" s="338">
        <v>2076.33773</v>
      </c>
      <c r="Q314" s="338" t="s">
        <v>509</v>
      </c>
      <c r="R314" s="338" t="s">
        <v>12</v>
      </c>
      <c r="S314" s="338">
        <v>10.0</v>
      </c>
      <c r="T314" s="338">
        <v>5.0</v>
      </c>
      <c r="U314" s="338">
        <v>0.7</v>
      </c>
      <c r="V314" s="338">
        <v>0.7</v>
      </c>
      <c r="W314" s="338">
        <v>0.7</v>
      </c>
      <c r="X314" s="336">
        <v>2000.0</v>
      </c>
      <c r="Y314" s="336" t="s">
        <v>510</v>
      </c>
      <c r="Z314" s="336">
        <v>0.2</v>
      </c>
      <c r="AA314" s="336" t="s">
        <v>511</v>
      </c>
      <c r="AB314" s="336" t="s">
        <v>512</v>
      </c>
      <c r="AC314" s="336">
        <v>220.0</v>
      </c>
      <c r="AD314" s="339"/>
      <c r="AE314" s="340"/>
    </row>
    <row r="315">
      <c r="A315" s="336" t="s">
        <v>752</v>
      </c>
      <c r="B315" s="336">
        <v>3.0</v>
      </c>
      <c r="C315" s="336">
        <v>457.0</v>
      </c>
      <c r="D315" s="336" t="s">
        <v>540</v>
      </c>
      <c r="E315" s="336">
        <v>1.0</v>
      </c>
      <c r="F315" s="337">
        <v>45545.58472222222</v>
      </c>
      <c r="G315" s="336">
        <v>1.0</v>
      </c>
      <c r="H315" s="336">
        <v>51.3741</v>
      </c>
      <c r="I315" s="336">
        <v>7.87709</v>
      </c>
      <c r="J315" s="336">
        <v>-26.962013</v>
      </c>
      <c r="K315" s="336">
        <v>-25.1298</v>
      </c>
      <c r="L315" s="336">
        <v>1068.89</v>
      </c>
      <c r="M315" s="336">
        <v>75.999291</v>
      </c>
      <c r="N315" s="336">
        <v>11521.7194</v>
      </c>
      <c r="O315" s="336">
        <v>11530.1393</v>
      </c>
      <c r="P315" s="338">
        <v>2076.33773</v>
      </c>
      <c r="Q315" s="338" t="s">
        <v>509</v>
      </c>
      <c r="R315" s="338" t="s">
        <v>12</v>
      </c>
      <c r="S315" s="338">
        <v>10.0</v>
      </c>
      <c r="T315" s="338">
        <v>5.0</v>
      </c>
      <c r="U315" s="338">
        <v>0.7</v>
      </c>
      <c r="V315" s="338">
        <v>0.7</v>
      </c>
      <c r="W315" s="338">
        <v>0.7</v>
      </c>
      <c r="X315" s="336">
        <v>2000.0</v>
      </c>
      <c r="Y315" s="336" t="s">
        <v>510</v>
      </c>
      <c r="Z315" s="336">
        <v>0.2</v>
      </c>
      <c r="AA315" s="336" t="s">
        <v>511</v>
      </c>
      <c r="AB315" s="336" t="s">
        <v>512</v>
      </c>
      <c r="AC315" s="336">
        <v>220.0</v>
      </c>
      <c r="AD315" s="339"/>
      <c r="AE315" s="340"/>
    </row>
    <row r="316">
      <c r="A316" s="336" t="s">
        <v>637</v>
      </c>
      <c r="B316" s="336">
        <v>4.0</v>
      </c>
      <c r="C316" s="336">
        <v>352.0</v>
      </c>
      <c r="D316" s="336" t="s">
        <v>544</v>
      </c>
      <c r="E316" s="336">
        <v>1.0</v>
      </c>
      <c r="F316" s="337">
        <v>45545.58819444444</v>
      </c>
      <c r="G316" s="336">
        <v>1.0</v>
      </c>
      <c r="H316" s="336">
        <v>51.3774</v>
      </c>
      <c r="I316" s="336">
        <v>7.86867</v>
      </c>
      <c r="J316" s="336">
        <v>-27.1337</v>
      </c>
      <c r="K316" s="336">
        <v>-26.001888</v>
      </c>
      <c r="L316" s="336">
        <v>1048.47</v>
      </c>
      <c r="M316" s="336">
        <v>82.499277</v>
      </c>
      <c r="N316" s="336">
        <v>11342.747</v>
      </c>
      <c r="O316" s="336">
        <v>0.0</v>
      </c>
      <c r="P316" s="338">
        <v>0.0</v>
      </c>
      <c r="Q316" s="338" t="s">
        <v>588</v>
      </c>
      <c r="R316" s="338" t="s">
        <v>534</v>
      </c>
      <c r="S316" s="338">
        <v>10.0</v>
      </c>
      <c r="T316" s="338">
        <v>5.0</v>
      </c>
      <c r="U316" s="338">
        <v>0.7</v>
      </c>
      <c r="V316" s="338">
        <v>0.7</v>
      </c>
      <c r="W316" s="338">
        <v>0.7</v>
      </c>
      <c r="X316" s="336">
        <v>2000.0</v>
      </c>
      <c r="Y316" s="336" t="s">
        <v>510</v>
      </c>
      <c r="Z316" s="336">
        <v>0.2</v>
      </c>
      <c r="AA316" s="336" t="s">
        <v>511</v>
      </c>
      <c r="AB316" s="336" t="s">
        <v>512</v>
      </c>
      <c r="AC316" s="336">
        <v>220.0</v>
      </c>
      <c r="AD316" s="339"/>
      <c r="AE316" s="340"/>
    </row>
    <row r="317">
      <c r="A317" s="336" t="s">
        <v>710</v>
      </c>
      <c r="B317" s="336">
        <v>4.0</v>
      </c>
      <c r="C317" s="336">
        <v>352.0</v>
      </c>
      <c r="D317" s="336" t="s">
        <v>544</v>
      </c>
      <c r="E317" s="336">
        <v>1.0</v>
      </c>
      <c r="F317" s="337">
        <v>45545.59097222222</v>
      </c>
      <c r="G317" s="336">
        <v>1.0</v>
      </c>
      <c r="H317" s="336">
        <v>51.3741</v>
      </c>
      <c r="I317" s="336">
        <v>7.98495</v>
      </c>
      <c r="J317" s="336">
        <v>-27.101469</v>
      </c>
      <c r="K317" s="336">
        <v>-25.301881</v>
      </c>
      <c r="L317" s="336">
        <v>1038.78</v>
      </c>
      <c r="M317" s="336">
        <v>72.500198</v>
      </c>
      <c r="N317" s="336">
        <v>11316.4251</v>
      </c>
      <c r="O317" s="336">
        <v>0.0</v>
      </c>
      <c r="P317" s="338">
        <v>0.0</v>
      </c>
      <c r="Q317" s="338" t="s">
        <v>588</v>
      </c>
      <c r="R317" s="338" t="s">
        <v>534</v>
      </c>
      <c r="S317" s="338">
        <v>10.0</v>
      </c>
      <c r="T317" s="338">
        <v>5.0</v>
      </c>
      <c r="U317" s="338">
        <v>0.7</v>
      </c>
      <c r="V317" s="338">
        <v>0.7</v>
      </c>
      <c r="W317" s="338">
        <v>0.7</v>
      </c>
      <c r="X317" s="336">
        <v>2000.0</v>
      </c>
      <c r="Y317" s="336" t="s">
        <v>510</v>
      </c>
      <c r="Z317" s="336">
        <v>0.2</v>
      </c>
      <c r="AA317" s="336" t="s">
        <v>511</v>
      </c>
      <c r="AB317" s="336" t="s">
        <v>512</v>
      </c>
      <c r="AC317" s="336">
        <v>220.0</v>
      </c>
      <c r="AD317" s="339"/>
      <c r="AE317" s="340"/>
    </row>
    <row r="318">
      <c r="A318" s="336" t="s">
        <v>753</v>
      </c>
      <c r="B318" s="336">
        <v>4.0</v>
      </c>
      <c r="C318" s="336">
        <v>352.0</v>
      </c>
      <c r="D318" s="336" t="s">
        <v>544</v>
      </c>
      <c r="E318" s="336">
        <v>1.0</v>
      </c>
      <c r="F318" s="337">
        <v>45545.59375</v>
      </c>
      <c r="G318" s="336">
        <v>1.0</v>
      </c>
      <c r="H318" s="336">
        <v>51.3741</v>
      </c>
      <c r="I318" s="336">
        <v>8.01333</v>
      </c>
      <c r="J318" s="336">
        <v>-27.139525</v>
      </c>
      <c r="K318" s="336">
        <v>-26.280531</v>
      </c>
      <c r="L318" s="336">
        <v>1042.66</v>
      </c>
      <c r="M318" s="336">
        <v>86.499573</v>
      </c>
      <c r="N318" s="336">
        <v>11381.1692</v>
      </c>
      <c r="O318" s="336">
        <v>0.0</v>
      </c>
      <c r="P318" s="338">
        <v>0.0</v>
      </c>
      <c r="Q318" s="338" t="s">
        <v>588</v>
      </c>
      <c r="R318" s="338" t="s">
        <v>534</v>
      </c>
      <c r="S318" s="338">
        <v>10.0</v>
      </c>
      <c r="T318" s="338">
        <v>5.0</v>
      </c>
      <c r="U318" s="338">
        <v>0.7</v>
      </c>
      <c r="V318" s="338">
        <v>0.7</v>
      </c>
      <c r="W318" s="338">
        <v>0.7</v>
      </c>
      <c r="X318" s="336">
        <v>2000.0</v>
      </c>
      <c r="Y318" s="336" t="s">
        <v>510</v>
      </c>
      <c r="Z318" s="336">
        <v>0.2</v>
      </c>
      <c r="AA318" s="336" t="s">
        <v>511</v>
      </c>
      <c r="AB318" s="336" t="s">
        <v>512</v>
      </c>
      <c r="AC318" s="336">
        <v>220.0</v>
      </c>
      <c r="AD318" s="339"/>
      <c r="AE318" s="340"/>
    </row>
    <row r="319">
      <c r="A319" s="336" t="s">
        <v>754</v>
      </c>
      <c r="B319" s="336">
        <v>4.0</v>
      </c>
      <c r="C319" s="336">
        <v>352.0</v>
      </c>
      <c r="D319" s="336" t="s">
        <v>544</v>
      </c>
      <c r="E319" s="336">
        <v>1.0</v>
      </c>
      <c r="F319" s="337">
        <v>45545.59722222222</v>
      </c>
      <c r="G319" s="336">
        <v>1.0</v>
      </c>
      <c r="H319" s="336">
        <v>51.3741</v>
      </c>
      <c r="I319" s="336">
        <v>8.10724</v>
      </c>
      <c r="J319" s="336">
        <v>-27.107713</v>
      </c>
      <c r="K319" s="336">
        <v>-25.537075</v>
      </c>
      <c r="L319" s="336">
        <v>1042.3</v>
      </c>
      <c r="M319" s="336">
        <v>71.999599</v>
      </c>
      <c r="N319" s="336">
        <v>11324.7259</v>
      </c>
      <c r="O319" s="336">
        <v>0.0</v>
      </c>
      <c r="P319" s="338">
        <v>0.0</v>
      </c>
      <c r="Q319" s="338" t="s">
        <v>588</v>
      </c>
      <c r="R319" s="338" t="s">
        <v>534</v>
      </c>
      <c r="S319" s="338">
        <v>10.0</v>
      </c>
      <c r="T319" s="338">
        <v>5.0</v>
      </c>
      <c r="U319" s="338">
        <v>0.7</v>
      </c>
      <c r="V319" s="338">
        <v>0.7</v>
      </c>
      <c r="W319" s="338">
        <v>0.7</v>
      </c>
      <c r="X319" s="336">
        <v>2000.0</v>
      </c>
      <c r="Y319" s="336" t="s">
        <v>510</v>
      </c>
      <c r="Z319" s="336">
        <v>0.2</v>
      </c>
      <c r="AA319" s="336" t="s">
        <v>511</v>
      </c>
      <c r="AB319" s="336" t="s">
        <v>512</v>
      </c>
      <c r="AC319" s="336">
        <v>220.0</v>
      </c>
      <c r="AD319" s="339"/>
      <c r="AE319" s="340"/>
    </row>
    <row r="320">
      <c r="A320" s="336" t="s">
        <v>755</v>
      </c>
      <c r="B320" s="336">
        <v>4.0</v>
      </c>
      <c r="C320" s="336">
        <v>352.0</v>
      </c>
      <c r="D320" s="336" t="s">
        <v>544</v>
      </c>
      <c r="E320" s="336">
        <v>1.0</v>
      </c>
      <c r="F320" s="337">
        <v>45545.6</v>
      </c>
      <c r="G320" s="336">
        <v>1.0</v>
      </c>
      <c r="H320" s="336">
        <v>51.3708</v>
      </c>
      <c r="I320" s="336">
        <v>8.20135</v>
      </c>
      <c r="J320" s="336">
        <v>-27.098062</v>
      </c>
      <c r="K320" s="336">
        <v>-26.307419</v>
      </c>
      <c r="L320" s="336">
        <v>1041.92</v>
      </c>
      <c r="M320" s="336">
        <v>96.000811</v>
      </c>
      <c r="N320" s="336">
        <v>11366.9439</v>
      </c>
      <c r="O320" s="336">
        <v>0.0</v>
      </c>
      <c r="P320" s="338">
        <v>0.0</v>
      </c>
      <c r="Q320" s="338" t="s">
        <v>588</v>
      </c>
      <c r="R320" s="338" t="s">
        <v>534</v>
      </c>
      <c r="S320" s="338">
        <v>10.0</v>
      </c>
      <c r="T320" s="338">
        <v>5.0</v>
      </c>
      <c r="U320" s="338">
        <v>0.7</v>
      </c>
      <c r="V320" s="338">
        <v>0.7</v>
      </c>
      <c r="W320" s="338">
        <v>0.7</v>
      </c>
      <c r="X320" s="336">
        <v>2000.0</v>
      </c>
      <c r="Y320" s="336" t="s">
        <v>510</v>
      </c>
      <c r="Z320" s="336">
        <v>0.2</v>
      </c>
      <c r="AA320" s="336" t="s">
        <v>511</v>
      </c>
      <c r="AB320" s="336" t="s">
        <v>512</v>
      </c>
      <c r="AC320" s="336">
        <v>220.0</v>
      </c>
      <c r="AD320" s="339"/>
      <c r="AE320" s="340"/>
    </row>
    <row r="321">
      <c r="A321" s="336" t="s">
        <v>756</v>
      </c>
      <c r="B321" s="336">
        <v>4.0</v>
      </c>
      <c r="C321" s="336">
        <v>352.0</v>
      </c>
      <c r="D321" s="336" t="s">
        <v>544</v>
      </c>
      <c r="E321" s="336">
        <v>1.0</v>
      </c>
      <c r="F321" s="337">
        <v>45545.60277777778</v>
      </c>
      <c r="G321" s="336">
        <v>2.0</v>
      </c>
      <c r="H321" s="336">
        <v>51.3774</v>
      </c>
      <c r="I321" s="336">
        <v>8.09506</v>
      </c>
      <c r="J321" s="336">
        <v>-27.123838</v>
      </c>
      <c r="K321" s="336">
        <v>-25.657425</v>
      </c>
      <c r="L321" s="336">
        <v>1042.36</v>
      </c>
      <c r="M321" s="336">
        <v>70.000041</v>
      </c>
      <c r="N321" s="336">
        <v>11323.1673</v>
      </c>
      <c r="O321" s="336">
        <v>11320.3692</v>
      </c>
      <c r="P321" s="338">
        <v>2039.2531</v>
      </c>
      <c r="Q321" s="338" t="s">
        <v>519</v>
      </c>
      <c r="R321" s="338" t="s">
        <v>12</v>
      </c>
      <c r="S321" s="338">
        <v>10.0</v>
      </c>
      <c r="T321" s="338">
        <v>5.0</v>
      </c>
      <c r="U321" s="338">
        <v>0.7</v>
      </c>
      <c r="V321" s="338">
        <v>0.7</v>
      </c>
      <c r="W321" s="338">
        <v>0.7</v>
      </c>
      <c r="X321" s="336">
        <v>2000.0</v>
      </c>
      <c r="Y321" s="336" t="s">
        <v>510</v>
      </c>
      <c r="Z321" s="336">
        <v>0.2</v>
      </c>
      <c r="AA321" s="336" t="s">
        <v>511</v>
      </c>
      <c r="AB321" s="336" t="s">
        <v>512</v>
      </c>
      <c r="AC321" s="336">
        <v>220.0</v>
      </c>
      <c r="AD321" s="339"/>
      <c r="AE321" s="340"/>
    </row>
    <row r="322">
      <c r="A322" s="336" t="s">
        <v>757</v>
      </c>
      <c r="B322" s="336">
        <v>4.0</v>
      </c>
      <c r="C322" s="336">
        <v>352.0</v>
      </c>
      <c r="D322" s="336" t="s">
        <v>544</v>
      </c>
      <c r="E322" s="336">
        <v>1.0</v>
      </c>
      <c r="F322" s="337">
        <v>45545.60555555556</v>
      </c>
      <c r="G322" s="336">
        <v>2.0</v>
      </c>
      <c r="H322" s="336">
        <v>51.3741</v>
      </c>
      <c r="I322" s="336">
        <v>8.1377</v>
      </c>
      <c r="J322" s="336">
        <v>-27.028462</v>
      </c>
      <c r="K322" s="336">
        <v>-24.742387</v>
      </c>
      <c r="L322" s="336">
        <v>1040.95</v>
      </c>
      <c r="M322" s="336">
        <v>60.999046</v>
      </c>
      <c r="N322" s="336">
        <v>11282.9928</v>
      </c>
      <c r="O322" s="336">
        <v>11320.3692</v>
      </c>
      <c r="P322" s="338">
        <v>2039.2531</v>
      </c>
      <c r="Q322" s="338" t="s">
        <v>519</v>
      </c>
      <c r="R322" s="338" t="s">
        <v>12</v>
      </c>
      <c r="S322" s="338">
        <v>10.0</v>
      </c>
      <c r="T322" s="338">
        <v>5.0</v>
      </c>
      <c r="U322" s="338">
        <v>0.7</v>
      </c>
      <c r="V322" s="338">
        <v>0.7</v>
      </c>
      <c r="W322" s="338">
        <v>0.7</v>
      </c>
      <c r="X322" s="336">
        <v>2000.0</v>
      </c>
      <c r="Y322" s="336" t="s">
        <v>510</v>
      </c>
      <c r="Z322" s="336">
        <v>0.2</v>
      </c>
      <c r="AA322" s="336" t="s">
        <v>511</v>
      </c>
      <c r="AB322" s="336" t="s">
        <v>512</v>
      </c>
      <c r="AC322" s="336">
        <v>220.0</v>
      </c>
      <c r="AD322" s="339"/>
      <c r="AE322" s="340"/>
    </row>
    <row r="323">
      <c r="A323" s="336" t="s">
        <v>758</v>
      </c>
      <c r="B323" s="336">
        <v>4.0</v>
      </c>
      <c r="C323" s="336">
        <v>352.0</v>
      </c>
      <c r="D323" s="336" t="s">
        <v>544</v>
      </c>
      <c r="E323" s="336">
        <v>1.0</v>
      </c>
      <c r="F323" s="337">
        <v>45545.60833333333</v>
      </c>
      <c r="G323" s="336">
        <v>2.0</v>
      </c>
      <c r="H323" s="336">
        <v>51.3741</v>
      </c>
      <c r="I323" s="336">
        <v>8.27822</v>
      </c>
      <c r="J323" s="336">
        <v>-27.055875</v>
      </c>
      <c r="K323" s="336">
        <v>-25.417813</v>
      </c>
      <c r="L323" s="336">
        <v>1031.08</v>
      </c>
      <c r="M323" s="336">
        <v>66.499541</v>
      </c>
      <c r="N323" s="336">
        <v>11309.7093</v>
      </c>
      <c r="O323" s="336">
        <v>11320.3692</v>
      </c>
      <c r="P323" s="338">
        <v>2039.2531</v>
      </c>
      <c r="Q323" s="338" t="s">
        <v>509</v>
      </c>
      <c r="R323" s="338" t="s">
        <v>12</v>
      </c>
      <c r="S323" s="338">
        <v>10.0</v>
      </c>
      <c r="T323" s="338">
        <v>5.0</v>
      </c>
      <c r="U323" s="338">
        <v>0.7</v>
      </c>
      <c r="V323" s="338">
        <v>0.7</v>
      </c>
      <c r="W323" s="338">
        <v>0.7</v>
      </c>
      <c r="X323" s="336">
        <v>2000.0</v>
      </c>
      <c r="Y323" s="336" t="s">
        <v>510</v>
      </c>
      <c r="Z323" s="336">
        <v>0.2</v>
      </c>
      <c r="AA323" s="336" t="s">
        <v>511</v>
      </c>
      <c r="AB323" s="336" t="s">
        <v>512</v>
      </c>
      <c r="AC323" s="336">
        <v>220.0</v>
      </c>
      <c r="AD323" s="339"/>
      <c r="AE323" s="340"/>
    </row>
    <row r="324">
      <c r="A324" s="336" t="s">
        <v>759</v>
      </c>
      <c r="B324" s="336">
        <v>4.0</v>
      </c>
      <c r="C324" s="336">
        <v>352.0</v>
      </c>
      <c r="D324" s="336" t="s">
        <v>544</v>
      </c>
      <c r="E324" s="336">
        <v>1.0</v>
      </c>
      <c r="F324" s="337">
        <v>45545.61111111111</v>
      </c>
      <c r="G324" s="336">
        <v>2.0</v>
      </c>
      <c r="H324" s="336">
        <v>51.3741</v>
      </c>
      <c r="I324" s="336">
        <v>8.36102</v>
      </c>
      <c r="J324" s="336">
        <v>-27.109519</v>
      </c>
      <c r="K324" s="336">
        <v>-26.090944</v>
      </c>
      <c r="L324" s="336">
        <v>1028.83</v>
      </c>
      <c r="M324" s="336">
        <v>82.499562</v>
      </c>
      <c r="N324" s="336">
        <v>11331.029</v>
      </c>
      <c r="O324" s="336">
        <v>11320.3692</v>
      </c>
      <c r="P324" s="338">
        <v>2039.2531</v>
      </c>
      <c r="Q324" s="338" t="s">
        <v>509</v>
      </c>
      <c r="R324" s="338" t="s">
        <v>12</v>
      </c>
      <c r="S324" s="338">
        <v>10.0</v>
      </c>
      <c r="T324" s="338">
        <v>5.0</v>
      </c>
      <c r="U324" s="338">
        <v>0.7</v>
      </c>
      <c r="V324" s="338">
        <v>0.7</v>
      </c>
      <c r="W324" s="338">
        <v>0.7</v>
      </c>
      <c r="X324" s="336">
        <v>2000.0</v>
      </c>
      <c r="Y324" s="336" t="s">
        <v>510</v>
      </c>
      <c r="Z324" s="336">
        <v>0.2</v>
      </c>
      <c r="AA324" s="336" t="s">
        <v>511</v>
      </c>
      <c r="AB324" s="336" t="s">
        <v>512</v>
      </c>
      <c r="AC324" s="336">
        <v>220.0</v>
      </c>
      <c r="AD324" s="339"/>
      <c r="AE324" s="340"/>
    </row>
    <row r="325">
      <c r="A325" s="336" t="s">
        <v>571</v>
      </c>
      <c r="B325" s="336">
        <v>5.0</v>
      </c>
      <c r="C325" s="336">
        <v>353.0</v>
      </c>
      <c r="D325" s="336" t="s">
        <v>548</v>
      </c>
      <c r="E325" s="336">
        <v>1.0</v>
      </c>
      <c r="F325" s="337">
        <v>45545.614583333336</v>
      </c>
      <c r="G325" s="336">
        <v>1.0</v>
      </c>
      <c r="H325" s="336">
        <v>51.3741</v>
      </c>
      <c r="I325" s="336">
        <v>8.11318</v>
      </c>
      <c r="J325" s="336">
        <v>-27.100925</v>
      </c>
      <c r="K325" s="336">
        <v>-24.632206</v>
      </c>
      <c r="L325" s="336">
        <v>1035.03</v>
      </c>
      <c r="M325" s="336">
        <v>60.499758</v>
      </c>
      <c r="N325" s="336">
        <v>11281.9469</v>
      </c>
      <c r="O325" s="336">
        <v>0.0</v>
      </c>
      <c r="P325" s="338">
        <v>0.0</v>
      </c>
      <c r="Q325" s="338" t="s">
        <v>588</v>
      </c>
      <c r="R325" s="338" t="s">
        <v>534</v>
      </c>
      <c r="S325" s="338">
        <v>10.0</v>
      </c>
      <c r="T325" s="338">
        <v>5.0</v>
      </c>
      <c r="U325" s="338">
        <v>0.7</v>
      </c>
      <c r="V325" s="338">
        <v>0.7</v>
      </c>
      <c r="W325" s="338">
        <v>0.7</v>
      </c>
      <c r="X325" s="336">
        <v>2000.0</v>
      </c>
      <c r="Y325" s="336" t="s">
        <v>510</v>
      </c>
      <c r="Z325" s="336">
        <v>0.2</v>
      </c>
      <c r="AA325" s="336" t="s">
        <v>511</v>
      </c>
      <c r="AB325" s="336" t="s">
        <v>512</v>
      </c>
      <c r="AC325" s="336">
        <v>220.0</v>
      </c>
      <c r="AD325" s="339"/>
      <c r="AE325" s="340"/>
    </row>
    <row r="326">
      <c r="A326" s="336" t="s">
        <v>572</v>
      </c>
      <c r="B326" s="336">
        <v>5.0</v>
      </c>
      <c r="C326" s="336">
        <v>353.0</v>
      </c>
      <c r="D326" s="336" t="s">
        <v>548</v>
      </c>
      <c r="E326" s="336">
        <v>1.0</v>
      </c>
      <c r="F326" s="337">
        <v>45545.61736111111</v>
      </c>
      <c r="G326" s="336">
        <v>1.0</v>
      </c>
      <c r="H326" s="336">
        <v>51.3741</v>
      </c>
      <c r="I326" s="336">
        <v>8.32584</v>
      </c>
      <c r="J326" s="336">
        <v>-27.129275</v>
      </c>
      <c r="K326" s="336">
        <v>-25.569894</v>
      </c>
      <c r="L326" s="336">
        <v>1038.85</v>
      </c>
      <c r="M326" s="336">
        <v>74.500103</v>
      </c>
      <c r="N326" s="336">
        <v>11316.6594</v>
      </c>
      <c r="O326" s="336">
        <v>0.0</v>
      </c>
      <c r="P326" s="338">
        <v>0.0</v>
      </c>
      <c r="Q326" s="338" t="s">
        <v>588</v>
      </c>
      <c r="R326" s="338" t="s">
        <v>534</v>
      </c>
      <c r="S326" s="338">
        <v>10.0</v>
      </c>
      <c r="T326" s="338">
        <v>5.0</v>
      </c>
      <c r="U326" s="338">
        <v>0.7</v>
      </c>
      <c r="V326" s="338">
        <v>0.7</v>
      </c>
      <c r="W326" s="338">
        <v>0.7</v>
      </c>
      <c r="X326" s="336">
        <v>2000.0</v>
      </c>
      <c r="Y326" s="336" t="s">
        <v>510</v>
      </c>
      <c r="Z326" s="336">
        <v>0.2</v>
      </c>
      <c r="AA326" s="336" t="s">
        <v>511</v>
      </c>
      <c r="AB326" s="336" t="s">
        <v>512</v>
      </c>
      <c r="AC326" s="336">
        <v>220.0</v>
      </c>
      <c r="AD326" s="339"/>
      <c r="AE326" s="340"/>
    </row>
    <row r="327">
      <c r="A327" s="336" t="s">
        <v>711</v>
      </c>
      <c r="B327" s="336">
        <v>5.0</v>
      </c>
      <c r="C327" s="336">
        <v>353.0</v>
      </c>
      <c r="D327" s="336" t="s">
        <v>548</v>
      </c>
      <c r="E327" s="336">
        <v>1.0</v>
      </c>
      <c r="F327" s="337">
        <v>45545.62013888889</v>
      </c>
      <c r="G327" s="336">
        <v>1.0</v>
      </c>
      <c r="H327" s="336">
        <v>51.3774</v>
      </c>
      <c r="I327" s="336">
        <v>8.23721</v>
      </c>
      <c r="J327" s="336">
        <v>-27.096156</v>
      </c>
      <c r="K327" s="336">
        <v>-25.367387</v>
      </c>
      <c r="L327" s="336">
        <v>1027.76</v>
      </c>
      <c r="M327" s="336">
        <v>65.500609</v>
      </c>
      <c r="N327" s="336">
        <v>11278.7911</v>
      </c>
      <c r="O327" s="336">
        <v>0.0</v>
      </c>
      <c r="P327" s="338">
        <v>0.0</v>
      </c>
      <c r="Q327" s="338" t="s">
        <v>588</v>
      </c>
      <c r="R327" s="338" t="s">
        <v>534</v>
      </c>
      <c r="S327" s="338">
        <v>10.0</v>
      </c>
      <c r="T327" s="338">
        <v>5.0</v>
      </c>
      <c r="U327" s="338">
        <v>0.7</v>
      </c>
      <c r="V327" s="338">
        <v>0.7</v>
      </c>
      <c r="W327" s="338">
        <v>0.7</v>
      </c>
      <c r="X327" s="336">
        <v>2000.0</v>
      </c>
      <c r="Y327" s="336" t="s">
        <v>510</v>
      </c>
      <c r="Z327" s="336">
        <v>0.2</v>
      </c>
      <c r="AA327" s="336" t="s">
        <v>511</v>
      </c>
      <c r="AB327" s="336" t="s">
        <v>512</v>
      </c>
      <c r="AC327" s="336">
        <v>220.0</v>
      </c>
      <c r="AD327" s="339"/>
      <c r="AE327" s="340"/>
    </row>
    <row r="328">
      <c r="A328" s="336" t="s">
        <v>760</v>
      </c>
      <c r="B328" s="336">
        <v>5.0</v>
      </c>
      <c r="C328" s="336">
        <v>353.0</v>
      </c>
      <c r="D328" s="336" t="s">
        <v>548</v>
      </c>
      <c r="E328" s="336">
        <v>1.0</v>
      </c>
      <c r="F328" s="337">
        <v>45545.62291666667</v>
      </c>
      <c r="G328" s="336">
        <v>1.0</v>
      </c>
      <c r="H328" s="336">
        <v>51.3708</v>
      </c>
      <c r="I328" s="336">
        <v>8.21574</v>
      </c>
      <c r="J328" s="336">
        <v>-27.151056</v>
      </c>
      <c r="K328" s="336">
        <v>-25.530319</v>
      </c>
      <c r="L328" s="336">
        <v>1037.99</v>
      </c>
      <c r="M328" s="336">
        <v>67.500904</v>
      </c>
      <c r="N328" s="336">
        <v>11310.6738</v>
      </c>
      <c r="O328" s="336">
        <v>0.0</v>
      </c>
      <c r="P328" s="338">
        <v>0.0</v>
      </c>
      <c r="Q328" s="338" t="s">
        <v>588</v>
      </c>
      <c r="R328" s="338" t="s">
        <v>534</v>
      </c>
      <c r="S328" s="338">
        <v>10.0</v>
      </c>
      <c r="T328" s="338">
        <v>5.0</v>
      </c>
      <c r="U328" s="338">
        <v>0.7</v>
      </c>
      <c r="V328" s="338">
        <v>0.7</v>
      </c>
      <c r="W328" s="338">
        <v>0.7</v>
      </c>
      <c r="X328" s="336">
        <v>2000.0</v>
      </c>
      <c r="Y328" s="336" t="s">
        <v>510</v>
      </c>
      <c r="Z328" s="336">
        <v>0.2</v>
      </c>
      <c r="AA328" s="336" t="s">
        <v>511</v>
      </c>
      <c r="AB328" s="336" t="s">
        <v>512</v>
      </c>
      <c r="AC328" s="336">
        <v>220.0</v>
      </c>
      <c r="AD328" s="339"/>
      <c r="AE328" s="340"/>
    </row>
    <row r="329">
      <c r="A329" s="336" t="s">
        <v>761</v>
      </c>
      <c r="B329" s="336">
        <v>5.0</v>
      </c>
      <c r="C329" s="336">
        <v>353.0</v>
      </c>
      <c r="D329" s="336" t="s">
        <v>548</v>
      </c>
      <c r="E329" s="336">
        <v>1.0</v>
      </c>
      <c r="F329" s="337">
        <v>45545.62569444445</v>
      </c>
      <c r="G329" s="336">
        <v>1.0</v>
      </c>
      <c r="H329" s="336">
        <v>51.3708</v>
      </c>
      <c r="I329" s="336">
        <v>8.21107</v>
      </c>
      <c r="J329" s="336">
        <v>-27.063056</v>
      </c>
      <c r="K329" s="336">
        <v>-24.985106</v>
      </c>
      <c r="L329" s="336">
        <v>1036.11</v>
      </c>
      <c r="M329" s="336">
        <v>65.499715</v>
      </c>
      <c r="N329" s="336">
        <v>11284.9147</v>
      </c>
      <c r="O329" s="336">
        <v>0.0</v>
      </c>
      <c r="P329" s="338">
        <v>0.0</v>
      </c>
      <c r="Q329" s="338" t="s">
        <v>588</v>
      </c>
      <c r="R329" s="338" t="s">
        <v>534</v>
      </c>
      <c r="S329" s="338">
        <v>10.0</v>
      </c>
      <c r="T329" s="338">
        <v>5.0</v>
      </c>
      <c r="U329" s="338">
        <v>0.7</v>
      </c>
      <c r="V329" s="338">
        <v>0.7</v>
      </c>
      <c r="W329" s="338">
        <v>0.7</v>
      </c>
      <c r="X329" s="336">
        <v>2000.0</v>
      </c>
      <c r="Y329" s="336" t="s">
        <v>510</v>
      </c>
      <c r="Z329" s="336">
        <v>0.2</v>
      </c>
      <c r="AA329" s="336" t="s">
        <v>511</v>
      </c>
      <c r="AB329" s="336" t="s">
        <v>512</v>
      </c>
      <c r="AC329" s="336">
        <v>220.0</v>
      </c>
      <c r="AD329" s="339"/>
      <c r="AE329" s="340"/>
    </row>
    <row r="330">
      <c r="A330" s="336" t="s">
        <v>762</v>
      </c>
      <c r="B330" s="336">
        <v>5.0</v>
      </c>
      <c r="C330" s="336">
        <v>353.0</v>
      </c>
      <c r="D330" s="336" t="s">
        <v>548</v>
      </c>
      <c r="E330" s="336">
        <v>1.0</v>
      </c>
      <c r="F330" s="337">
        <v>45545.62847222222</v>
      </c>
      <c r="G330" s="336">
        <v>2.0</v>
      </c>
      <c r="H330" s="336">
        <v>51.3741</v>
      </c>
      <c r="I330" s="336">
        <v>8.33515</v>
      </c>
      <c r="J330" s="336">
        <v>-27.066513</v>
      </c>
      <c r="K330" s="336">
        <v>-26.316038</v>
      </c>
      <c r="L330" s="336">
        <v>1040.14</v>
      </c>
      <c r="M330" s="336">
        <v>97.99972</v>
      </c>
      <c r="N330" s="336">
        <v>11359.5845</v>
      </c>
      <c r="O330" s="336">
        <v>0.0</v>
      </c>
      <c r="P330" s="338">
        <v>0.0</v>
      </c>
      <c r="Q330" s="338" t="s">
        <v>588</v>
      </c>
      <c r="R330" s="338" t="s">
        <v>534</v>
      </c>
      <c r="S330" s="338">
        <v>10.0</v>
      </c>
      <c r="T330" s="338">
        <v>5.0</v>
      </c>
      <c r="U330" s="338">
        <v>0.7</v>
      </c>
      <c r="V330" s="338">
        <v>0.7</v>
      </c>
      <c r="W330" s="338">
        <v>0.7</v>
      </c>
      <c r="X330" s="336">
        <v>2000.0</v>
      </c>
      <c r="Y330" s="336" t="s">
        <v>510</v>
      </c>
      <c r="Z330" s="336">
        <v>0.2</v>
      </c>
      <c r="AA330" s="336" t="s">
        <v>511</v>
      </c>
      <c r="AB330" s="336" t="s">
        <v>512</v>
      </c>
      <c r="AC330" s="336">
        <v>220.0</v>
      </c>
      <c r="AD330" s="339"/>
      <c r="AE330" s="340"/>
    </row>
    <row r="331">
      <c r="A331" s="336" t="s">
        <v>763</v>
      </c>
      <c r="B331" s="336">
        <v>5.0</v>
      </c>
      <c r="C331" s="336">
        <v>353.0</v>
      </c>
      <c r="D331" s="336" t="s">
        <v>548</v>
      </c>
      <c r="E331" s="336">
        <v>1.0</v>
      </c>
      <c r="F331" s="357">
        <v>45545.631944444445</v>
      </c>
      <c r="G331" s="336">
        <v>2.0</v>
      </c>
      <c r="H331" s="336">
        <v>51.3741</v>
      </c>
      <c r="I331" s="336">
        <v>8.21117</v>
      </c>
      <c r="J331" s="336">
        <v>-27.062994</v>
      </c>
      <c r="K331" s="336">
        <v>-25.835244</v>
      </c>
      <c r="L331" s="336">
        <v>1044.71</v>
      </c>
      <c r="M331" s="336">
        <v>75.000022</v>
      </c>
      <c r="N331" s="336">
        <v>11330.6985</v>
      </c>
      <c r="O331" s="336">
        <v>0.0</v>
      </c>
      <c r="P331" s="338">
        <v>0.0</v>
      </c>
      <c r="Q331" s="338" t="s">
        <v>588</v>
      </c>
      <c r="R331" s="338" t="s">
        <v>534</v>
      </c>
      <c r="S331" s="338">
        <v>10.0</v>
      </c>
      <c r="T331" s="338">
        <v>5.0</v>
      </c>
      <c r="U331" s="338">
        <v>0.7</v>
      </c>
      <c r="V331" s="338">
        <v>0.7</v>
      </c>
      <c r="W331" s="338">
        <v>0.7</v>
      </c>
      <c r="X331" s="336">
        <v>2000.0</v>
      </c>
      <c r="Y331" s="336" t="s">
        <v>510</v>
      </c>
      <c r="Z331" s="336">
        <v>0.2</v>
      </c>
      <c r="AA331" s="336" t="s">
        <v>511</v>
      </c>
      <c r="AB331" s="336" t="s">
        <v>512</v>
      </c>
      <c r="AC331" s="336">
        <v>220.0</v>
      </c>
      <c r="AD331" s="339"/>
      <c r="AE331" s="340"/>
    </row>
    <row r="332">
      <c r="A332" s="336" t="s">
        <v>764</v>
      </c>
      <c r="B332" s="336">
        <v>5.0</v>
      </c>
      <c r="C332" s="336">
        <v>353.0</v>
      </c>
      <c r="D332" s="336" t="s">
        <v>548</v>
      </c>
      <c r="E332" s="336">
        <v>1.0</v>
      </c>
      <c r="F332" s="357">
        <v>45545.634722222225</v>
      </c>
      <c r="G332" s="336">
        <v>2.0</v>
      </c>
      <c r="H332" s="336">
        <v>51.3708</v>
      </c>
      <c r="I332" s="336">
        <v>8.17136</v>
      </c>
      <c r="J332" s="336">
        <v>-27.066087</v>
      </c>
      <c r="K332" s="336">
        <v>-24.667425</v>
      </c>
      <c r="L332" s="336">
        <v>1029.9</v>
      </c>
      <c r="M332" s="336">
        <v>64.999793</v>
      </c>
      <c r="N332" s="336">
        <v>11283.3416</v>
      </c>
      <c r="O332" s="336">
        <v>0.0</v>
      </c>
      <c r="P332" s="338">
        <v>0.0</v>
      </c>
      <c r="Q332" s="338" t="s">
        <v>588</v>
      </c>
      <c r="R332" s="338" t="s">
        <v>534</v>
      </c>
      <c r="S332" s="338">
        <v>10.0</v>
      </c>
      <c r="T332" s="338">
        <v>5.0</v>
      </c>
      <c r="U332" s="338">
        <v>0.7</v>
      </c>
      <c r="V332" s="338">
        <v>0.7</v>
      </c>
      <c r="W332" s="338">
        <v>0.7</v>
      </c>
      <c r="X332" s="336">
        <v>2000.0</v>
      </c>
      <c r="Y332" s="336" t="s">
        <v>510</v>
      </c>
      <c r="Z332" s="336">
        <v>0.2</v>
      </c>
      <c r="AA332" s="336" t="s">
        <v>511</v>
      </c>
      <c r="AB332" s="336" t="s">
        <v>512</v>
      </c>
      <c r="AC332" s="336">
        <v>220.0</v>
      </c>
      <c r="AD332" s="339"/>
      <c r="AE332" s="340"/>
    </row>
    <row r="333">
      <c r="A333" s="336" t="s">
        <v>765</v>
      </c>
      <c r="B333" s="336">
        <v>5.0</v>
      </c>
      <c r="C333" s="336">
        <v>353.0</v>
      </c>
      <c r="D333" s="336" t="s">
        <v>548</v>
      </c>
      <c r="E333" s="336">
        <v>1.0</v>
      </c>
      <c r="F333" s="357">
        <v>45545.6375</v>
      </c>
      <c r="G333" s="336">
        <v>2.0</v>
      </c>
      <c r="H333" s="336">
        <v>51.3708</v>
      </c>
      <c r="I333" s="336">
        <v>8.15759</v>
      </c>
      <c r="J333" s="336">
        <v>-27.029144</v>
      </c>
      <c r="K333" s="336">
        <v>-25.684381</v>
      </c>
      <c r="L333" s="336">
        <v>1043.06</v>
      </c>
      <c r="M333" s="336">
        <v>74.499751</v>
      </c>
      <c r="N333" s="336">
        <v>11330.2811</v>
      </c>
      <c r="O333" s="336">
        <v>0.0</v>
      </c>
      <c r="P333" s="338">
        <v>0.0</v>
      </c>
      <c r="Q333" s="338" t="s">
        <v>588</v>
      </c>
      <c r="R333" s="338" t="s">
        <v>534</v>
      </c>
      <c r="S333" s="338">
        <v>10.0</v>
      </c>
      <c r="T333" s="338">
        <v>5.0</v>
      </c>
      <c r="U333" s="338">
        <v>0.7</v>
      </c>
      <c r="V333" s="338">
        <v>0.7</v>
      </c>
      <c r="W333" s="338">
        <v>0.7</v>
      </c>
      <c r="X333" s="336">
        <v>2000.0</v>
      </c>
      <c r="Y333" s="336" t="s">
        <v>510</v>
      </c>
      <c r="Z333" s="336">
        <v>0.2</v>
      </c>
      <c r="AA333" s="336" t="s">
        <v>511</v>
      </c>
      <c r="AB333" s="336" t="s">
        <v>512</v>
      </c>
      <c r="AC333" s="336">
        <v>220.0</v>
      </c>
      <c r="AD333" s="339"/>
      <c r="AE333" s="340"/>
    </row>
    <row r="334">
      <c r="A334" s="336" t="s">
        <v>766</v>
      </c>
      <c r="B334" s="336">
        <v>5.0</v>
      </c>
      <c r="C334" s="336">
        <v>353.0</v>
      </c>
      <c r="D334" s="336" t="s">
        <v>548</v>
      </c>
      <c r="E334" s="336">
        <v>1.0</v>
      </c>
      <c r="F334" s="357">
        <v>45545.64027777778</v>
      </c>
      <c r="G334" s="336">
        <v>2.0</v>
      </c>
      <c r="H334" s="336">
        <v>51.3708</v>
      </c>
      <c r="I334" s="336">
        <v>8.12149</v>
      </c>
      <c r="J334" s="336">
        <v>-27.153</v>
      </c>
      <c r="K334" s="336">
        <v>-25.255231</v>
      </c>
      <c r="L334" s="336">
        <v>1038.72</v>
      </c>
      <c r="M334" s="336">
        <v>65.498954</v>
      </c>
      <c r="N334" s="336">
        <v>11293.4678</v>
      </c>
      <c r="O334" s="336">
        <v>0.0</v>
      </c>
      <c r="P334" s="338">
        <v>0.0</v>
      </c>
      <c r="Q334" s="338" t="s">
        <v>588</v>
      </c>
      <c r="R334" s="338" t="s">
        <v>534</v>
      </c>
      <c r="S334" s="338">
        <v>10.0</v>
      </c>
      <c r="T334" s="338">
        <v>5.0</v>
      </c>
      <c r="U334" s="338">
        <v>0.7</v>
      </c>
      <c r="V334" s="338">
        <v>0.7</v>
      </c>
      <c r="W334" s="338">
        <v>0.7</v>
      </c>
      <c r="X334" s="336">
        <v>2000.0</v>
      </c>
      <c r="Y334" s="336" t="s">
        <v>510</v>
      </c>
      <c r="Z334" s="336">
        <v>0.2</v>
      </c>
      <c r="AA334" s="336" t="s">
        <v>511</v>
      </c>
      <c r="AB334" s="336" t="s">
        <v>512</v>
      </c>
      <c r="AC334" s="336">
        <v>220.0</v>
      </c>
      <c r="AD334" s="339"/>
      <c r="AE334" s="340"/>
    </row>
    <row r="335">
      <c r="A335" s="336" t="s">
        <v>573</v>
      </c>
      <c r="B335" s="336">
        <v>6.0</v>
      </c>
      <c r="C335" s="336">
        <v>469.0</v>
      </c>
      <c r="D335" s="336" t="s">
        <v>551</v>
      </c>
      <c r="E335" s="336">
        <v>1.0</v>
      </c>
      <c r="F335" s="357">
        <v>45545.64375</v>
      </c>
      <c r="G335" s="336">
        <v>1.0</v>
      </c>
      <c r="H335" s="336">
        <v>51.3708</v>
      </c>
      <c r="I335" s="336">
        <v>8.1736</v>
      </c>
      <c r="J335" s="336">
        <v>-27.03875</v>
      </c>
      <c r="K335" s="336">
        <v>-26.055594</v>
      </c>
      <c r="L335" s="336">
        <v>1052.56</v>
      </c>
      <c r="M335" s="336">
        <v>83.000014</v>
      </c>
      <c r="N335" s="336">
        <v>11306.6169</v>
      </c>
      <c r="O335" s="336">
        <v>0.0</v>
      </c>
      <c r="P335" s="338">
        <v>0.0</v>
      </c>
      <c r="Q335" s="338" t="s">
        <v>588</v>
      </c>
      <c r="R335" s="338" t="s">
        <v>534</v>
      </c>
      <c r="S335" s="338">
        <v>10.0</v>
      </c>
      <c r="T335" s="338">
        <v>5.0</v>
      </c>
      <c r="U335" s="338">
        <v>0.7</v>
      </c>
      <c r="V335" s="338">
        <v>0.7</v>
      </c>
      <c r="W335" s="338">
        <v>0.7</v>
      </c>
      <c r="X335" s="336">
        <v>2000.0</v>
      </c>
      <c r="Y335" s="336" t="s">
        <v>510</v>
      </c>
      <c r="Z335" s="336">
        <v>0.2</v>
      </c>
      <c r="AA335" s="336" t="s">
        <v>511</v>
      </c>
      <c r="AB335" s="336" t="s">
        <v>512</v>
      </c>
      <c r="AC335" s="336">
        <v>220.0</v>
      </c>
      <c r="AD335" s="339"/>
      <c r="AE335" s="340"/>
    </row>
    <row r="336">
      <c r="A336" s="336" t="s">
        <v>574</v>
      </c>
      <c r="B336" s="336">
        <v>6.0</v>
      </c>
      <c r="C336" s="336">
        <v>469.0</v>
      </c>
      <c r="D336" s="336" t="s">
        <v>551</v>
      </c>
      <c r="E336" s="336">
        <v>1.0</v>
      </c>
      <c r="F336" s="357">
        <v>45545.646527777775</v>
      </c>
      <c r="G336" s="336">
        <v>1.0</v>
      </c>
      <c r="H336" s="336">
        <v>51.3675</v>
      </c>
      <c r="I336" s="336">
        <v>8.05725</v>
      </c>
      <c r="J336" s="336">
        <v>-26.996981</v>
      </c>
      <c r="K336" s="336">
        <v>-25.057969</v>
      </c>
      <c r="L336" s="336">
        <v>1032.97</v>
      </c>
      <c r="M336" s="336">
        <v>63.500265</v>
      </c>
      <c r="N336" s="336">
        <v>11255.7461</v>
      </c>
      <c r="O336" s="336">
        <v>0.0</v>
      </c>
      <c r="P336" s="338">
        <v>0.0</v>
      </c>
      <c r="Q336" s="338" t="s">
        <v>588</v>
      </c>
      <c r="R336" s="338" t="s">
        <v>534</v>
      </c>
      <c r="S336" s="338">
        <v>10.0</v>
      </c>
      <c r="T336" s="338">
        <v>5.0</v>
      </c>
      <c r="U336" s="338">
        <v>0.7</v>
      </c>
      <c r="V336" s="338">
        <v>0.7</v>
      </c>
      <c r="W336" s="338">
        <v>0.7</v>
      </c>
      <c r="X336" s="336">
        <v>2000.0</v>
      </c>
      <c r="Y336" s="336" t="s">
        <v>510</v>
      </c>
      <c r="Z336" s="336">
        <v>0.2</v>
      </c>
      <c r="AA336" s="336" t="s">
        <v>511</v>
      </c>
      <c r="AB336" s="336" t="s">
        <v>512</v>
      </c>
      <c r="AC336" s="336">
        <v>220.0</v>
      </c>
      <c r="AD336" s="339"/>
      <c r="AE336" s="340"/>
    </row>
    <row r="337">
      <c r="A337" s="336" t="s">
        <v>575</v>
      </c>
      <c r="B337" s="336">
        <v>6.0</v>
      </c>
      <c r="C337" s="336">
        <v>469.0</v>
      </c>
      <c r="D337" s="336" t="s">
        <v>551</v>
      </c>
      <c r="E337" s="336">
        <v>1.0</v>
      </c>
      <c r="F337" s="357">
        <v>45545.649305555555</v>
      </c>
      <c r="G337" s="336">
        <v>1.0</v>
      </c>
      <c r="H337" s="336">
        <v>51.3741</v>
      </c>
      <c r="I337" s="336">
        <v>8.11294</v>
      </c>
      <c r="J337" s="336">
        <v>-26.950331</v>
      </c>
      <c r="K337" s="336">
        <v>-25.101281</v>
      </c>
      <c r="L337" s="336">
        <v>1041.5</v>
      </c>
      <c r="M337" s="336">
        <v>68.498876</v>
      </c>
      <c r="N337" s="336">
        <v>11279.2804</v>
      </c>
      <c r="O337" s="336">
        <v>0.0</v>
      </c>
      <c r="P337" s="338">
        <v>0.0</v>
      </c>
      <c r="Q337" s="338" t="s">
        <v>588</v>
      </c>
      <c r="R337" s="338" t="s">
        <v>534</v>
      </c>
      <c r="S337" s="338">
        <v>10.0</v>
      </c>
      <c r="T337" s="338">
        <v>5.0</v>
      </c>
      <c r="U337" s="338">
        <v>0.7</v>
      </c>
      <c r="V337" s="338">
        <v>0.7</v>
      </c>
      <c r="W337" s="338">
        <v>0.7</v>
      </c>
      <c r="X337" s="336">
        <v>2000.0</v>
      </c>
      <c r="Y337" s="336" t="s">
        <v>510</v>
      </c>
      <c r="Z337" s="336">
        <v>0.2</v>
      </c>
      <c r="AA337" s="336" t="s">
        <v>511</v>
      </c>
      <c r="AB337" s="336" t="s">
        <v>512</v>
      </c>
      <c r="AC337" s="336">
        <v>220.0</v>
      </c>
      <c r="AD337" s="339"/>
      <c r="AE337" s="340"/>
    </row>
    <row r="338">
      <c r="A338" s="336" t="s">
        <v>576</v>
      </c>
      <c r="B338" s="336">
        <v>6.0</v>
      </c>
      <c r="C338" s="336">
        <v>469.0</v>
      </c>
      <c r="D338" s="336" t="s">
        <v>551</v>
      </c>
      <c r="E338" s="336">
        <v>1.0</v>
      </c>
      <c r="F338" s="357">
        <v>45545.652083333334</v>
      </c>
      <c r="G338" s="336">
        <v>1.0</v>
      </c>
      <c r="H338" s="336">
        <v>51.3708</v>
      </c>
      <c r="I338" s="336">
        <v>8.15496</v>
      </c>
      <c r="J338" s="336">
        <v>-26.9206</v>
      </c>
      <c r="K338" s="336">
        <v>-25.746581</v>
      </c>
      <c r="L338" s="336">
        <v>1044.79</v>
      </c>
      <c r="M338" s="336">
        <v>71.998671</v>
      </c>
      <c r="N338" s="336">
        <v>11302.9328</v>
      </c>
      <c r="O338" s="336">
        <v>0.0</v>
      </c>
      <c r="P338" s="338">
        <v>0.0</v>
      </c>
      <c r="Q338" s="338" t="s">
        <v>588</v>
      </c>
      <c r="R338" s="338" t="s">
        <v>534</v>
      </c>
      <c r="S338" s="338">
        <v>10.0</v>
      </c>
      <c r="T338" s="338">
        <v>5.0</v>
      </c>
      <c r="U338" s="338">
        <v>0.7</v>
      </c>
      <c r="V338" s="338">
        <v>0.7</v>
      </c>
      <c r="W338" s="338">
        <v>0.7</v>
      </c>
      <c r="X338" s="336">
        <v>2000.0</v>
      </c>
      <c r="Y338" s="336" t="s">
        <v>510</v>
      </c>
      <c r="Z338" s="336">
        <v>0.2</v>
      </c>
      <c r="AA338" s="336" t="s">
        <v>511</v>
      </c>
      <c r="AB338" s="336" t="s">
        <v>512</v>
      </c>
      <c r="AC338" s="336">
        <v>220.0</v>
      </c>
      <c r="AD338" s="339"/>
      <c r="AE338" s="340"/>
    </row>
    <row r="339">
      <c r="A339" s="336" t="s">
        <v>767</v>
      </c>
      <c r="B339" s="336">
        <v>6.0</v>
      </c>
      <c r="C339" s="336">
        <v>469.0</v>
      </c>
      <c r="D339" s="336" t="s">
        <v>551</v>
      </c>
      <c r="E339" s="336">
        <v>1.0</v>
      </c>
      <c r="F339" s="357">
        <v>45545.654861111114</v>
      </c>
      <c r="G339" s="336">
        <v>1.0</v>
      </c>
      <c r="H339" s="336">
        <v>51.3741</v>
      </c>
      <c r="I339" s="336">
        <v>8.08329</v>
      </c>
      <c r="J339" s="336">
        <v>-26.997013</v>
      </c>
      <c r="K339" s="336">
        <v>-25.233344</v>
      </c>
      <c r="L339" s="336">
        <v>1037.45</v>
      </c>
      <c r="M339" s="336">
        <v>65.499707</v>
      </c>
      <c r="N339" s="336">
        <v>11264.6902</v>
      </c>
      <c r="O339" s="336">
        <v>0.0</v>
      </c>
      <c r="P339" s="338">
        <v>0.0</v>
      </c>
      <c r="Q339" s="338" t="s">
        <v>588</v>
      </c>
      <c r="R339" s="338" t="s">
        <v>534</v>
      </c>
      <c r="S339" s="338">
        <v>10.0</v>
      </c>
      <c r="T339" s="338">
        <v>5.0</v>
      </c>
      <c r="U339" s="338">
        <v>0.7</v>
      </c>
      <c r="V339" s="338">
        <v>0.7</v>
      </c>
      <c r="W339" s="338">
        <v>0.7</v>
      </c>
      <c r="X339" s="336">
        <v>2000.0</v>
      </c>
      <c r="Y339" s="336" t="s">
        <v>510</v>
      </c>
      <c r="Z339" s="336">
        <v>0.2</v>
      </c>
      <c r="AA339" s="336" t="s">
        <v>511</v>
      </c>
      <c r="AB339" s="336" t="s">
        <v>512</v>
      </c>
      <c r="AC339" s="336">
        <v>220.0</v>
      </c>
      <c r="AD339" s="339"/>
      <c r="AE339" s="340"/>
    </row>
    <row r="340">
      <c r="A340" s="336" t="s">
        <v>768</v>
      </c>
      <c r="B340" s="336">
        <v>6.0</v>
      </c>
      <c r="C340" s="336">
        <v>469.0</v>
      </c>
      <c r="D340" s="336" t="s">
        <v>551</v>
      </c>
      <c r="E340" s="336">
        <v>1.0</v>
      </c>
      <c r="F340" s="357">
        <v>45545.657638888886</v>
      </c>
      <c r="G340" s="336">
        <v>2.0</v>
      </c>
      <c r="H340" s="336">
        <v>51.3675</v>
      </c>
      <c r="I340" s="336">
        <v>8.17222</v>
      </c>
      <c r="J340" s="336">
        <v>-26.965137</v>
      </c>
      <c r="K340" s="336">
        <v>-25.709744</v>
      </c>
      <c r="L340" s="336">
        <v>1048.61</v>
      </c>
      <c r="M340" s="336">
        <v>74.000262</v>
      </c>
      <c r="N340" s="336">
        <v>11296.874</v>
      </c>
      <c r="O340" s="336">
        <v>11300.249</v>
      </c>
      <c r="P340" s="338">
        <v>2035.6961</v>
      </c>
      <c r="Q340" s="338" t="s">
        <v>509</v>
      </c>
      <c r="R340" s="338" t="s">
        <v>12</v>
      </c>
      <c r="S340" s="338">
        <v>10.0</v>
      </c>
      <c r="T340" s="338">
        <v>5.0</v>
      </c>
      <c r="U340" s="338">
        <v>0.7</v>
      </c>
      <c r="V340" s="338">
        <v>0.7</v>
      </c>
      <c r="W340" s="338">
        <v>0.7</v>
      </c>
      <c r="X340" s="336">
        <v>2000.0</v>
      </c>
      <c r="Y340" s="336" t="s">
        <v>510</v>
      </c>
      <c r="Z340" s="336">
        <v>0.2</v>
      </c>
      <c r="AA340" s="336" t="s">
        <v>511</v>
      </c>
      <c r="AB340" s="336" t="s">
        <v>512</v>
      </c>
      <c r="AC340" s="336">
        <v>220.0</v>
      </c>
      <c r="AD340" s="339"/>
      <c r="AE340" s="340"/>
    </row>
    <row r="341">
      <c r="A341" s="336" t="s">
        <v>769</v>
      </c>
      <c r="B341" s="336">
        <v>6.0</v>
      </c>
      <c r="C341" s="336">
        <v>469.0</v>
      </c>
      <c r="D341" s="336" t="s">
        <v>551</v>
      </c>
      <c r="E341" s="336">
        <v>1.0</v>
      </c>
      <c r="F341" s="357">
        <v>45545.660416666666</v>
      </c>
      <c r="G341" s="336">
        <v>2.0</v>
      </c>
      <c r="H341" s="336">
        <v>51.3741</v>
      </c>
      <c r="I341" s="336">
        <v>8.10954</v>
      </c>
      <c r="J341" s="336">
        <v>-27.040312</v>
      </c>
      <c r="K341" s="336">
        <v>-25.373744</v>
      </c>
      <c r="L341" s="336">
        <v>1043.04</v>
      </c>
      <c r="M341" s="336">
        <v>70.999969</v>
      </c>
      <c r="N341" s="336">
        <v>11303.6239</v>
      </c>
      <c r="O341" s="336">
        <v>11300.249</v>
      </c>
      <c r="P341" s="338">
        <v>2035.6961</v>
      </c>
      <c r="Q341" s="338" t="s">
        <v>509</v>
      </c>
      <c r="R341" s="338" t="s">
        <v>12</v>
      </c>
      <c r="S341" s="338">
        <v>10.0</v>
      </c>
      <c r="T341" s="338">
        <v>5.0</v>
      </c>
      <c r="U341" s="338">
        <v>0.7</v>
      </c>
      <c r="V341" s="338">
        <v>0.7</v>
      </c>
      <c r="W341" s="338">
        <v>0.7</v>
      </c>
      <c r="X341" s="336">
        <v>2000.0</v>
      </c>
      <c r="Y341" s="336" t="s">
        <v>510</v>
      </c>
      <c r="Z341" s="336">
        <v>0.2</v>
      </c>
      <c r="AA341" s="336" t="s">
        <v>511</v>
      </c>
      <c r="AB341" s="336" t="s">
        <v>512</v>
      </c>
      <c r="AC341" s="336">
        <v>220.0</v>
      </c>
      <c r="AD341" s="339"/>
      <c r="AE341" s="340"/>
    </row>
    <row r="342">
      <c r="A342" s="336" t="s">
        <v>577</v>
      </c>
      <c r="B342" s="336">
        <v>7.0</v>
      </c>
      <c r="C342" s="336">
        <v>470.0</v>
      </c>
      <c r="D342" s="336" t="s">
        <v>554</v>
      </c>
      <c r="E342" s="336">
        <v>1.0</v>
      </c>
      <c r="F342" s="357">
        <v>45545.66388888889</v>
      </c>
      <c r="G342" s="336">
        <v>1.0</v>
      </c>
      <c r="H342" s="336">
        <v>51.3741</v>
      </c>
      <c r="I342" s="336">
        <v>7.97607</v>
      </c>
      <c r="J342" s="336">
        <v>-27.107644</v>
      </c>
      <c r="K342" s="336">
        <v>-24.9499</v>
      </c>
      <c r="L342" s="336">
        <v>1037.47</v>
      </c>
      <c r="M342" s="336">
        <v>63.001204</v>
      </c>
      <c r="N342" s="336">
        <v>11266.2093</v>
      </c>
      <c r="O342" s="336">
        <v>11267.3301</v>
      </c>
      <c r="P342" s="338">
        <v>2029.87648</v>
      </c>
      <c r="Q342" s="338" t="s">
        <v>509</v>
      </c>
      <c r="R342" s="338" t="s">
        <v>12</v>
      </c>
      <c r="S342" s="338">
        <v>10.0</v>
      </c>
      <c r="T342" s="338">
        <v>5.0</v>
      </c>
      <c r="U342" s="338">
        <v>0.7</v>
      </c>
      <c r="V342" s="338">
        <v>0.7</v>
      </c>
      <c r="W342" s="338">
        <v>0.7</v>
      </c>
      <c r="X342" s="336">
        <v>2000.0</v>
      </c>
      <c r="Y342" s="336" t="s">
        <v>510</v>
      </c>
      <c r="Z342" s="336">
        <v>0.2</v>
      </c>
      <c r="AA342" s="336" t="s">
        <v>511</v>
      </c>
      <c r="AB342" s="336" t="s">
        <v>512</v>
      </c>
      <c r="AC342" s="336">
        <v>220.0</v>
      </c>
      <c r="AD342" s="339"/>
      <c r="AE342" s="340"/>
    </row>
    <row r="343">
      <c r="A343" s="336" t="s">
        <v>578</v>
      </c>
      <c r="B343" s="336">
        <v>7.0</v>
      </c>
      <c r="C343" s="336">
        <v>470.0</v>
      </c>
      <c r="D343" s="336" t="s">
        <v>554</v>
      </c>
      <c r="E343" s="336">
        <v>1.0</v>
      </c>
      <c r="F343" s="357">
        <v>45545.666666666664</v>
      </c>
      <c r="G343" s="336">
        <v>1.0</v>
      </c>
      <c r="H343" s="336">
        <v>51.3774</v>
      </c>
      <c r="I343" s="336">
        <v>8.12217</v>
      </c>
      <c r="J343" s="336">
        <v>-27.014112</v>
      </c>
      <c r="K343" s="336">
        <v>-24.825763</v>
      </c>
      <c r="L343" s="336">
        <v>1046.73</v>
      </c>
      <c r="M343" s="336">
        <v>69.998663</v>
      </c>
      <c r="N343" s="336">
        <v>11268.451</v>
      </c>
      <c r="O343" s="336">
        <v>11267.3301</v>
      </c>
      <c r="P343" s="338">
        <v>2029.87648</v>
      </c>
      <c r="Q343" s="338" t="s">
        <v>509</v>
      </c>
      <c r="R343" s="338" t="s">
        <v>12</v>
      </c>
      <c r="S343" s="338">
        <v>10.0</v>
      </c>
      <c r="T343" s="338">
        <v>5.0</v>
      </c>
      <c r="U343" s="338">
        <v>0.7</v>
      </c>
      <c r="V343" s="338">
        <v>0.7</v>
      </c>
      <c r="W343" s="338">
        <v>0.7</v>
      </c>
      <c r="X343" s="336">
        <v>2000.0</v>
      </c>
      <c r="Y343" s="336" t="s">
        <v>510</v>
      </c>
      <c r="Z343" s="336">
        <v>0.2</v>
      </c>
      <c r="AA343" s="336" t="s">
        <v>511</v>
      </c>
      <c r="AB343" s="336" t="s">
        <v>512</v>
      </c>
      <c r="AC343" s="336">
        <v>220.0</v>
      </c>
      <c r="AD343" s="339"/>
      <c r="AE343" s="340"/>
    </row>
    <row r="344">
      <c r="A344" s="336" t="s">
        <v>580</v>
      </c>
      <c r="B344" s="336">
        <v>8.0</v>
      </c>
      <c r="C344" s="336">
        <v>404.0</v>
      </c>
      <c r="D344" s="336" t="s">
        <v>558</v>
      </c>
      <c r="E344" s="336">
        <v>1.0</v>
      </c>
      <c r="F344" s="357">
        <v>45545.67013888889</v>
      </c>
      <c r="G344" s="336">
        <v>1.0</v>
      </c>
      <c r="H344" s="336">
        <v>51.3708</v>
      </c>
      <c r="I344" s="336">
        <v>8.04247</v>
      </c>
      <c r="J344" s="336">
        <v>-27.026594</v>
      </c>
      <c r="K344" s="336">
        <v>-25.443594</v>
      </c>
      <c r="L344" s="336">
        <v>1040.73</v>
      </c>
      <c r="M344" s="336">
        <v>67.001035</v>
      </c>
      <c r="N344" s="336">
        <v>11230.297</v>
      </c>
      <c r="O344" s="336">
        <v>11240.8918</v>
      </c>
      <c r="P344" s="338">
        <v>2025.20253</v>
      </c>
      <c r="Q344" s="338" t="s">
        <v>509</v>
      </c>
      <c r="R344" s="338" t="s">
        <v>12</v>
      </c>
      <c r="S344" s="338">
        <v>10.0</v>
      </c>
      <c r="T344" s="338">
        <v>5.0</v>
      </c>
      <c r="U344" s="338">
        <v>0.7</v>
      </c>
      <c r="V344" s="338">
        <v>0.7</v>
      </c>
      <c r="W344" s="338">
        <v>0.7</v>
      </c>
      <c r="X344" s="336">
        <v>2000.0</v>
      </c>
      <c r="Y344" s="336" t="s">
        <v>510</v>
      </c>
      <c r="Z344" s="336">
        <v>0.2</v>
      </c>
      <c r="AA344" s="336" t="s">
        <v>511</v>
      </c>
      <c r="AB344" s="336" t="s">
        <v>512</v>
      </c>
      <c r="AC344" s="336">
        <v>220.0</v>
      </c>
      <c r="AD344" s="339"/>
      <c r="AE344" s="340"/>
    </row>
    <row r="345">
      <c r="A345" s="336" t="s">
        <v>581</v>
      </c>
      <c r="B345" s="336">
        <v>8.0</v>
      </c>
      <c r="C345" s="336">
        <v>404.0</v>
      </c>
      <c r="D345" s="336" t="s">
        <v>558</v>
      </c>
      <c r="E345" s="336">
        <v>1.0</v>
      </c>
      <c r="F345" s="357">
        <v>45545.67291666667</v>
      </c>
      <c r="G345" s="336">
        <v>1.0</v>
      </c>
      <c r="H345" s="336">
        <v>51.3708</v>
      </c>
      <c r="I345" s="336">
        <v>8.11116</v>
      </c>
      <c r="J345" s="336">
        <v>-27.028525</v>
      </c>
      <c r="K345" s="336">
        <v>-25.675194</v>
      </c>
      <c r="L345" s="336">
        <v>1038.93</v>
      </c>
      <c r="M345" s="336">
        <v>70.499767</v>
      </c>
      <c r="N345" s="336">
        <v>11251.4867</v>
      </c>
      <c r="O345" s="336">
        <v>11240.8918</v>
      </c>
      <c r="P345" s="338">
        <v>2025.20253</v>
      </c>
      <c r="Q345" s="338" t="s">
        <v>509</v>
      </c>
      <c r="R345" s="338" t="s">
        <v>12</v>
      </c>
      <c r="S345" s="338">
        <v>10.0</v>
      </c>
      <c r="T345" s="338">
        <v>5.0</v>
      </c>
      <c r="U345" s="338">
        <v>0.7</v>
      </c>
      <c r="V345" s="338">
        <v>0.7</v>
      </c>
      <c r="W345" s="338">
        <v>0.7</v>
      </c>
      <c r="X345" s="336">
        <v>2000.0</v>
      </c>
      <c r="Y345" s="336" t="s">
        <v>510</v>
      </c>
      <c r="Z345" s="336">
        <v>0.2</v>
      </c>
      <c r="AA345" s="336" t="s">
        <v>511</v>
      </c>
      <c r="AB345" s="336" t="s">
        <v>512</v>
      </c>
      <c r="AC345" s="336">
        <v>220.0</v>
      </c>
      <c r="AD345" s="339"/>
      <c r="AE345" s="340"/>
    </row>
    <row r="346">
      <c r="A346" s="336" t="s">
        <v>583</v>
      </c>
      <c r="B346" s="336">
        <v>9.0</v>
      </c>
      <c r="C346" s="336">
        <v>405.0</v>
      </c>
      <c r="D346" s="336" t="s">
        <v>561</v>
      </c>
      <c r="E346" s="336">
        <v>1.0</v>
      </c>
      <c r="F346" s="357">
        <v>45545.67638888889</v>
      </c>
      <c r="G346" s="336">
        <v>1.0</v>
      </c>
      <c r="H346" s="336">
        <v>51.3675</v>
      </c>
      <c r="I346" s="336">
        <v>8.05492</v>
      </c>
      <c r="J346" s="336">
        <v>-27.00445</v>
      </c>
      <c r="K346" s="336">
        <v>-25.370656</v>
      </c>
      <c r="L346" s="336">
        <v>1033.87</v>
      </c>
      <c r="M346" s="336">
        <v>66.999652</v>
      </c>
      <c r="N346" s="336">
        <v>11282.2013</v>
      </c>
      <c r="O346" s="336">
        <v>11287.9433</v>
      </c>
      <c r="P346" s="338">
        <v>2033.52062</v>
      </c>
      <c r="Q346" s="338" t="s">
        <v>519</v>
      </c>
      <c r="R346" s="338" t="s">
        <v>12</v>
      </c>
      <c r="S346" s="338">
        <v>10.0</v>
      </c>
      <c r="T346" s="338">
        <v>5.0</v>
      </c>
      <c r="U346" s="338">
        <v>0.7</v>
      </c>
      <c r="V346" s="338">
        <v>0.7</v>
      </c>
      <c r="W346" s="338">
        <v>0.7</v>
      </c>
      <c r="X346" s="336">
        <v>2000.0</v>
      </c>
      <c r="Y346" s="336" t="s">
        <v>510</v>
      </c>
      <c r="Z346" s="336">
        <v>0.2</v>
      </c>
      <c r="AA346" s="336" t="s">
        <v>511</v>
      </c>
      <c r="AB346" s="336" t="s">
        <v>512</v>
      </c>
      <c r="AC346" s="336">
        <v>220.0</v>
      </c>
      <c r="AD346" s="339"/>
      <c r="AE346" s="340"/>
    </row>
    <row r="347">
      <c r="A347" s="336" t="s">
        <v>584</v>
      </c>
      <c r="B347" s="336">
        <v>9.0</v>
      </c>
      <c r="C347" s="336">
        <v>405.0</v>
      </c>
      <c r="D347" s="336" t="s">
        <v>561</v>
      </c>
      <c r="E347" s="336">
        <v>1.0</v>
      </c>
      <c r="F347" s="357">
        <v>45545.67916666667</v>
      </c>
      <c r="G347" s="336">
        <v>1.0</v>
      </c>
      <c r="H347" s="336">
        <v>51.3741</v>
      </c>
      <c r="I347" s="336">
        <v>8.05969</v>
      </c>
      <c r="J347" s="336">
        <v>-26.946156</v>
      </c>
      <c r="K347" s="336">
        <v>-25.1811</v>
      </c>
      <c r="L347" s="336">
        <v>1031.58</v>
      </c>
      <c r="M347" s="336">
        <v>67.000176</v>
      </c>
      <c r="N347" s="336">
        <v>11241.5067</v>
      </c>
      <c r="O347" s="336">
        <v>11287.9433</v>
      </c>
      <c r="P347" s="338">
        <v>2033.52062</v>
      </c>
      <c r="Q347" s="338" t="s">
        <v>519</v>
      </c>
      <c r="R347" s="338" t="s">
        <v>12</v>
      </c>
      <c r="S347" s="338">
        <v>10.0</v>
      </c>
      <c r="T347" s="338">
        <v>5.0</v>
      </c>
      <c r="U347" s="338">
        <v>0.7</v>
      </c>
      <c r="V347" s="338">
        <v>0.7</v>
      </c>
      <c r="W347" s="338">
        <v>0.7</v>
      </c>
      <c r="X347" s="336">
        <v>2000.0</v>
      </c>
      <c r="Y347" s="336" t="s">
        <v>510</v>
      </c>
      <c r="Z347" s="336">
        <v>0.2</v>
      </c>
      <c r="AA347" s="336" t="s">
        <v>511</v>
      </c>
      <c r="AB347" s="336" t="s">
        <v>512</v>
      </c>
      <c r="AC347" s="336">
        <v>220.0</v>
      </c>
      <c r="AD347" s="339"/>
      <c r="AE347" s="340"/>
    </row>
    <row r="348">
      <c r="A348" s="336" t="s">
        <v>585</v>
      </c>
      <c r="B348" s="336">
        <v>9.0</v>
      </c>
      <c r="C348" s="336">
        <v>405.0</v>
      </c>
      <c r="D348" s="336" t="s">
        <v>561</v>
      </c>
      <c r="E348" s="336">
        <v>1.0</v>
      </c>
      <c r="F348" s="357">
        <v>45545.68194444444</v>
      </c>
      <c r="G348" s="336">
        <v>1.0</v>
      </c>
      <c r="H348" s="336">
        <v>51.3741</v>
      </c>
      <c r="I348" s="336">
        <v>8.12374</v>
      </c>
      <c r="J348" s="336">
        <v>-26.937769</v>
      </c>
      <c r="K348" s="336">
        <v>-25.856669</v>
      </c>
      <c r="L348" s="336">
        <v>1046.15</v>
      </c>
      <c r="M348" s="336">
        <v>77.500235</v>
      </c>
      <c r="N348" s="336">
        <v>11320.6953</v>
      </c>
      <c r="O348" s="336">
        <v>11287.9433</v>
      </c>
      <c r="P348" s="338">
        <v>2033.52062</v>
      </c>
      <c r="Q348" s="338" t="s">
        <v>519</v>
      </c>
      <c r="R348" s="338" t="s">
        <v>12</v>
      </c>
      <c r="S348" s="338">
        <v>10.0</v>
      </c>
      <c r="T348" s="338">
        <v>5.0</v>
      </c>
      <c r="U348" s="338">
        <v>0.7</v>
      </c>
      <c r="V348" s="338">
        <v>0.7</v>
      </c>
      <c r="W348" s="338">
        <v>0.7</v>
      </c>
      <c r="X348" s="336">
        <v>2000.0</v>
      </c>
      <c r="Y348" s="336" t="s">
        <v>510</v>
      </c>
      <c r="Z348" s="336">
        <v>0.2</v>
      </c>
      <c r="AA348" s="336" t="s">
        <v>511</v>
      </c>
      <c r="AB348" s="336" t="s">
        <v>512</v>
      </c>
      <c r="AC348" s="336">
        <v>220.0</v>
      </c>
      <c r="AD348" s="339"/>
      <c r="AE348" s="340"/>
    </row>
    <row r="349">
      <c r="A349" s="336" t="s">
        <v>586</v>
      </c>
      <c r="B349" s="336">
        <v>9.0</v>
      </c>
      <c r="C349" s="336">
        <v>405.0</v>
      </c>
      <c r="D349" s="336" t="s">
        <v>561</v>
      </c>
      <c r="E349" s="336">
        <v>1.0</v>
      </c>
      <c r="F349" s="357">
        <v>45545.68472222222</v>
      </c>
      <c r="G349" s="336">
        <v>1.0</v>
      </c>
      <c r="H349" s="336">
        <v>51.3741</v>
      </c>
      <c r="I349" s="336">
        <v>8.09852</v>
      </c>
      <c r="J349" s="336">
        <v>-27.042644</v>
      </c>
      <c r="K349" s="336">
        <v>-24.702762</v>
      </c>
      <c r="L349" s="336">
        <v>1040.36</v>
      </c>
      <c r="M349" s="336">
        <v>60.502007</v>
      </c>
      <c r="N349" s="336">
        <v>11276.9088</v>
      </c>
      <c r="O349" s="336">
        <v>11287.9433</v>
      </c>
      <c r="P349" s="338">
        <v>2033.52062</v>
      </c>
      <c r="Q349" s="338" t="s">
        <v>509</v>
      </c>
      <c r="R349" s="338" t="s">
        <v>12</v>
      </c>
      <c r="S349" s="338">
        <v>10.0</v>
      </c>
      <c r="T349" s="338">
        <v>5.0</v>
      </c>
      <c r="U349" s="338">
        <v>0.7</v>
      </c>
      <c r="V349" s="338">
        <v>0.7</v>
      </c>
      <c r="W349" s="338">
        <v>0.7</v>
      </c>
      <c r="X349" s="336">
        <v>2000.0</v>
      </c>
      <c r="Y349" s="336" t="s">
        <v>510</v>
      </c>
      <c r="Z349" s="336">
        <v>0.2</v>
      </c>
      <c r="AA349" s="336" t="s">
        <v>511</v>
      </c>
      <c r="AB349" s="336" t="s">
        <v>512</v>
      </c>
      <c r="AC349" s="336">
        <v>220.0</v>
      </c>
      <c r="AD349" s="339"/>
      <c r="AE349" s="340"/>
    </row>
    <row r="350">
      <c r="A350" s="336" t="s">
        <v>770</v>
      </c>
      <c r="B350" s="336">
        <v>9.0</v>
      </c>
      <c r="C350" s="336">
        <v>405.0</v>
      </c>
      <c r="D350" s="336" t="s">
        <v>561</v>
      </c>
      <c r="E350" s="336">
        <v>1.0</v>
      </c>
      <c r="F350" s="357">
        <v>45545.6875</v>
      </c>
      <c r="G350" s="336">
        <v>1.0</v>
      </c>
      <c r="H350" s="336">
        <v>51.3708</v>
      </c>
      <c r="I350" s="336">
        <v>8.25877</v>
      </c>
      <c r="J350" s="336">
        <v>-27.046588</v>
      </c>
      <c r="K350" s="336">
        <v>-25.74745</v>
      </c>
      <c r="L350" s="336">
        <v>1028.4</v>
      </c>
      <c r="M350" s="336">
        <v>76.000653</v>
      </c>
      <c r="N350" s="336">
        <v>11298.9778</v>
      </c>
      <c r="O350" s="336">
        <v>11287.9433</v>
      </c>
      <c r="P350" s="338">
        <v>2033.52062</v>
      </c>
      <c r="Q350" s="338" t="s">
        <v>509</v>
      </c>
      <c r="R350" s="338" t="s">
        <v>12</v>
      </c>
      <c r="S350" s="338">
        <v>10.0</v>
      </c>
      <c r="T350" s="338">
        <v>5.0</v>
      </c>
      <c r="U350" s="338">
        <v>0.7</v>
      </c>
      <c r="V350" s="338">
        <v>0.7</v>
      </c>
      <c r="W350" s="338">
        <v>0.7</v>
      </c>
      <c r="X350" s="336">
        <v>2000.0</v>
      </c>
      <c r="Y350" s="336" t="s">
        <v>510</v>
      </c>
      <c r="Z350" s="336">
        <v>0.2</v>
      </c>
      <c r="AA350" s="336" t="s">
        <v>511</v>
      </c>
      <c r="AB350" s="336" t="s">
        <v>512</v>
      </c>
      <c r="AC350" s="336">
        <v>220.0</v>
      </c>
      <c r="AD350" s="339"/>
      <c r="AE350" s="340"/>
    </row>
    <row r="351">
      <c r="A351" s="336" t="s">
        <v>716</v>
      </c>
      <c r="B351" s="336" t="s">
        <v>517</v>
      </c>
      <c r="C351" s="336" t="s">
        <v>744</v>
      </c>
      <c r="D351" s="336" t="s">
        <v>508</v>
      </c>
      <c r="E351" s="336">
        <v>0.8</v>
      </c>
      <c r="F351" s="357">
        <v>45545.69027777778</v>
      </c>
      <c r="G351" s="336">
        <v>1.0</v>
      </c>
      <c r="H351" s="336">
        <v>51.3741</v>
      </c>
      <c r="I351" s="336">
        <v>8.18083</v>
      </c>
      <c r="J351" s="336">
        <v>-27.02555</v>
      </c>
      <c r="K351" s="336">
        <v>-25.663075</v>
      </c>
      <c r="L351" s="336">
        <v>991.486</v>
      </c>
      <c r="M351" s="336">
        <v>64.499341</v>
      </c>
      <c r="N351" s="336">
        <v>9147.07856</v>
      </c>
      <c r="O351" s="336">
        <v>9152.45164</v>
      </c>
      <c r="P351" s="338">
        <v>2070.3457</v>
      </c>
      <c r="Q351" s="338" t="s">
        <v>509</v>
      </c>
      <c r="R351" s="338" t="s">
        <v>12</v>
      </c>
      <c r="S351" s="338">
        <v>10.0</v>
      </c>
      <c r="T351" s="338">
        <v>5.0</v>
      </c>
      <c r="U351" s="338">
        <v>0.7</v>
      </c>
      <c r="V351" s="338">
        <v>0.7</v>
      </c>
      <c r="W351" s="338">
        <v>0.7</v>
      </c>
      <c r="X351" s="336">
        <v>2000.0</v>
      </c>
      <c r="Y351" s="336" t="s">
        <v>510</v>
      </c>
      <c r="Z351" s="336">
        <v>0.2</v>
      </c>
      <c r="AA351" s="336" t="s">
        <v>511</v>
      </c>
      <c r="AB351" s="336" t="s">
        <v>512</v>
      </c>
      <c r="AC351" s="336">
        <v>220.0</v>
      </c>
      <c r="AD351" s="339"/>
      <c r="AE351" s="340"/>
    </row>
    <row r="352">
      <c r="A352" s="336" t="s">
        <v>717</v>
      </c>
      <c r="B352" s="336" t="s">
        <v>517</v>
      </c>
      <c r="C352" s="336" t="s">
        <v>744</v>
      </c>
      <c r="D352" s="336" t="s">
        <v>508</v>
      </c>
      <c r="E352" s="336">
        <v>0.8</v>
      </c>
      <c r="F352" s="357">
        <v>45545.69305555556</v>
      </c>
      <c r="G352" s="336">
        <v>1.0</v>
      </c>
      <c r="H352" s="336">
        <v>51.3774</v>
      </c>
      <c r="I352" s="336">
        <v>8.11247</v>
      </c>
      <c r="J352" s="336">
        <v>-27.0455</v>
      </c>
      <c r="K352" s="336">
        <v>-25.859106</v>
      </c>
      <c r="L352" s="336">
        <v>1000.64</v>
      </c>
      <c r="M352" s="336">
        <v>67.499826</v>
      </c>
      <c r="N352" s="336">
        <v>9157.82472</v>
      </c>
      <c r="O352" s="336">
        <v>9152.45164</v>
      </c>
      <c r="P352" s="338">
        <v>2070.3457</v>
      </c>
      <c r="Q352" s="338" t="s">
        <v>509</v>
      </c>
      <c r="R352" s="338" t="s">
        <v>12</v>
      </c>
      <c r="S352" s="338">
        <v>10.0</v>
      </c>
      <c r="T352" s="338">
        <v>5.0</v>
      </c>
      <c r="U352" s="338">
        <v>0.7</v>
      </c>
      <c r="V352" s="338">
        <v>0.7</v>
      </c>
      <c r="W352" s="338">
        <v>0.7</v>
      </c>
      <c r="X352" s="336">
        <v>2000.0</v>
      </c>
      <c r="Y352" s="336" t="s">
        <v>510</v>
      </c>
      <c r="Z352" s="336">
        <v>0.2</v>
      </c>
      <c r="AA352" s="336" t="s">
        <v>511</v>
      </c>
      <c r="AB352" s="336" t="s">
        <v>512</v>
      </c>
      <c r="AC352" s="336">
        <v>220.0</v>
      </c>
      <c r="AD352" s="339"/>
      <c r="AE352" s="340"/>
    </row>
    <row r="353">
      <c r="A353" s="336" t="s">
        <v>718</v>
      </c>
      <c r="B353" s="336" t="s">
        <v>523</v>
      </c>
      <c r="C353" s="336" t="s">
        <v>744</v>
      </c>
      <c r="D353" s="336" t="s">
        <v>508</v>
      </c>
      <c r="E353" s="336">
        <v>1.0</v>
      </c>
      <c r="F353" s="357">
        <v>45545.69583333333</v>
      </c>
      <c r="G353" s="336">
        <v>1.0</v>
      </c>
      <c r="H353" s="336">
        <v>51.3708</v>
      </c>
      <c r="I353" s="336">
        <v>8.0819</v>
      </c>
      <c r="J353" s="336">
        <v>-26.938319</v>
      </c>
      <c r="K353" s="336">
        <v>-24.675162</v>
      </c>
      <c r="L353" s="336">
        <v>1067.41</v>
      </c>
      <c r="M353" s="336">
        <v>61.500545</v>
      </c>
      <c r="N353" s="336">
        <v>11452.1416</v>
      </c>
      <c r="O353" s="336">
        <v>11494.7567</v>
      </c>
      <c r="P353" s="338">
        <v>2070.3457</v>
      </c>
      <c r="Q353" s="338" t="s">
        <v>519</v>
      </c>
      <c r="R353" s="338" t="s">
        <v>12</v>
      </c>
      <c r="S353" s="338">
        <v>10.0</v>
      </c>
      <c r="T353" s="338">
        <v>5.0</v>
      </c>
      <c r="U353" s="338">
        <v>0.7</v>
      </c>
      <c r="V353" s="338">
        <v>0.7</v>
      </c>
      <c r="W353" s="338">
        <v>0.7</v>
      </c>
      <c r="X353" s="336">
        <v>2000.0</v>
      </c>
      <c r="Y353" s="336" t="s">
        <v>510</v>
      </c>
      <c r="Z353" s="336">
        <v>0.2</v>
      </c>
      <c r="AA353" s="336" t="s">
        <v>511</v>
      </c>
      <c r="AB353" s="336" t="s">
        <v>512</v>
      </c>
      <c r="AC353" s="336">
        <v>220.0</v>
      </c>
      <c r="AD353" s="339"/>
      <c r="AE353" s="340"/>
    </row>
    <row r="354">
      <c r="A354" s="342" t="s">
        <v>719</v>
      </c>
      <c r="B354" s="342" t="s">
        <v>523</v>
      </c>
      <c r="C354" s="342" t="s">
        <v>744</v>
      </c>
      <c r="D354" s="342" t="s">
        <v>508</v>
      </c>
      <c r="E354" s="342">
        <v>1.0</v>
      </c>
      <c r="F354" s="358">
        <v>45545.69861111111</v>
      </c>
      <c r="G354" s="342">
        <v>1.0</v>
      </c>
      <c r="H354" s="342">
        <v>51.3741</v>
      </c>
      <c r="I354" s="342">
        <v>8.27663</v>
      </c>
      <c r="J354" s="342">
        <v>-27.0467</v>
      </c>
      <c r="K354" s="342">
        <v>-25.523137</v>
      </c>
      <c r="L354" s="342">
        <v>1064.97</v>
      </c>
      <c r="M354" s="342">
        <v>68.999921</v>
      </c>
      <c r="N354" s="342">
        <v>11485.5946</v>
      </c>
      <c r="O354" s="342">
        <v>11494.7567</v>
      </c>
      <c r="P354" s="344">
        <v>2070.3457</v>
      </c>
      <c r="Q354" s="344" t="s">
        <v>509</v>
      </c>
      <c r="R354" s="338" t="s">
        <v>12</v>
      </c>
      <c r="S354" s="338">
        <v>10.0</v>
      </c>
      <c r="T354" s="338">
        <v>5.0</v>
      </c>
      <c r="U354" s="338">
        <v>0.7</v>
      </c>
      <c r="V354" s="338">
        <v>0.7</v>
      </c>
      <c r="W354" s="338">
        <v>0.7</v>
      </c>
      <c r="X354" s="336">
        <v>2000.0</v>
      </c>
      <c r="Y354" s="336" t="s">
        <v>510</v>
      </c>
      <c r="Z354" s="336">
        <v>0.2</v>
      </c>
      <c r="AA354" s="336" t="s">
        <v>511</v>
      </c>
      <c r="AB354" s="336" t="s">
        <v>512</v>
      </c>
      <c r="AC354" s="336">
        <v>220.0</v>
      </c>
      <c r="AD354" s="339"/>
      <c r="AE354" s="340"/>
    </row>
    <row r="355">
      <c r="A355" s="342" t="s">
        <v>720</v>
      </c>
      <c r="B355" s="342" t="s">
        <v>523</v>
      </c>
      <c r="C355" s="342" t="s">
        <v>744</v>
      </c>
      <c r="D355" s="342" t="s">
        <v>508</v>
      </c>
      <c r="E355" s="342">
        <v>1.0</v>
      </c>
      <c r="F355" s="358">
        <v>45545.70138888889</v>
      </c>
      <c r="G355" s="342">
        <v>1.0</v>
      </c>
      <c r="H355" s="342">
        <v>51.3774</v>
      </c>
      <c r="I355" s="342">
        <v>8.15262</v>
      </c>
      <c r="J355" s="342">
        <v>-27.110581</v>
      </c>
      <c r="K355" s="342">
        <v>-25.954231</v>
      </c>
      <c r="L355" s="342">
        <v>1047.65</v>
      </c>
      <c r="M355" s="342">
        <v>75.998802</v>
      </c>
      <c r="N355" s="342">
        <v>11503.9189</v>
      </c>
      <c r="O355" s="342">
        <v>11494.7567</v>
      </c>
      <c r="P355" s="344">
        <v>2070.3457</v>
      </c>
      <c r="Q355" s="344" t="s">
        <v>509</v>
      </c>
      <c r="R355" s="338" t="s">
        <v>12</v>
      </c>
      <c r="S355" s="338">
        <v>10.0</v>
      </c>
      <c r="T355" s="338">
        <v>5.0</v>
      </c>
      <c r="U355" s="338">
        <v>0.7</v>
      </c>
      <c r="V355" s="338">
        <v>0.7</v>
      </c>
      <c r="W355" s="338">
        <v>0.7</v>
      </c>
      <c r="X355" s="336">
        <v>2000.0</v>
      </c>
      <c r="Y355" s="336" t="s">
        <v>510</v>
      </c>
      <c r="Z355" s="336">
        <v>0.2</v>
      </c>
      <c r="AA355" s="336" t="s">
        <v>511</v>
      </c>
      <c r="AB355" s="336" t="s">
        <v>512</v>
      </c>
      <c r="AC355" s="336">
        <v>220.0</v>
      </c>
      <c r="AD355" s="339"/>
      <c r="AE355" s="340"/>
    </row>
    <row r="356">
      <c r="A356" s="336" t="s">
        <v>723</v>
      </c>
      <c r="B356" s="336" t="s">
        <v>527</v>
      </c>
      <c r="C356" s="336" t="s">
        <v>744</v>
      </c>
      <c r="D356" s="336" t="s">
        <v>508</v>
      </c>
      <c r="E356" s="336">
        <v>1.2</v>
      </c>
      <c r="F356" s="357">
        <v>45545.70416666667</v>
      </c>
      <c r="G356" s="336">
        <v>1.0</v>
      </c>
      <c r="H356" s="336">
        <v>51.3741</v>
      </c>
      <c r="I356" s="336">
        <v>8.10725</v>
      </c>
      <c r="J356" s="336">
        <v>-27.044844</v>
      </c>
      <c r="K356" s="336">
        <v>-25.519413</v>
      </c>
      <c r="L356" s="336">
        <v>1090.89</v>
      </c>
      <c r="M356" s="336">
        <v>74.500442</v>
      </c>
      <c r="N356" s="336">
        <v>13810.9809</v>
      </c>
      <c r="O356" s="336">
        <v>13817.4908</v>
      </c>
      <c r="P356" s="338">
        <v>2070.3457</v>
      </c>
      <c r="Q356" s="338" t="s">
        <v>509</v>
      </c>
      <c r="R356" s="338" t="s">
        <v>12</v>
      </c>
      <c r="S356" s="338">
        <v>10.0</v>
      </c>
      <c r="T356" s="338">
        <v>5.0</v>
      </c>
      <c r="U356" s="338">
        <v>0.7</v>
      </c>
      <c r="V356" s="338">
        <v>0.7</v>
      </c>
      <c r="W356" s="338">
        <v>0.7</v>
      </c>
      <c r="X356" s="336">
        <v>2000.0</v>
      </c>
      <c r="Y356" s="336" t="s">
        <v>510</v>
      </c>
      <c r="Z356" s="336">
        <v>0.2</v>
      </c>
      <c r="AA356" s="336" t="s">
        <v>511</v>
      </c>
      <c r="AB356" s="336" t="s">
        <v>512</v>
      </c>
      <c r="AC356" s="336">
        <v>220.0</v>
      </c>
      <c r="AD356" s="339"/>
      <c r="AE356" s="340"/>
    </row>
    <row r="357">
      <c r="A357" s="336" t="s">
        <v>724</v>
      </c>
      <c r="B357" s="336" t="s">
        <v>527</v>
      </c>
      <c r="C357" s="336" t="s">
        <v>744</v>
      </c>
      <c r="D357" s="336" t="s">
        <v>508</v>
      </c>
      <c r="E357" s="336">
        <v>1.2</v>
      </c>
      <c r="F357" s="357">
        <v>45545.70763888889</v>
      </c>
      <c r="G357" s="336">
        <v>1.0</v>
      </c>
      <c r="H357" s="336">
        <v>51.3774</v>
      </c>
      <c r="I357" s="336">
        <v>8.19676</v>
      </c>
      <c r="J357" s="336">
        <v>-27.099738</v>
      </c>
      <c r="K357" s="336">
        <v>-25.470513</v>
      </c>
      <c r="L357" s="336">
        <v>1098.29</v>
      </c>
      <c r="M357" s="336">
        <v>73.9999</v>
      </c>
      <c r="N357" s="336">
        <v>13824.0007</v>
      </c>
      <c r="O357" s="336">
        <v>13817.4908</v>
      </c>
      <c r="P357" s="338">
        <v>2070.3457</v>
      </c>
      <c r="Q357" s="338" t="s">
        <v>509</v>
      </c>
      <c r="R357" s="338" t="s">
        <v>12</v>
      </c>
      <c r="S357" s="338">
        <v>10.0</v>
      </c>
      <c r="T357" s="338">
        <v>5.0</v>
      </c>
      <c r="U357" s="338">
        <v>0.7</v>
      </c>
      <c r="V357" s="338">
        <v>0.7</v>
      </c>
      <c r="W357" s="338">
        <v>0.7</v>
      </c>
      <c r="X357" s="336">
        <v>2000.0</v>
      </c>
      <c r="Y357" s="336" t="s">
        <v>510</v>
      </c>
      <c r="Z357" s="336">
        <v>0.2</v>
      </c>
      <c r="AA357" s="336" t="s">
        <v>511</v>
      </c>
      <c r="AB357" s="336" t="s">
        <v>512</v>
      </c>
      <c r="AC357" s="336">
        <v>220.0</v>
      </c>
      <c r="AD357" s="339"/>
      <c r="AE357" s="340"/>
    </row>
    <row r="358">
      <c r="A358" s="336" t="s">
        <v>598</v>
      </c>
      <c r="B358" s="336">
        <v>2.0</v>
      </c>
      <c r="C358" s="336">
        <v>353.0</v>
      </c>
      <c r="D358" s="336" t="s">
        <v>548</v>
      </c>
      <c r="E358" s="336">
        <v>1.0</v>
      </c>
      <c r="F358" s="357">
        <v>45545.71111111111</v>
      </c>
      <c r="G358" s="336">
        <v>1.0</v>
      </c>
      <c r="H358" s="336">
        <v>51.3708</v>
      </c>
      <c r="I358" s="336">
        <v>8.06298</v>
      </c>
      <c r="J358" s="336">
        <v>-27.123869</v>
      </c>
      <c r="K358" s="336">
        <v>-25.449606</v>
      </c>
      <c r="L358" s="336">
        <v>1044.88</v>
      </c>
      <c r="M358" s="336">
        <v>68.499689</v>
      </c>
      <c r="N358" s="336">
        <v>11324.8847</v>
      </c>
      <c r="O358" s="336">
        <v>11319.0746</v>
      </c>
      <c r="P358" s="338">
        <v>2040.31667</v>
      </c>
      <c r="Q358" s="338" t="s">
        <v>519</v>
      </c>
      <c r="R358" s="338" t="s">
        <v>12</v>
      </c>
      <c r="S358" s="338">
        <v>10.0</v>
      </c>
      <c r="T358" s="338">
        <v>5.0</v>
      </c>
      <c r="U358" s="338">
        <v>0.7</v>
      </c>
      <c r="V358" s="338">
        <v>0.7</v>
      </c>
      <c r="W358" s="338">
        <v>0.7</v>
      </c>
      <c r="X358" s="336">
        <v>2000.0</v>
      </c>
      <c r="Y358" s="336" t="s">
        <v>510</v>
      </c>
      <c r="Z358" s="336">
        <v>0.2</v>
      </c>
      <c r="AA358" s="336" t="s">
        <v>511</v>
      </c>
      <c r="AB358" s="336" t="s">
        <v>512</v>
      </c>
      <c r="AC358" s="336">
        <v>220.0</v>
      </c>
      <c r="AD358" s="339"/>
      <c r="AE358" s="340"/>
    </row>
    <row r="359">
      <c r="A359" s="336" t="s">
        <v>599</v>
      </c>
      <c r="B359" s="336">
        <v>2.0</v>
      </c>
      <c r="C359" s="336">
        <v>353.0</v>
      </c>
      <c r="D359" s="336" t="s">
        <v>548</v>
      </c>
      <c r="E359" s="336">
        <v>1.0</v>
      </c>
      <c r="F359" s="357">
        <v>45545.71319444444</v>
      </c>
      <c r="G359" s="336">
        <v>1.0</v>
      </c>
      <c r="H359" s="336">
        <v>51.3741</v>
      </c>
      <c r="I359" s="336">
        <v>8.0862</v>
      </c>
      <c r="J359" s="336">
        <v>-27.119837</v>
      </c>
      <c r="K359" s="336">
        <v>-25.183031</v>
      </c>
      <c r="L359" s="336">
        <v>1039.42</v>
      </c>
      <c r="M359" s="336">
        <v>63.500482</v>
      </c>
      <c r="N359" s="336">
        <v>11285.4899</v>
      </c>
      <c r="O359" s="336">
        <v>11319.0746</v>
      </c>
      <c r="P359" s="338">
        <v>2040.31667</v>
      </c>
      <c r="Q359" s="338" t="s">
        <v>519</v>
      </c>
      <c r="R359" s="338" t="s">
        <v>12</v>
      </c>
      <c r="S359" s="338">
        <v>10.0</v>
      </c>
      <c r="T359" s="338">
        <v>5.0</v>
      </c>
      <c r="U359" s="338">
        <v>0.7</v>
      </c>
      <c r="V359" s="338">
        <v>0.7</v>
      </c>
      <c r="W359" s="338">
        <v>0.7</v>
      </c>
      <c r="X359" s="336">
        <v>2000.0</v>
      </c>
      <c r="Y359" s="336" t="s">
        <v>510</v>
      </c>
      <c r="Z359" s="336">
        <v>0.2</v>
      </c>
      <c r="AA359" s="336" t="s">
        <v>511</v>
      </c>
      <c r="AB359" s="336" t="s">
        <v>512</v>
      </c>
      <c r="AC359" s="336">
        <v>220.0</v>
      </c>
      <c r="AD359" s="339"/>
      <c r="AE359" s="340"/>
    </row>
    <row r="360">
      <c r="A360" s="336" t="s">
        <v>726</v>
      </c>
      <c r="B360" s="336">
        <v>2.0</v>
      </c>
      <c r="C360" s="336">
        <v>353.0</v>
      </c>
      <c r="D360" s="336" t="s">
        <v>548</v>
      </c>
      <c r="E360" s="336">
        <v>1.0</v>
      </c>
      <c r="F360" s="357">
        <v>45545.71597222222</v>
      </c>
      <c r="G360" s="336">
        <v>1.0</v>
      </c>
      <c r="H360" s="336">
        <v>51.3708</v>
      </c>
      <c r="I360" s="336">
        <v>8.03466</v>
      </c>
      <c r="J360" s="336">
        <v>-27.139712</v>
      </c>
      <c r="K360" s="336">
        <v>-25.250037</v>
      </c>
      <c r="L360" s="336">
        <v>1042.35</v>
      </c>
      <c r="M360" s="336">
        <v>65.499948</v>
      </c>
      <c r="N360" s="336">
        <v>11326.4218</v>
      </c>
      <c r="O360" s="336">
        <v>11319.0746</v>
      </c>
      <c r="P360" s="338">
        <v>2040.31667</v>
      </c>
      <c r="Q360" s="338" t="s">
        <v>509</v>
      </c>
      <c r="R360" s="338" t="s">
        <v>12</v>
      </c>
      <c r="S360" s="338">
        <v>10.0</v>
      </c>
      <c r="T360" s="338">
        <v>5.0</v>
      </c>
      <c r="U360" s="338">
        <v>0.7</v>
      </c>
      <c r="V360" s="338">
        <v>0.7</v>
      </c>
      <c r="W360" s="338">
        <v>0.7</v>
      </c>
      <c r="X360" s="336">
        <v>2000.0</v>
      </c>
      <c r="Y360" s="336" t="s">
        <v>510</v>
      </c>
      <c r="Z360" s="336">
        <v>0.2</v>
      </c>
      <c r="AA360" s="336" t="s">
        <v>511</v>
      </c>
      <c r="AB360" s="336" t="s">
        <v>512</v>
      </c>
      <c r="AC360" s="336">
        <v>220.0</v>
      </c>
      <c r="AD360" s="339"/>
      <c r="AE360" s="340"/>
    </row>
    <row r="361">
      <c r="A361" s="336" t="s">
        <v>727</v>
      </c>
      <c r="B361" s="336">
        <v>2.0</v>
      </c>
      <c r="C361" s="336">
        <v>353.0</v>
      </c>
      <c r="D361" s="336" t="s">
        <v>548</v>
      </c>
      <c r="E361" s="336">
        <v>1.0</v>
      </c>
      <c r="F361" s="357">
        <v>45545.71875</v>
      </c>
      <c r="G361" s="336">
        <v>1.0</v>
      </c>
      <c r="H361" s="336">
        <v>51.3774</v>
      </c>
      <c r="I361" s="336">
        <v>8.01746</v>
      </c>
      <c r="J361" s="336">
        <v>-27.208562</v>
      </c>
      <c r="K361" s="336">
        <v>-25.292975</v>
      </c>
      <c r="L361" s="336">
        <v>1036.86</v>
      </c>
      <c r="M361" s="336">
        <v>63.999149</v>
      </c>
      <c r="N361" s="336">
        <v>11311.7274</v>
      </c>
      <c r="O361" s="336">
        <v>11319.0746</v>
      </c>
      <c r="P361" s="338">
        <v>2040.31667</v>
      </c>
      <c r="Q361" s="338" t="s">
        <v>509</v>
      </c>
      <c r="R361" s="338" t="s">
        <v>12</v>
      </c>
      <c r="S361" s="338">
        <v>10.0</v>
      </c>
      <c r="T361" s="338">
        <v>5.0</v>
      </c>
      <c r="U361" s="338">
        <v>0.7</v>
      </c>
      <c r="V361" s="338">
        <v>0.7</v>
      </c>
      <c r="W361" s="338">
        <v>0.7</v>
      </c>
      <c r="X361" s="336">
        <v>2000.0</v>
      </c>
      <c r="Y361" s="336" t="s">
        <v>510</v>
      </c>
      <c r="Z361" s="336">
        <v>0.2</v>
      </c>
      <c r="AA361" s="336" t="s">
        <v>511</v>
      </c>
      <c r="AB361" s="336" t="s">
        <v>512</v>
      </c>
      <c r="AC361" s="336">
        <v>220.0</v>
      </c>
      <c r="AD361" s="339"/>
      <c r="AE361" s="340"/>
    </row>
    <row r="362">
      <c r="A362" s="336" t="s">
        <v>600</v>
      </c>
      <c r="B362" s="336">
        <v>3.0</v>
      </c>
      <c r="C362" s="336">
        <v>365.0</v>
      </c>
      <c r="D362" s="336" t="s">
        <v>532</v>
      </c>
      <c r="E362" s="336">
        <v>1.0</v>
      </c>
      <c r="F362" s="357">
        <v>45545.72222222222</v>
      </c>
      <c r="G362" s="336">
        <v>1.0</v>
      </c>
      <c r="H362" s="336">
        <v>51.3675</v>
      </c>
      <c r="I362" s="336">
        <v>8.05724</v>
      </c>
      <c r="J362" s="336">
        <v>-27.271169</v>
      </c>
      <c r="K362" s="336">
        <v>-26.110131</v>
      </c>
      <c r="L362" s="336">
        <v>1054.82</v>
      </c>
      <c r="M362" s="336">
        <v>75.999537</v>
      </c>
      <c r="N362" s="336">
        <v>11379.3801</v>
      </c>
      <c r="O362" s="336">
        <v>11316.1485</v>
      </c>
      <c r="P362" s="338">
        <v>2039.79723</v>
      </c>
      <c r="Q362" s="338" t="s">
        <v>519</v>
      </c>
      <c r="R362" s="338" t="s">
        <v>12</v>
      </c>
      <c r="S362" s="338">
        <v>10.0</v>
      </c>
      <c r="T362" s="338">
        <v>5.0</v>
      </c>
      <c r="U362" s="338">
        <v>0.7</v>
      </c>
      <c r="V362" s="338">
        <v>0.7</v>
      </c>
      <c r="W362" s="338">
        <v>0.7</v>
      </c>
      <c r="X362" s="336">
        <v>2000.0</v>
      </c>
      <c r="Y362" s="336" t="s">
        <v>510</v>
      </c>
      <c r="Z362" s="336">
        <v>0.2</v>
      </c>
      <c r="AA362" s="336" t="s">
        <v>511</v>
      </c>
      <c r="AB362" s="336" t="s">
        <v>512</v>
      </c>
      <c r="AC362" s="336">
        <v>220.0</v>
      </c>
      <c r="AD362" s="339"/>
      <c r="AE362" s="340"/>
    </row>
    <row r="363">
      <c r="A363" s="336" t="s">
        <v>601</v>
      </c>
      <c r="B363" s="336">
        <v>3.0</v>
      </c>
      <c r="C363" s="336">
        <v>365.0</v>
      </c>
      <c r="D363" s="336" t="s">
        <v>532</v>
      </c>
      <c r="E363" s="336">
        <v>1.0</v>
      </c>
      <c r="F363" s="357">
        <v>45545.725</v>
      </c>
      <c r="G363" s="336">
        <v>1.0</v>
      </c>
      <c r="H363" s="336">
        <v>51.3741</v>
      </c>
      <c r="I363" s="336">
        <v>8.15199</v>
      </c>
      <c r="J363" s="336">
        <v>-27.196731</v>
      </c>
      <c r="K363" s="336">
        <v>-25.496638</v>
      </c>
      <c r="L363" s="336">
        <v>1047.83</v>
      </c>
      <c r="M363" s="336">
        <v>65.999546</v>
      </c>
      <c r="N363" s="336">
        <v>11320.2084</v>
      </c>
      <c r="O363" s="336">
        <v>11316.1485</v>
      </c>
      <c r="P363" s="338">
        <v>2039.79723</v>
      </c>
      <c r="Q363" s="338" t="s">
        <v>509</v>
      </c>
      <c r="R363" s="338" t="s">
        <v>12</v>
      </c>
      <c r="S363" s="338">
        <v>10.0</v>
      </c>
      <c r="T363" s="338">
        <v>5.0</v>
      </c>
      <c r="U363" s="338">
        <v>0.7</v>
      </c>
      <c r="V363" s="338">
        <v>0.7</v>
      </c>
      <c r="W363" s="338">
        <v>0.7</v>
      </c>
      <c r="X363" s="336">
        <v>2000.0</v>
      </c>
      <c r="Y363" s="336" t="s">
        <v>510</v>
      </c>
      <c r="Z363" s="336">
        <v>0.2</v>
      </c>
      <c r="AA363" s="336" t="s">
        <v>511</v>
      </c>
      <c r="AB363" s="336" t="s">
        <v>512</v>
      </c>
      <c r="AC363" s="336">
        <v>220.0</v>
      </c>
      <c r="AD363" s="339"/>
      <c r="AE363" s="340"/>
    </row>
    <row r="364">
      <c r="A364" s="336" t="s">
        <v>771</v>
      </c>
      <c r="B364" s="336">
        <v>3.0</v>
      </c>
      <c r="C364" s="336">
        <v>365.0</v>
      </c>
      <c r="D364" s="336" t="s">
        <v>532</v>
      </c>
      <c r="E364" s="336">
        <v>1.0</v>
      </c>
      <c r="F364" s="357">
        <v>45545.72777777778</v>
      </c>
      <c r="G364" s="336">
        <v>1.0</v>
      </c>
      <c r="H364" s="336">
        <v>51.3741</v>
      </c>
      <c r="I364" s="336">
        <v>8.17359</v>
      </c>
      <c r="J364" s="336">
        <v>-27.323213</v>
      </c>
      <c r="K364" s="336">
        <v>-25.582319</v>
      </c>
      <c r="L364" s="336">
        <v>1036.33</v>
      </c>
      <c r="M364" s="336">
        <v>67.499725</v>
      </c>
      <c r="N364" s="336">
        <v>11312.0886</v>
      </c>
      <c r="O364" s="336">
        <v>11316.1485</v>
      </c>
      <c r="P364" s="338">
        <v>2039.79723</v>
      </c>
      <c r="Q364" s="338" t="s">
        <v>509</v>
      </c>
      <c r="R364" s="338" t="s">
        <v>12</v>
      </c>
      <c r="S364" s="338">
        <v>10.0</v>
      </c>
      <c r="T364" s="338">
        <v>5.0</v>
      </c>
      <c r="U364" s="338">
        <v>0.7</v>
      </c>
      <c r="V364" s="338">
        <v>0.7</v>
      </c>
      <c r="W364" s="338">
        <v>0.7</v>
      </c>
      <c r="X364" s="336">
        <v>2000.0</v>
      </c>
      <c r="Y364" s="336" t="s">
        <v>510</v>
      </c>
      <c r="Z364" s="336">
        <v>0.2</v>
      </c>
      <c r="AA364" s="336" t="s">
        <v>511</v>
      </c>
      <c r="AB364" s="336" t="s">
        <v>512</v>
      </c>
      <c r="AC364" s="336">
        <v>220.0</v>
      </c>
      <c r="AD364" s="339"/>
      <c r="AE364" s="340"/>
    </row>
    <row r="365">
      <c r="A365" s="336" t="s">
        <v>652</v>
      </c>
      <c r="B365" s="336">
        <v>4.0</v>
      </c>
      <c r="C365" s="336">
        <v>366.0</v>
      </c>
      <c r="D365" s="336" t="s">
        <v>540</v>
      </c>
      <c r="E365" s="336">
        <v>1.0</v>
      </c>
      <c r="F365" s="357">
        <v>45545.73125</v>
      </c>
      <c r="G365" s="336">
        <v>1.0</v>
      </c>
      <c r="H365" s="336">
        <v>51.3741</v>
      </c>
      <c r="I365" s="336">
        <v>8.11071</v>
      </c>
      <c r="J365" s="336">
        <v>-27.310156</v>
      </c>
      <c r="K365" s="336">
        <v>-25.51345</v>
      </c>
      <c r="L365" s="336">
        <v>1041.23</v>
      </c>
      <c r="M365" s="336">
        <v>65.500323</v>
      </c>
      <c r="N365" s="336">
        <v>11330.9124</v>
      </c>
      <c r="O365" s="336">
        <v>11361.025</v>
      </c>
      <c r="P365" s="338">
        <v>2047.76371</v>
      </c>
      <c r="Q365" s="338" t="s">
        <v>519</v>
      </c>
      <c r="R365" s="338" t="s">
        <v>12</v>
      </c>
      <c r="S365" s="338">
        <v>10.0</v>
      </c>
      <c r="T365" s="338">
        <v>5.0</v>
      </c>
      <c r="U365" s="338">
        <v>0.7</v>
      </c>
      <c r="V365" s="338">
        <v>0.7</v>
      </c>
      <c r="W365" s="338">
        <v>0.7</v>
      </c>
      <c r="X365" s="336">
        <v>2000.0</v>
      </c>
      <c r="Y365" s="336" t="s">
        <v>510</v>
      </c>
      <c r="Z365" s="336">
        <v>0.2</v>
      </c>
      <c r="AA365" s="336" t="s">
        <v>511</v>
      </c>
      <c r="AB365" s="336" t="s">
        <v>512</v>
      </c>
      <c r="AC365" s="336">
        <v>220.0</v>
      </c>
      <c r="AD365" s="339"/>
      <c r="AE365" s="340"/>
    </row>
    <row r="366">
      <c r="A366" s="336" t="s">
        <v>653</v>
      </c>
      <c r="B366" s="336">
        <v>4.0</v>
      </c>
      <c r="C366" s="336">
        <v>366.0</v>
      </c>
      <c r="D366" s="336" t="s">
        <v>540</v>
      </c>
      <c r="E366" s="336">
        <v>1.0</v>
      </c>
      <c r="F366" s="357">
        <v>45545.73402777778</v>
      </c>
      <c r="G366" s="336">
        <v>1.0</v>
      </c>
      <c r="H366" s="336">
        <v>51.3741</v>
      </c>
      <c r="I366" s="336">
        <v>8.05572</v>
      </c>
      <c r="J366" s="336">
        <v>-27.190725</v>
      </c>
      <c r="K366" s="336">
        <v>-25.867437</v>
      </c>
      <c r="L366" s="336">
        <v>1061.56</v>
      </c>
      <c r="M366" s="336">
        <v>70.000836</v>
      </c>
      <c r="N366" s="336">
        <v>11354.5836</v>
      </c>
      <c r="O366" s="336">
        <v>11361.025</v>
      </c>
      <c r="P366" s="338">
        <v>2047.76371</v>
      </c>
      <c r="Q366" s="338" t="s">
        <v>509</v>
      </c>
      <c r="R366" s="338" t="s">
        <v>12</v>
      </c>
      <c r="S366" s="338">
        <v>10.0</v>
      </c>
      <c r="T366" s="338">
        <v>5.0</v>
      </c>
      <c r="U366" s="338">
        <v>0.7</v>
      </c>
      <c r="V366" s="338">
        <v>0.7</v>
      </c>
      <c r="W366" s="338">
        <v>0.7</v>
      </c>
      <c r="X366" s="336">
        <v>2000.0</v>
      </c>
      <c r="Y366" s="336" t="s">
        <v>510</v>
      </c>
      <c r="Z366" s="336">
        <v>0.2</v>
      </c>
      <c r="AA366" s="336" t="s">
        <v>511</v>
      </c>
      <c r="AB366" s="336" t="s">
        <v>512</v>
      </c>
      <c r="AC366" s="336">
        <v>220.0</v>
      </c>
      <c r="AD366" s="339"/>
      <c r="AE366" s="340"/>
    </row>
    <row r="367">
      <c r="A367" s="336" t="s">
        <v>654</v>
      </c>
      <c r="B367" s="336">
        <v>4.0</v>
      </c>
      <c r="C367" s="336">
        <v>366.0</v>
      </c>
      <c r="D367" s="336" t="s">
        <v>540</v>
      </c>
      <c r="E367" s="336">
        <v>1.0</v>
      </c>
      <c r="F367" s="357">
        <v>45545.736805555556</v>
      </c>
      <c r="G367" s="336">
        <v>1.0</v>
      </c>
      <c r="H367" s="336">
        <v>51.3741</v>
      </c>
      <c r="I367" s="336">
        <v>8.13779</v>
      </c>
      <c r="J367" s="336">
        <v>-27.200506</v>
      </c>
      <c r="K367" s="336">
        <v>-26.123513</v>
      </c>
      <c r="L367" s="336">
        <v>1039.61</v>
      </c>
      <c r="M367" s="336">
        <v>79.500122</v>
      </c>
      <c r="N367" s="336">
        <v>11367.4663</v>
      </c>
      <c r="O367" s="336">
        <v>11361.025</v>
      </c>
      <c r="P367" s="338">
        <v>2047.76371</v>
      </c>
      <c r="Q367" s="338" t="s">
        <v>509</v>
      </c>
      <c r="R367" s="338" t="s">
        <v>12</v>
      </c>
      <c r="S367" s="338">
        <v>10.0</v>
      </c>
      <c r="T367" s="338">
        <v>5.0</v>
      </c>
      <c r="U367" s="338">
        <v>0.7</v>
      </c>
      <c r="V367" s="338">
        <v>0.7</v>
      </c>
      <c r="W367" s="338">
        <v>0.7</v>
      </c>
      <c r="X367" s="336">
        <v>2000.0</v>
      </c>
      <c r="Y367" s="336" t="s">
        <v>510</v>
      </c>
      <c r="Z367" s="336">
        <v>0.2</v>
      </c>
      <c r="AA367" s="336" t="s">
        <v>511</v>
      </c>
      <c r="AB367" s="336" t="s">
        <v>512</v>
      </c>
      <c r="AC367" s="336">
        <v>220.0</v>
      </c>
      <c r="AD367" s="339"/>
      <c r="AE367" s="340"/>
    </row>
    <row r="368">
      <c r="A368" s="336" t="s">
        <v>655</v>
      </c>
      <c r="B368" s="336">
        <v>5.0</v>
      </c>
      <c r="C368" s="336">
        <v>339.0</v>
      </c>
      <c r="D368" s="336" t="s">
        <v>544</v>
      </c>
      <c r="E368" s="336">
        <v>1.0</v>
      </c>
      <c r="F368" s="357">
        <v>45545.740277777775</v>
      </c>
      <c r="G368" s="336">
        <v>1.0</v>
      </c>
      <c r="H368" s="336">
        <v>51.3774</v>
      </c>
      <c r="I368" s="336">
        <v>8.09494</v>
      </c>
      <c r="J368" s="336">
        <v>-27.347987</v>
      </c>
      <c r="K368" s="336">
        <v>-25.338806</v>
      </c>
      <c r="L368" s="336">
        <v>1031.62</v>
      </c>
      <c r="M368" s="336">
        <v>70.499862</v>
      </c>
      <c r="N368" s="336">
        <v>11244.4088</v>
      </c>
      <c r="O368" s="336">
        <v>11246.8452</v>
      </c>
      <c r="P368" s="338">
        <v>2027.49451</v>
      </c>
      <c r="Q368" s="338" t="s">
        <v>519</v>
      </c>
      <c r="R368" s="338" t="s">
        <v>12</v>
      </c>
      <c r="S368" s="338">
        <v>10.0</v>
      </c>
      <c r="T368" s="338">
        <v>5.0</v>
      </c>
      <c r="U368" s="338">
        <v>0.7</v>
      </c>
      <c r="V368" s="338">
        <v>0.7</v>
      </c>
      <c r="W368" s="338">
        <v>0.7</v>
      </c>
      <c r="X368" s="336">
        <v>2000.0</v>
      </c>
      <c r="Y368" s="336" t="s">
        <v>510</v>
      </c>
      <c r="Z368" s="336">
        <v>0.2</v>
      </c>
      <c r="AA368" s="336" t="s">
        <v>511</v>
      </c>
      <c r="AB368" s="336" t="s">
        <v>512</v>
      </c>
      <c r="AC368" s="336">
        <v>220.0</v>
      </c>
      <c r="AD368" s="339"/>
      <c r="AE368" s="340"/>
    </row>
    <row r="369">
      <c r="A369" s="336" t="s">
        <v>656</v>
      </c>
      <c r="B369" s="336">
        <v>5.0</v>
      </c>
      <c r="C369" s="336">
        <v>339.0</v>
      </c>
      <c r="D369" s="336" t="s">
        <v>544</v>
      </c>
      <c r="E369" s="336">
        <v>1.0</v>
      </c>
      <c r="F369" s="357">
        <v>45545.743055555555</v>
      </c>
      <c r="G369" s="336">
        <v>1.0</v>
      </c>
      <c r="H369" s="336">
        <v>51.3741</v>
      </c>
      <c r="I369" s="336">
        <v>8.04738</v>
      </c>
      <c r="J369" s="336">
        <v>-27.202756</v>
      </c>
      <c r="K369" s="336">
        <v>-25.893994</v>
      </c>
      <c r="L369" s="336">
        <v>1038.09</v>
      </c>
      <c r="M369" s="336">
        <v>71.499967</v>
      </c>
      <c r="N369" s="336">
        <v>11268.8023</v>
      </c>
      <c r="O369" s="336">
        <v>11246.8452</v>
      </c>
      <c r="P369" s="338">
        <v>2027.49451</v>
      </c>
      <c r="Q369" s="338" t="s">
        <v>519</v>
      </c>
      <c r="R369" s="338" t="s">
        <v>12</v>
      </c>
      <c r="S369" s="338">
        <v>10.0</v>
      </c>
      <c r="T369" s="338">
        <v>5.0</v>
      </c>
      <c r="U369" s="338">
        <v>0.7</v>
      </c>
      <c r="V369" s="338">
        <v>0.7</v>
      </c>
      <c r="W369" s="338">
        <v>0.7</v>
      </c>
      <c r="X369" s="336">
        <v>2000.0</v>
      </c>
      <c r="Y369" s="336" t="s">
        <v>510</v>
      </c>
      <c r="Z369" s="336">
        <v>0.2</v>
      </c>
      <c r="AA369" s="336" t="s">
        <v>511</v>
      </c>
      <c r="AB369" s="336" t="s">
        <v>512</v>
      </c>
      <c r="AC369" s="336">
        <v>220.0</v>
      </c>
      <c r="AD369" s="339"/>
      <c r="AE369" s="340"/>
    </row>
    <row r="370">
      <c r="A370" s="336" t="s">
        <v>772</v>
      </c>
      <c r="B370" s="336">
        <v>5.0</v>
      </c>
      <c r="C370" s="336">
        <v>339.0</v>
      </c>
      <c r="D370" s="336" t="s">
        <v>544</v>
      </c>
      <c r="E370" s="336">
        <v>1.0</v>
      </c>
      <c r="F370" s="357">
        <v>45545.745833333334</v>
      </c>
      <c r="G370" s="336">
        <v>1.0</v>
      </c>
      <c r="H370" s="336">
        <v>51.3774</v>
      </c>
      <c r="I370" s="336">
        <v>8.15242</v>
      </c>
      <c r="J370" s="336">
        <v>-27.199</v>
      </c>
      <c r="K370" s="336">
        <v>-26.353875</v>
      </c>
      <c r="L370" s="336">
        <v>1034.74</v>
      </c>
      <c r="M370" s="336">
        <v>87.501524</v>
      </c>
      <c r="N370" s="336">
        <v>11313.7206</v>
      </c>
      <c r="O370" s="336">
        <v>11246.8452</v>
      </c>
      <c r="P370" s="338">
        <v>2027.49451</v>
      </c>
      <c r="Q370" s="338" t="s">
        <v>519</v>
      </c>
      <c r="R370" s="338" t="s">
        <v>12</v>
      </c>
      <c r="S370" s="338">
        <v>10.0</v>
      </c>
      <c r="T370" s="338">
        <v>5.0</v>
      </c>
      <c r="U370" s="338">
        <v>0.7</v>
      </c>
      <c r="V370" s="338">
        <v>0.7</v>
      </c>
      <c r="W370" s="338">
        <v>0.7</v>
      </c>
      <c r="X370" s="336">
        <v>2000.0</v>
      </c>
      <c r="Y370" s="336" t="s">
        <v>510</v>
      </c>
      <c r="Z370" s="336">
        <v>0.2</v>
      </c>
      <c r="AA370" s="336" t="s">
        <v>511</v>
      </c>
      <c r="AB370" s="336" t="s">
        <v>512</v>
      </c>
      <c r="AC370" s="336">
        <v>220.0</v>
      </c>
      <c r="AD370" s="339"/>
      <c r="AE370" s="340"/>
    </row>
    <row r="371">
      <c r="A371" s="336" t="s">
        <v>773</v>
      </c>
      <c r="B371" s="336">
        <v>5.0</v>
      </c>
      <c r="C371" s="336">
        <v>339.0</v>
      </c>
      <c r="D371" s="336" t="s">
        <v>544</v>
      </c>
      <c r="E371" s="336">
        <v>1.0</v>
      </c>
      <c r="F371" s="357">
        <v>45545.74930555555</v>
      </c>
      <c r="G371" s="336">
        <v>1.0</v>
      </c>
      <c r="H371" s="336">
        <v>51.3741</v>
      </c>
      <c r="I371" s="336">
        <v>8.08246</v>
      </c>
      <c r="J371" s="336">
        <v>-27.210294</v>
      </c>
      <c r="K371" s="336">
        <v>-25.581144</v>
      </c>
      <c r="L371" s="336">
        <v>1030.42</v>
      </c>
      <c r="M371" s="336">
        <v>66.500292</v>
      </c>
      <c r="N371" s="336">
        <v>11243.3326</v>
      </c>
      <c r="O371" s="336">
        <v>11246.8452</v>
      </c>
      <c r="P371" s="338">
        <v>2027.49451</v>
      </c>
      <c r="Q371" s="338" t="s">
        <v>509</v>
      </c>
      <c r="R371" s="338" t="s">
        <v>12</v>
      </c>
      <c r="S371" s="338">
        <v>10.0</v>
      </c>
      <c r="T371" s="338">
        <v>5.0</v>
      </c>
      <c r="U371" s="338">
        <v>0.7</v>
      </c>
      <c r="V371" s="338">
        <v>0.7</v>
      </c>
      <c r="W371" s="338">
        <v>0.7</v>
      </c>
      <c r="X371" s="336">
        <v>2000.0</v>
      </c>
      <c r="Y371" s="336" t="s">
        <v>510</v>
      </c>
      <c r="Z371" s="336">
        <v>0.2</v>
      </c>
      <c r="AA371" s="336" t="s">
        <v>511</v>
      </c>
      <c r="AB371" s="336" t="s">
        <v>512</v>
      </c>
      <c r="AC371" s="336">
        <v>220.0</v>
      </c>
      <c r="AD371" s="339"/>
      <c r="AE371" s="340"/>
    </row>
    <row r="372">
      <c r="A372" s="336" t="s">
        <v>774</v>
      </c>
      <c r="B372" s="336">
        <v>5.0</v>
      </c>
      <c r="C372" s="336">
        <v>339.0</v>
      </c>
      <c r="D372" s="336" t="s">
        <v>544</v>
      </c>
      <c r="E372" s="336">
        <v>1.0</v>
      </c>
      <c r="F372" s="357">
        <v>45545.75208333333</v>
      </c>
      <c r="G372" s="336">
        <v>1.0</v>
      </c>
      <c r="H372" s="336">
        <v>51.3774</v>
      </c>
      <c r="I372" s="336">
        <v>8.166</v>
      </c>
      <c r="J372" s="336">
        <v>-27.185569</v>
      </c>
      <c r="K372" s="336">
        <v>-25.987919</v>
      </c>
      <c r="L372" s="336">
        <v>1025.82</v>
      </c>
      <c r="M372" s="336">
        <v>73.498778</v>
      </c>
      <c r="N372" s="336">
        <v>11250.3578</v>
      </c>
      <c r="O372" s="336">
        <v>11246.8452</v>
      </c>
      <c r="P372" s="338">
        <v>2027.49451</v>
      </c>
      <c r="Q372" s="338" t="s">
        <v>509</v>
      </c>
      <c r="R372" s="338" t="s">
        <v>12</v>
      </c>
      <c r="S372" s="338">
        <v>10.0</v>
      </c>
      <c r="T372" s="338">
        <v>5.0</v>
      </c>
      <c r="U372" s="338">
        <v>0.7</v>
      </c>
      <c r="V372" s="338">
        <v>0.7</v>
      </c>
      <c r="W372" s="338">
        <v>0.7</v>
      </c>
      <c r="X372" s="336">
        <v>2000.0</v>
      </c>
      <c r="Y372" s="336" t="s">
        <v>510</v>
      </c>
      <c r="Z372" s="336">
        <v>0.2</v>
      </c>
      <c r="AA372" s="336" t="s">
        <v>511</v>
      </c>
      <c r="AB372" s="336" t="s">
        <v>512</v>
      </c>
      <c r="AC372" s="336">
        <v>220.0</v>
      </c>
      <c r="AD372" s="339"/>
      <c r="AE372" s="340"/>
    </row>
    <row r="373">
      <c r="A373" s="349" t="s">
        <v>628</v>
      </c>
      <c r="B373" s="349">
        <v>6.0</v>
      </c>
      <c r="C373" s="349">
        <v>353.0</v>
      </c>
      <c r="D373" s="349" t="s">
        <v>548</v>
      </c>
      <c r="E373" s="349">
        <v>1.0</v>
      </c>
      <c r="F373" s="359">
        <v>45545.75555555556</v>
      </c>
      <c r="G373" s="349">
        <v>1.0</v>
      </c>
      <c r="H373" s="349">
        <v>51.3708</v>
      </c>
      <c r="I373" s="349">
        <v>7.85942</v>
      </c>
      <c r="J373" s="349">
        <v>-27.116656</v>
      </c>
      <c r="K373" s="349">
        <v>-27.090775</v>
      </c>
      <c r="L373" s="349">
        <v>-9.04251</v>
      </c>
      <c r="M373" s="349">
        <v>46.999531</v>
      </c>
      <c r="N373" s="349">
        <v>235.755442</v>
      </c>
      <c r="O373" s="349">
        <v>0.0</v>
      </c>
      <c r="P373" s="351">
        <v>0.0</v>
      </c>
      <c r="Q373" s="351" t="s">
        <v>588</v>
      </c>
      <c r="R373" s="338" t="s">
        <v>534</v>
      </c>
      <c r="S373" s="338">
        <v>10.0</v>
      </c>
      <c r="T373" s="338">
        <v>5.0</v>
      </c>
      <c r="U373" s="338">
        <v>0.7</v>
      </c>
      <c r="V373" s="338">
        <v>0.7</v>
      </c>
      <c r="W373" s="338">
        <v>0.7</v>
      </c>
      <c r="X373" s="336">
        <v>2000.0</v>
      </c>
      <c r="Y373" s="336" t="s">
        <v>510</v>
      </c>
      <c r="Z373" s="336">
        <v>0.2</v>
      </c>
      <c r="AA373" s="336" t="s">
        <v>511</v>
      </c>
      <c r="AB373" s="336" t="s">
        <v>512</v>
      </c>
      <c r="AC373" s="336">
        <v>220.0</v>
      </c>
      <c r="AD373" s="356" t="s">
        <v>775</v>
      </c>
      <c r="AE373" s="340"/>
    </row>
    <row r="374">
      <c r="A374" s="349" t="s">
        <v>657</v>
      </c>
      <c r="B374" s="349">
        <v>6.0</v>
      </c>
      <c r="C374" s="349">
        <v>353.0</v>
      </c>
      <c r="D374" s="349" t="s">
        <v>548</v>
      </c>
      <c r="E374" s="349">
        <v>1.0</v>
      </c>
      <c r="F374" s="359">
        <v>45545.75763888889</v>
      </c>
      <c r="G374" s="349">
        <v>1.0</v>
      </c>
      <c r="H374" s="349">
        <v>51.3741</v>
      </c>
      <c r="I374" s="349">
        <v>7.85273</v>
      </c>
      <c r="J374" s="349">
        <v>-27.379838</v>
      </c>
      <c r="K374" s="349">
        <v>-27.093262</v>
      </c>
      <c r="L374" s="349">
        <v>-12.7699</v>
      </c>
      <c r="M374" s="349">
        <v>46.500439</v>
      </c>
      <c r="N374" s="349">
        <v>194.759382</v>
      </c>
      <c r="O374" s="349">
        <v>0.0</v>
      </c>
      <c r="P374" s="351">
        <v>0.0</v>
      </c>
      <c r="Q374" s="351" t="s">
        <v>588</v>
      </c>
      <c r="R374" s="338" t="s">
        <v>534</v>
      </c>
      <c r="S374" s="338">
        <v>10.0</v>
      </c>
      <c r="T374" s="338">
        <v>5.0</v>
      </c>
      <c r="U374" s="338">
        <v>0.7</v>
      </c>
      <c r="V374" s="338">
        <v>0.7</v>
      </c>
      <c r="W374" s="338">
        <v>0.7</v>
      </c>
      <c r="X374" s="336">
        <v>2000.0</v>
      </c>
      <c r="Y374" s="336" t="s">
        <v>510</v>
      </c>
      <c r="Z374" s="336">
        <v>0.2</v>
      </c>
      <c r="AA374" s="336" t="s">
        <v>511</v>
      </c>
      <c r="AB374" s="336" t="s">
        <v>512</v>
      </c>
      <c r="AC374" s="336">
        <v>220.0</v>
      </c>
      <c r="AD374" s="339"/>
      <c r="AE374" s="340"/>
    </row>
    <row r="375">
      <c r="A375" s="349" t="s">
        <v>658</v>
      </c>
      <c r="B375" s="349">
        <v>6.0</v>
      </c>
      <c r="C375" s="349">
        <v>353.0</v>
      </c>
      <c r="D375" s="349" t="s">
        <v>548</v>
      </c>
      <c r="E375" s="349">
        <v>1.0</v>
      </c>
      <c r="F375" s="359">
        <v>45545.760416666664</v>
      </c>
      <c r="G375" s="349">
        <v>1.0</v>
      </c>
      <c r="H375" s="349">
        <v>51.3708</v>
      </c>
      <c r="I375" s="349">
        <v>7.82527</v>
      </c>
      <c r="J375" s="349">
        <v>-27.311319</v>
      </c>
      <c r="K375" s="349">
        <v>-27.090381</v>
      </c>
      <c r="L375" s="349">
        <v>-13.5192</v>
      </c>
      <c r="M375" s="349">
        <v>46.499028</v>
      </c>
      <c r="N375" s="349">
        <v>187.954334</v>
      </c>
      <c r="O375" s="349">
        <v>0.0</v>
      </c>
      <c r="P375" s="351">
        <v>0.0</v>
      </c>
      <c r="Q375" s="351" t="s">
        <v>588</v>
      </c>
      <c r="R375" s="338" t="s">
        <v>534</v>
      </c>
      <c r="S375" s="338">
        <v>10.0</v>
      </c>
      <c r="T375" s="338">
        <v>5.0</v>
      </c>
      <c r="U375" s="338">
        <v>0.7</v>
      </c>
      <c r="V375" s="338">
        <v>0.7</v>
      </c>
      <c r="W375" s="338">
        <v>0.7</v>
      </c>
      <c r="X375" s="336">
        <v>2000.0</v>
      </c>
      <c r="Y375" s="336" t="s">
        <v>510</v>
      </c>
      <c r="Z375" s="336">
        <v>0.2</v>
      </c>
      <c r="AA375" s="336" t="s">
        <v>511</v>
      </c>
      <c r="AB375" s="336" t="s">
        <v>512</v>
      </c>
      <c r="AC375" s="336">
        <v>220.0</v>
      </c>
      <c r="AD375" s="339"/>
      <c r="AE375" s="340"/>
    </row>
    <row r="376">
      <c r="A376" s="349" t="s">
        <v>728</v>
      </c>
      <c r="B376" s="349">
        <v>6.0</v>
      </c>
      <c r="C376" s="349">
        <v>353.0</v>
      </c>
      <c r="D376" s="349" t="s">
        <v>548</v>
      </c>
      <c r="E376" s="349">
        <v>1.0</v>
      </c>
      <c r="F376" s="359">
        <v>45545.763194444444</v>
      </c>
      <c r="G376" s="349">
        <v>1.0</v>
      </c>
      <c r="H376" s="349">
        <v>51.3774</v>
      </c>
      <c r="I376" s="349">
        <v>7.85576</v>
      </c>
      <c r="J376" s="349">
        <v>-27.362419</v>
      </c>
      <c r="K376" s="349">
        <v>-27.191938</v>
      </c>
      <c r="L376" s="349">
        <v>-13.4799</v>
      </c>
      <c r="M376" s="349">
        <v>47.499396</v>
      </c>
      <c r="N376" s="349">
        <v>186.496099</v>
      </c>
      <c r="O376" s="349">
        <v>0.0</v>
      </c>
      <c r="P376" s="351">
        <v>0.0</v>
      </c>
      <c r="Q376" s="351" t="s">
        <v>588</v>
      </c>
      <c r="R376" s="338" t="s">
        <v>534</v>
      </c>
      <c r="S376" s="338">
        <v>10.0</v>
      </c>
      <c r="T376" s="338">
        <v>5.0</v>
      </c>
      <c r="U376" s="338">
        <v>0.7</v>
      </c>
      <c r="V376" s="338">
        <v>0.7</v>
      </c>
      <c r="W376" s="338">
        <v>0.7</v>
      </c>
      <c r="X376" s="336">
        <v>2000.0</v>
      </c>
      <c r="Y376" s="336" t="s">
        <v>510</v>
      </c>
      <c r="Z376" s="336">
        <v>0.2</v>
      </c>
      <c r="AA376" s="336" t="s">
        <v>511</v>
      </c>
      <c r="AB376" s="336" t="s">
        <v>512</v>
      </c>
      <c r="AC376" s="336">
        <v>220.0</v>
      </c>
      <c r="AD376" s="339"/>
      <c r="AE376" s="340"/>
    </row>
    <row r="377">
      <c r="A377" s="349" t="s">
        <v>729</v>
      </c>
      <c r="B377" s="349">
        <v>6.0</v>
      </c>
      <c r="C377" s="349">
        <v>353.0</v>
      </c>
      <c r="D377" s="349" t="s">
        <v>548</v>
      </c>
      <c r="E377" s="349">
        <v>1.0</v>
      </c>
      <c r="F377" s="359">
        <v>45545.76527777778</v>
      </c>
      <c r="G377" s="349">
        <v>1.0</v>
      </c>
      <c r="H377" s="349">
        <v>51.3741</v>
      </c>
      <c r="I377" s="349">
        <v>7.85927</v>
      </c>
      <c r="J377" s="349">
        <v>-27.358919</v>
      </c>
      <c r="K377" s="349">
        <v>-27.171944</v>
      </c>
      <c r="L377" s="349">
        <v>-13.9635</v>
      </c>
      <c r="M377" s="349">
        <v>46.999824</v>
      </c>
      <c r="N377" s="349">
        <v>183.727352</v>
      </c>
      <c r="O377" s="349">
        <v>0.0</v>
      </c>
      <c r="P377" s="351">
        <v>0.0</v>
      </c>
      <c r="Q377" s="351" t="s">
        <v>588</v>
      </c>
      <c r="R377" s="338" t="s">
        <v>534</v>
      </c>
      <c r="S377" s="338">
        <v>10.0</v>
      </c>
      <c r="T377" s="338">
        <v>5.0</v>
      </c>
      <c r="U377" s="338">
        <v>0.7</v>
      </c>
      <c r="V377" s="338">
        <v>0.7</v>
      </c>
      <c r="W377" s="338">
        <v>0.7</v>
      </c>
      <c r="X377" s="336">
        <v>2000.0</v>
      </c>
      <c r="Y377" s="336" t="s">
        <v>510</v>
      </c>
      <c r="Z377" s="336">
        <v>0.2</v>
      </c>
      <c r="AA377" s="336" t="s">
        <v>511</v>
      </c>
      <c r="AB377" s="336" t="s">
        <v>512</v>
      </c>
      <c r="AC377" s="336">
        <v>220.0</v>
      </c>
      <c r="AD377" s="339"/>
      <c r="AE377" s="340"/>
    </row>
    <row r="378">
      <c r="A378" s="349" t="s">
        <v>776</v>
      </c>
      <c r="B378" s="349">
        <v>6.0</v>
      </c>
      <c r="C378" s="349">
        <v>353.0</v>
      </c>
      <c r="D378" s="349" t="s">
        <v>548</v>
      </c>
      <c r="E378" s="349">
        <v>1.0</v>
      </c>
      <c r="F378" s="359">
        <v>45545.768055555556</v>
      </c>
      <c r="G378" s="349">
        <v>2.0</v>
      </c>
      <c r="H378" s="349">
        <v>51.3675</v>
      </c>
      <c r="I378" s="349">
        <v>7.83771</v>
      </c>
      <c r="J378" s="349">
        <v>-27.2876</v>
      </c>
      <c r="K378" s="349">
        <v>-27.096556</v>
      </c>
      <c r="L378" s="349">
        <v>-13.8706</v>
      </c>
      <c r="M378" s="349">
        <v>46.501243</v>
      </c>
      <c r="N378" s="349">
        <v>178.286303</v>
      </c>
      <c r="O378" s="349">
        <v>0.0</v>
      </c>
      <c r="P378" s="351">
        <v>0.0</v>
      </c>
      <c r="Q378" s="351" t="s">
        <v>588</v>
      </c>
      <c r="R378" s="338" t="s">
        <v>534</v>
      </c>
      <c r="S378" s="338">
        <v>10.0</v>
      </c>
      <c r="T378" s="338">
        <v>5.0</v>
      </c>
      <c r="U378" s="338">
        <v>0.7</v>
      </c>
      <c r="V378" s="338">
        <v>0.7</v>
      </c>
      <c r="W378" s="338">
        <v>0.7</v>
      </c>
      <c r="X378" s="336">
        <v>2000.0</v>
      </c>
      <c r="Y378" s="336" t="s">
        <v>510</v>
      </c>
      <c r="Z378" s="336">
        <v>0.2</v>
      </c>
      <c r="AA378" s="336" t="s">
        <v>511</v>
      </c>
      <c r="AB378" s="336" t="s">
        <v>512</v>
      </c>
      <c r="AC378" s="336">
        <v>220.0</v>
      </c>
      <c r="AD378" s="339"/>
      <c r="AE378" s="340"/>
    </row>
    <row r="379">
      <c r="A379" s="349" t="s">
        <v>777</v>
      </c>
      <c r="B379" s="349">
        <v>6.0</v>
      </c>
      <c r="C379" s="349">
        <v>353.0</v>
      </c>
      <c r="D379" s="349" t="s">
        <v>548</v>
      </c>
      <c r="E379" s="349">
        <v>1.0</v>
      </c>
      <c r="F379" s="359">
        <v>45545.770833333336</v>
      </c>
      <c r="G379" s="349">
        <v>2.0</v>
      </c>
      <c r="H379" s="349">
        <v>51.3741</v>
      </c>
      <c r="I379" s="349">
        <v>7.8985</v>
      </c>
      <c r="J379" s="349">
        <v>-27.325206</v>
      </c>
      <c r="K379" s="349">
        <v>-27.130581</v>
      </c>
      <c r="L379" s="349">
        <v>-13.6156</v>
      </c>
      <c r="M379" s="349">
        <v>46.499487</v>
      </c>
      <c r="N379" s="349">
        <v>185.408584</v>
      </c>
      <c r="O379" s="349">
        <v>0.0</v>
      </c>
      <c r="P379" s="351">
        <v>0.0</v>
      </c>
      <c r="Q379" s="351" t="s">
        <v>588</v>
      </c>
      <c r="R379" s="338" t="s">
        <v>534</v>
      </c>
      <c r="S379" s="338">
        <v>10.0</v>
      </c>
      <c r="T379" s="338">
        <v>5.0</v>
      </c>
      <c r="U379" s="338">
        <v>0.7</v>
      </c>
      <c r="V379" s="338">
        <v>0.7</v>
      </c>
      <c r="W379" s="338">
        <v>0.7</v>
      </c>
      <c r="X379" s="336">
        <v>2000.0</v>
      </c>
      <c r="Y379" s="336" t="s">
        <v>510</v>
      </c>
      <c r="Z379" s="336">
        <v>0.2</v>
      </c>
      <c r="AA379" s="336" t="s">
        <v>511</v>
      </c>
      <c r="AB379" s="336" t="s">
        <v>512</v>
      </c>
      <c r="AC379" s="336">
        <v>220.0</v>
      </c>
      <c r="AD379" s="339"/>
      <c r="AE379" s="340"/>
    </row>
    <row r="380">
      <c r="A380" s="349" t="s">
        <v>778</v>
      </c>
      <c r="B380" s="349">
        <v>6.0</v>
      </c>
      <c r="C380" s="349">
        <v>353.0</v>
      </c>
      <c r="D380" s="349" t="s">
        <v>548</v>
      </c>
      <c r="E380" s="349">
        <v>1.0</v>
      </c>
      <c r="F380" s="359">
        <v>45545.77291666667</v>
      </c>
      <c r="G380" s="349">
        <v>2.0</v>
      </c>
      <c r="H380" s="349">
        <v>51.3708</v>
      </c>
      <c r="I380" s="349">
        <v>7.95361</v>
      </c>
      <c r="J380" s="349">
        <v>-27.399831</v>
      </c>
      <c r="K380" s="349">
        <v>-27.147394</v>
      </c>
      <c r="L380" s="349">
        <v>-13.6173</v>
      </c>
      <c r="M380" s="349">
        <v>47.001248</v>
      </c>
      <c r="N380" s="349">
        <v>181.813712</v>
      </c>
      <c r="O380" s="349">
        <v>0.0</v>
      </c>
      <c r="P380" s="351">
        <v>0.0</v>
      </c>
      <c r="Q380" s="351" t="s">
        <v>588</v>
      </c>
      <c r="R380" s="338" t="s">
        <v>534</v>
      </c>
      <c r="S380" s="338">
        <v>10.0</v>
      </c>
      <c r="T380" s="338">
        <v>5.0</v>
      </c>
      <c r="U380" s="338">
        <v>0.7</v>
      </c>
      <c r="V380" s="338">
        <v>0.7</v>
      </c>
      <c r="W380" s="338">
        <v>0.7</v>
      </c>
      <c r="X380" s="336">
        <v>2000.0</v>
      </c>
      <c r="Y380" s="336" t="s">
        <v>510</v>
      </c>
      <c r="Z380" s="336">
        <v>0.2</v>
      </c>
      <c r="AA380" s="336" t="s">
        <v>511</v>
      </c>
      <c r="AB380" s="336" t="s">
        <v>512</v>
      </c>
      <c r="AC380" s="336">
        <v>220.0</v>
      </c>
      <c r="AD380" s="339"/>
      <c r="AE380" s="340"/>
    </row>
    <row r="381">
      <c r="A381" s="349" t="s">
        <v>779</v>
      </c>
      <c r="B381" s="349">
        <v>6.0</v>
      </c>
      <c r="C381" s="349">
        <v>353.0</v>
      </c>
      <c r="D381" s="349" t="s">
        <v>548</v>
      </c>
      <c r="E381" s="349">
        <v>1.0</v>
      </c>
      <c r="F381" s="359">
        <v>45545.77569444444</v>
      </c>
      <c r="G381" s="349">
        <v>2.0</v>
      </c>
      <c r="H381" s="349">
        <v>51.3741</v>
      </c>
      <c r="I381" s="349">
        <v>7.94228</v>
      </c>
      <c r="J381" s="349">
        <v>-27.305138</v>
      </c>
      <c r="K381" s="349">
        <v>-27.154475</v>
      </c>
      <c r="L381" s="349">
        <v>-14.4669</v>
      </c>
      <c r="M381" s="349">
        <v>47.00025</v>
      </c>
      <c r="N381" s="349">
        <v>178.39718</v>
      </c>
      <c r="O381" s="349">
        <v>0.0</v>
      </c>
      <c r="P381" s="351">
        <v>0.0</v>
      </c>
      <c r="Q381" s="351" t="s">
        <v>588</v>
      </c>
      <c r="R381" s="338" t="s">
        <v>534</v>
      </c>
      <c r="S381" s="338">
        <v>10.0</v>
      </c>
      <c r="T381" s="338">
        <v>5.0</v>
      </c>
      <c r="U381" s="338">
        <v>0.7</v>
      </c>
      <c r="V381" s="338">
        <v>0.7</v>
      </c>
      <c r="W381" s="338">
        <v>0.7</v>
      </c>
      <c r="X381" s="336">
        <v>2000.0</v>
      </c>
      <c r="Y381" s="336" t="s">
        <v>510</v>
      </c>
      <c r="Z381" s="336">
        <v>0.2</v>
      </c>
      <c r="AA381" s="336" t="s">
        <v>511</v>
      </c>
      <c r="AB381" s="336" t="s">
        <v>512</v>
      </c>
      <c r="AC381" s="336">
        <v>220.0</v>
      </c>
      <c r="AD381" s="339"/>
      <c r="AE381" s="340"/>
    </row>
    <row r="382">
      <c r="A382" s="349" t="s">
        <v>780</v>
      </c>
      <c r="B382" s="349">
        <v>6.0</v>
      </c>
      <c r="C382" s="349">
        <v>353.0</v>
      </c>
      <c r="D382" s="349" t="s">
        <v>548</v>
      </c>
      <c r="E382" s="349">
        <v>1.0</v>
      </c>
      <c r="F382" s="359">
        <v>45545.77847222222</v>
      </c>
      <c r="G382" s="349">
        <v>2.0</v>
      </c>
      <c r="H382" s="349">
        <v>51.3774</v>
      </c>
      <c r="I382" s="349">
        <v>7.77121</v>
      </c>
      <c r="J382" s="349">
        <v>-27.338375</v>
      </c>
      <c r="K382" s="349">
        <v>-27.107281</v>
      </c>
      <c r="L382" s="349">
        <v>-14.1265</v>
      </c>
      <c r="M382" s="349">
        <v>46.999603</v>
      </c>
      <c r="N382" s="349">
        <v>176.932613</v>
      </c>
      <c r="O382" s="349">
        <v>0.0</v>
      </c>
      <c r="P382" s="351">
        <v>0.0</v>
      </c>
      <c r="Q382" s="351" t="s">
        <v>588</v>
      </c>
      <c r="R382" s="338" t="s">
        <v>534</v>
      </c>
      <c r="S382" s="338">
        <v>10.0</v>
      </c>
      <c r="T382" s="338">
        <v>5.0</v>
      </c>
      <c r="U382" s="338">
        <v>0.7</v>
      </c>
      <c r="V382" s="338">
        <v>0.7</v>
      </c>
      <c r="W382" s="338">
        <v>0.7</v>
      </c>
      <c r="X382" s="336">
        <v>2000.0</v>
      </c>
      <c r="Y382" s="336" t="s">
        <v>510</v>
      </c>
      <c r="Z382" s="336">
        <v>0.2</v>
      </c>
      <c r="AA382" s="336" t="s">
        <v>511</v>
      </c>
      <c r="AB382" s="336" t="s">
        <v>512</v>
      </c>
      <c r="AC382" s="336">
        <v>220.0</v>
      </c>
      <c r="AD382" s="339"/>
      <c r="AE382" s="340"/>
    </row>
    <row r="383">
      <c r="A383" s="336" t="s">
        <v>630</v>
      </c>
      <c r="B383" s="336">
        <v>7.0</v>
      </c>
      <c r="C383" s="336">
        <v>340.0</v>
      </c>
      <c r="D383" s="336" t="s">
        <v>551</v>
      </c>
      <c r="E383" s="336">
        <v>1.0</v>
      </c>
      <c r="F383" s="357">
        <v>45545.78125</v>
      </c>
      <c r="G383" s="336">
        <v>1.0</v>
      </c>
      <c r="H383" s="336">
        <v>51.3741</v>
      </c>
      <c r="I383" s="336">
        <v>7.83317</v>
      </c>
      <c r="J383" s="336">
        <v>-27.416419</v>
      </c>
      <c r="K383" s="336">
        <v>-25.5466</v>
      </c>
      <c r="L383" s="336">
        <v>1030.95</v>
      </c>
      <c r="M383" s="336">
        <v>63.998858</v>
      </c>
      <c r="N383" s="336">
        <v>11212.1193</v>
      </c>
      <c r="O383" s="336">
        <v>11246.7199</v>
      </c>
      <c r="P383" s="338">
        <v>2027.47226</v>
      </c>
      <c r="Q383" s="338" t="s">
        <v>519</v>
      </c>
      <c r="R383" s="338" t="s">
        <v>12</v>
      </c>
      <c r="S383" s="338">
        <v>10.0</v>
      </c>
      <c r="T383" s="338">
        <v>5.0</v>
      </c>
      <c r="U383" s="338">
        <v>0.7</v>
      </c>
      <c r="V383" s="338">
        <v>0.7</v>
      </c>
      <c r="W383" s="338">
        <v>0.7</v>
      </c>
      <c r="X383" s="336">
        <v>2000.0</v>
      </c>
      <c r="Y383" s="336" t="s">
        <v>510</v>
      </c>
      <c r="Z383" s="336">
        <v>0.2</v>
      </c>
      <c r="AA383" s="336" t="s">
        <v>511</v>
      </c>
      <c r="AB383" s="336" t="s">
        <v>512</v>
      </c>
      <c r="AC383" s="336">
        <v>220.0</v>
      </c>
      <c r="AD383" s="339"/>
      <c r="AE383" s="340"/>
    </row>
    <row r="384">
      <c r="A384" s="336" t="s">
        <v>659</v>
      </c>
      <c r="B384" s="336">
        <v>7.0</v>
      </c>
      <c r="C384" s="336">
        <v>340.0</v>
      </c>
      <c r="D384" s="336" t="s">
        <v>551</v>
      </c>
      <c r="E384" s="336">
        <v>1.0</v>
      </c>
      <c r="F384" s="357">
        <v>45545.78402777778</v>
      </c>
      <c r="G384" s="336">
        <v>1.0</v>
      </c>
      <c r="H384" s="336">
        <v>51.3708</v>
      </c>
      <c r="I384" s="336">
        <v>7.9205</v>
      </c>
      <c r="J384" s="336">
        <v>-27.273106</v>
      </c>
      <c r="K384" s="336">
        <v>-25.883544</v>
      </c>
      <c r="L384" s="336">
        <v>1036.32</v>
      </c>
      <c r="M384" s="336">
        <v>68.499927</v>
      </c>
      <c r="N384" s="336">
        <v>11246.1674</v>
      </c>
      <c r="O384" s="336">
        <v>11246.7199</v>
      </c>
      <c r="P384" s="338">
        <v>2027.47226</v>
      </c>
      <c r="Q384" s="338" t="s">
        <v>509</v>
      </c>
      <c r="R384" s="338" t="s">
        <v>12</v>
      </c>
      <c r="S384" s="338">
        <v>10.0</v>
      </c>
      <c r="T384" s="338">
        <v>5.0</v>
      </c>
      <c r="U384" s="338">
        <v>0.7</v>
      </c>
      <c r="V384" s="338">
        <v>0.7</v>
      </c>
      <c r="W384" s="338">
        <v>0.7</v>
      </c>
      <c r="X384" s="336">
        <v>2000.0</v>
      </c>
      <c r="Y384" s="336" t="s">
        <v>510</v>
      </c>
      <c r="Z384" s="336">
        <v>0.2</v>
      </c>
      <c r="AA384" s="336" t="s">
        <v>511</v>
      </c>
      <c r="AB384" s="336" t="s">
        <v>512</v>
      </c>
      <c r="AC384" s="336">
        <v>220.0</v>
      </c>
      <c r="AD384" s="339"/>
      <c r="AE384" s="340"/>
    </row>
    <row r="385">
      <c r="A385" s="336" t="s">
        <v>781</v>
      </c>
      <c r="B385" s="336">
        <v>7.0</v>
      </c>
      <c r="C385" s="336">
        <v>340.0</v>
      </c>
      <c r="D385" s="336" t="s">
        <v>551</v>
      </c>
      <c r="E385" s="336">
        <v>1.0</v>
      </c>
      <c r="F385" s="357">
        <v>45545.78680555556</v>
      </c>
      <c r="G385" s="336">
        <v>1.0</v>
      </c>
      <c r="H385" s="336">
        <v>51.3708</v>
      </c>
      <c r="I385" s="336">
        <v>8.05239</v>
      </c>
      <c r="J385" s="336">
        <v>-27.328238</v>
      </c>
      <c r="K385" s="336">
        <v>-25.744031</v>
      </c>
      <c r="L385" s="336">
        <v>1032.53</v>
      </c>
      <c r="M385" s="336">
        <v>67.500681</v>
      </c>
      <c r="N385" s="336">
        <v>11247.2725</v>
      </c>
      <c r="O385" s="336">
        <v>11246.7199</v>
      </c>
      <c r="P385" s="338">
        <v>2027.47226</v>
      </c>
      <c r="Q385" s="338" t="s">
        <v>509</v>
      </c>
      <c r="R385" s="338" t="s">
        <v>12</v>
      </c>
      <c r="S385" s="338">
        <v>10.0</v>
      </c>
      <c r="T385" s="338">
        <v>5.0</v>
      </c>
      <c r="U385" s="338">
        <v>0.7</v>
      </c>
      <c r="V385" s="338">
        <v>0.7</v>
      </c>
      <c r="W385" s="338">
        <v>0.7</v>
      </c>
      <c r="X385" s="336">
        <v>2000.0</v>
      </c>
      <c r="Y385" s="336" t="s">
        <v>510</v>
      </c>
      <c r="Z385" s="336">
        <v>0.2</v>
      </c>
      <c r="AA385" s="336" t="s">
        <v>511</v>
      </c>
      <c r="AB385" s="336" t="s">
        <v>512</v>
      </c>
      <c r="AC385" s="336">
        <v>220.0</v>
      </c>
      <c r="AD385" s="339"/>
      <c r="AE385" s="340"/>
    </row>
    <row r="386">
      <c r="A386" s="336" t="s">
        <v>631</v>
      </c>
      <c r="B386" s="336">
        <v>8.0</v>
      </c>
      <c r="C386" s="336">
        <v>431.0</v>
      </c>
      <c r="D386" s="336" t="s">
        <v>554</v>
      </c>
      <c r="E386" s="336">
        <v>1.0</v>
      </c>
      <c r="F386" s="357">
        <v>45545.79027777778</v>
      </c>
      <c r="G386" s="336">
        <v>1.0</v>
      </c>
      <c r="H386" s="336">
        <v>51.3741</v>
      </c>
      <c r="I386" s="336">
        <v>8.07097</v>
      </c>
      <c r="J386" s="336">
        <v>-27.370787</v>
      </c>
      <c r="K386" s="336">
        <v>-25.720075</v>
      </c>
      <c r="L386" s="336">
        <v>1038.78</v>
      </c>
      <c r="M386" s="336">
        <v>67.000645</v>
      </c>
      <c r="N386" s="336">
        <v>11323.6445</v>
      </c>
      <c r="O386" s="336">
        <v>11322.1067</v>
      </c>
      <c r="P386" s="338">
        <v>2040.85493</v>
      </c>
      <c r="Q386" s="338" t="s">
        <v>509</v>
      </c>
      <c r="R386" s="338" t="s">
        <v>12</v>
      </c>
      <c r="S386" s="338">
        <v>10.0</v>
      </c>
      <c r="T386" s="338">
        <v>5.0</v>
      </c>
      <c r="U386" s="338">
        <v>0.7</v>
      </c>
      <c r="V386" s="338">
        <v>0.7</v>
      </c>
      <c r="W386" s="338">
        <v>0.7</v>
      </c>
      <c r="X386" s="336">
        <v>2000.0</v>
      </c>
      <c r="Y386" s="336" t="s">
        <v>510</v>
      </c>
      <c r="Z386" s="336">
        <v>0.2</v>
      </c>
      <c r="AA386" s="336" t="s">
        <v>511</v>
      </c>
      <c r="AB386" s="336" t="s">
        <v>512</v>
      </c>
      <c r="AC386" s="336">
        <v>220.0</v>
      </c>
      <c r="AD386" s="339"/>
      <c r="AE386" s="340"/>
    </row>
    <row r="387">
      <c r="A387" s="336" t="s">
        <v>660</v>
      </c>
      <c r="B387" s="336">
        <v>8.0</v>
      </c>
      <c r="C387" s="336">
        <v>431.0</v>
      </c>
      <c r="D387" s="336" t="s">
        <v>554</v>
      </c>
      <c r="E387" s="336">
        <v>1.0</v>
      </c>
      <c r="F387" s="357">
        <v>45545.79305555556</v>
      </c>
      <c r="G387" s="336">
        <v>1.0</v>
      </c>
      <c r="H387" s="336">
        <v>51.3741</v>
      </c>
      <c r="I387" s="336">
        <v>8.07307</v>
      </c>
      <c r="J387" s="336">
        <v>-27.344881</v>
      </c>
      <c r="K387" s="336">
        <v>-25.4601</v>
      </c>
      <c r="L387" s="336">
        <v>1043.14</v>
      </c>
      <c r="M387" s="336">
        <v>63.498618</v>
      </c>
      <c r="N387" s="336">
        <v>11320.5689</v>
      </c>
      <c r="O387" s="336">
        <v>11322.1067</v>
      </c>
      <c r="P387" s="338">
        <v>2040.85493</v>
      </c>
      <c r="Q387" s="338" t="s">
        <v>509</v>
      </c>
      <c r="R387" s="338" t="s">
        <v>12</v>
      </c>
      <c r="S387" s="338">
        <v>10.0</v>
      </c>
      <c r="T387" s="338">
        <v>5.0</v>
      </c>
      <c r="U387" s="338">
        <v>0.7</v>
      </c>
      <c r="V387" s="338">
        <v>0.7</v>
      </c>
      <c r="W387" s="338">
        <v>0.7</v>
      </c>
      <c r="X387" s="336">
        <v>2000.0</v>
      </c>
      <c r="Y387" s="336" t="s">
        <v>510</v>
      </c>
      <c r="Z387" s="336">
        <v>0.2</v>
      </c>
      <c r="AA387" s="336" t="s">
        <v>511</v>
      </c>
      <c r="AB387" s="336" t="s">
        <v>512</v>
      </c>
      <c r="AC387" s="336">
        <v>220.0</v>
      </c>
      <c r="AD387" s="339"/>
      <c r="AE387" s="340"/>
    </row>
    <row r="388">
      <c r="A388" s="336" t="s">
        <v>632</v>
      </c>
      <c r="B388" s="336">
        <v>9.0</v>
      </c>
      <c r="C388" s="336" t="s">
        <v>744</v>
      </c>
      <c r="D388" s="336" t="s">
        <v>508</v>
      </c>
      <c r="E388" s="336">
        <v>1.0</v>
      </c>
      <c r="F388" s="357">
        <v>45545.79652777778</v>
      </c>
      <c r="G388" s="336">
        <v>1.0</v>
      </c>
      <c r="H388" s="336">
        <v>51.3807</v>
      </c>
      <c r="I388" s="336">
        <v>7.9661</v>
      </c>
      <c r="J388" s="336">
        <v>-27.370656</v>
      </c>
      <c r="K388" s="336">
        <v>-24.785075</v>
      </c>
      <c r="L388" s="336">
        <v>1062.16</v>
      </c>
      <c r="M388" s="336">
        <v>60.499674</v>
      </c>
      <c r="N388" s="336">
        <v>11439.9573</v>
      </c>
      <c r="O388" s="336">
        <v>11474.9712</v>
      </c>
      <c r="P388" s="338">
        <v>2067.99146</v>
      </c>
      <c r="Q388" s="338" t="s">
        <v>519</v>
      </c>
      <c r="R388" s="338" t="s">
        <v>12</v>
      </c>
      <c r="S388" s="338">
        <v>10.0</v>
      </c>
      <c r="T388" s="338">
        <v>5.0</v>
      </c>
      <c r="U388" s="338">
        <v>0.7</v>
      </c>
      <c r="V388" s="338">
        <v>0.7</v>
      </c>
      <c r="W388" s="338">
        <v>0.7</v>
      </c>
      <c r="X388" s="336">
        <v>2000.0</v>
      </c>
      <c r="Y388" s="336" t="s">
        <v>510</v>
      </c>
      <c r="Z388" s="336">
        <v>0.2</v>
      </c>
      <c r="AA388" s="336" t="s">
        <v>511</v>
      </c>
      <c r="AB388" s="336" t="s">
        <v>512</v>
      </c>
      <c r="AC388" s="336">
        <v>220.0</v>
      </c>
      <c r="AD388" s="339"/>
      <c r="AE388" s="340"/>
    </row>
    <row r="389">
      <c r="A389" s="336" t="s">
        <v>666</v>
      </c>
      <c r="B389" s="336">
        <v>9.0</v>
      </c>
      <c r="C389" s="336" t="s">
        <v>744</v>
      </c>
      <c r="D389" s="336" t="s">
        <v>508</v>
      </c>
      <c r="E389" s="336">
        <v>1.0</v>
      </c>
      <c r="F389" s="357">
        <v>45545.79861111111</v>
      </c>
      <c r="G389" s="336">
        <v>1.0</v>
      </c>
      <c r="H389" s="336">
        <v>51.3675</v>
      </c>
      <c r="I389" s="336">
        <v>8.04437</v>
      </c>
      <c r="J389" s="336">
        <v>-27.327806</v>
      </c>
      <c r="K389" s="336">
        <v>-25.605087</v>
      </c>
      <c r="L389" s="336">
        <v>1055.46</v>
      </c>
      <c r="M389" s="336">
        <v>67.499303</v>
      </c>
      <c r="N389" s="336">
        <v>11480.8427</v>
      </c>
      <c r="O389" s="336">
        <v>11474.9712</v>
      </c>
      <c r="P389" s="338">
        <v>2067.99146</v>
      </c>
      <c r="Q389" s="338" t="s">
        <v>509</v>
      </c>
      <c r="R389" s="338" t="s">
        <v>12</v>
      </c>
      <c r="S389" s="338">
        <v>10.0</v>
      </c>
      <c r="T389" s="338">
        <v>5.0</v>
      </c>
      <c r="U389" s="338">
        <v>0.7</v>
      </c>
      <c r="V389" s="338">
        <v>0.7</v>
      </c>
      <c r="W389" s="338">
        <v>0.7</v>
      </c>
      <c r="X389" s="336">
        <v>2000.0</v>
      </c>
      <c r="Y389" s="336" t="s">
        <v>510</v>
      </c>
      <c r="Z389" s="336">
        <v>0.2</v>
      </c>
      <c r="AA389" s="336" t="s">
        <v>511</v>
      </c>
      <c r="AB389" s="336" t="s">
        <v>512</v>
      </c>
      <c r="AC389" s="336">
        <v>220.0</v>
      </c>
      <c r="AD389" s="339"/>
      <c r="AE389" s="340"/>
    </row>
    <row r="390">
      <c r="A390" s="342" t="s">
        <v>782</v>
      </c>
      <c r="B390" s="342">
        <v>9.0</v>
      </c>
      <c r="C390" s="342" t="s">
        <v>744</v>
      </c>
      <c r="D390" s="342" t="s">
        <v>508</v>
      </c>
      <c r="E390" s="342">
        <v>1.0</v>
      </c>
      <c r="F390" s="358">
        <v>45545.80138888889</v>
      </c>
      <c r="G390" s="342">
        <v>1.0</v>
      </c>
      <c r="H390" s="342">
        <v>51.3741</v>
      </c>
      <c r="I390" s="342">
        <v>7.97856</v>
      </c>
      <c r="J390" s="342">
        <v>-27.367925</v>
      </c>
      <c r="K390" s="342">
        <v>-26.062894</v>
      </c>
      <c r="L390" s="342">
        <v>1044.78</v>
      </c>
      <c r="M390" s="342">
        <v>70.999903</v>
      </c>
      <c r="N390" s="342">
        <v>11469.0997</v>
      </c>
      <c r="O390" s="342">
        <v>11474.9712</v>
      </c>
      <c r="P390" s="344">
        <v>2067.99146</v>
      </c>
      <c r="Q390" s="344" t="s">
        <v>509</v>
      </c>
      <c r="R390" s="338" t="s">
        <v>12</v>
      </c>
      <c r="S390" s="338">
        <v>10.0</v>
      </c>
      <c r="T390" s="338">
        <v>5.0</v>
      </c>
      <c r="U390" s="338">
        <v>0.7</v>
      </c>
      <c r="V390" s="338">
        <v>0.7</v>
      </c>
      <c r="W390" s="338">
        <v>0.7</v>
      </c>
      <c r="X390" s="336">
        <v>2000.0</v>
      </c>
      <c r="Y390" s="336" t="s">
        <v>510</v>
      </c>
      <c r="Z390" s="336">
        <v>0.2</v>
      </c>
      <c r="AA390" s="336" t="s">
        <v>511</v>
      </c>
      <c r="AB390" s="336" t="s">
        <v>512</v>
      </c>
      <c r="AC390" s="336">
        <v>220.0</v>
      </c>
      <c r="AD390" s="339"/>
      <c r="AE390" s="340"/>
    </row>
    <row r="391">
      <c r="A391" s="336" t="s">
        <v>505</v>
      </c>
      <c r="B391" s="336" t="s">
        <v>506</v>
      </c>
      <c r="C391" s="336" t="s">
        <v>507</v>
      </c>
      <c r="D391" s="336" t="s">
        <v>508</v>
      </c>
      <c r="E391" s="336">
        <v>1.0</v>
      </c>
      <c r="F391" s="357">
        <v>45548.47152777778</v>
      </c>
      <c r="G391" s="336">
        <v>1.0</v>
      </c>
      <c r="H391" s="336">
        <v>51.3774</v>
      </c>
      <c r="I391" s="336">
        <v>12.8144</v>
      </c>
      <c r="J391" s="336">
        <v>-26.634575</v>
      </c>
      <c r="K391" s="336">
        <v>-25.287244</v>
      </c>
      <c r="L391" s="336">
        <v>993.812</v>
      </c>
      <c r="M391" s="336">
        <v>72.500266</v>
      </c>
      <c r="N391" s="336">
        <v>11254.1087</v>
      </c>
      <c r="O391" s="336">
        <v>11254.1087</v>
      </c>
      <c r="P391" s="338">
        <v>2028.78392</v>
      </c>
      <c r="Q391" s="338" t="s">
        <v>509</v>
      </c>
      <c r="R391" s="338" t="s">
        <v>12</v>
      </c>
      <c r="S391" s="338">
        <v>10.0</v>
      </c>
      <c r="T391" s="338">
        <v>5.0</v>
      </c>
      <c r="U391" s="338">
        <v>0.7</v>
      </c>
      <c r="V391" s="338">
        <v>0.7</v>
      </c>
      <c r="W391" s="338">
        <v>0.7</v>
      </c>
      <c r="X391" s="336">
        <v>2000.0</v>
      </c>
      <c r="Y391" s="336" t="s">
        <v>510</v>
      </c>
      <c r="Z391" s="336">
        <v>0.2</v>
      </c>
      <c r="AA391" s="336" t="s">
        <v>511</v>
      </c>
      <c r="AB391" s="336" t="s">
        <v>512</v>
      </c>
      <c r="AC391" s="336">
        <v>220.0</v>
      </c>
      <c r="AD391" s="339"/>
      <c r="AE391" s="340"/>
    </row>
    <row r="392">
      <c r="A392" s="336" t="s">
        <v>513</v>
      </c>
      <c r="B392" s="336" t="s">
        <v>506</v>
      </c>
      <c r="C392" s="336" t="s">
        <v>507</v>
      </c>
      <c r="D392" s="336" t="s">
        <v>508</v>
      </c>
      <c r="E392" s="336">
        <v>1.0</v>
      </c>
      <c r="F392" s="357">
        <v>45548.47361111111</v>
      </c>
      <c r="G392" s="336">
        <v>1.0</v>
      </c>
      <c r="H392" s="336">
        <v>51.3774</v>
      </c>
      <c r="I392" s="336">
        <v>12.8133</v>
      </c>
      <c r="J392" s="336">
        <v>-26.693056</v>
      </c>
      <c r="K392" s="336">
        <v>-24.625731</v>
      </c>
      <c r="L392" s="336">
        <v>1010.16</v>
      </c>
      <c r="M392" s="336">
        <v>63.000054</v>
      </c>
      <c r="N392" s="336">
        <v>11211.5412</v>
      </c>
      <c r="O392" s="336">
        <v>11211.5412</v>
      </c>
      <c r="P392" s="338">
        <v>2021.22733</v>
      </c>
      <c r="Q392" s="338" t="s">
        <v>509</v>
      </c>
      <c r="R392" s="338" t="s">
        <v>12</v>
      </c>
      <c r="S392" s="338">
        <v>10.0</v>
      </c>
      <c r="T392" s="338">
        <v>5.0</v>
      </c>
      <c r="U392" s="338">
        <v>0.7</v>
      </c>
      <c r="V392" s="338">
        <v>0.7</v>
      </c>
      <c r="W392" s="338">
        <v>0.7</v>
      </c>
      <c r="X392" s="336">
        <v>2000.0</v>
      </c>
      <c r="Y392" s="336" t="s">
        <v>510</v>
      </c>
      <c r="Z392" s="336">
        <v>0.2</v>
      </c>
      <c r="AA392" s="336" t="s">
        <v>511</v>
      </c>
      <c r="AB392" s="336" t="s">
        <v>512</v>
      </c>
      <c r="AC392" s="336">
        <v>220.0</v>
      </c>
      <c r="AD392" s="339"/>
      <c r="AE392" s="340"/>
    </row>
    <row r="393">
      <c r="A393" s="336" t="s">
        <v>514</v>
      </c>
      <c r="B393" s="336" t="s">
        <v>506</v>
      </c>
      <c r="C393" s="336" t="s">
        <v>507</v>
      </c>
      <c r="D393" s="336" t="s">
        <v>508</v>
      </c>
      <c r="E393" s="336">
        <v>1.0</v>
      </c>
      <c r="F393" s="357">
        <v>45548.47638888889</v>
      </c>
      <c r="G393" s="336">
        <v>1.0</v>
      </c>
      <c r="H393" s="336">
        <v>51.3741</v>
      </c>
      <c r="I393" s="336">
        <v>12.2665</v>
      </c>
      <c r="J393" s="336">
        <v>-26.870588</v>
      </c>
      <c r="K393" s="336">
        <v>-25.352406</v>
      </c>
      <c r="L393" s="336">
        <v>994.792</v>
      </c>
      <c r="M393" s="336">
        <v>70.999925</v>
      </c>
      <c r="N393" s="336">
        <v>11222.4526</v>
      </c>
      <c r="O393" s="336">
        <v>11222.4526</v>
      </c>
      <c r="P393" s="338">
        <v>2023.16432</v>
      </c>
      <c r="Q393" s="338" t="s">
        <v>509</v>
      </c>
      <c r="R393" s="338" t="s">
        <v>12</v>
      </c>
      <c r="S393" s="338">
        <v>10.0</v>
      </c>
      <c r="T393" s="338">
        <v>5.0</v>
      </c>
      <c r="U393" s="338">
        <v>0.7</v>
      </c>
      <c r="V393" s="338">
        <v>0.7</v>
      </c>
      <c r="W393" s="338">
        <v>0.7</v>
      </c>
      <c r="X393" s="336">
        <v>2000.0</v>
      </c>
      <c r="Y393" s="336" t="s">
        <v>510</v>
      </c>
      <c r="Z393" s="336">
        <v>0.2</v>
      </c>
      <c r="AA393" s="336" t="s">
        <v>511</v>
      </c>
      <c r="AB393" s="336" t="s">
        <v>512</v>
      </c>
      <c r="AC393" s="336">
        <v>220.0</v>
      </c>
      <c r="AD393" s="339"/>
      <c r="AE393" s="340"/>
    </row>
    <row r="394">
      <c r="A394" s="336" t="s">
        <v>515</v>
      </c>
      <c r="B394" s="336" t="s">
        <v>506</v>
      </c>
      <c r="C394" s="336" t="s">
        <v>507</v>
      </c>
      <c r="D394" s="336" t="s">
        <v>508</v>
      </c>
      <c r="E394" s="336">
        <v>1.0</v>
      </c>
      <c r="F394" s="357">
        <v>45548.479166666664</v>
      </c>
      <c r="G394" s="336">
        <v>1.0</v>
      </c>
      <c r="H394" s="336">
        <v>51.3741</v>
      </c>
      <c r="I394" s="336">
        <v>11.479</v>
      </c>
      <c r="J394" s="336">
        <v>-26.907719</v>
      </c>
      <c r="K394" s="336">
        <v>-25.168169</v>
      </c>
      <c r="L394" s="336">
        <v>998.966</v>
      </c>
      <c r="M394" s="336">
        <v>68.500636</v>
      </c>
      <c r="N394" s="336">
        <v>11202.9042</v>
      </c>
      <c r="O394" s="336">
        <v>11202.9042</v>
      </c>
      <c r="P394" s="338">
        <v>2019.69408</v>
      </c>
      <c r="Q394" s="338" t="s">
        <v>509</v>
      </c>
      <c r="R394" s="338" t="s">
        <v>12</v>
      </c>
      <c r="S394" s="338">
        <v>10.0</v>
      </c>
      <c r="T394" s="338">
        <v>5.0</v>
      </c>
      <c r="U394" s="338">
        <v>0.7</v>
      </c>
      <c r="V394" s="338">
        <v>0.7</v>
      </c>
      <c r="W394" s="338">
        <v>0.7</v>
      </c>
      <c r="X394" s="336">
        <v>2000.0</v>
      </c>
      <c r="Y394" s="336" t="s">
        <v>510</v>
      </c>
      <c r="Z394" s="336">
        <v>0.2</v>
      </c>
      <c r="AA394" s="336" t="s">
        <v>511</v>
      </c>
      <c r="AB394" s="336" t="s">
        <v>512</v>
      </c>
      <c r="AC394" s="336">
        <v>220.0</v>
      </c>
      <c r="AD394" s="339"/>
      <c r="AE394" s="340"/>
    </row>
    <row r="395" ht="14.25" customHeight="1">
      <c r="A395" s="336" t="s">
        <v>636</v>
      </c>
      <c r="B395" s="336" t="s">
        <v>506</v>
      </c>
      <c r="C395" s="336" t="s">
        <v>507</v>
      </c>
      <c r="D395" s="336" t="s">
        <v>508</v>
      </c>
      <c r="E395" s="336">
        <v>1.0</v>
      </c>
      <c r="F395" s="357">
        <v>45548.481944444444</v>
      </c>
      <c r="G395" s="336">
        <v>1.0</v>
      </c>
      <c r="H395" s="336">
        <v>51.3774</v>
      </c>
      <c r="I395" s="336">
        <v>11.026</v>
      </c>
      <c r="J395" s="336">
        <v>-26.847456</v>
      </c>
      <c r="K395" s="336">
        <v>-25.152919</v>
      </c>
      <c r="L395" s="336">
        <v>992.692</v>
      </c>
      <c r="M395" s="336">
        <v>66.499645</v>
      </c>
      <c r="N395" s="336">
        <v>11210.2055</v>
      </c>
      <c r="O395" s="336">
        <v>11210.2055</v>
      </c>
      <c r="P395" s="338">
        <v>2020.99021</v>
      </c>
      <c r="Q395" s="338" t="s">
        <v>509</v>
      </c>
      <c r="R395" s="338" t="s">
        <v>12</v>
      </c>
      <c r="S395" s="338">
        <v>10.0</v>
      </c>
      <c r="T395" s="338">
        <v>5.0</v>
      </c>
      <c r="U395" s="338">
        <v>0.7</v>
      </c>
      <c r="V395" s="338">
        <v>0.7</v>
      </c>
      <c r="W395" s="338">
        <v>0.7</v>
      </c>
      <c r="X395" s="336">
        <v>2000.0</v>
      </c>
      <c r="Y395" s="336" t="s">
        <v>510</v>
      </c>
      <c r="Z395" s="336">
        <v>0.2</v>
      </c>
      <c r="AA395" s="336" t="s">
        <v>511</v>
      </c>
      <c r="AB395" s="336" t="s">
        <v>512</v>
      </c>
      <c r="AC395" s="336">
        <v>220.0</v>
      </c>
      <c r="AD395" s="339"/>
      <c r="AE395" s="340"/>
    </row>
    <row r="396">
      <c r="A396" s="336" t="s">
        <v>531</v>
      </c>
      <c r="B396" s="336" t="s">
        <v>506</v>
      </c>
      <c r="C396" s="336" t="s">
        <v>507</v>
      </c>
      <c r="D396" s="336" t="s">
        <v>508</v>
      </c>
      <c r="E396" s="336">
        <v>1.0</v>
      </c>
      <c r="F396" s="360">
        <v>45548.48472222222</v>
      </c>
      <c r="G396" s="336">
        <v>1.0</v>
      </c>
      <c r="H396" s="336">
        <v>51.3708</v>
      </c>
      <c r="I396" s="336">
        <v>10.4989</v>
      </c>
      <c r="J396" s="336">
        <v>-26.986706</v>
      </c>
      <c r="K396" s="336">
        <v>-25.820062</v>
      </c>
      <c r="L396" s="336">
        <v>1004.22</v>
      </c>
      <c r="M396" s="336">
        <v>76.999654</v>
      </c>
      <c r="N396" s="336">
        <v>11270.3534</v>
      </c>
      <c r="O396" s="336">
        <v>11270.3534</v>
      </c>
      <c r="P396" s="338">
        <v>2031.66767</v>
      </c>
      <c r="Q396" s="338" t="s">
        <v>509</v>
      </c>
      <c r="R396" s="338" t="s">
        <v>12</v>
      </c>
      <c r="S396" s="338">
        <v>10.0</v>
      </c>
      <c r="T396" s="338">
        <v>5.0</v>
      </c>
      <c r="U396" s="338">
        <v>0.7</v>
      </c>
      <c r="V396" s="338">
        <v>0.7</v>
      </c>
      <c r="W396" s="338">
        <v>0.7</v>
      </c>
      <c r="X396" s="336">
        <v>2000.0</v>
      </c>
      <c r="Y396" s="336" t="s">
        <v>510</v>
      </c>
      <c r="Z396" s="336">
        <v>0.2</v>
      </c>
      <c r="AA396" s="336" t="s">
        <v>511</v>
      </c>
      <c r="AB396" s="336" t="s">
        <v>512</v>
      </c>
      <c r="AC396" s="336">
        <v>220.0</v>
      </c>
      <c r="AD396" s="339"/>
      <c r="AE396" s="340"/>
    </row>
    <row r="397">
      <c r="A397" s="336" t="s">
        <v>539</v>
      </c>
      <c r="B397" s="336" t="s">
        <v>506</v>
      </c>
      <c r="C397" s="336" t="s">
        <v>507</v>
      </c>
      <c r="D397" s="336" t="s">
        <v>508</v>
      </c>
      <c r="E397" s="336">
        <v>1.0</v>
      </c>
      <c r="F397" s="357">
        <v>45548.49375</v>
      </c>
      <c r="G397" s="336">
        <v>1.0</v>
      </c>
      <c r="H397" s="336">
        <v>51.3741</v>
      </c>
      <c r="I397" s="336">
        <v>9.97617</v>
      </c>
      <c r="J397" s="336">
        <v>-27.068737</v>
      </c>
      <c r="K397" s="336">
        <v>-25.745175</v>
      </c>
      <c r="L397" s="336">
        <v>999.096</v>
      </c>
      <c r="M397" s="336">
        <v>77.000325</v>
      </c>
      <c r="N397" s="336">
        <v>11220.8494</v>
      </c>
      <c r="O397" s="336">
        <v>11220.8494</v>
      </c>
      <c r="P397" s="338">
        <v>2022.87973</v>
      </c>
      <c r="Q397" s="338" t="s">
        <v>509</v>
      </c>
      <c r="R397" s="338" t="s">
        <v>12</v>
      </c>
      <c r="S397" s="338">
        <v>10.0</v>
      </c>
      <c r="T397" s="338">
        <v>5.0</v>
      </c>
      <c r="U397" s="338">
        <v>0.7</v>
      </c>
      <c r="V397" s="338">
        <v>0.7</v>
      </c>
      <c r="W397" s="338">
        <v>0.7</v>
      </c>
      <c r="X397" s="336">
        <v>2000.0</v>
      </c>
      <c r="Y397" s="336" t="s">
        <v>510</v>
      </c>
      <c r="Z397" s="336">
        <v>0.2</v>
      </c>
      <c r="AA397" s="336" t="s">
        <v>511</v>
      </c>
      <c r="AB397" s="336" t="s">
        <v>512</v>
      </c>
      <c r="AC397" s="336">
        <v>220.0</v>
      </c>
      <c r="AD397" s="339"/>
      <c r="AE397" s="340"/>
    </row>
    <row r="398">
      <c r="A398" s="336" t="s">
        <v>543</v>
      </c>
      <c r="B398" s="336" t="s">
        <v>506</v>
      </c>
      <c r="C398" s="336" t="s">
        <v>507</v>
      </c>
      <c r="D398" s="336" t="s">
        <v>508</v>
      </c>
      <c r="E398" s="336">
        <v>1.0</v>
      </c>
      <c r="F398" s="337">
        <v>45548.49652777778</v>
      </c>
      <c r="G398" s="336">
        <v>1.0</v>
      </c>
      <c r="H398" s="336">
        <v>51.3741</v>
      </c>
      <c r="I398" s="336">
        <v>9.40578</v>
      </c>
      <c r="J398" s="336">
        <v>-27.100038</v>
      </c>
      <c r="K398" s="336">
        <v>-25.356513</v>
      </c>
      <c r="L398" s="336">
        <v>995.783</v>
      </c>
      <c r="M398" s="336">
        <v>66.49949</v>
      </c>
      <c r="N398" s="336">
        <v>11217.5245</v>
      </c>
      <c r="O398" s="336">
        <v>11217.5245</v>
      </c>
      <c r="P398" s="338">
        <v>2022.28948</v>
      </c>
      <c r="Q398" s="338" t="s">
        <v>509</v>
      </c>
      <c r="R398" s="338" t="s">
        <v>12</v>
      </c>
      <c r="S398" s="338">
        <v>10.0</v>
      </c>
      <c r="T398" s="338">
        <v>5.0</v>
      </c>
      <c r="U398" s="338">
        <v>0.7</v>
      </c>
      <c r="V398" s="338">
        <v>0.7</v>
      </c>
      <c r="W398" s="338">
        <v>0.7</v>
      </c>
      <c r="X398" s="336">
        <v>2000.0</v>
      </c>
      <c r="Y398" s="336" t="s">
        <v>510</v>
      </c>
      <c r="Z398" s="336">
        <v>0.2</v>
      </c>
      <c r="AA398" s="336" t="s">
        <v>511</v>
      </c>
      <c r="AB398" s="336" t="s">
        <v>512</v>
      </c>
      <c r="AC398" s="336">
        <v>220.0</v>
      </c>
      <c r="AD398" s="339"/>
      <c r="AE398" s="340"/>
    </row>
    <row r="399">
      <c r="A399" s="336" t="s">
        <v>547</v>
      </c>
      <c r="B399" s="336" t="s">
        <v>506</v>
      </c>
      <c r="C399" s="336" t="s">
        <v>507</v>
      </c>
      <c r="D399" s="336" t="s">
        <v>508</v>
      </c>
      <c r="E399" s="336">
        <v>1.0</v>
      </c>
      <c r="F399" s="337">
        <v>45548.498611111114</v>
      </c>
      <c r="G399" s="336">
        <v>1.0</v>
      </c>
      <c r="H399" s="336">
        <v>51.3708</v>
      </c>
      <c r="I399" s="336">
        <v>8.95917</v>
      </c>
      <c r="J399" s="336">
        <v>-27.074225</v>
      </c>
      <c r="K399" s="336">
        <v>-25.306894</v>
      </c>
      <c r="L399" s="336">
        <v>996.292</v>
      </c>
      <c r="M399" s="336">
        <v>67.50098</v>
      </c>
      <c r="N399" s="336">
        <v>11213.2346</v>
      </c>
      <c r="O399" s="336">
        <v>11213.2346</v>
      </c>
      <c r="P399" s="338">
        <v>2021.52794</v>
      </c>
      <c r="Q399" s="338" t="s">
        <v>509</v>
      </c>
      <c r="R399" s="338" t="s">
        <v>12</v>
      </c>
      <c r="S399" s="338">
        <v>10.0</v>
      </c>
      <c r="T399" s="338">
        <v>5.0</v>
      </c>
      <c r="U399" s="338">
        <v>0.7</v>
      </c>
      <c r="V399" s="338">
        <v>0.7</v>
      </c>
      <c r="W399" s="338">
        <v>0.7</v>
      </c>
      <c r="X399" s="336">
        <v>2000.0</v>
      </c>
      <c r="Y399" s="336" t="s">
        <v>510</v>
      </c>
      <c r="Z399" s="336">
        <v>0.2</v>
      </c>
      <c r="AA399" s="336" t="s">
        <v>511</v>
      </c>
      <c r="AB399" s="336" t="s">
        <v>512</v>
      </c>
      <c r="AC399" s="336">
        <v>220.0</v>
      </c>
      <c r="AD399" s="339"/>
      <c r="AE399" s="340"/>
    </row>
    <row r="400">
      <c r="A400" s="336" t="s">
        <v>783</v>
      </c>
      <c r="B400" s="336" t="s">
        <v>517</v>
      </c>
      <c r="C400" s="336" t="s">
        <v>784</v>
      </c>
      <c r="D400" s="336" t="s">
        <v>508</v>
      </c>
      <c r="E400" s="336">
        <v>0.8</v>
      </c>
      <c r="F400" s="337">
        <v>45548.55138888889</v>
      </c>
      <c r="G400" s="336">
        <v>1.0</v>
      </c>
      <c r="H400" s="336">
        <v>51.3741</v>
      </c>
      <c r="I400" s="336">
        <v>9.12479</v>
      </c>
      <c r="J400" s="336">
        <v>-27.108438</v>
      </c>
      <c r="K400" s="336">
        <v>-25.643138</v>
      </c>
      <c r="L400" s="336">
        <v>990.959</v>
      </c>
      <c r="M400" s="336">
        <v>65.499856</v>
      </c>
      <c r="N400" s="336">
        <v>9122.9083</v>
      </c>
      <c r="O400" s="336">
        <v>9258.41493</v>
      </c>
      <c r="P400" s="338">
        <v>2091.85616</v>
      </c>
      <c r="Q400" s="338" t="s">
        <v>519</v>
      </c>
      <c r="R400" s="338" t="s">
        <v>12</v>
      </c>
      <c r="S400" s="338">
        <v>10.0</v>
      </c>
      <c r="T400" s="338">
        <v>5.0</v>
      </c>
      <c r="U400" s="338">
        <v>0.7</v>
      </c>
      <c r="V400" s="338">
        <v>0.7</v>
      </c>
      <c r="W400" s="338">
        <v>0.7</v>
      </c>
      <c r="X400" s="336">
        <v>2000.0</v>
      </c>
      <c r="Y400" s="336" t="s">
        <v>510</v>
      </c>
      <c r="Z400" s="336">
        <v>0.2</v>
      </c>
      <c r="AA400" s="336" t="s">
        <v>511</v>
      </c>
      <c r="AB400" s="336" t="s">
        <v>512</v>
      </c>
      <c r="AC400" s="336">
        <v>220.0</v>
      </c>
      <c r="AD400" s="339"/>
      <c r="AE400" s="340"/>
    </row>
    <row r="401">
      <c r="A401" s="336" t="s">
        <v>785</v>
      </c>
      <c r="B401" s="336" t="s">
        <v>517</v>
      </c>
      <c r="C401" s="336" t="s">
        <v>784</v>
      </c>
      <c r="D401" s="336" t="s">
        <v>508</v>
      </c>
      <c r="E401" s="336">
        <v>0.8</v>
      </c>
      <c r="F401" s="337">
        <v>45548.55416666667</v>
      </c>
      <c r="G401" s="336">
        <v>1.0</v>
      </c>
      <c r="H401" s="336">
        <v>51.3741</v>
      </c>
      <c r="I401" s="336">
        <v>8.85651</v>
      </c>
      <c r="J401" s="336">
        <v>-27.166544</v>
      </c>
      <c r="K401" s="336">
        <v>-26.159575</v>
      </c>
      <c r="L401" s="336">
        <v>994.264</v>
      </c>
      <c r="M401" s="336">
        <v>70.499843</v>
      </c>
      <c r="N401" s="336">
        <v>9244.44703</v>
      </c>
      <c r="O401" s="336">
        <v>9258.41493</v>
      </c>
      <c r="P401" s="338">
        <v>2091.85616</v>
      </c>
      <c r="Q401" s="338" t="s">
        <v>519</v>
      </c>
      <c r="R401" s="338" t="s">
        <v>12</v>
      </c>
      <c r="S401" s="338">
        <v>10.0</v>
      </c>
      <c r="T401" s="338">
        <v>5.0</v>
      </c>
      <c r="U401" s="338">
        <v>0.7</v>
      </c>
      <c r="V401" s="338">
        <v>0.7</v>
      </c>
      <c r="W401" s="338">
        <v>0.7</v>
      </c>
      <c r="X401" s="336">
        <v>2000.0</v>
      </c>
      <c r="Y401" s="336" t="s">
        <v>510</v>
      </c>
      <c r="Z401" s="336">
        <v>0.2</v>
      </c>
      <c r="AA401" s="336" t="s">
        <v>511</v>
      </c>
      <c r="AB401" s="336" t="s">
        <v>512</v>
      </c>
      <c r="AC401" s="336">
        <v>220.0</v>
      </c>
      <c r="AD401" s="339"/>
      <c r="AE401" s="340"/>
    </row>
    <row r="402">
      <c r="A402" s="336" t="s">
        <v>786</v>
      </c>
      <c r="B402" s="336" t="s">
        <v>517</v>
      </c>
      <c r="C402" s="336" t="s">
        <v>784</v>
      </c>
      <c r="D402" s="336" t="s">
        <v>508</v>
      </c>
      <c r="E402" s="336">
        <v>0.8</v>
      </c>
      <c r="F402" s="337">
        <v>45548.55694444444</v>
      </c>
      <c r="G402" s="336">
        <v>1.0</v>
      </c>
      <c r="H402" s="336">
        <v>51.3708</v>
      </c>
      <c r="I402" s="336">
        <v>8.63244</v>
      </c>
      <c r="J402" s="336">
        <v>-27.226325</v>
      </c>
      <c r="K402" s="336">
        <v>-25.423194</v>
      </c>
      <c r="L402" s="336">
        <v>980.235</v>
      </c>
      <c r="M402" s="336">
        <v>60.99918</v>
      </c>
      <c r="N402" s="336">
        <v>9221.93618</v>
      </c>
      <c r="O402" s="336">
        <v>9258.41493</v>
      </c>
      <c r="P402" s="338">
        <v>2091.85616</v>
      </c>
      <c r="Q402" s="338" t="s">
        <v>519</v>
      </c>
      <c r="R402" s="338" t="s">
        <v>12</v>
      </c>
      <c r="S402" s="338">
        <v>10.0</v>
      </c>
      <c r="T402" s="338">
        <v>5.0</v>
      </c>
      <c r="U402" s="338">
        <v>0.7</v>
      </c>
      <c r="V402" s="338">
        <v>0.7</v>
      </c>
      <c r="W402" s="338">
        <v>0.7</v>
      </c>
      <c r="X402" s="336">
        <v>2000.0</v>
      </c>
      <c r="Y402" s="336" t="s">
        <v>510</v>
      </c>
      <c r="Z402" s="336">
        <v>0.2</v>
      </c>
      <c r="AA402" s="336" t="s">
        <v>511</v>
      </c>
      <c r="AB402" s="336" t="s">
        <v>512</v>
      </c>
      <c r="AC402" s="336">
        <v>220.0</v>
      </c>
      <c r="AD402" s="339"/>
      <c r="AE402" s="340"/>
    </row>
    <row r="403">
      <c r="A403" s="336" t="s">
        <v>787</v>
      </c>
      <c r="B403" s="336" t="s">
        <v>517</v>
      </c>
      <c r="C403" s="336" t="s">
        <v>784</v>
      </c>
      <c r="D403" s="336" t="s">
        <v>508</v>
      </c>
      <c r="E403" s="336">
        <v>0.8</v>
      </c>
      <c r="F403" s="337">
        <v>45548.55972222222</v>
      </c>
      <c r="G403" s="336">
        <v>1.0</v>
      </c>
      <c r="H403" s="336">
        <v>51.3774</v>
      </c>
      <c r="I403" s="336">
        <v>8.48621</v>
      </c>
      <c r="J403" s="336">
        <v>-27.242038</v>
      </c>
      <c r="K403" s="336">
        <v>-25.958069</v>
      </c>
      <c r="L403" s="336">
        <v>1009.0</v>
      </c>
      <c r="M403" s="336">
        <v>68.498035</v>
      </c>
      <c r="N403" s="336">
        <v>9256.90419</v>
      </c>
      <c r="O403" s="336">
        <v>9258.41493</v>
      </c>
      <c r="P403" s="338">
        <v>2091.85616</v>
      </c>
      <c r="Q403" s="338" t="s">
        <v>509</v>
      </c>
      <c r="R403" s="338" t="s">
        <v>12</v>
      </c>
      <c r="S403" s="338">
        <v>10.0</v>
      </c>
      <c r="T403" s="338">
        <v>5.0</v>
      </c>
      <c r="U403" s="338">
        <v>0.7</v>
      </c>
      <c r="V403" s="338">
        <v>0.7</v>
      </c>
      <c r="W403" s="338">
        <v>0.7</v>
      </c>
      <c r="X403" s="336">
        <v>2000.0</v>
      </c>
      <c r="Y403" s="336" t="s">
        <v>510</v>
      </c>
      <c r="Z403" s="336">
        <v>0.2</v>
      </c>
      <c r="AA403" s="336" t="s">
        <v>511</v>
      </c>
      <c r="AB403" s="336" t="s">
        <v>512</v>
      </c>
      <c r="AC403" s="336">
        <v>220.0</v>
      </c>
      <c r="AD403" s="339"/>
      <c r="AE403" s="340"/>
    </row>
    <row r="404">
      <c r="A404" s="336" t="s">
        <v>788</v>
      </c>
      <c r="B404" s="336" t="s">
        <v>517</v>
      </c>
      <c r="C404" s="336" t="s">
        <v>784</v>
      </c>
      <c r="D404" s="336" t="s">
        <v>508</v>
      </c>
      <c r="E404" s="336">
        <v>0.8</v>
      </c>
      <c r="F404" s="337">
        <v>45548.5625</v>
      </c>
      <c r="G404" s="336">
        <v>1.0</v>
      </c>
      <c r="H404" s="336">
        <v>51.3675</v>
      </c>
      <c r="I404" s="336">
        <v>8.43747</v>
      </c>
      <c r="J404" s="336">
        <v>-27.257794</v>
      </c>
      <c r="K404" s="336">
        <v>-26.06815</v>
      </c>
      <c r="L404" s="336">
        <v>995.721</v>
      </c>
      <c r="M404" s="336">
        <v>67.499356</v>
      </c>
      <c r="N404" s="336">
        <v>9259.92567</v>
      </c>
      <c r="O404" s="336">
        <v>9258.41493</v>
      </c>
      <c r="P404" s="338">
        <v>2091.85616</v>
      </c>
      <c r="Q404" s="338" t="s">
        <v>509</v>
      </c>
      <c r="R404" s="338" t="s">
        <v>12</v>
      </c>
      <c r="S404" s="338">
        <v>10.0</v>
      </c>
      <c r="T404" s="338">
        <v>5.0</v>
      </c>
      <c r="U404" s="338">
        <v>0.7</v>
      </c>
      <c r="V404" s="338">
        <v>0.7</v>
      </c>
      <c r="W404" s="338">
        <v>0.7</v>
      </c>
      <c r="X404" s="336">
        <v>2000.0</v>
      </c>
      <c r="Y404" s="336" t="s">
        <v>510</v>
      </c>
      <c r="Z404" s="336">
        <v>0.2</v>
      </c>
      <c r="AA404" s="336" t="s">
        <v>511</v>
      </c>
      <c r="AB404" s="336" t="s">
        <v>512</v>
      </c>
      <c r="AC404" s="336">
        <v>220.0</v>
      </c>
      <c r="AD404" s="339"/>
      <c r="AE404" s="340"/>
    </row>
    <row r="405">
      <c r="A405" s="342" t="s">
        <v>789</v>
      </c>
      <c r="B405" s="342" t="s">
        <v>523</v>
      </c>
      <c r="C405" s="342" t="s">
        <v>784</v>
      </c>
      <c r="D405" s="342" t="s">
        <v>508</v>
      </c>
      <c r="E405" s="342">
        <v>1.0</v>
      </c>
      <c r="F405" s="343">
        <v>45548.56527777778</v>
      </c>
      <c r="G405" s="342">
        <v>1.0</v>
      </c>
      <c r="H405" s="342">
        <v>51.3807</v>
      </c>
      <c r="I405" s="342">
        <v>8.46324</v>
      </c>
      <c r="J405" s="342">
        <v>-27.228425</v>
      </c>
      <c r="K405" s="342">
        <v>-25.553681</v>
      </c>
      <c r="L405" s="342">
        <v>1071.18</v>
      </c>
      <c r="M405" s="342">
        <v>67.499507</v>
      </c>
      <c r="N405" s="342">
        <v>11603.164</v>
      </c>
      <c r="O405" s="342">
        <v>11608.5841</v>
      </c>
      <c r="P405" s="344">
        <v>2091.85616</v>
      </c>
      <c r="Q405" s="344" t="s">
        <v>509</v>
      </c>
      <c r="R405" s="338" t="s">
        <v>12</v>
      </c>
      <c r="S405" s="338">
        <v>10.0</v>
      </c>
      <c r="T405" s="338">
        <v>5.0</v>
      </c>
      <c r="U405" s="338">
        <v>0.7</v>
      </c>
      <c r="V405" s="338">
        <v>0.7</v>
      </c>
      <c r="W405" s="338">
        <v>0.7</v>
      </c>
      <c r="X405" s="336">
        <v>2000.0</v>
      </c>
      <c r="Y405" s="336" t="s">
        <v>510</v>
      </c>
      <c r="Z405" s="336">
        <v>0.2</v>
      </c>
      <c r="AA405" s="336" t="s">
        <v>511</v>
      </c>
      <c r="AB405" s="336" t="s">
        <v>512</v>
      </c>
      <c r="AC405" s="336">
        <v>220.0</v>
      </c>
      <c r="AD405" s="339"/>
      <c r="AE405" s="340"/>
    </row>
    <row r="406">
      <c r="A406" s="342" t="s">
        <v>790</v>
      </c>
      <c r="B406" s="342" t="s">
        <v>523</v>
      </c>
      <c r="C406" s="342" t="s">
        <v>784</v>
      </c>
      <c r="D406" s="342" t="s">
        <v>508</v>
      </c>
      <c r="E406" s="342">
        <v>1.0</v>
      </c>
      <c r="F406" s="343">
        <v>45548.56805555556</v>
      </c>
      <c r="G406" s="342">
        <v>1.0</v>
      </c>
      <c r="H406" s="342">
        <v>51.3774</v>
      </c>
      <c r="I406" s="342">
        <v>8.55675</v>
      </c>
      <c r="J406" s="342">
        <v>-27.219819</v>
      </c>
      <c r="K406" s="342">
        <v>-25.833425</v>
      </c>
      <c r="L406" s="342">
        <v>1071.2</v>
      </c>
      <c r="M406" s="342">
        <v>72.999337</v>
      </c>
      <c r="N406" s="342">
        <v>11614.0041</v>
      </c>
      <c r="O406" s="342">
        <v>11608.5841</v>
      </c>
      <c r="P406" s="344">
        <v>2091.85616</v>
      </c>
      <c r="Q406" s="344" t="s">
        <v>509</v>
      </c>
      <c r="R406" s="338" t="s">
        <v>12</v>
      </c>
      <c r="S406" s="338">
        <v>10.0</v>
      </c>
      <c r="T406" s="338">
        <v>5.0</v>
      </c>
      <c r="U406" s="338">
        <v>0.7</v>
      </c>
      <c r="V406" s="338">
        <v>0.7</v>
      </c>
      <c r="W406" s="338">
        <v>0.7</v>
      </c>
      <c r="X406" s="336">
        <v>2000.0</v>
      </c>
      <c r="Y406" s="336" t="s">
        <v>510</v>
      </c>
      <c r="Z406" s="336">
        <v>0.2</v>
      </c>
      <c r="AA406" s="336" t="s">
        <v>511</v>
      </c>
      <c r="AB406" s="336" t="s">
        <v>512</v>
      </c>
      <c r="AC406" s="336">
        <v>220.0</v>
      </c>
      <c r="AD406" s="339"/>
      <c r="AE406" s="340"/>
    </row>
    <row r="407">
      <c r="A407" s="336" t="s">
        <v>791</v>
      </c>
      <c r="B407" s="336" t="s">
        <v>527</v>
      </c>
      <c r="C407" s="336" t="s">
        <v>784</v>
      </c>
      <c r="D407" s="336" t="s">
        <v>508</v>
      </c>
      <c r="E407" s="336">
        <v>1.2</v>
      </c>
      <c r="F407" s="337">
        <v>45548.57083333333</v>
      </c>
      <c r="G407" s="336">
        <v>1.0</v>
      </c>
      <c r="H407" s="336">
        <v>51.3741</v>
      </c>
      <c r="I407" s="336">
        <v>8.50006</v>
      </c>
      <c r="J407" s="336">
        <v>-27.238637</v>
      </c>
      <c r="K407" s="336">
        <v>-25.5225</v>
      </c>
      <c r="L407" s="336">
        <v>1108.1</v>
      </c>
      <c r="M407" s="336">
        <v>71.000868</v>
      </c>
      <c r="N407" s="336">
        <v>13979.6551</v>
      </c>
      <c r="O407" s="336">
        <v>13983.9483</v>
      </c>
      <c r="P407" s="338">
        <v>2091.85616</v>
      </c>
      <c r="Q407" s="338" t="s">
        <v>509</v>
      </c>
      <c r="R407" s="338" t="s">
        <v>12</v>
      </c>
      <c r="S407" s="338">
        <v>10.0</v>
      </c>
      <c r="T407" s="338">
        <v>5.0</v>
      </c>
      <c r="U407" s="338">
        <v>0.7</v>
      </c>
      <c r="V407" s="338">
        <v>0.7</v>
      </c>
      <c r="W407" s="338">
        <v>0.7</v>
      </c>
      <c r="X407" s="336">
        <v>2000.0</v>
      </c>
      <c r="Y407" s="336" t="s">
        <v>510</v>
      </c>
      <c r="Z407" s="336">
        <v>0.2</v>
      </c>
      <c r="AA407" s="336" t="s">
        <v>511</v>
      </c>
      <c r="AB407" s="336" t="s">
        <v>512</v>
      </c>
      <c r="AC407" s="336">
        <v>220.0</v>
      </c>
      <c r="AD407" s="339"/>
      <c r="AE407" s="340"/>
    </row>
    <row r="408">
      <c r="A408" s="336" t="s">
        <v>792</v>
      </c>
      <c r="B408" s="336" t="s">
        <v>527</v>
      </c>
      <c r="C408" s="336" t="s">
        <v>784</v>
      </c>
      <c r="D408" s="336" t="s">
        <v>508</v>
      </c>
      <c r="E408" s="336">
        <v>1.2</v>
      </c>
      <c r="F408" s="337">
        <v>45548.57361111111</v>
      </c>
      <c r="G408" s="336">
        <v>1.0</v>
      </c>
      <c r="H408" s="336">
        <v>51.3741</v>
      </c>
      <c r="I408" s="336">
        <v>8.55676</v>
      </c>
      <c r="J408" s="336">
        <v>-27.2669</v>
      </c>
      <c r="K408" s="336">
        <v>-25.694581</v>
      </c>
      <c r="L408" s="336">
        <v>1093.17</v>
      </c>
      <c r="M408" s="336">
        <v>74.498896</v>
      </c>
      <c r="N408" s="336">
        <v>13988.2415</v>
      </c>
      <c r="O408" s="336">
        <v>13983.9483</v>
      </c>
      <c r="P408" s="338">
        <v>2091.85616</v>
      </c>
      <c r="Q408" s="338" t="s">
        <v>509</v>
      </c>
      <c r="R408" s="338" t="s">
        <v>12</v>
      </c>
      <c r="S408" s="338">
        <v>10.0</v>
      </c>
      <c r="T408" s="338">
        <v>5.0</v>
      </c>
      <c r="U408" s="338">
        <v>0.7</v>
      </c>
      <c r="V408" s="338">
        <v>0.7</v>
      </c>
      <c r="W408" s="338">
        <v>0.7</v>
      </c>
      <c r="X408" s="336">
        <v>2000.0</v>
      </c>
      <c r="Y408" s="336" t="s">
        <v>510</v>
      </c>
      <c r="Z408" s="336">
        <v>0.2</v>
      </c>
      <c r="AA408" s="336" t="s">
        <v>511</v>
      </c>
      <c r="AB408" s="336" t="s">
        <v>512</v>
      </c>
      <c r="AC408" s="336">
        <v>220.0</v>
      </c>
      <c r="AD408" s="339"/>
      <c r="AE408" s="340"/>
    </row>
    <row r="409">
      <c r="A409" s="336" t="s">
        <v>553</v>
      </c>
      <c r="B409" s="336">
        <v>2.0</v>
      </c>
      <c r="C409" s="336">
        <v>378.0</v>
      </c>
      <c r="D409" s="336" t="s">
        <v>532</v>
      </c>
      <c r="E409" s="336">
        <v>1.0</v>
      </c>
      <c r="F409" s="337">
        <v>45548.57708333333</v>
      </c>
      <c r="G409" s="336">
        <v>1.0</v>
      </c>
      <c r="H409" s="336">
        <v>51.3741</v>
      </c>
      <c r="I409" s="336">
        <v>8.46089</v>
      </c>
      <c r="J409" s="336">
        <v>-27.308812</v>
      </c>
      <c r="K409" s="336">
        <v>-25.193106</v>
      </c>
      <c r="L409" s="336">
        <v>1049.62</v>
      </c>
      <c r="M409" s="336">
        <v>64.000263</v>
      </c>
      <c r="N409" s="336">
        <v>11308.5534</v>
      </c>
      <c r="O409" s="336">
        <v>11366.0245</v>
      </c>
      <c r="P409" s="338">
        <v>2047.41945</v>
      </c>
      <c r="Q409" s="338" t="s">
        <v>519</v>
      </c>
      <c r="R409" s="338" t="s">
        <v>12</v>
      </c>
      <c r="S409" s="338">
        <v>10.0</v>
      </c>
      <c r="T409" s="338">
        <v>5.0</v>
      </c>
      <c r="U409" s="338">
        <v>0.7</v>
      </c>
      <c r="V409" s="338">
        <v>0.7</v>
      </c>
      <c r="W409" s="338">
        <v>0.7</v>
      </c>
      <c r="X409" s="336">
        <v>2000.0</v>
      </c>
      <c r="Y409" s="336" t="s">
        <v>510</v>
      </c>
      <c r="Z409" s="336">
        <v>0.2</v>
      </c>
      <c r="AA409" s="336" t="s">
        <v>511</v>
      </c>
      <c r="AB409" s="336" t="s">
        <v>512</v>
      </c>
      <c r="AC409" s="336">
        <v>220.0</v>
      </c>
      <c r="AD409" s="339"/>
      <c r="AE409" s="340"/>
    </row>
    <row r="410">
      <c r="A410" s="336" t="s">
        <v>555</v>
      </c>
      <c r="B410" s="336">
        <v>2.0</v>
      </c>
      <c r="C410" s="336">
        <v>378.0</v>
      </c>
      <c r="D410" s="336" t="s">
        <v>532</v>
      </c>
      <c r="E410" s="336">
        <v>1.0</v>
      </c>
      <c r="F410" s="337">
        <v>45548.57986111111</v>
      </c>
      <c r="G410" s="336">
        <v>1.0</v>
      </c>
      <c r="H410" s="336">
        <v>51.3774</v>
      </c>
      <c r="I410" s="336">
        <v>8.41025</v>
      </c>
      <c r="J410" s="336">
        <v>-27.349356</v>
      </c>
      <c r="K410" s="336">
        <v>-25.792894</v>
      </c>
      <c r="L410" s="336">
        <v>1031.03</v>
      </c>
      <c r="M410" s="336">
        <v>69.499503</v>
      </c>
      <c r="N410" s="336">
        <v>11363.6511</v>
      </c>
      <c r="O410" s="336">
        <v>11366.0245</v>
      </c>
      <c r="P410" s="338">
        <v>2047.41945</v>
      </c>
      <c r="Q410" s="338" t="s">
        <v>509</v>
      </c>
      <c r="R410" s="338" t="s">
        <v>12</v>
      </c>
      <c r="S410" s="338">
        <v>10.0</v>
      </c>
      <c r="T410" s="338">
        <v>5.0</v>
      </c>
      <c r="U410" s="338">
        <v>0.7</v>
      </c>
      <c r="V410" s="338">
        <v>0.7</v>
      </c>
      <c r="W410" s="338">
        <v>0.7</v>
      </c>
      <c r="X410" s="336">
        <v>2000.0</v>
      </c>
      <c r="Y410" s="336" t="s">
        <v>510</v>
      </c>
      <c r="Z410" s="336">
        <v>0.2</v>
      </c>
      <c r="AA410" s="336" t="s">
        <v>511</v>
      </c>
      <c r="AB410" s="336" t="s">
        <v>512</v>
      </c>
      <c r="AC410" s="336">
        <v>220.0</v>
      </c>
      <c r="AD410" s="339"/>
      <c r="AE410" s="340"/>
    </row>
    <row r="411">
      <c r="A411" s="336" t="s">
        <v>556</v>
      </c>
      <c r="B411" s="336">
        <v>2.0</v>
      </c>
      <c r="C411" s="336">
        <v>378.0</v>
      </c>
      <c r="D411" s="336" t="s">
        <v>532</v>
      </c>
      <c r="E411" s="336">
        <v>1.0</v>
      </c>
      <c r="F411" s="337">
        <v>45548.58263888889</v>
      </c>
      <c r="G411" s="336">
        <v>1.0</v>
      </c>
      <c r="H411" s="336">
        <v>51.3807</v>
      </c>
      <c r="I411" s="336">
        <v>8.28093</v>
      </c>
      <c r="J411" s="336">
        <v>-27.216788</v>
      </c>
      <c r="K411" s="336">
        <v>-25.568281</v>
      </c>
      <c r="L411" s="336">
        <v>1043.1</v>
      </c>
      <c r="M411" s="336">
        <v>67.499331</v>
      </c>
      <c r="N411" s="336">
        <v>11368.398</v>
      </c>
      <c r="O411" s="336">
        <v>11366.0245</v>
      </c>
      <c r="P411" s="338">
        <v>2047.41945</v>
      </c>
      <c r="Q411" s="338" t="s">
        <v>509</v>
      </c>
      <c r="R411" s="338" t="s">
        <v>12</v>
      </c>
      <c r="S411" s="338">
        <v>10.0</v>
      </c>
      <c r="T411" s="338">
        <v>5.0</v>
      </c>
      <c r="U411" s="338">
        <v>0.7</v>
      </c>
      <c r="V411" s="338">
        <v>0.7</v>
      </c>
      <c r="W411" s="338">
        <v>0.7</v>
      </c>
      <c r="X411" s="336">
        <v>2000.0</v>
      </c>
      <c r="Y411" s="336" t="s">
        <v>510</v>
      </c>
      <c r="Z411" s="336">
        <v>0.2</v>
      </c>
      <c r="AA411" s="336" t="s">
        <v>511</v>
      </c>
      <c r="AB411" s="336" t="s">
        <v>512</v>
      </c>
      <c r="AC411" s="336">
        <v>220.0</v>
      </c>
      <c r="AD411" s="339"/>
      <c r="AE411" s="340"/>
    </row>
    <row r="412">
      <c r="A412" s="336" t="s">
        <v>557</v>
      </c>
      <c r="B412" s="336">
        <v>3.0</v>
      </c>
      <c r="C412" s="336">
        <v>379.0</v>
      </c>
      <c r="D412" s="336" t="s">
        <v>540</v>
      </c>
      <c r="E412" s="336">
        <v>1.0</v>
      </c>
      <c r="F412" s="337">
        <v>45548.58611111111</v>
      </c>
      <c r="G412" s="336">
        <v>1.0</v>
      </c>
      <c r="H412" s="336">
        <v>51.3774</v>
      </c>
      <c r="I412" s="336">
        <v>8.208</v>
      </c>
      <c r="J412" s="336">
        <v>-27.210719</v>
      </c>
      <c r="K412" s="336">
        <v>-25.616456</v>
      </c>
      <c r="L412" s="336">
        <v>1047.36</v>
      </c>
      <c r="M412" s="336">
        <v>66.500871</v>
      </c>
      <c r="N412" s="336">
        <v>11310.5745</v>
      </c>
      <c r="O412" s="336">
        <v>11307.4831</v>
      </c>
      <c r="P412" s="338">
        <v>2037.05361</v>
      </c>
      <c r="Q412" s="338" t="s">
        <v>509</v>
      </c>
      <c r="R412" s="338" t="s">
        <v>12</v>
      </c>
      <c r="S412" s="338">
        <v>10.0</v>
      </c>
      <c r="T412" s="338">
        <v>5.0</v>
      </c>
      <c r="U412" s="338">
        <v>0.7</v>
      </c>
      <c r="V412" s="338">
        <v>0.7</v>
      </c>
      <c r="W412" s="338">
        <v>0.7</v>
      </c>
      <c r="X412" s="336">
        <v>2000.0</v>
      </c>
      <c r="Y412" s="336" t="s">
        <v>510</v>
      </c>
      <c r="Z412" s="336">
        <v>0.2</v>
      </c>
      <c r="AA412" s="336" t="s">
        <v>511</v>
      </c>
      <c r="AB412" s="336" t="s">
        <v>512</v>
      </c>
      <c r="AC412" s="336">
        <v>220.0</v>
      </c>
      <c r="AD412" s="339"/>
      <c r="AE412" s="340"/>
    </row>
    <row r="413">
      <c r="A413" s="336" t="s">
        <v>559</v>
      </c>
      <c r="B413" s="336">
        <v>3.0</v>
      </c>
      <c r="C413" s="336">
        <v>379.0</v>
      </c>
      <c r="D413" s="336" t="s">
        <v>540</v>
      </c>
      <c r="E413" s="336">
        <v>1.0</v>
      </c>
      <c r="F413" s="337">
        <v>45548.58888888889</v>
      </c>
      <c r="G413" s="336">
        <v>1.0</v>
      </c>
      <c r="H413" s="336">
        <v>51.3741</v>
      </c>
      <c r="I413" s="336">
        <v>8.26851</v>
      </c>
      <c r="J413" s="336">
        <v>-27.155962</v>
      </c>
      <c r="K413" s="336">
        <v>-25.673412</v>
      </c>
      <c r="L413" s="336">
        <v>1041.4</v>
      </c>
      <c r="M413" s="336">
        <v>67.500735</v>
      </c>
      <c r="N413" s="336">
        <v>11304.3917</v>
      </c>
      <c r="O413" s="336">
        <v>11307.4831</v>
      </c>
      <c r="P413" s="338">
        <v>2037.05361</v>
      </c>
      <c r="Q413" s="338" t="s">
        <v>509</v>
      </c>
      <c r="R413" s="338" t="s">
        <v>12</v>
      </c>
      <c r="S413" s="338">
        <v>10.0</v>
      </c>
      <c r="T413" s="338">
        <v>5.0</v>
      </c>
      <c r="U413" s="338">
        <v>0.7</v>
      </c>
      <c r="V413" s="338">
        <v>0.7</v>
      </c>
      <c r="W413" s="338">
        <v>0.7</v>
      </c>
      <c r="X413" s="336">
        <v>2000.0</v>
      </c>
      <c r="Y413" s="336" t="s">
        <v>510</v>
      </c>
      <c r="Z413" s="336">
        <v>0.2</v>
      </c>
      <c r="AA413" s="336" t="s">
        <v>511</v>
      </c>
      <c r="AB413" s="336" t="s">
        <v>512</v>
      </c>
      <c r="AC413" s="336">
        <v>220.0</v>
      </c>
      <c r="AD413" s="339"/>
      <c r="AE413" s="340"/>
    </row>
    <row r="414">
      <c r="A414" s="336" t="s">
        <v>560</v>
      </c>
      <c r="B414" s="336">
        <v>4.0</v>
      </c>
      <c r="C414" s="336">
        <v>417.0</v>
      </c>
      <c r="D414" s="336" t="s">
        <v>544</v>
      </c>
      <c r="E414" s="336">
        <v>1.0</v>
      </c>
      <c r="F414" s="337">
        <v>45548.59166666667</v>
      </c>
      <c r="G414" s="336">
        <v>1.0</v>
      </c>
      <c r="H414" s="336">
        <v>51.3774</v>
      </c>
      <c r="I414" s="336">
        <v>8.22431</v>
      </c>
      <c r="J414" s="336">
        <v>-27.203925</v>
      </c>
      <c r="K414" s="336">
        <v>-25.764744</v>
      </c>
      <c r="L414" s="336">
        <v>1046.96</v>
      </c>
      <c r="M414" s="336">
        <v>70.000373</v>
      </c>
      <c r="N414" s="336">
        <v>11224.1015</v>
      </c>
      <c r="O414" s="336">
        <v>11227.3818</v>
      </c>
      <c r="P414" s="338">
        <v>2022.8702</v>
      </c>
      <c r="Q414" s="338" t="s">
        <v>519</v>
      </c>
      <c r="R414" s="338" t="s">
        <v>12</v>
      </c>
      <c r="S414" s="338">
        <v>10.0</v>
      </c>
      <c r="T414" s="338">
        <v>5.0</v>
      </c>
      <c r="U414" s="338">
        <v>0.7</v>
      </c>
      <c r="V414" s="338">
        <v>0.7</v>
      </c>
      <c r="W414" s="338">
        <v>0.7</v>
      </c>
      <c r="X414" s="336">
        <v>2000.0</v>
      </c>
      <c r="Y414" s="336" t="s">
        <v>510</v>
      </c>
      <c r="Z414" s="336">
        <v>0.2</v>
      </c>
      <c r="AA414" s="336" t="s">
        <v>511</v>
      </c>
      <c r="AB414" s="336" t="s">
        <v>512</v>
      </c>
      <c r="AC414" s="336">
        <v>220.0</v>
      </c>
      <c r="AD414" s="339"/>
      <c r="AE414" s="340"/>
    </row>
    <row r="415">
      <c r="A415" s="336" t="s">
        <v>562</v>
      </c>
      <c r="B415" s="336">
        <v>4.0</v>
      </c>
      <c r="C415" s="336">
        <v>417.0</v>
      </c>
      <c r="D415" s="336" t="s">
        <v>544</v>
      </c>
      <c r="E415" s="336">
        <v>1.0</v>
      </c>
      <c r="F415" s="337">
        <v>45548.595138888886</v>
      </c>
      <c r="G415" s="336">
        <v>1.0</v>
      </c>
      <c r="H415" s="336">
        <v>51.3807</v>
      </c>
      <c r="I415" s="336">
        <v>8.33309</v>
      </c>
      <c r="J415" s="336">
        <v>-27.028056</v>
      </c>
      <c r="K415" s="336">
        <v>-25.42565</v>
      </c>
      <c r="L415" s="336">
        <v>1032.77</v>
      </c>
      <c r="M415" s="336">
        <v>66.998802</v>
      </c>
      <c r="N415" s="336">
        <v>11197.1251</v>
      </c>
      <c r="O415" s="336">
        <v>11227.3818</v>
      </c>
      <c r="P415" s="338">
        <v>2022.8702</v>
      </c>
      <c r="Q415" s="338" t="s">
        <v>519</v>
      </c>
      <c r="R415" s="338" t="s">
        <v>12</v>
      </c>
      <c r="S415" s="338">
        <v>10.0</v>
      </c>
      <c r="T415" s="338">
        <v>5.0</v>
      </c>
      <c r="U415" s="338">
        <v>0.7</v>
      </c>
      <c r="V415" s="338">
        <v>0.7</v>
      </c>
      <c r="W415" s="338">
        <v>0.7</v>
      </c>
      <c r="X415" s="336">
        <v>2000.0</v>
      </c>
      <c r="Y415" s="336" t="s">
        <v>510</v>
      </c>
      <c r="Z415" s="336">
        <v>0.2</v>
      </c>
      <c r="AA415" s="336" t="s">
        <v>511</v>
      </c>
      <c r="AB415" s="336" t="s">
        <v>512</v>
      </c>
      <c r="AC415" s="336">
        <v>220.0</v>
      </c>
      <c r="AD415" s="339"/>
      <c r="AE415" s="340"/>
    </row>
    <row r="416">
      <c r="A416" s="336" t="s">
        <v>751</v>
      </c>
      <c r="B416" s="336">
        <v>4.0</v>
      </c>
      <c r="C416" s="336">
        <v>417.0</v>
      </c>
      <c r="D416" s="336" t="s">
        <v>544</v>
      </c>
      <c r="E416" s="336">
        <v>1.0</v>
      </c>
      <c r="F416" s="337">
        <v>45548.59722222222</v>
      </c>
      <c r="G416" s="336">
        <v>1.0</v>
      </c>
      <c r="H416" s="336">
        <v>51.3741</v>
      </c>
      <c r="I416" s="336">
        <v>8.19391</v>
      </c>
      <c r="J416" s="336">
        <v>-27.214181</v>
      </c>
      <c r="K416" s="336">
        <v>-25.910125</v>
      </c>
      <c r="L416" s="336">
        <v>1013.34</v>
      </c>
      <c r="M416" s="336">
        <v>68.500531</v>
      </c>
      <c r="N416" s="336">
        <v>11222.5206</v>
      </c>
      <c r="O416" s="336">
        <v>11227.3818</v>
      </c>
      <c r="P416" s="338">
        <v>2022.8702</v>
      </c>
      <c r="Q416" s="338" t="s">
        <v>509</v>
      </c>
      <c r="R416" s="338" t="s">
        <v>12</v>
      </c>
      <c r="S416" s="338">
        <v>10.0</v>
      </c>
      <c r="T416" s="338">
        <v>5.0</v>
      </c>
      <c r="U416" s="338">
        <v>0.7</v>
      </c>
      <c r="V416" s="338">
        <v>0.7</v>
      </c>
      <c r="W416" s="338">
        <v>0.7</v>
      </c>
      <c r="X416" s="336">
        <v>2000.0</v>
      </c>
      <c r="Y416" s="336" t="s">
        <v>510</v>
      </c>
      <c r="Z416" s="336">
        <v>0.2</v>
      </c>
      <c r="AA416" s="336" t="s">
        <v>511</v>
      </c>
      <c r="AB416" s="336" t="s">
        <v>512</v>
      </c>
      <c r="AC416" s="336">
        <v>220.0</v>
      </c>
      <c r="AD416" s="339"/>
      <c r="AE416" s="340"/>
    </row>
    <row r="417">
      <c r="A417" s="336" t="s">
        <v>752</v>
      </c>
      <c r="B417" s="336">
        <v>4.0</v>
      </c>
      <c r="C417" s="336">
        <v>417.0</v>
      </c>
      <c r="D417" s="336" t="s">
        <v>544</v>
      </c>
      <c r="E417" s="336">
        <v>1.0</v>
      </c>
      <c r="F417" s="337">
        <v>45548.6</v>
      </c>
      <c r="G417" s="336">
        <v>1.0</v>
      </c>
      <c r="H417" s="336">
        <v>51.3741</v>
      </c>
      <c r="I417" s="336">
        <v>8.35872</v>
      </c>
      <c r="J417" s="336">
        <v>-27.284731</v>
      </c>
      <c r="K417" s="336">
        <v>-26.0054</v>
      </c>
      <c r="L417" s="336">
        <v>1025.18</v>
      </c>
      <c r="M417" s="336">
        <v>70.499338</v>
      </c>
      <c r="N417" s="336">
        <v>11232.2429</v>
      </c>
      <c r="O417" s="336">
        <v>11227.3818</v>
      </c>
      <c r="P417" s="338">
        <v>2022.8702</v>
      </c>
      <c r="Q417" s="338" t="s">
        <v>509</v>
      </c>
      <c r="R417" s="338" t="s">
        <v>12</v>
      </c>
      <c r="S417" s="338">
        <v>10.0</v>
      </c>
      <c r="T417" s="338">
        <v>5.0</v>
      </c>
      <c r="U417" s="338">
        <v>0.7</v>
      </c>
      <c r="V417" s="338">
        <v>0.7</v>
      </c>
      <c r="W417" s="338">
        <v>0.7</v>
      </c>
      <c r="X417" s="336">
        <v>2000.0</v>
      </c>
      <c r="Y417" s="336" t="s">
        <v>510</v>
      </c>
      <c r="Z417" s="336">
        <v>0.2</v>
      </c>
      <c r="AA417" s="336" t="s">
        <v>511</v>
      </c>
      <c r="AB417" s="336" t="s">
        <v>512</v>
      </c>
      <c r="AC417" s="336">
        <v>220.0</v>
      </c>
      <c r="AD417" s="339"/>
      <c r="AE417" s="340"/>
    </row>
    <row r="418">
      <c r="A418" s="336" t="s">
        <v>637</v>
      </c>
      <c r="B418" s="336">
        <v>5.0</v>
      </c>
      <c r="C418" s="336">
        <v>418.0</v>
      </c>
      <c r="D418" s="336" t="s">
        <v>548</v>
      </c>
      <c r="E418" s="336">
        <v>1.0</v>
      </c>
      <c r="F418" s="337">
        <v>45548.603472222225</v>
      </c>
      <c r="G418" s="336">
        <v>1.0</v>
      </c>
      <c r="H418" s="336">
        <v>51.3774</v>
      </c>
      <c r="I418" s="336">
        <v>8.29452</v>
      </c>
      <c r="J418" s="336">
        <v>-27.032913</v>
      </c>
      <c r="K418" s="336">
        <v>-25.526044</v>
      </c>
      <c r="L418" s="336">
        <v>1043.45</v>
      </c>
      <c r="M418" s="336">
        <v>65.500782</v>
      </c>
      <c r="N418" s="336">
        <v>11227.87</v>
      </c>
      <c r="O418" s="336">
        <v>11238.4233</v>
      </c>
      <c r="P418" s="338">
        <v>2024.8253</v>
      </c>
      <c r="Q418" s="338" t="s">
        <v>509</v>
      </c>
      <c r="R418" s="338" t="s">
        <v>12</v>
      </c>
      <c r="S418" s="338">
        <v>10.0</v>
      </c>
      <c r="T418" s="338">
        <v>5.0</v>
      </c>
      <c r="U418" s="338">
        <v>0.7</v>
      </c>
      <c r="V418" s="338">
        <v>0.7</v>
      </c>
      <c r="W418" s="338">
        <v>0.7</v>
      </c>
      <c r="X418" s="336">
        <v>2000.0</v>
      </c>
      <c r="Y418" s="336" t="s">
        <v>510</v>
      </c>
      <c r="Z418" s="336">
        <v>0.2</v>
      </c>
      <c r="AA418" s="336" t="s">
        <v>511</v>
      </c>
      <c r="AB418" s="336" t="s">
        <v>512</v>
      </c>
      <c r="AC418" s="336">
        <v>220.0</v>
      </c>
      <c r="AD418" s="339"/>
      <c r="AE418" s="340"/>
    </row>
    <row r="419">
      <c r="A419" s="336" t="s">
        <v>710</v>
      </c>
      <c r="B419" s="336">
        <v>5.0</v>
      </c>
      <c r="C419" s="336">
        <v>418.0</v>
      </c>
      <c r="D419" s="336" t="s">
        <v>548</v>
      </c>
      <c r="E419" s="336">
        <v>1.0</v>
      </c>
      <c r="F419" s="337">
        <v>45548.60625</v>
      </c>
      <c r="G419" s="336">
        <v>1.0</v>
      </c>
      <c r="H419" s="336">
        <v>51.3708</v>
      </c>
      <c r="I419" s="336">
        <v>8.26492</v>
      </c>
      <c r="J419" s="336">
        <v>-27.254756</v>
      </c>
      <c r="K419" s="336">
        <v>-26.24745</v>
      </c>
      <c r="L419" s="336">
        <v>1034.41</v>
      </c>
      <c r="M419" s="336">
        <v>82.4989</v>
      </c>
      <c r="N419" s="336">
        <v>11248.9765</v>
      </c>
      <c r="O419" s="336">
        <v>11238.4233</v>
      </c>
      <c r="P419" s="338">
        <v>2024.8253</v>
      </c>
      <c r="Q419" s="338" t="s">
        <v>509</v>
      </c>
      <c r="R419" s="338" t="s">
        <v>12</v>
      </c>
      <c r="S419" s="338">
        <v>10.0</v>
      </c>
      <c r="T419" s="338">
        <v>5.0</v>
      </c>
      <c r="U419" s="338">
        <v>0.7</v>
      </c>
      <c r="V419" s="338">
        <v>0.7</v>
      </c>
      <c r="W419" s="338">
        <v>0.7</v>
      </c>
      <c r="X419" s="336">
        <v>2000.0</v>
      </c>
      <c r="Y419" s="336" t="s">
        <v>510</v>
      </c>
      <c r="Z419" s="336">
        <v>0.2</v>
      </c>
      <c r="AA419" s="336" t="s">
        <v>511</v>
      </c>
      <c r="AB419" s="336" t="s">
        <v>512</v>
      </c>
      <c r="AC419" s="336">
        <v>220.0</v>
      </c>
      <c r="AD419" s="339"/>
      <c r="AE419" s="340"/>
    </row>
    <row r="420">
      <c r="A420" s="336" t="s">
        <v>571</v>
      </c>
      <c r="B420" s="336">
        <v>6.0</v>
      </c>
      <c r="C420" s="336">
        <v>430.0</v>
      </c>
      <c r="D420" s="336" t="s">
        <v>551</v>
      </c>
      <c r="E420" s="336">
        <v>1.0</v>
      </c>
      <c r="F420" s="337">
        <v>45548.60972222222</v>
      </c>
      <c r="G420" s="336">
        <v>1.0</v>
      </c>
      <c r="H420" s="336">
        <v>51.3774</v>
      </c>
      <c r="I420" s="336">
        <v>8.14166</v>
      </c>
      <c r="J420" s="336">
        <v>-27.391069</v>
      </c>
      <c r="K420" s="336">
        <v>-25.913869</v>
      </c>
      <c r="L420" s="336">
        <v>1033.48</v>
      </c>
      <c r="M420" s="336">
        <v>72.000076</v>
      </c>
      <c r="N420" s="336">
        <v>11298.5136</v>
      </c>
      <c r="O420" s="336">
        <v>11322.9036</v>
      </c>
      <c r="P420" s="338">
        <v>2039.7841</v>
      </c>
      <c r="Q420" s="338" t="s">
        <v>519</v>
      </c>
      <c r="R420" s="338" t="s">
        <v>12</v>
      </c>
      <c r="S420" s="338">
        <v>10.0</v>
      </c>
      <c r="T420" s="338">
        <v>5.0</v>
      </c>
      <c r="U420" s="338">
        <v>0.7</v>
      </c>
      <c r="V420" s="338">
        <v>0.7</v>
      </c>
      <c r="W420" s="338">
        <v>0.7</v>
      </c>
      <c r="X420" s="336">
        <v>2000.0</v>
      </c>
      <c r="Y420" s="336" t="s">
        <v>510</v>
      </c>
      <c r="Z420" s="336">
        <v>0.2</v>
      </c>
      <c r="AA420" s="336" t="s">
        <v>511</v>
      </c>
      <c r="AB420" s="336" t="s">
        <v>512</v>
      </c>
      <c r="AC420" s="336">
        <v>220.0</v>
      </c>
      <c r="AD420" s="339"/>
      <c r="AE420" s="340"/>
    </row>
    <row r="421">
      <c r="A421" s="336" t="s">
        <v>572</v>
      </c>
      <c r="B421" s="336">
        <v>6.0</v>
      </c>
      <c r="C421" s="336">
        <v>430.0</v>
      </c>
      <c r="D421" s="336" t="s">
        <v>551</v>
      </c>
      <c r="E421" s="336">
        <v>1.0</v>
      </c>
      <c r="F421" s="337">
        <v>45548.6125</v>
      </c>
      <c r="G421" s="336">
        <v>1.0</v>
      </c>
      <c r="H421" s="336">
        <v>51.3708</v>
      </c>
      <c r="I421" s="336">
        <v>8.16107</v>
      </c>
      <c r="J421" s="336">
        <v>-27.3709</v>
      </c>
      <c r="K421" s="336">
        <v>-25.831087</v>
      </c>
      <c r="L421" s="336">
        <v>1038.87</v>
      </c>
      <c r="M421" s="336">
        <v>68.498796</v>
      </c>
      <c r="N421" s="336">
        <v>11329.7375</v>
      </c>
      <c r="O421" s="336">
        <v>11322.9036</v>
      </c>
      <c r="P421" s="338">
        <v>2039.7841</v>
      </c>
      <c r="Q421" s="338" t="s">
        <v>509</v>
      </c>
      <c r="R421" s="338" t="s">
        <v>12</v>
      </c>
      <c r="S421" s="338">
        <v>10.0</v>
      </c>
      <c r="T421" s="338">
        <v>5.0</v>
      </c>
      <c r="U421" s="338">
        <v>0.7</v>
      </c>
      <c r="V421" s="338">
        <v>0.7</v>
      </c>
      <c r="W421" s="338">
        <v>0.7</v>
      </c>
      <c r="X421" s="336">
        <v>2000.0</v>
      </c>
      <c r="Y421" s="336" t="s">
        <v>510</v>
      </c>
      <c r="Z421" s="336">
        <v>0.2</v>
      </c>
      <c r="AA421" s="336" t="s">
        <v>511</v>
      </c>
      <c r="AB421" s="336" t="s">
        <v>512</v>
      </c>
      <c r="AC421" s="336">
        <v>220.0</v>
      </c>
      <c r="AD421" s="339"/>
      <c r="AE421" s="340"/>
    </row>
    <row r="422">
      <c r="A422" s="336" t="s">
        <v>711</v>
      </c>
      <c r="B422" s="336">
        <v>6.0</v>
      </c>
      <c r="C422" s="336">
        <v>430.0</v>
      </c>
      <c r="D422" s="336" t="s">
        <v>551</v>
      </c>
      <c r="E422" s="336">
        <v>1.0</v>
      </c>
      <c r="F422" s="337">
        <v>45548.615277777775</v>
      </c>
      <c r="G422" s="336">
        <v>1.0</v>
      </c>
      <c r="H422" s="336">
        <v>51.3741</v>
      </c>
      <c r="I422" s="336">
        <v>8.21535</v>
      </c>
      <c r="J422" s="336">
        <v>-27.290788</v>
      </c>
      <c r="K422" s="336">
        <v>-25.789487</v>
      </c>
      <c r="L422" s="336">
        <v>1037.28</v>
      </c>
      <c r="M422" s="336">
        <v>67.999151</v>
      </c>
      <c r="N422" s="336">
        <v>11316.0697</v>
      </c>
      <c r="O422" s="336">
        <v>11322.9036</v>
      </c>
      <c r="P422" s="338">
        <v>2039.7841</v>
      </c>
      <c r="Q422" s="338" t="s">
        <v>509</v>
      </c>
      <c r="R422" s="338" t="s">
        <v>12</v>
      </c>
      <c r="S422" s="338">
        <v>10.0</v>
      </c>
      <c r="T422" s="338">
        <v>5.0</v>
      </c>
      <c r="U422" s="338">
        <v>0.7</v>
      </c>
      <c r="V422" s="338">
        <v>0.7</v>
      </c>
      <c r="W422" s="338">
        <v>0.7</v>
      </c>
      <c r="X422" s="336">
        <v>2000.0</v>
      </c>
      <c r="Y422" s="336" t="s">
        <v>510</v>
      </c>
      <c r="Z422" s="336">
        <v>0.2</v>
      </c>
      <c r="AA422" s="336" t="s">
        <v>511</v>
      </c>
      <c r="AB422" s="336" t="s">
        <v>512</v>
      </c>
      <c r="AC422" s="336">
        <v>220.0</v>
      </c>
      <c r="AD422" s="339"/>
      <c r="AE422" s="340"/>
    </row>
    <row r="423">
      <c r="A423" s="336" t="s">
        <v>573</v>
      </c>
      <c r="B423" s="336">
        <v>7.0</v>
      </c>
      <c r="C423" s="336">
        <v>521.0</v>
      </c>
      <c r="D423" s="336" t="s">
        <v>554</v>
      </c>
      <c r="E423" s="336">
        <v>1.0</v>
      </c>
      <c r="F423" s="337">
        <v>45548.61875</v>
      </c>
      <c r="G423" s="336">
        <v>1.0</v>
      </c>
      <c r="H423" s="336">
        <v>51.3708</v>
      </c>
      <c r="I423" s="336">
        <v>8.06618</v>
      </c>
      <c r="J423" s="336">
        <v>-27.431712</v>
      </c>
      <c r="K423" s="336">
        <v>-23.808637</v>
      </c>
      <c r="L423" s="336">
        <v>1032.78</v>
      </c>
      <c r="M423" s="336">
        <v>57.499699</v>
      </c>
      <c r="N423" s="336">
        <v>11229.8817</v>
      </c>
      <c r="O423" s="336">
        <v>11294.7006</v>
      </c>
      <c r="P423" s="338">
        <v>2034.79024</v>
      </c>
      <c r="Q423" s="338" t="s">
        <v>519</v>
      </c>
      <c r="R423" s="338" t="s">
        <v>12</v>
      </c>
      <c r="S423" s="338">
        <v>10.0</v>
      </c>
      <c r="T423" s="338">
        <v>5.0</v>
      </c>
      <c r="U423" s="338">
        <v>0.7</v>
      </c>
      <c r="V423" s="338">
        <v>0.7</v>
      </c>
      <c r="W423" s="338">
        <v>0.7</v>
      </c>
      <c r="X423" s="336">
        <v>2000.0</v>
      </c>
      <c r="Y423" s="336" t="s">
        <v>510</v>
      </c>
      <c r="Z423" s="336">
        <v>0.2</v>
      </c>
      <c r="AA423" s="336" t="s">
        <v>511</v>
      </c>
      <c r="AB423" s="336" t="s">
        <v>512</v>
      </c>
      <c r="AC423" s="336">
        <v>220.0</v>
      </c>
      <c r="AD423" s="339"/>
      <c r="AE423" s="340"/>
    </row>
    <row r="424">
      <c r="A424" s="336" t="s">
        <v>574</v>
      </c>
      <c r="B424" s="336">
        <v>7.0</v>
      </c>
      <c r="C424" s="336">
        <v>521.0</v>
      </c>
      <c r="D424" s="336" t="s">
        <v>554</v>
      </c>
      <c r="E424" s="336">
        <v>1.0</v>
      </c>
      <c r="F424" s="337">
        <v>45548.62152777778</v>
      </c>
      <c r="G424" s="336">
        <v>1.0</v>
      </c>
      <c r="H424" s="336">
        <v>51.3708</v>
      </c>
      <c r="I424" s="336">
        <v>8.1663</v>
      </c>
      <c r="J424" s="336">
        <v>-27.264244</v>
      </c>
      <c r="K424" s="336">
        <v>-25.381744</v>
      </c>
      <c r="L424" s="336">
        <v>1038.49</v>
      </c>
      <c r="M424" s="336">
        <v>65.500811</v>
      </c>
      <c r="N424" s="336">
        <v>11289.5025</v>
      </c>
      <c r="O424" s="336">
        <v>11294.7006</v>
      </c>
      <c r="P424" s="338">
        <v>2034.79024</v>
      </c>
      <c r="Q424" s="338" t="s">
        <v>519</v>
      </c>
      <c r="R424" s="338" t="s">
        <v>12</v>
      </c>
      <c r="S424" s="338">
        <v>10.0</v>
      </c>
      <c r="T424" s="338">
        <v>5.0</v>
      </c>
      <c r="U424" s="338">
        <v>0.7</v>
      </c>
      <c r="V424" s="338">
        <v>0.7</v>
      </c>
      <c r="W424" s="338">
        <v>0.7</v>
      </c>
      <c r="X424" s="336">
        <v>2000.0</v>
      </c>
      <c r="Y424" s="336" t="s">
        <v>510</v>
      </c>
      <c r="Z424" s="336">
        <v>0.2</v>
      </c>
      <c r="AA424" s="336" t="s">
        <v>511</v>
      </c>
      <c r="AB424" s="336" t="s">
        <v>512</v>
      </c>
      <c r="AC424" s="336">
        <v>220.0</v>
      </c>
      <c r="AD424" s="339"/>
      <c r="AE424" s="340"/>
    </row>
    <row r="425">
      <c r="A425" s="336" t="s">
        <v>575</v>
      </c>
      <c r="B425" s="336">
        <v>7.0</v>
      </c>
      <c r="C425" s="336">
        <v>521.0</v>
      </c>
      <c r="D425" s="336" t="s">
        <v>554</v>
      </c>
      <c r="E425" s="336">
        <v>1.0</v>
      </c>
      <c r="F425" s="337">
        <v>45548.62430555555</v>
      </c>
      <c r="G425" s="336">
        <v>1.0</v>
      </c>
      <c r="H425" s="336">
        <v>51.3774</v>
      </c>
      <c r="I425" s="336">
        <v>8.16427</v>
      </c>
      <c r="J425" s="336">
        <v>-27.276506</v>
      </c>
      <c r="K425" s="336">
        <v>-24.903687</v>
      </c>
      <c r="L425" s="336">
        <v>1028.56</v>
      </c>
      <c r="M425" s="336">
        <v>61.999903</v>
      </c>
      <c r="N425" s="336">
        <v>11258.5759</v>
      </c>
      <c r="O425" s="336">
        <v>11294.7006</v>
      </c>
      <c r="P425" s="338">
        <v>2034.79024</v>
      </c>
      <c r="Q425" s="338" t="s">
        <v>519</v>
      </c>
      <c r="R425" s="338" t="s">
        <v>12</v>
      </c>
      <c r="S425" s="338">
        <v>10.0</v>
      </c>
      <c r="T425" s="338">
        <v>5.0</v>
      </c>
      <c r="U425" s="338">
        <v>0.7</v>
      </c>
      <c r="V425" s="338">
        <v>0.7</v>
      </c>
      <c r="W425" s="338">
        <v>0.7</v>
      </c>
      <c r="X425" s="336">
        <v>2000.0</v>
      </c>
      <c r="Y425" s="336" t="s">
        <v>510</v>
      </c>
      <c r="Z425" s="336">
        <v>0.2</v>
      </c>
      <c r="AA425" s="336" t="s">
        <v>511</v>
      </c>
      <c r="AB425" s="336" t="s">
        <v>512</v>
      </c>
      <c r="AC425" s="336">
        <v>220.0</v>
      </c>
      <c r="AD425" s="339"/>
      <c r="AE425" s="340"/>
    </row>
    <row r="426">
      <c r="A426" s="336" t="s">
        <v>576</v>
      </c>
      <c r="B426" s="336">
        <v>7.0</v>
      </c>
      <c r="C426" s="336">
        <v>521.0</v>
      </c>
      <c r="D426" s="336" t="s">
        <v>554</v>
      </c>
      <c r="E426" s="336">
        <v>1.0</v>
      </c>
      <c r="F426" s="337">
        <v>45548.62708333333</v>
      </c>
      <c r="G426" s="336">
        <v>1.0</v>
      </c>
      <c r="H426" s="336">
        <v>51.3774</v>
      </c>
      <c r="I426" s="336">
        <v>8.31734</v>
      </c>
      <c r="J426" s="336">
        <v>-27.314256</v>
      </c>
      <c r="K426" s="336">
        <v>-25.655575</v>
      </c>
      <c r="L426" s="336">
        <v>1045.87</v>
      </c>
      <c r="M426" s="336">
        <v>66.499951</v>
      </c>
      <c r="N426" s="336">
        <v>11287.8389</v>
      </c>
      <c r="O426" s="336">
        <v>11294.7006</v>
      </c>
      <c r="P426" s="338">
        <v>2034.79024</v>
      </c>
      <c r="Q426" s="338" t="s">
        <v>509</v>
      </c>
      <c r="R426" s="338" t="s">
        <v>12</v>
      </c>
      <c r="S426" s="338">
        <v>10.0</v>
      </c>
      <c r="T426" s="338">
        <v>5.0</v>
      </c>
      <c r="U426" s="338">
        <v>0.7</v>
      </c>
      <c r="V426" s="338">
        <v>0.7</v>
      </c>
      <c r="W426" s="338">
        <v>0.7</v>
      </c>
      <c r="X426" s="336">
        <v>2000.0</v>
      </c>
      <c r="Y426" s="336" t="s">
        <v>510</v>
      </c>
      <c r="Z426" s="336">
        <v>0.2</v>
      </c>
      <c r="AA426" s="336" t="s">
        <v>511</v>
      </c>
      <c r="AB426" s="336" t="s">
        <v>512</v>
      </c>
      <c r="AC426" s="336">
        <v>220.0</v>
      </c>
      <c r="AD426" s="339"/>
      <c r="AE426" s="340"/>
    </row>
    <row r="427">
      <c r="A427" s="336" t="s">
        <v>767</v>
      </c>
      <c r="B427" s="336">
        <v>7.0</v>
      </c>
      <c r="C427" s="336">
        <v>521.0</v>
      </c>
      <c r="D427" s="336" t="s">
        <v>554</v>
      </c>
      <c r="E427" s="336">
        <v>1.0</v>
      </c>
      <c r="F427" s="337">
        <v>45548.62986111111</v>
      </c>
      <c r="G427" s="336">
        <v>1.0</v>
      </c>
      <c r="H427" s="336">
        <v>51.3741</v>
      </c>
      <c r="I427" s="336">
        <v>8.3567</v>
      </c>
      <c r="J427" s="336">
        <v>-27.222256</v>
      </c>
      <c r="K427" s="336">
        <v>-25.761944</v>
      </c>
      <c r="L427" s="336">
        <v>1046.22</v>
      </c>
      <c r="M427" s="336">
        <v>68.499907</v>
      </c>
      <c r="N427" s="336">
        <v>11301.5623</v>
      </c>
      <c r="O427" s="336">
        <v>11294.7006</v>
      </c>
      <c r="P427" s="338">
        <v>2034.79024</v>
      </c>
      <c r="Q427" s="338" t="s">
        <v>509</v>
      </c>
      <c r="R427" s="338" t="s">
        <v>12</v>
      </c>
      <c r="S427" s="338">
        <v>10.0</v>
      </c>
      <c r="T427" s="338">
        <v>5.0</v>
      </c>
      <c r="U427" s="338">
        <v>0.7</v>
      </c>
      <c r="V427" s="338">
        <v>0.7</v>
      </c>
      <c r="W427" s="338">
        <v>0.7</v>
      </c>
      <c r="X427" s="336">
        <v>2000.0</v>
      </c>
      <c r="Y427" s="336" t="s">
        <v>510</v>
      </c>
      <c r="Z427" s="336">
        <v>0.2</v>
      </c>
      <c r="AA427" s="336" t="s">
        <v>511</v>
      </c>
      <c r="AB427" s="336" t="s">
        <v>512</v>
      </c>
      <c r="AC427" s="336">
        <v>220.0</v>
      </c>
      <c r="AD427" s="339"/>
      <c r="AE427" s="340"/>
    </row>
    <row r="428">
      <c r="A428" s="336" t="s">
        <v>577</v>
      </c>
      <c r="B428" s="336">
        <v>8.0</v>
      </c>
      <c r="C428" s="336">
        <v>522.0</v>
      </c>
      <c r="D428" s="336" t="s">
        <v>558</v>
      </c>
      <c r="E428" s="336">
        <v>1.0</v>
      </c>
      <c r="F428" s="337">
        <v>45548.63333333333</v>
      </c>
      <c r="G428" s="336">
        <v>1.0</v>
      </c>
      <c r="H428" s="336">
        <v>51.3741</v>
      </c>
      <c r="I428" s="336">
        <v>8.34381</v>
      </c>
      <c r="J428" s="336">
        <v>-27.310462</v>
      </c>
      <c r="K428" s="336">
        <v>-26.08865</v>
      </c>
      <c r="L428" s="336">
        <v>1059.11</v>
      </c>
      <c r="M428" s="336">
        <v>74.499435</v>
      </c>
      <c r="N428" s="336">
        <v>11266.7626</v>
      </c>
      <c r="O428" s="336">
        <v>11272.125</v>
      </c>
      <c r="P428" s="338">
        <v>2030.79281</v>
      </c>
      <c r="Q428" s="338" t="s">
        <v>509</v>
      </c>
      <c r="R428" s="338" t="s">
        <v>12</v>
      </c>
      <c r="S428" s="338">
        <v>10.0</v>
      </c>
      <c r="T428" s="338">
        <v>5.0</v>
      </c>
      <c r="U428" s="338">
        <v>0.7</v>
      </c>
      <c r="V428" s="338">
        <v>0.7</v>
      </c>
      <c r="W428" s="338">
        <v>0.7</v>
      </c>
      <c r="X428" s="336">
        <v>2000.0</v>
      </c>
      <c r="Y428" s="336" t="s">
        <v>510</v>
      </c>
      <c r="Z428" s="336">
        <v>0.2</v>
      </c>
      <c r="AA428" s="336" t="s">
        <v>511</v>
      </c>
      <c r="AB428" s="336" t="s">
        <v>512</v>
      </c>
      <c r="AC428" s="336">
        <v>220.0</v>
      </c>
      <c r="AD428" s="339"/>
      <c r="AE428" s="340"/>
    </row>
    <row r="429">
      <c r="A429" s="336" t="s">
        <v>578</v>
      </c>
      <c r="B429" s="336">
        <v>8.0</v>
      </c>
      <c r="C429" s="336">
        <v>522.0</v>
      </c>
      <c r="D429" s="336" t="s">
        <v>558</v>
      </c>
      <c r="E429" s="336">
        <v>1.0</v>
      </c>
      <c r="F429" s="337">
        <v>45548.63611111111</v>
      </c>
      <c r="G429" s="336">
        <v>1.0</v>
      </c>
      <c r="H429" s="336">
        <v>51.3741</v>
      </c>
      <c r="I429" s="336">
        <v>8.18036</v>
      </c>
      <c r="J429" s="336">
        <v>-27.1829</v>
      </c>
      <c r="K429" s="336">
        <v>-25.771075</v>
      </c>
      <c r="L429" s="336">
        <v>1045.83</v>
      </c>
      <c r="M429" s="336">
        <v>68.499876</v>
      </c>
      <c r="N429" s="336">
        <v>11277.4873</v>
      </c>
      <c r="O429" s="336">
        <v>11272.125</v>
      </c>
      <c r="P429" s="338">
        <v>2030.79281</v>
      </c>
      <c r="Q429" s="338" t="s">
        <v>509</v>
      </c>
      <c r="R429" s="338" t="s">
        <v>12</v>
      </c>
      <c r="S429" s="338">
        <v>10.0</v>
      </c>
      <c r="T429" s="338">
        <v>5.0</v>
      </c>
      <c r="U429" s="338">
        <v>0.7</v>
      </c>
      <c r="V429" s="338">
        <v>0.7</v>
      </c>
      <c r="W429" s="338">
        <v>0.7</v>
      </c>
      <c r="X429" s="336">
        <v>2000.0</v>
      </c>
      <c r="Y429" s="336" t="s">
        <v>510</v>
      </c>
      <c r="Z429" s="336">
        <v>0.2</v>
      </c>
      <c r="AA429" s="336" t="s">
        <v>511</v>
      </c>
      <c r="AB429" s="336" t="s">
        <v>512</v>
      </c>
      <c r="AC429" s="336">
        <v>220.0</v>
      </c>
      <c r="AD429" s="339"/>
      <c r="AE429" s="340"/>
    </row>
    <row r="430">
      <c r="A430" s="336" t="s">
        <v>580</v>
      </c>
      <c r="B430" s="336">
        <v>9.0</v>
      </c>
      <c r="C430" s="336">
        <v>508.0</v>
      </c>
      <c r="D430" s="336" t="s">
        <v>561</v>
      </c>
      <c r="E430" s="336">
        <v>1.0</v>
      </c>
      <c r="F430" s="337">
        <v>45548.63958333333</v>
      </c>
      <c r="G430" s="336">
        <v>1.0</v>
      </c>
      <c r="H430" s="336">
        <v>51.3741</v>
      </c>
      <c r="I430" s="336">
        <v>8.17824</v>
      </c>
      <c r="J430" s="336">
        <v>-27.265956</v>
      </c>
      <c r="K430" s="336">
        <v>-25.716912</v>
      </c>
      <c r="L430" s="336">
        <v>1048.15</v>
      </c>
      <c r="M430" s="336">
        <v>67.49953</v>
      </c>
      <c r="N430" s="336">
        <v>11277.306</v>
      </c>
      <c r="O430" s="336">
        <v>11261.622</v>
      </c>
      <c r="P430" s="338">
        <v>2028.93306</v>
      </c>
      <c r="Q430" s="338" t="s">
        <v>519</v>
      </c>
      <c r="R430" s="338" t="s">
        <v>12</v>
      </c>
      <c r="S430" s="338">
        <v>10.0</v>
      </c>
      <c r="T430" s="338">
        <v>5.0</v>
      </c>
      <c r="U430" s="338">
        <v>0.7</v>
      </c>
      <c r="V430" s="338">
        <v>0.7</v>
      </c>
      <c r="W430" s="338">
        <v>0.7</v>
      </c>
      <c r="X430" s="336">
        <v>2000.0</v>
      </c>
      <c r="Y430" s="336" t="s">
        <v>510</v>
      </c>
      <c r="Z430" s="336">
        <v>0.2</v>
      </c>
      <c r="AA430" s="336" t="s">
        <v>511</v>
      </c>
      <c r="AB430" s="336" t="s">
        <v>512</v>
      </c>
      <c r="AC430" s="336">
        <v>220.0</v>
      </c>
      <c r="AD430" s="339"/>
      <c r="AE430" s="340"/>
    </row>
    <row r="431">
      <c r="A431" s="336" t="s">
        <v>581</v>
      </c>
      <c r="B431" s="336">
        <v>9.0</v>
      </c>
      <c r="C431" s="336">
        <v>508.0</v>
      </c>
      <c r="D431" s="336" t="s">
        <v>561</v>
      </c>
      <c r="E431" s="336">
        <v>1.0</v>
      </c>
      <c r="F431" s="337">
        <v>45548.64236111111</v>
      </c>
      <c r="G431" s="336">
        <v>1.0</v>
      </c>
      <c r="H431" s="336">
        <v>51.3675</v>
      </c>
      <c r="I431" s="336">
        <v>8.28929</v>
      </c>
      <c r="J431" s="336">
        <v>-27.4239</v>
      </c>
      <c r="K431" s="336">
        <v>-26.406181</v>
      </c>
      <c r="L431" s="336">
        <v>1048.42</v>
      </c>
      <c r="M431" s="336">
        <v>91.499252</v>
      </c>
      <c r="N431" s="336">
        <v>11312.0572</v>
      </c>
      <c r="O431" s="336">
        <v>11261.622</v>
      </c>
      <c r="P431" s="338">
        <v>2028.93306</v>
      </c>
      <c r="Q431" s="338" t="s">
        <v>519</v>
      </c>
      <c r="R431" s="338" t="s">
        <v>12</v>
      </c>
      <c r="S431" s="338">
        <v>10.0</v>
      </c>
      <c r="T431" s="338">
        <v>5.0</v>
      </c>
      <c r="U431" s="338">
        <v>0.7</v>
      </c>
      <c r="V431" s="338">
        <v>0.7</v>
      </c>
      <c r="W431" s="338">
        <v>0.7</v>
      </c>
      <c r="X431" s="336">
        <v>2000.0</v>
      </c>
      <c r="Y431" s="336" t="s">
        <v>510</v>
      </c>
      <c r="Z431" s="336">
        <v>0.2</v>
      </c>
      <c r="AA431" s="336" t="s">
        <v>511</v>
      </c>
      <c r="AB431" s="336" t="s">
        <v>512</v>
      </c>
      <c r="AC431" s="336">
        <v>220.0</v>
      </c>
      <c r="AD431" s="339"/>
      <c r="AE431" s="340"/>
    </row>
    <row r="432">
      <c r="A432" s="336" t="s">
        <v>582</v>
      </c>
      <c r="B432" s="336">
        <v>9.0</v>
      </c>
      <c r="C432" s="336">
        <v>508.0</v>
      </c>
      <c r="D432" s="336" t="s">
        <v>561</v>
      </c>
      <c r="E432" s="336">
        <v>1.0</v>
      </c>
      <c r="F432" s="337">
        <v>45548.64513888889</v>
      </c>
      <c r="G432" s="336">
        <v>1.0</v>
      </c>
      <c r="H432" s="336">
        <v>51.3741</v>
      </c>
      <c r="I432" s="336">
        <v>8.11059</v>
      </c>
      <c r="J432" s="336">
        <v>-27.351931</v>
      </c>
      <c r="K432" s="336">
        <v>-24.9233</v>
      </c>
      <c r="L432" s="336">
        <v>1034.08</v>
      </c>
      <c r="M432" s="336">
        <v>62.998866</v>
      </c>
      <c r="N432" s="336">
        <v>11250.3995</v>
      </c>
      <c r="O432" s="336">
        <v>11261.622</v>
      </c>
      <c r="P432" s="338">
        <v>2028.93306</v>
      </c>
      <c r="Q432" s="338" t="s">
        <v>509</v>
      </c>
      <c r="R432" s="338" t="s">
        <v>12</v>
      </c>
      <c r="S432" s="338">
        <v>10.0</v>
      </c>
      <c r="T432" s="338">
        <v>5.0</v>
      </c>
      <c r="U432" s="338">
        <v>0.7</v>
      </c>
      <c r="V432" s="338">
        <v>0.7</v>
      </c>
      <c r="W432" s="338">
        <v>0.7</v>
      </c>
      <c r="X432" s="336">
        <v>2000.0</v>
      </c>
      <c r="Y432" s="336" t="s">
        <v>510</v>
      </c>
      <c r="Z432" s="336">
        <v>0.2</v>
      </c>
      <c r="AA432" s="336" t="s">
        <v>511</v>
      </c>
      <c r="AB432" s="336" t="s">
        <v>512</v>
      </c>
      <c r="AC432" s="336">
        <v>220.0</v>
      </c>
      <c r="AD432" s="339"/>
      <c r="AE432" s="340"/>
    </row>
    <row r="433">
      <c r="A433" s="336" t="s">
        <v>793</v>
      </c>
      <c r="B433" s="336">
        <v>9.0</v>
      </c>
      <c r="C433" s="336">
        <v>508.0</v>
      </c>
      <c r="D433" s="336" t="s">
        <v>561</v>
      </c>
      <c r="E433" s="336">
        <v>1.0</v>
      </c>
      <c r="F433" s="337">
        <v>45548.64791666667</v>
      </c>
      <c r="G433" s="336">
        <v>1.0</v>
      </c>
      <c r="H433" s="336">
        <v>51.3708</v>
      </c>
      <c r="I433" s="336">
        <v>8.06068</v>
      </c>
      <c r="J433" s="336">
        <v>-27.341562</v>
      </c>
      <c r="K433" s="336">
        <v>-25.556225</v>
      </c>
      <c r="L433" s="336">
        <v>1043.48</v>
      </c>
      <c r="M433" s="336">
        <v>65.500281</v>
      </c>
      <c r="N433" s="336">
        <v>11272.8445</v>
      </c>
      <c r="O433" s="336">
        <v>11261.622</v>
      </c>
      <c r="P433" s="338">
        <v>2028.93306</v>
      </c>
      <c r="Q433" s="338" t="s">
        <v>509</v>
      </c>
      <c r="R433" s="338" t="s">
        <v>12</v>
      </c>
      <c r="S433" s="338">
        <v>10.0</v>
      </c>
      <c r="T433" s="338">
        <v>5.0</v>
      </c>
      <c r="U433" s="338">
        <v>0.7</v>
      </c>
      <c r="V433" s="338">
        <v>0.7</v>
      </c>
      <c r="W433" s="338">
        <v>0.7</v>
      </c>
      <c r="X433" s="336">
        <v>2000.0</v>
      </c>
      <c r="Y433" s="336" t="s">
        <v>510</v>
      </c>
      <c r="Z433" s="336">
        <v>0.2</v>
      </c>
      <c r="AA433" s="336" t="s">
        <v>511</v>
      </c>
      <c r="AB433" s="336" t="s">
        <v>512</v>
      </c>
      <c r="AC433" s="336">
        <v>220.0</v>
      </c>
      <c r="AD433" s="339"/>
      <c r="AE433" s="340"/>
    </row>
    <row r="434">
      <c r="A434" s="336" t="s">
        <v>794</v>
      </c>
      <c r="B434" s="336" t="s">
        <v>517</v>
      </c>
      <c r="C434" s="336" t="s">
        <v>784</v>
      </c>
      <c r="D434" s="336" t="s">
        <v>508</v>
      </c>
      <c r="E434" s="336">
        <v>0.8</v>
      </c>
      <c r="F434" s="337">
        <v>45548.65138888889</v>
      </c>
      <c r="G434" s="336">
        <v>1.0</v>
      </c>
      <c r="H434" s="336">
        <v>51.3741</v>
      </c>
      <c r="I434" s="336">
        <v>8.01079</v>
      </c>
      <c r="J434" s="336">
        <v>-27.363381</v>
      </c>
      <c r="K434" s="336">
        <v>-26.266163</v>
      </c>
      <c r="L434" s="336">
        <v>1012.06</v>
      </c>
      <c r="M434" s="336">
        <v>74.500494</v>
      </c>
      <c r="N434" s="336">
        <v>9264.16229</v>
      </c>
      <c r="O434" s="336">
        <v>9258.46091</v>
      </c>
      <c r="P434" s="338">
        <v>2091.85616</v>
      </c>
      <c r="Q434" s="338" t="s">
        <v>519</v>
      </c>
      <c r="R434" s="338" t="s">
        <v>12</v>
      </c>
      <c r="S434" s="338">
        <v>10.0</v>
      </c>
      <c r="T434" s="338">
        <v>5.0</v>
      </c>
      <c r="U434" s="338">
        <v>0.7</v>
      </c>
      <c r="V434" s="338">
        <v>0.7</v>
      </c>
      <c r="W434" s="338">
        <v>0.7</v>
      </c>
      <c r="X434" s="336">
        <v>2000.0</v>
      </c>
      <c r="Y434" s="336" t="s">
        <v>510</v>
      </c>
      <c r="Z434" s="336">
        <v>0.2</v>
      </c>
      <c r="AA434" s="336" t="s">
        <v>511</v>
      </c>
      <c r="AB434" s="336" t="s">
        <v>512</v>
      </c>
      <c r="AC434" s="336">
        <v>220.0</v>
      </c>
      <c r="AD434" s="339"/>
      <c r="AE434" s="340"/>
    </row>
    <row r="435">
      <c r="A435" s="336" t="s">
        <v>795</v>
      </c>
      <c r="B435" s="336" t="s">
        <v>517</v>
      </c>
      <c r="C435" s="336" t="s">
        <v>784</v>
      </c>
      <c r="D435" s="336" t="s">
        <v>508</v>
      </c>
      <c r="E435" s="336">
        <v>0.8</v>
      </c>
      <c r="F435" s="337">
        <v>45548.65416666667</v>
      </c>
      <c r="G435" s="336">
        <v>1.0</v>
      </c>
      <c r="H435" s="336">
        <v>51.3807</v>
      </c>
      <c r="I435" s="336">
        <v>7.91797</v>
      </c>
      <c r="J435" s="336">
        <v>-27.266406</v>
      </c>
      <c r="K435" s="336">
        <v>-25.255181</v>
      </c>
      <c r="L435" s="336">
        <v>1006.75</v>
      </c>
      <c r="M435" s="336">
        <v>59.500608</v>
      </c>
      <c r="N435" s="336">
        <v>9212.05456</v>
      </c>
      <c r="O435" s="336">
        <v>9258.46091</v>
      </c>
      <c r="P435" s="338">
        <v>2091.85616</v>
      </c>
      <c r="Q435" s="338" t="s">
        <v>519</v>
      </c>
      <c r="R435" s="338" t="s">
        <v>12</v>
      </c>
      <c r="S435" s="338">
        <v>10.0</v>
      </c>
      <c r="T435" s="338">
        <v>5.0</v>
      </c>
      <c r="U435" s="338">
        <v>0.7</v>
      </c>
      <c r="V435" s="338">
        <v>0.7</v>
      </c>
      <c r="W435" s="338">
        <v>0.7</v>
      </c>
      <c r="X435" s="336">
        <v>2000.0</v>
      </c>
      <c r="Y435" s="336" t="s">
        <v>510</v>
      </c>
      <c r="Z435" s="336">
        <v>0.2</v>
      </c>
      <c r="AA435" s="336" t="s">
        <v>511</v>
      </c>
      <c r="AB435" s="336" t="s">
        <v>512</v>
      </c>
      <c r="AC435" s="336">
        <v>220.0</v>
      </c>
      <c r="AD435" s="162"/>
      <c r="AE435" s="361"/>
    </row>
    <row r="436">
      <c r="A436" s="336" t="s">
        <v>796</v>
      </c>
      <c r="B436" s="336" t="s">
        <v>517</v>
      </c>
      <c r="C436" s="336" t="s">
        <v>784</v>
      </c>
      <c r="D436" s="336" t="s">
        <v>508</v>
      </c>
      <c r="E436" s="336">
        <v>0.8</v>
      </c>
      <c r="F436" s="337">
        <v>45548.65694444445</v>
      </c>
      <c r="G436" s="336">
        <v>1.0</v>
      </c>
      <c r="H436" s="336">
        <v>51.3774</v>
      </c>
      <c r="I436" s="336">
        <v>7.93636</v>
      </c>
      <c r="J436" s="336">
        <v>-27.30175</v>
      </c>
      <c r="K436" s="336">
        <v>-26.064981</v>
      </c>
      <c r="L436" s="336">
        <v>1002.44</v>
      </c>
      <c r="M436" s="336">
        <v>69.000889</v>
      </c>
      <c r="N436" s="336">
        <v>9252.15987</v>
      </c>
      <c r="O436" s="336">
        <v>9258.46091</v>
      </c>
      <c r="P436" s="338">
        <v>2091.85616</v>
      </c>
      <c r="Q436" s="338" t="s">
        <v>509</v>
      </c>
      <c r="R436" s="338" t="s">
        <v>12</v>
      </c>
      <c r="S436" s="338">
        <v>10.0</v>
      </c>
      <c r="T436" s="338">
        <v>5.0</v>
      </c>
      <c r="U436" s="338">
        <v>0.7</v>
      </c>
      <c r="V436" s="338">
        <v>0.7</v>
      </c>
      <c r="W436" s="338">
        <v>0.7</v>
      </c>
      <c r="X436" s="336">
        <v>2000.0</v>
      </c>
      <c r="Y436" s="336" t="s">
        <v>510</v>
      </c>
      <c r="Z436" s="336">
        <v>0.2</v>
      </c>
      <c r="AA436" s="336" t="s">
        <v>511</v>
      </c>
      <c r="AB436" s="336" t="s">
        <v>512</v>
      </c>
      <c r="AC436" s="336">
        <v>220.0</v>
      </c>
      <c r="AD436" s="162"/>
      <c r="AE436" s="361"/>
    </row>
    <row r="437">
      <c r="A437" s="336" t="s">
        <v>797</v>
      </c>
      <c r="B437" s="336" t="s">
        <v>517</v>
      </c>
      <c r="C437" s="336" t="s">
        <v>784</v>
      </c>
      <c r="D437" s="336" t="s">
        <v>508</v>
      </c>
      <c r="E437" s="336">
        <v>0.8</v>
      </c>
      <c r="F437" s="337">
        <v>45548.65972222222</v>
      </c>
      <c r="G437" s="336">
        <v>1.0</v>
      </c>
      <c r="H437" s="336">
        <v>51.3741</v>
      </c>
      <c r="I437" s="336">
        <v>8.00393</v>
      </c>
      <c r="J437" s="336">
        <v>-27.335406</v>
      </c>
      <c r="K437" s="336">
        <v>-26.267319</v>
      </c>
      <c r="L437" s="336">
        <v>1005.88</v>
      </c>
      <c r="M437" s="336">
        <v>72.998796</v>
      </c>
      <c r="N437" s="336">
        <v>9264.76195</v>
      </c>
      <c r="O437" s="336">
        <v>9258.46091</v>
      </c>
      <c r="P437" s="338">
        <v>2091.85616</v>
      </c>
      <c r="Q437" s="338" t="s">
        <v>509</v>
      </c>
      <c r="R437" s="338" t="s">
        <v>12</v>
      </c>
      <c r="S437" s="338">
        <v>10.0</v>
      </c>
      <c r="T437" s="338">
        <v>5.0</v>
      </c>
      <c r="U437" s="338">
        <v>0.7</v>
      </c>
      <c r="V437" s="338">
        <v>0.7</v>
      </c>
      <c r="W437" s="338">
        <v>0.7</v>
      </c>
      <c r="X437" s="336">
        <v>2000.0</v>
      </c>
      <c r="Y437" s="336" t="s">
        <v>510</v>
      </c>
      <c r="Z437" s="336">
        <v>0.2</v>
      </c>
      <c r="AA437" s="336" t="s">
        <v>511</v>
      </c>
      <c r="AB437" s="336" t="s">
        <v>512</v>
      </c>
      <c r="AC437" s="336">
        <v>220.0</v>
      </c>
      <c r="AD437" s="362"/>
      <c r="AE437" s="363"/>
    </row>
    <row r="438">
      <c r="A438" s="342" t="s">
        <v>798</v>
      </c>
      <c r="B438" s="342" t="s">
        <v>523</v>
      </c>
      <c r="C438" s="342" t="s">
        <v>784</v>
      </c>
      <c r="D438" s="342" t="s">
        <v>508</v>
      </c>
      <c r="E438" s="342">
        <v>1.0</v>
      </c>
      <c r="F438" s="343">
        <v>45548.6625</v>
      </c>
      <c r="G438" s="342">
        <v>1.0</v>
      </c>
      <c r="H438" s="342">
        <v>51.3774</v>
      </c>
      <c r="I438" s="342">
        <v>8.11662</v>
      </c>
      <c r="J438" s="342">
        <v>-27.346431</v>
      </c>
      <c r="K438" s="342">
        <v>-25.402981</v>
      </c>
      <c r="L438" s="342">
        <v>1071.87</v>
      </c>
      <c r="M438" s="342">
        <v>66.000346</v>
      </c>
      <c r="N438" s="342">
        <v>11593.0795</v>
      </c>
      <c r="O438" s="342">
        <v>11603.1493</v>
      </c>
      <c r="P438" s="344">
        <v>2091.85616</v>
      </c>
      <c r="Q438" s="344" t="s">
        <v>509</v>
      </c>
      <c r="R438" s="338" t="s">
        <v>12</v>
      </c>
      <c r="S438" s="338">
        <v>10.0</v>
      </c>
      <c r="T438" s="338">
        <v>5.0</v>
      </c>
      <c r="U438" s="338">
        <v>0.7</v>
      </c>
      <c r="V438" s="338">
        <v>0.7</v>
      </c>
      <c r="W438" s="338">
        <v>0.7</v>
      </c>
      <c r="X438" s="336">
        <v>2000.0</v>
      </c>
      <c r="Y438" s="336" t="s">
        <v>510</v>
      </c>
      <c r="Z438" s="336">
        <v>0.2</v>
      </c>
      <c r="AA438" s="336" t="s">
        <v>511</v>
      </c>
      <c r="AB438" s="336" t="s">
        <v>512</v>
      </c>
      <c r="AC438" s="336">
        <v>220.0</v>
      </c>
      <c r="AD438" s="162"/>
      <c r="AE438" s="361"/>
    </row>
    <row r="439">
      <c r="A439" s="342" t="s">
        <v>799</v>
      </c>
      <c r="B439" s="342" t="s">
        <v>523</v>
      </c>
      <c r="C439" s="342" t="s">
        <v>784</v>
      </c>
      <c r="D439" s="342" t="s">
        <v>508</v>
      </c>
      <c r="E439" s="342">
        <v>1.0</v>
      </c>
      <c r="F439" s="343">
        <v>45548.66527777778</v>
      </c>
      <c r="G439" s="342">
        <v>1.0</v>
      </c>
      <c r="H439" s="342">
        <v>51.3741</v>
      </c>
      <c r="I439" s="342">
        <v>8.14671</v>
      </c>
      <c r="J439" s="342">
        <v>-27.360337</v>
      </c>
      <c r="K439" s="342">
        <v>-25.652769</v>
      </c>
      <c r="L439" s="342">
        <v>1079.74</v>
      </c>
      <c r="M439" s="342">
        <v>68.500048</v>
      </c>
      <c r="N439" s="342">
        <v>11613.2191</v>
      </c>
      <c r="O439" s="342">
        <v>11603.1493</v>
      </c>
      <c r="P439" s="344">
        <v>2091.85616</v>
      </c>
      <c r="Q439" s="344" t="s">
        <v>509</v>
      </c>
      <c r="R439" s="338" t="s">
        <v>12</v>
      </c>
      <c r="S439" s="338">
        <v>10.0</v>
      </c>
      <c r="T439" s="338">
        <v>5.0</v>
      </c>
      <c r="U439" s="338">
        <v>0.7</v>
      </c>
      <c r="V439" s="338">
        <v>0.7</v>
      </c>
      <c r="W439" s="338">
        <v>0.7</v>
      </c>
      <c r="X439" s="336">
        <v>2000.0</v>
      </c>
      <c r="Y439" s="336" t="s">
        <v>510</v>
      </c>
      <c r="Z439" s="336">
        <v>0.2</v>
      </c>
      <c r="AA439" s="336" t="s">
        <v>511</v>
      </c>
      <c r="AB439" s="336" t="s">
        <v>512</v>
      </c>
      <c r="AC439" s="336">
        <v>220.0</v>
      </c>
      <c r="AD439" s="162"/>
      <c r="AE439" s="361"/>
    </row>
    <row r="440">
      <c r="A440" s="336" t="s">
        <v>800</v>
      </c>
      <c r="B440" s="336" t="s">
        <v>527</v>
      </c>
      <c r="C440" s="336" t="s">
        <v>784</v>
      </c>
      <c r="D440" s="336" t="s">
        <v>508</v>
      </c>
      <c r="E440" s="336">
        <v>1.2</v>
      </c>
      <c r="F440" s="337">
        <v>45548.66805555556</v>
      </c>
      <c r="G440" s="336">
        <v>1.0</v>
      </c>
      <c r="H440" s="336">
        <v>51.3708</v>
      </c>
      <c r="I440" s="336">
        <v>8.24255</v>
      </c>
      <c r="J440" s="336">
        <v>-27.435269</v>
      </c>
      <c r="K440" s="336">
        <v>-25.993625</v>
      </c>
      <c r="L440" s="336">
        <v>1115.41</v>
      </c>
      <c r="M440" s="336">
        <v>75.499959</v>
      </c>
      <c r="N440" s="336">
        <v>13985.6979</v>
      </c>
      <c r="O440" s="336">
        <v>13983.2615</v>
      </c>
      <c r="P440" s="338">
        <v>2091.85616</v>
      </c>
      <c r="Q440" s="338" t="s">
        <v>509</v>
      </c>
      <c r="R440" s="338" t="s">
        <v>12</v>
      </c>
      <c r="S440" s="338">
        <v>10.0</v>
      </c>
      <c r="T440" s="338">
        <v>5.0</v>
      </c>
      <c r="U440" s="338">
        <v>0.7</v>
      </c>
      <c r="V440" s="338">
        <v>0.7</v>
      </c>
      <c r="W440" s="338">
        <v>0.7</v>
      </c>
      <c r="X440" s="336">
        <v>2000.0</v>
      </c>
      <c r="Y440" s="336" t="s">
        <v>510</v>
      </c>
      <c r="Z440" s="336">
        <v>0.2</v>
      </c>
      <c r="AA440" s="336" t="s">
        <v>511</v>
      </c>
      <c r="AB440" s="336" t="s">
        <v>512</v>
      </c>
      <c r="AC440" s="336">
        <v>220.0</v>
      </c>
      <c r="AD440" s="162"/>
      <c r="AE440" s="361"/>
    </row>
    <row r="441">
      <c r="A441" s="336" t="s">
        <v>801</v>
      </c>
      <c r="B441" s="336" t="s">
        <v>527</v>
      </c>
      <c r="C441" s="336" t="s">
        <v>784</v>
      </c>
      <c r="D441" s="336" t="s">
        <v>508</v>
      </c>
      <c r="E441" s="336">
        <v>1.2</v>
      </c>
      <c r="F441" s="337">
        <v>45548.67083333333</v>
      </c>
      <c r="G441" s="336">
        <v>1.0</v>
      </c>
      <c r="H441" s="336">
        <v>51.3774</v>
      </c>
      <c r="I441" s="336">
        <v>8.24651</v>
      </c>
      <c r="J441" s="336">
        <v>-27.307281</v>
      </c>
      <c r="K441" s="336">
        <v>-25.76605</v>
      </c>
      <c r="L441" s="336">
        <v>1108.7</v>
      </c>
      <c r="M441" s="336">
        <v>74.499799</v>
      </c>
      <c r="N441" s="336">
        <v>13980.825</v>
      </c>
      <c r="O441" s="336">
        <v>13983.2615</v>
      </c>
      <c r="P441" s="338">
        <v>2091.85616</v>
      </c>
      <c r="Q441" s="338" t="s">
        <v>509</v>
      </c>
      <c r="R441" s="338" t="s">
        <v>12</v>
      </c>
      <c r="S441" s="338">
        <v>10.0</v>
      </c>
      <c r="T441" s="338">
        <v>5.0</v>
      </c>
      <c r="U441" s="338">
        <v>0.7</v>
      </c>
      <c r="V441" s="338">
        <v>0.7</v>
      </c>
      <c r="W441" s="338">
        <v>0.7</v>
      </c>
      <c r="X441" s="336">
        <v>2000.0</v>
      </c>
      <c r="Y441" s="336" t="s">
        <v>510</v>
      </c>
      <c r="Z441" s="336">
        <v>0.2</v>
      </c>
      <c r="AA441" s="336" t="s">
        <v>511</v>
      </c>
      <c r="AB441" s="336" t="s">
        <v>512</v>
      </c>
      <c r="AC441" s="336">
        <v>220.0</v>
      </c>
      <c r="AD441" s="162"/>
      <c r="AE441" s="361"/>
    </row>
    <row r="442">
      <c r="A442" s="336" t="s">
        <v>587</v>
      </c>
      <c r="B442" s="336">
        <v>2.0</v>
      </c>
      <c r="C442" s="336">
        <v>509.0</v>
      </c>
      <c r="D442" s="336" t="s">
        <v>532</v>
      </c>
      <c r="E442" s="336">
        <v>1.0</v>
      </c>
      <c r="F442" s="337">
        <v>45548.674305555556</v>
      </c>
      <c r="G442" s="336">
        <v>1.0</v>
      </c>
      <c r="H442" s="336">
        <v>51.3675</v>
      </c>
      <c r="I442" s="336">
        <v>8.09659</v>
      </c>
      <c r="J442" s="336">
        <v>-27.223669</v>
      </c>
      <c r="K442" s="336">
        <v>-26.530012</v>
      </c>
      <c r="L442" s="336">
        <v>1059.21</v>
      </c>
      <c r="M442" s="336">
        <v>86.001558</v>
      </c>
      <c r="N442" s="336">
        <v>11376.498</v>
      </c>
      <c r="O442" s="336">
        <v>11344.9463</v>
      </c>
      <c r="P442" s="338">
        <v>2044.03834</v>
      </c>
      <c r="Q442" s="338" t="s">
        <v>519</v>
      </c>
      <c r="R442" s="338" t="s">
        <v>12</v>
      </c>
      <c r="S442" s="338">
        <v>10.0</v>
      </c>
      <c r="T442" s="338">
        <v>5.0</v>
      </c>
      <c r="U442" s="338">
        <v>0.7</v>
      </c>
      <c r="V442" s="338">
        <v>0.7</v>
      </c>
      <c r="W442" s="338">
        <v>0.7</v>
      </c>
      <c r="X442" s="336">
        <v>2000.0</v>
      </c>
      <c r="Y442" s="336" t="s">
        <v>510</v>
      </c>
      <c r="Z442" s="336">
        <v>0.2</v>
      </c>
      <c r="AA442" s="336" t="s">
        <v>511</v>
      </c>
      <c r="AB442" s="336" t="s">
        <v>512</v>
      </c>
      <c r="AC442" s="336">
        <v>220.0</v>
      </c>
      <c r="AD442" s="162"/>
      <c r="AE442" s="361"/>
    </row>
    <row r="443">
      <c r="A443" s="336" t="s">
        <v>589</v>
      </c>
      <c r="B443" s="336">
        <v>2.0</v>
      </c>
      <c r="C443" s="336">
        <v>509.0</v>
      </c>
      <c r="D443" s="336" t="s">
        <v>532</v>
      </c>
      <c r="E443" s="336">
        <v>1.0</v>
      </c>
      <c r="F443" s="337">
        <v>45548.677083333336</v>
      </c>
      <c r="G443" s="336">
        <v>1.0</v>
      </c>
      <c r="H443" s="336">
        <v>51.3774</v>
      </c>
      <c r="I443" s="336">
        <v>8.10933</v>
      </c>
      <c r="J443" s="336">
        <v>-27.388188</v>
      </c>
      <c r="K443" s="336">
        <v>-25.727487</v>
      </c>
      <c r="L443" s="336">
        <v>1037.74</v>
      </c>
      <c r="M443" s="336">
        <v>69.001824</v>
      </c>
      <c r="N443" s="336">
        <v>11352.5554</v>
      </c>
      <c r="O443" s="336">
        <v>11344.9463</v>
      </c>
      <c r="P443" s="338">
        <v>2044.03834</v>
      </c>
      <c r="Q443" s="338" t="s">
        <v>509</v>
      </c>
      <c r="R443" s="338" t="s">
        <v>12</v>
      </c>
      <c r="S443" s="338">
        <v>10.0</v>
      </c>
      <c r="T443" s="338">
        <v>5.0</v>
      </c>
      <c r="U443" s="338">
        <v>0.7</v>
      </c>
      <c r="V443" s="338">
        <v>0.7</v>
      </c>
      <c r="W443" s="338">
        <v>0.7</v>
      </c>
      <c r="X443" s="336">
        <v>2000.0</v>
      </c>
      <c r="Y443" s="336" t="s">
        <v>510</v>
      </c>
      <c r="Z443" s="336">
        <v>0.2</v>
      </c>
      <c r="AA443" s="336" t="s">
        <v>511</v>
      </c>
      <c r="AB443" s="336" t="s">
        <v>512</v>
      </c>
      <c r="AC443" s="336">
        <v>220.0</v>
      </c>
      <c r="AD443" s="162"/>
      <c r="AE443" s="361"/>
    </row>
    <row r="444">
      <c r="A444" s="336" t="s">
        <v>590</v>
      </c>
      <c r="B444" s="336">
        <v>2.0</v>
      </c>
      <c r="C444" s="336">
        <v>509.0</v>
      </c>
      <c r="D444" s="336" t="s">
        <v>532</v>
      </c>
      <c r="E444" s="336">
        <v>1.0</v>
      </c>
      <c r="F444" s="337">
        <v>45548.67986111111</v>
      </c>
      <c r="G444" s="336">
        <v>1.0</v>
      </c>
      <c r="H444" s="336">
        <v>51.3708</v>
      </c>
      <c r="I444" s="336">
        <v>8.10541</v>
      </c>
      <c r="J444" s="336">
        <v>-27.342012</v>
      </c>
      <c r="K444" s="336">
        <v>-25.402794</v>
      </c>
      <c r="L444" s="336">
        <v>1050.23</v>
      </c>
      <c r="M444" s="336">
        <v>65.499788</v>
      </c>
      <c r="N444" s="336">
        <v>11337.3371</v>
      </c>
      <c r="O444" s="336">
        <v>11344.9463</v>
      </c>
      <c r="P444" s="338">
        <v>2044.03834</v>
      </c>
      <c r="Q444" s="338" t="s">
        <v>509</v>
      </c>
      <c r="R444" s="338" t="s">
        <v>12</v>
      </c>
      <c r="S444" s="338">
        <v>10.0</v>
      </c>
      <c r="T444" s="338">
        <v>5.0</v>
      </c>
      <c r="U444" s="338">
        <v>0.7</v>
      </c>
      <c r="V444" s="338">
        <v>0.7</v>
      </c>
      <c r="W444" s="338">
        <v>0.7</v>
      </c>
      <c r="X444" s="336">
        <v>2000.0</v>
      </c>
      <c r="Y444" s="336" t="s">
        <v>510</v>
      </c>
      <c r="Z444" s="336">
        <v>0.2</v>
      </c>
      <c r="AA444" s="336" t="s">
        <v>511</v>
      </c>
      <c r="AB444" s="336" t="s">
        <v>512</v>
      </c>
      <c r="AC444" s="336">
        <v>220.0</v>
      </c>
      <c r="AD444" s="162"/>
      <c r="AE444" s="361"/>
    </row>
    <row r="445">
      <c r="A445" s="336" t="s">
        <v>598</v>
      </c>
      <c r="B445" s="336">
        <v>3.0</v>
      </c>
      <c r="C445" s="336">
        <v>443.0</v>
      </c>
      <c r="D445" s="336" t="s">
        <v>540</v>
      </c>
      <c r="E445" s="336">
        <v>1.0</v>
      </c>
      <c r="F445" s="337">
        <v>45548.683333333334</v>
      </c>
      <c r="G445" s="336">
        <v>1.0</v>
      </c>
      <c r="H445" s="336">
        <v>51.3741</v>
      </c>
      <c r="I445" s="336">
        <v>8.02748</v>
      </c>
      <c r="J445" s="336">
        <v>-27.284025</v>
      </c>
      <c r="K445" s="336">
        <v>-26.244862</v>
      </c>
      <c r="L445" s="336">
        <v>1047.22</v>
      </c>
      <c r="M445" s="336">
        <v>77.499426</v>
      </c>
      <c r="N445" s="336">
        <v>11335.718</v>
      </c>
      <c r="O445" s="336">
        <v>11330.6781</v>
      </c>
      <c r="P445" s="338">
        <v>2041.51151</v>
      </c>
      <c r="Q445" s="338" t="s">
        <v>509</v>
      </c>
      <c r="R445" s="338" t="s">
        <v>12</v>
      </c>
      <c r="S445" s="338">
        <v>10.0</v>
      </c>
      <c r="T445" s="338">
        <v>5.0</v>
      </c>
      <c r="U445" s="338">
        <v>0.7</v>
      </c>
      <c r="V445" s="338">
        <v>0.7</v>
      </c>
      <c r="W445" s="338">
        <v>0.7</v>
      </c>
      <c r="X445" s="336">
        <v>2000.0</v>
      </c>
      <c r="Y445" s="336" t="s">
        <v>510</v>
      </c>
      <c r="Z445" s="336">
        <v>0.2</v>
      </c>
      <c r="AA445" s="336" t="s">
        <v>511</v>
      </c>
      <c r="AB445" s="336" t="s">
        <v>512</v>
      </c>
      <c r="AC445" s="336">
        <v>220.0</v>
      </c>
      <c r="AD445" s="162"/>
      <c r="AE445" s="361"/>
    </row>
    <row r="446">
      <c r="A446" s="336" t="s">
        <v>599</v>
      </c>
      <c r="B446" s="336">
        <v>3.0</v>
      </c>
      <c r="C446" s="336">
        <v>443.0</v>
      </c>
      <c r="D446" s="336" t="s">
        <v>540</v>
      </c>
      <c r="E446" s="336">
        <v>1.0</v>
      </c>
      <c r="F446" s="337">
        <v>45548.686111111114</v>
      </c>
      <c r="G446" s="336">
        <v>1.0</v>
      </c>
      <c r="H446" s="336">
        <v>51.3675</v>
      </c>
      <c r="I446" s="336">
        <v>8.04345</v>
      </c>
      <c r="J446" s="336">
        <v>-27.218175</v>
      </c>
      <c r="K446" s="336">
        <v>-26.011244</v>
      </c>
      <c r="L446" s="336">
        <v>1044.97</v>
      </c>
      <c r="M446" s="336">
        <v>71.499345</v>
      </c>
      <c r="N446" s="336">
        <v>11325.6382</v>
      </c>
      <c r="O446" s="336">
        <v>11330.6781</v>
      </c>
      <c r="P446" s="338">
        <v>2041.51151</v>
      </c>
      <c r="Q446" s="338" t="s">
        <v>509</v>
      </c>
      <c r="R446" s="338" t="s">
        <v>12</v>
      </c>
      <c r="S446" s="338">
        <v>10.0</v>
      </c>
      <c r="T446" s="338">
        <v>5.0</v>
      </c>
      <c r="U446" s="338">
        <v>0.7</v>
      </c>
      <c r="V446" s="338">
        <v>0.7</v>
      </c>
      <c r="W446" s="338">
        <v>0.7</v>
      </c>
      <c r="X446" s="336">
        <v>2000.0</v>
      </c>
      <c r="Y446" s="336" t="s">
        <v>510</v>
      </c>
      <c r="Z446" s="336">
        <v>0.2</v>
      </c>
      <c r="AA446" s="336" t="s">
        <v>511</v>
      </c>
      <c r="AB446" s="336" t="s">
        <v>512</v>
      </c>
      <c r="AC446" s="336">
        <v>220.0</v>
      </c>
      <c r="AD446" s="162"/>
      <c r="AE446" s="361"/>
    </row>
    <row r="447">
      <c r="A447" s="336" t="s">
        <v>600</v>
      </c>
      <c r="B447" s="336">
        <v>4.0</v>
      </c>
      <c r="C447" s="336">
        <v>444.0</v>
      </c>
      <c r="D447" s="336" t="s">
        <v>544</v>
      </c>
      <c r="E447" s="336">
        <v>1.0</v>
      </c>
      <c r="F447" s="337">
        <v>45548.68958333333</v>
      </c>
      <c r="G447" s="336">
        <v>1.0</v>
      </c>
      <c r="H447" s="336">
        <v>51.3741</v>
      </c>
      <c r="I447" s="336">
        <v>7.88789</v>
      </c>
      <c r="J447" s="336">
        <v>-27.251825</v>
      </c>
      <c r="K447" s="336">
        <v>-26.086713</v>
      </c>
      <c r="L447" s="336">
        <v>1074.67</v>
      </c>
      <c r="M447" s="336">
        <v>75.499744</v>
      </c>
      <c r="N447" s="336">
        <v>11363.4219</v>
      </c>
      <c r="O447" s="336">
        <v>11328.5979</v>
      </c>
      <c r="P447" s="338">
        <v>2041.14311</v>
      </c>
      <c r="Q447" s="338" t="s">
        <v>519</v>
      </c>
      <c r="R447" s="338" t="s">
        <v>12</v>
      </c>
      <c r="S447" s="338">
        <v>10.0</v>
      </c>
      <c r="T447" s="338">
        <v>5.0</v>
      </c>
      <c r="U447" s="338">
        <v>0.7</v>
      </c>
      <c r="V447" s="338">
        <v>0.7</v>
      </c>
      <c r="W447" s="338">
        <v>0.7</v>
      </c>
      <c r="X447" s="336">
        <v>2000.0</v>
      </c>
      <c r="Y447" s="336" t="s">
        <v>510</v>
      </c>
      <c r="Z447" s="336">
        <v>0.2</v>
      </c>
      <c r="AA447" s="336" t="s">
        <v>511</v>
      </c>
      <c r="AB447" s="336" t="s">
        <v>512</v>
      </c>
      <c r="AC447" s="336">
        <v>220.0</v>
      </c>
      <c r="AD447" s="162"/>
      <c r="AE447" s="361"/>
    </row>
    <row r="448">
      <c r="A448" s="336" t="s">
        <v>601</v>
      </c>
      <c r="B448" s="336">
        <v>4.0</v>
      </c>
      <c r="C448" s="336">
        <v>444.0</v>
      </c>
      <c r="D448" s="336" t="s">
        <v>544</v>
      </c>
      <c r="E448" s="336">
        <v>1.0</v>
      </c>
      <c r="F448" s="337">
        <v>45548.69236111111</v>
      </c>
      <c r="G448" s="336">
        <v>1.0</v>
      </c>
      <c r="H448" s="336">
        <v>51.3741</v>
      </c>
      <c r="I448" s="336">
        <v>7.83877</v>
      </c>
      <c r="J448" s="336">
        <v>-27.312281</v>
      </c>
      <c r="K448" s="336">
        <v>-25.682063</v>
      </c>
      <c r="L448" s="336">
        <v>1030.35</v>
      </c>
      <c r="M448" s="336">
        <v>66.499971</v>
      </c>
      <c r="N448" s="336">
        <v>11338.2924</v>
      </c>
      <c r="O448" s="336">
        <v>11328.5979</v>
      </c>
      <c r="P448" s="338">
        <v>2041.14311</v>
      </c>
      <c r="Q448" s="338" t="s">
        <v>509</v>
      </c>
      <c r="R448" s="338" t="s">
        <v>12</v>
      </c>
      <c r="S448" s="338">
        <v>10.0</v>
      </c>
      <c r="T448" s="338">
        <v>5.0</v>
      </c>
      <c r="U448" s="338">
        <v>0.7</v>
      </c>
      <c r="V448" s="338">
        <v>0.7</v>
      </c>
      <c r="W448" s="338">
        <v>0.7</v>
      </c>
      <c r="X448" s="336">
        <v>2000.0</v>
      </c>
      <c r="Y448" s="336" t="s">
        <v>510</v>
      </c>
      <c r="Z448" s="336">
        <v>0.2</v>
      </c>
      <c r="AA448" s="336" t="s">
        <v>511</v>
      </c>
      <c r="AB448" s="336" t="s">
        <v>512</v>
      </c>
      <c r="AC448" s="336">
        <v>220.0</v>
      </c>
      <c r="AD448" s="162"/>
      <c r="AE448" s="361"/>
    </row>
    <row r="449">
      <c r="A449" s="336" t="s">
        <v>771</v>
      </c>
      <c r="B449" s="336">
        <v>4.0</v>
      </c>
      <c r="C449" s="336">
        <v>444.0</v>
      </c>
      <c r="D449" s="336" t="s">
        <v>544</v>
      </c>
      <c r="E449" s="336">
        <v>1.0</v>
      </c>
      <c r="F449" s="337">
        <v>45548.69513888889</v>
      </c>
      <c r="G449" s="336">
        <v>1.0</v>
      </c>
      <c r="H449" s="336">
        <v>51.3741</v>
      </c>
      <c r="I449" s="336">
        <v>7.84173</v>
      </c>
      <c r="J449" s="336">
        <v>-27.344938</v>
      </c>
      <c r="K449" s="336">
        <v>-25.9587</v>
      </c>
      <c r="L449" s="336">
        <v>1039.37</v>
      </c>
      <c r="M449" s="336">
        <v>71.500512</v>
      </c>
      <c r="N449" s="336">
        <v>11318.9033</v>
      </c>
      <c r="O449" s="336">
        <v>11328.5979</v>
      </c>
      <c r="P449" s="338">
        <v>2041.14311</v>
      </c>
      <c r="Q449" s="338" t="s">
        <v>509</v>
      </c>
      <c r="R449" s="338" t="s">
        <v>12</v>
      </c>
      <c r="S449" s="338">
        <v>10.0</v>
      </c>
      <c r="T449" s="338">
        <v>5.0</v>
      </c>
      <c r="U449" s="338">
        <v>0.7</v>
      </c>
      <c r="V449" s="338">
        <v>0.7</v>
      </c>
      <c r="W449" s="338">
        <v>0.7</v>
      </c>
      <c r="X449" s="336">
        <v>2000.0</v>
      </c>
      <c r="Y449" s="336" t="s">
        <v>510</v>
      </c>
      <c r="Z449" s="336">
        <v>0.2</v>
      </c>
      <c r="AA449" s="336" t="s">
        <v>511</v>
      </c>
      <c r="AB449" s="336" t="s">
        <v>512</v>
      </c>
      <c r="AC449" s="336">
        <v>220.0</v>
      </c>
      <c r="AD449" s="162"/>
      <c r="AE449" s="361"/>
    </row>
    <row r="450">
      <c r="A450" s="336" t="s">
        <v>652</v>
      </c>
      <c r="B450" s="336">
        <v>5.0</v>
      </c>
      <c r="C450" s="336">
        <v>495.0</v>
      </c>
      <c r="D450" s="336" t="s">
        <v>548</v>
      </c>
      <c r="E450" s="336">
        <v>1.0</v>
      </c>
      <c r="F450" s="337">
        <v>45548.69861111111</v>
      </c>
      <c r="G450" s="336">
        <v>1.0</v>
      </c>
      <c r="H450" s="336">
        <v>51.3708</v>
      </c>
      <c r="I450" s="336">
        <v>7.81626</v>
      </c>
      <c r="J450" s="336">
        <v>-27.264069</v>
      </c>
      <c r="K450" s="336">
        <v>-25.58115</v>
      </c>
      <c r="L450" s="336">
        <v>1036.4</v>
      </c>
      <c r="M450" s="336">
        <v>65.499203</v>
      </c>
      <c r="N450" s="336">
        <v>11284.0312</v>
      </c>
      <c r="O450" s="336">
        <v>11287.2938</v>
      </c>
      <c r="P450" s="338">
        <v>2033.82833</v>
      </c>
      <c r="Q450" s="338" t="s">
        <v>509</v>
      </c>
      <c r="R450" s="338" t="s">
        <v>12</v>
      </c>
      <c r="S450" s="338">
        <v>10.0</v>
      </c>
      <c r="T450" s="338">
        <v>5.0</v>
      </c>
      <c r="U450" s="338">
        <v>0.7</v>
      </c>
      <c r="V450" s="338">
        <v>0.7</v>
      </c>
      <c r="W450" s="338">
        <v>0.7</v>
      </c>
      <c r="X450" s="336">
        <v>2000.0</v>
      </c>
      <c r="Y450" s="336" t="s">
        <v>510</v>
      </c>
      <c r="Z450" s="336">
        <v>0.2</v>
      </c>
      <c r="AA450" s="336" t="s">
        <v>511</v>
      </c>
      <c r="AB450" s="336" t="s">
        <v>512</v>
      </c>
      <c r="AC450" s="336">
        <v>220.0</v>
      </c>
      <c r="AD450" s="162"/>
      <c r="AE450" s="361"/>
    </row>
    <row r="451">
      <c r="A451" s="336" t="s">
        <v>653</v>
      </c>
      <c r="B451" s="336">
        <v>5.0</v>
      </c>
      <c r="C451" s="336">
        <v>495.0</v>
      </c>
      <c r="D451" s="336" t="s">
        <v>548</v>
      </c>
      <c r="E451" s="336">
        <v>1.0</v>
      </c>
      <c r="F451" s="337">
        <v>45548.70138888889</v>
      </c>
      <c r="G451" s="336">
        <v>1.0</v>
      </c>
      <c r="H451" s="336">
        <v>51.3708</v>
      </c>
      <c r="I451" s="336">
        <v>7.93221</v>
      </c>
      <c r="J451" s="336">
        <v>-27.416731</v>
      </c>
      <c r="K451" s="336">
        <v>-26.091237</v>
      </c>
      <c r="L451" s="336">
        <v>1031.35</v>
      </c>
      <c r="M451" s="336">
        <v>76.000225</v>
      </c>
      <c r="N451" s="336">
        <v>11290.5564</v>
      </c>
      <c r="O451" s="336">
        <v>11287.2938</v>
      </c>
      <c r="P451" s="338">
        <v>2033.82833</v>
      </c>
      <c r="Q451" s="338" t="s">
        <v>509</v>
      </c>
      <c r="R451" s="338" t="s">
        <v>12</v>
      </c>
      <c r="S451" s="338">
        <v>10.0</v>
      </c>
      <c r="T451" s="338">
        <v>5.0</v>
      </c>
      <c r="U451" s="338">
        <v>0.7</v>
      </c>
      <c r="V451" s="338">
        <v>0.7</v>
      </c>
      <c r="W451" s="338">
        <v>0.7</v>
      </c>
      <c r="X451" s="336">
        <v>2000.0</v>
      </c>
      <c r="Y451" s="336" t="s">
        <v>510</v>
      </c>
      <c r="Z451" s="336">
        <v>0.2</v>
      </c>
      <c r="AA451" s="336" t="s">
        <v>511</v>
      </c>
      <c r="AB451" s="336" t="s">
        <v>512</v>
      </c>
      <c r="AC451" s="336">
        <v>220.0</v>
      </c>
      <c r="AD451" s="162"/>
      <c r="AE451" s="361"/>
    </row>
    <row r="452">
      <c r="A452" s="336" t="s">
        <v>655</v>
      </c>
      <c r="B452" s="336">
        <v>6.0</v>
      </c>
      <c r="C452" s="336">
        <v>496.0</v>
      </c>
      <c r="D452" s="336" t="s">
        <v>551</v>
      </c>
      <c r="E452" s="336">
        <v>1.0</v>
      </c>
      <c r="F452" s="337">
        <v>45548.70486111111</v>
      </c>
      <c r="G452" s="336">
        <v>1.0</v>
      </c>
      <c r="H452" s="336">
        <v>51.3741</v>
      </c>
      <c r="I452" s="336">
        <v>7.68594</v>
      </c>
      <c r="J452" s="336">
        <v>-27.123581</v>
      </c>
      <c r="K452" s="336">
        <v>-24.229219</v>
      </c>
      <c r="L452" s="336">
        <v>1044.69</v>
      </c>
      <c r="M452" s="336">
        <v>57.999482</v>
      </c>
      <c r="N452" s="336">
        <v>11240.5823</v>
      </c>
      <c r="O452" s="336">
        <v>11300.2896</v>
      </c>
      <c r="P452" s="338">
        <v>2036.12983</v>
      </c>
      <c r="Q452" s="338" t="s">
        <v>519</v>
      </c>
      <c r="R452" s="338" t="s">
        <v>12</v>
      </c>
      <c r="S452" s="338">
        <v>10.0</v>
      </c>
      <c r="T452" s="338">
        <v>5.0</v>
      </c>
      <c r="U452" s="338">
        <v>0.7</v>
      </c>
      <c r="V452" s="338">
        <v>0.7</v>
      </c>
      <c r="W452" s="338">
        <v>0.7</v>
      </c>
      <c r="X452" s="336">
        <v>2000.0</v>
      </c>
      <c r="Y452" s="336" t="s">
        <v>510</v>
      </c>
      <c r="Z452" s="336">
        <v>0.2</v>
      </c>
      <c r="AA452" s="336" t="s">
        <v>511</v>
      </c>
      <c r="AB452" s="336" t="s">
        <v>512</v>
      </c>
      <c r="AC452" s="336">
        <v>220.0</v>
      </c>
      <c r="AD452" s="162"/>
      <c r="AE452" s="361"/>
    </row>
    <row r="453">
      <c r="A453" s="336" t="s">
        <v>656</v>
      </c>
      <c r="B453" s="336">
        <v>6.0</v>
      </c>
      <c r="C453" s="336">
        <v>496.0</v>
      </c>
      <c r="D453" s="336" t="s">
        <v>551</v>
      </c>
      <c r="E453" s="336">
        <v>1.0</v>
      </c>
      <c r="F453" s="337">
        <v>45548.70763888889</v>
      </c>
      <c r="G453" s="336">
        <v>1.0</v>
      </c>
      <c r="H453" s="336">
        <v>51.3807</v>
      </c>
      <c r="I453" s="336">
        <v>7.94651</v>
      </c>
      <c r="J453" s="336">
        <v>-27.293675</v>
      </c>
      <c r="K453" s="336">
        <v>-26.243913</v>
      </c>
      <c r="L453" s="336">
        <v>1036.59</v>
      </c>
      <c r="M453" s="336">
        <v>79.999942</v>
      </c>
      <c r="N453" s="336">
        <v>11302.8465</v>
      </c>
      <c r="O453" s="336">
        <v>11300.2896</v>
      </c>
      <c r="P453" s="338">
        <v>2036.12983</v>
      </c>
      <c r="Q453" s="338" t="s">
        <v>509</v>
      </c>
      <c r="R453" s="338" t="s">
        <v>12</v>
      </c>
      <c r="S453" s="338">
        <v>10.0</v>
      </c>
      <c r="T453" s="338">
        <v>5.0</v>
      </c>
      <c r="U453" s="338">
        <v>0.7</v>
      </c>
      <c r="V453" s="338">
        <v>0.7</v>
      </c>
      <c r="W453" s="338">
        <v>0.7</v>
      </c>
      <c r="X453" s="336">
        <v>2000.0</v>
      </c>
      <c r="Y453" s="336" t="s">
        <v>510</v>
      </c>
      <c r="Z453" s="336">
        <v>0.2</v>
      </c>
      <c r="AA453" s="336" t="s">
        <v>511</v>
      </c>
      <c r="AB453" s="336" t="s">
        <v>512</v>
      </c>
      <c r="AC453" s="336">
        <v>220.0</v>
      </c>
      <c r="AD453" s="162"/>
      <c r="AE453" s="361"/>
    </row>
    <row r="454">
      <c r="A454" s="336" t="s">
        <v>772</v>
      </c>
      <c r="B454" s="336">
        <v>6.0</v>
      </c>
      <c r="C454" s="336">
        <v>496.0</v>
      </c>
      <c r="D454" s="336" t="s">
        <v>551</v>
      </c>
      <c r="E454" s="336">
        <v>1.0</v>
      </c>
      <c r="F454" s="337">
        <v>45548.71041666667</v>
      </c>
      <c r="G454" s="336">
        <v>1.0</v>
      </c>
      <c r="H454" s="336">
        <v>51.3708</v>
      </c>
      <c r="I454" s="336">
        <v>7.90481</v>
      </c>
      <c r="J454" s="336">
        <v>-27.386144</v>
      </c>
      <c r="K454" s="336">
        <v>-26.041419</v>
      </c>
      <c r="L454" s="336">
        <v>1028.28</v>
      </c>
      <c r="M454" s="336">
        <v>72.000261</v>
      </c>
      <c r="N454" s="336">
        <v>11297.7327</v>
      </c>
      <c r="O454" s="336">
        <v>11300.2896</v>
      </c>
      <c r="P454" s="338">
        <v>2036.12983</v>
      </c>
      <c r="Q454" s="338" t="s">
        <v>509</v>
      </c>
      <c r="R454" s="338" t="s">
        <v>12</v>
      </c>
      <c r="S454" s="338">
        <v>10.0</v>
      </c>
      <c r="T454" s="338">
        <v>5.0</v>
      </c>
      <c r="U454" s="338">
        <v>0.7</v>
      </c>
      <c r="V454" s="338">
        <v>0.7</v>
      </c>
      <c r="W454" s="338">
        <v>0.7</v>
      </c>
      <c r="X454" s="336">
        <v>2000.0</v>
      </c>
      <c r="Y454" s="336" t="s">
        <v>510</v>
      </c>
      <c r="Z454" s="336">
        <v>0.2</v>
      </c>
      <c r="AA454" s="336" t="s">
        <v>511</v>
      </c>
      <c r="AB454" s="336" t="s">
        <v>512</v>
      </c>
      <c r="AC454" s="336">
        <v>220.0</v>
      </c>
      <c r="AD454" s="162"/>
      <c r="AE454" s="361"/>
    </row>
    <row r="455">
      <c r="A455" s="336" t="s">
        <v>628</v>
      </c>
      <c r="B455" s="336">
        <v>7.0</v>
      </c>
      <c r="C455" s="336">
        <v>482.0</v>
      </c>
      <c r="D455" s="336" t="s">
        <v>554</v>
      </c>
      <c r="E455" s="336">
        <v>1.0</v>
      </c>
      <c r="F455" s="337">
        <v>45548.71388888889</v>
      </c>
      <c r="G455" s="336">
        <v>1.0</v>
      </c>
      <c r="H455" s="336">
        <v>51.3741</v>
      </c>
      <c r="I455" s="336">
        <v>7.92831</v>
      </c>
      <c r="J455" s="336">
        <v>-27.402144</v>
      </c>
      <c r="K455" s="336">
        <v>-25.869575</v>
      </c>
      <c r="L455" s="336">
        <v>1068.62</v>
      </c>
      <c r="M455" s="336">
        <v>68.998815</v>
      </c>
      <c r="N455" s="336">
        <v>11396.6417</v>
      </c>
      <c r="O455" s="336">
        <v>11400.028</v>
      </c>
      <c r="P455" s="338">
        <v>2053.79309</v>
      </c>
      <c r="Q455" s="338" t="s">
        <v>519</v>
      </c>
      <c r="R455" s="338" t="s">
        <v>12</v>
      </c>
      <c r="S455" s="338">
        <v>10.0</v>
      </c>
      <c r="T455" s="338">
        <v>5.0</v>
      </c>
      <c r="U455" s="338">
        <v>0.7</v>
      </c>
      <c r="V455" s="338">
        <v>0.7</v>
      </c>
      <c r="W455" s="338">
        <v>0.7</v>
      </c>
      <c r="X455" s="336">
        <v>2000.0</v>
      </c>
      <c r="Y455" s="336" t="s">
        <v>510</v>
      </c>
      <c r="Z455" s="336">
        <v>0.2</v>
      </c>
      <c r="AA455" s="336" t="s">
        <v>511</v>
      </c>
      <c r="AB455" s="336" t="s">
        <v>512</v>
      </c>
      <c r="AC455" s="336">
        <v>220.0</v>
      </c>
      <c r="AD455" s="162"/>
      <c r="AE455" s="361"/>
    </row>
    <row r="456">
      <c r="A456" s="336" t="s">
        <v>657</v>
      </c>
      <c r="B456" s="336">
        <v>7.0</v>
      </c>
      <c r="C456" s="336">
        <v>482.0</v>
      </c>
      <c r="D456" s="336" t="s">
        <v>554</v>
      </c>
      <c r="E456" s="336">
        <v>1.0</v>
      </c>
      <c r="F456" s="337">
        <v>45548.71666666667</v>
      </c>
      <c r="G456" s="336">
        <v>1.0</v>
      </c>
      <c r="H456" s="336">
        <v>51.3741</v>
      </c>
      <c r="I456" s="336">
        <v>8.05984</v>
      </c>
      <c r="J456" s="336">
        <v>-27.342619</v>
      </c>
      <c r="K456" s="336">
        <v>-26.410075</v>
      </c>
      <c r="L456" s="336">
        <v>1037.06</v>
      </c>
      <c r="M456" s="336">
        <v>85.999086</v>
      </c>
      <c r="N456" s="336">
        <v>11430.946</v>
      </c>
      <c r="O456" s="336">
        <v>11400.028</v>
      </c>
      <c r="P456" s="338">
        <v>2053.79309</v>
      </c>
      <c r="Q456" s="338" t="s">
        <v>519</v>
      </c>
      <c r="R456" s="338" t="s">
        <v>12</v>
      </c>
      <c r="S456" s="338">
        <v>10.0</v>
      </c>
      <c r="T456" s="338">
        <v>5.0</v>
      </c>
      <c r="U456" s="338">
        <v>0.7</v>
      </c>
      <c r="V456" s="338">
        <v>0.7</v>
      </c>
      <c r="W456" s="338">
        <v>0.7</v>
      </c>
      <c r="X456" s="336">
        <v>2000.0</v>
      </c>
      <c r="Y456" s="336" t="s">
        <v>510</v>
      </c>
      <c r="Z456" s="336">
        <v>0.2</v>
      </c>
      <c r="AA456" s="336" t="s">
        <v>511</v>
      </c>
      <c r="AB456" s="336" t="s">
        <v>512</v>
      </c>
      <c r="AC456" s="336">
        <v>220.0</v>
      </c>
      <c r="AD456" s="162"/>
      <c r="AE456" s="361"/>
    </row>
    <row r="457">
      <c r="A457" s="336" t="s">
        <v>658</v>
      </c>
      <c r="B457" s="336">
        <v>7.0</v>
      </c>
      <c r="C457" s="336">
        <v>482.0</v>
      </c>
      <c r="D457" s="336" t="s">
        <v>554</v>
      </c>
      <c r="E457" s="336">
        <v>1.0</v>
      </c>
      <c r="F457" s="337">
        <v>45548.71944444445</v>
      </c>
      <c r="G457" s="336">
        <v>1.0</v>
      </c>
      <c r="H457" s="336">
        <v>51.3741</v>
      </c>
      <c r="I457" s="336">
        <v>7.94072</v>
      </c>
      <c r="J457" s="336">
        <v>-27.363494</v>
      </c>
      <c r="K457" s="336">
        <v>-25.799431</v>
      </c>
      <c r="L457" s="336">
        <v>1050.3</v>
      </c>
      <c r="M457" s="336">
        <v>66.998809</v>
      </c>
      <c r="N457" s="336">
        <v>11401.8827</v>
      </c>
      <c r="O457" s="336">
        <v>11400.028</v>
      </c>
      <c r="P457" s="338">
        <v>2053.79309</v>
      </c>
      <c r="Q457" s="338" t="s">
        <v>509</v>
      </c>
      <c r="R457" s="338" t="s">
        <v>12</v>
      </c>
      <c r="S457" s="338">
        <v>10.0</v>
      </c>
      <c r="T457" s="338">
        <v>5.0</v>
      </c>
      <c r="U457" s="338">
        <v>0.7</v>
      </c>
      <c r="V457" s="338">
        <v>0.7</v>
      </c>
      <c r="W457" s="338">
        <v>0.7</v>
      </c>
      <c r="X457" s="336">
        <v>2000.0</v>
      </c>
      <c r="Y457" s="336" t="s">
        <v>510</v>
      </c>
      <c r="Z457" s="336">
        <v>0.2</v>
      </c>
      <c r="AA457" s="336" t="s">
        <v>511</v>
      </c>
      <c r="AB457" s="336" t="s">
        <v>512</v>
      </c>
      <c r="AC457" s="336">
        <v>220.0</v>
      </c>
      <c r="AD457" s="162"/>
      <c r="AE457" s="361"/>
    </row>
    <row r="458">
      <c r="A458" s="336" t="s">
        <v>728</v>
      </c>
      <c r="B458" s="336">
        <v>7.0</v>
      </c>
      <c r="C458" s="336">
        <v>482.0</v>
      </c>
      <c r="D458" s="336" t="s">
        <v>554</v>
      </c>
      <c r="E458" s="336">
        <v>1.0</v>
      </c>
      <c r="F458" s="337">
        <v>45548.72222222222</v>
      </c>
      <c r="G458" s="336">
        <v>1.0</v>
      </c>
      <c r="H458" s="336">
        <v>51.3708</v>
      </c>
      <c r="I458" s="336">
        <v>7.92639</v>
      </c>
      <c r="J458" s="336">
        <v>-27.362281</v>
      </c>
      <c r="K458" s="336">
        <v>-26.202106</v>
      </c>
      <c r="L458" s="336">
        <v>1054.14</v>
      </c>
      <c r="M458" s="336">
        <v>71.500644</v>
      </c>
      <c r="N458" s="336">
        <v>11398.1733</v>
      </c>
      <c r="O458" s="336">
        <v>11400.028</v>
      </c>
      <c r="P458" s="338">
        <v>2053.79309</v>
      </c>
      <c r="Q458" s="338" t="s">
        <v>509</v>
      </c>
      <c r="R458" s="338" t="s">
        <v>12</v>
      </c>
      <c r="S458" s="338">
        <v>10.0</v>
      </c>
      <c r="T458" s="338">
        <v>5.0</v>
      </c>
      <c r="U458" s="338">
        <v>0.7</v>
      </c>
      <c r="V458" s="338">
        <v>0.7</v>
      </c>
      <c r="W458" s="338">
        <v>0.7</v>
      </c>
      <c r="X458" s="336">
        <v>2000.0</v>
      </c>
      <c r="Y458" s="336" t="s">
        <v>510</v>
      </c>
      <c r="Z458" s="336">
        <v>0.2</v>
      </c>
      <c r="AA458" s="336" t="s">
        <v>511</v>
      </c>
      <c r="AB458" s="336" t="s">
        <v>512</v>
      </c>
      <c r="AC458" s="336">
        <v>220.0</v>
      </c>
      <c r="AD458" s="162"/>
      <c r="AE458" s="361"/>
    </row>
    <row r="459">
      <c r="A459" s="336" t="s">
        <v>630</v>
      </c>
      <c r="B459" s="336">
        <v>8.0</v>
      </c>
      <c r="C459" s="336">
        <v>483.0</v>
      </c>
      <c r="D459" s="336" t="s">
        <v>558</v>
      </c>
      <c r="E459" s="336">
        <v>1.0</v>
      </c>
      <c r="F459" s="337">
        <v>45548.725694444445</v>
      </c>
      <c r="G459" s="336">
        <v>1.0</v>
      </c>
      <c r="H459" s="336">
        <v>51.3741</v>
      </c>
      <c r="I459" s="336">
        <v>7.73299</v>
      </c>
      <c r="J459" s="336">
        <v>-27.4003</v>
      </c>
      <c r="K459" s="336">
        <v>-24.715625</v>
      </c>
      <c r="L459" s="336">
        <v>1044.61</v>
      </c>
      <c r="M459" s="336">
        <v>59.999841</v>
      </c>
      <c r="N459" s="336">
        <v>11331.3508</v>
      </c>
      <c r="O459" s="336">
        <v>11406.6413</v>
      </c>
      <c r="P459" s="338">
        <v>2054.96428</v>
      </c>
      <c r="Q459" s="338" t="s">
        <v>519</v>
      </c>
      <c r="R459" s="338" t="s">
        <v>12</v>
      </c>
      <c r="S459" s="338">
        <v>10.0</v>
      </c>
      <c r="T459" s="338">
        <v>5.0</v>
      </c>
      <c r="U459" s="338">
        <v>0.7</v>
      </c>
      <c r="V459" s="338">
        <v>0.7</v>
      </c>
      <c r="W459" s="338">
        <v>0.7</v>
      </c>
      <c r="X459" s="336">
        <v>2000.0</v>
      </c>
      <c r="Y459" s="336" t="s">
        <v>510</v>
      </c>
      <c r="Z459" s="336">
        <v>0.2</v>
      </c>
      <c r="AA459" s="336" t="s">
        <v>511</v>
      </c>
      <c r="AB459" s="336" t="s">
        <v>512</v>
      </c>
      <c r="AC459" s="336">
        <v>220.0</v>
      </c>
      <c r="AD459" s="162"/>
      <c r="AE459" s="361"/>
    </row>
    <row r="460">
      <c r="A460" s="336" t="s">
        <v>659</v>
      </c>
      <c r="B460" s="336">
        <v>8.0</v>
      </c>
      <c r="C460" s="336">
        <v>483.0</v>
      </c>
      <c r="D460" s="336" t="s">
        <v>558</v>
      </c>
      <c r="E460" s="336">
        <v>1.0</v>
      </c>
      <c r="F460" s="337">
        <v>45548.728472222225</v>
      </c>
      <c r="G460" s="336">
        <v>1.0</v>
      </c>
      <c r="H460" s="336">
        <v>51.3741</v>
      </c>
      <c r="I460" s="336">
        <v>7.8958</v>
      </c>
      <c r="J460" s="336">
        <v>-27.3422</v>
      </c>
      <c r="K460" s="336">
        <v>-26.316306</v>
      </c>
      <c r="L460" s="336">
        <v>1036.04</v>
      </c>
      <c r="M460" s="336">
        <v>80.500092</v>
      </c>
      <c r="N460" s="336">
        <v>11404.0671</v>
      </c>
      <c r="O460" s="336">
        <v>11406.6413</v>
      </c>
      <c r="P460" s="338">
        <v>2054.96428</v>
      </c>
      <c r="Q460" s="338" t="s">
        <v>509</v>
      </c>
      <c r="R460" s="338" t="s">
        <v>12</v>
      </c>
      <c r="S460" s="338">
        <v>10.0</v>
      </c>
      <c r="T460" s="338">
        <v>5.0</v>
      </c>
      <c r="U460" s="338">
        <v>0.7</v>
      </c>
      <c r="V460" s="338">
        <v>0.7</v>
      </c>
      <c r="W460" s="338">
        <v>0.7</v>
      </c>
      <c r="X460" s="336">
        <v>2000.0</v>
      </c>
      <c r="Y460" s="336" t="s">
        <v>510</v>
      </c>
      <c r="Z460" s="336">
        <v>0.2</v>
      </c>
      <c r="AA460" s="336" t="s">
        <v>511</v>
      </c>
      <c r="AB460" s="336" t="s">
        <v>512</v>
      </c>
      <c r="AC460" s="336">
        <v>220.0</v>
      </c>
      <c r="AD460" s="162"/>
      <c r="AE460" s="361"/>
    </row>
    <row r="461">
      <c r="A461" s="336" t="s">
        <v>781</v>
      </c>
      <c r="B461" s="336">
        <v>8.0</v>
      </c>
      <c r="C461" s="336">
        <v>483.0</v>
      </c>
      <c r="D461" s="336" t="s">
        <v>558</v>
      </c>
      <c r="E461" s="336">
        <v>1.0</v>
      </c>
      <c r="F461" s="337">
        <v>45548.73125</v>
      </c>
      <c r="G461" s="336">
        <v>1.0</v>
      </c>
      <c r="H461" s="336">
        <v>51.3774</v>
      </c>
      <c r="I461" s="336">
        <v>7.75196</v>
      </c>
      <c r="J461" s="336">
        <v>-27.410219</v>
      </c>
      <c r="K461" s="336">
        <v>-26.0248</v>
      </c>
      <c r="L461" s="336">
        <v>1047.23</v>
      </c>
      <c r="M461" s="336">
        <v>73.001797</v>
      </c>
      <c r="N461" s="336">
        <v>11409.2155</v>
      </c>
      <c r="O461" s="336">
        <v>11406.6413</v>
      </c>
      <c r="P461" s="338">
        <v>2054.96428</v>
      </c>
      <c r="Q461" s="338" t="s">
        <v>509</v>
      </c>
      <c r="R461" s="338" t="s">
        <v>12</v>
      </c>
      <c r="S461" s="338">
        <v>10.0</v>
      </c>
      <c r="T461" s="338">
        <v>5.0</v>
      </c>
      <c r="U461" s="338">
        <v>0.7</v>
      </c>
      <c r="V461" s="338">
        <v>0.7</v>
      </c>
      <c r="W461" s="338">
        <v>0.7</v>
      </c>
      <c r="X461" s="336">
        <v>2000.0</v>
      </c>
      <c r="Y461" s="336" t="s">
        <v>510</v>
      </c>
      <c r="Z461" s="336">
        <v>0.2</v>
      </c>
      <c r="AA461" s="336" t="s">
        <v>511</v>
      </c>
      <c r="AB461" s="336" t="s">
        <v>512</v>
      </c>
      <c r="AC461" s="336">
        <v>220.0</v>
      </c>
      <c r="AD461" s="162"/>
      <c r="AE461" s="361"/>
    </row>
    <row r="462">
      <c r="A462" s="336" t="s">
        <v>631</v>
      </c>
      <c r="B462" s="336">
        <v>9.0</v>
      </c>
      <c r="C462" s="336">
        <v>391.0</v>
      </c>
      <c r="D462" s="336" t="s">
        <v>561</v>
      </c>
      <c r="E462" s="336">
        <v>1.0</v>
      </c>
      <c r="F462" s="337">
        <v>45548.73472222222</v>
      </c>
      <c r="G462" s="336">
        <v>1.0</v>
      </c>
      <c r="H462" s="336">
        <v>51.3708</v>
      </c>
      <c r="I462" s="336">
        <v>7.63729</v>
      </c>
      <c r="J462" s="336">
        <v>-27.3666</v>
      </c>
      <c r="K462" s="336">
        <v>-25.688581</v>
      </c>
      <c r="L462" s="336">
        <v>1052.04</v>
      </c>
      <c r="M462" s="336">
        <v>65.999453</v>
      </c>
      <c r="N462" s="336">
        <v>11400.0545</v>
      </c>
      <c r="O462" s="336">
        <v>11401.5306</v>
      </c>
      <c r="P462" s="338">
        <v>2054.0592</v>
      </c>
      <c r="Q462" s="338" t="s">
        <v>509</v>
      </c>
      <c r="R462" s="338" t="s">
        <v>12</v>
      </c>
      <c r="S462" s="338">
        <v>10.0</v>
      </c>
      <c r="T462" s="338">
        <v>5.0</v>
      </c>
      <c r="U462" s="338">
        <v>0.7</v>
      </c>
      <c r="V462" s="338">
        <v>0.7</v>
      </c>
      <c r="W462" s="338">
        <v>0.7</v>
      </c>
      <c r="X462" s="336">
        <v>2000.0</v>
      </c>
      <c r="Y462" s="336" t="s">
        <v>510</v>
      </c>
      <c r="Z462" s="336">
        <v>0.2</v>
      </c>
      <c r="AA462" s="336" t="s">
        <v>511</v>
      </c>
      <c r="AB462" s="336" t="s">
        <v>512</v>
      </c>
      <c r="AC462" s="336">
        <v>220.0</v>
      </c>
      <c r="AD462" s="162"/>
      <c r="AE462" s="361"/>
    </row>
    <row r="463">
      <c r="A463" s="336" t="s">
        <v>660</v>
      </c>
      <c r="B463" s="336">
        <v>9.0</v>
      </c>
      <c r="C463" s="336">
        <v>391.0</v>
      </c>
      <c r="D463" s="336" t="s">
        <v>561</v>
      </c>
      <c r="E463" s="336">
        <v>1.0</v>
      </c>
      <c r="F463" s="337">
        <v>45548.7375</v>
      </c>
      <c r="G463" s="336">
        <v>1.0</v>
      </c>
      <c r="H463" s="336">
        <v>51.3774</v>
      </c>
      <c r="I463" s="336">
        <v>7.75388</v>
      </c>
      <c r="J463" s="336">
        <v>-27.0455</v>
      </c>
      <c r="K463" s="336">
        <v>-25.868219</v>
      </c>
      <c r="L463" s="336">
        <v>1061.57</v>
      </c>
      <c r="M463" s="336">
        <v>73.500163</v>
      </c>
      <c r="N463" s="336">
        <v>11403.0067</v>
      </c>
      <c r="O463" s="336">
        <v>11401.5306</v>
      </c>
      <c r="P463" s="338">
        <v>2054.0592</v>
      </c>
      <c r="Q463" s="338" t="s">
        <v>509</v>
      </c>
      <c r="R463" s="338" t="s">
        <v>12</v>
      </c>
      <c r="S463" s="338">
        <v>10.0</v>
      </c>
      <c r="T463" s="338">
        <v>5.0</v>
      </c>
      <c r="U463" s="338">
        <v>0.7</v>
      </c>
      <c r="V463" s="338">
        <v>0.7</v>
      </c>
      <c r="W463" s="338">
        <v>0.7</v>
      </c>
      <c r="X463" s="336">
        <v>2000.0</v>
      </c>
      <c r="Y463" s="336" t="s">
        <v>510</v>
      </c>
      <c r="Z463" s="336">
        <v>0.2</v>
      </c>
      <c r="AA463" s="336" t="s">
        <v>511</v>
      </c>
      <c r="AB463" s="336" t="s">
        <v>512</v>
      </c>
      <c r="AC463" s="336">
        <v>220.0</v>
      </c>
      <c r="AD463" s="162"/>
      <c r="AE463" s="361"/>
    </row>
    <row r="464">
      <c r="A464" s="342" t="s">
        <v>632</v>
      </c>
      <c r="B464" s="342">
        <v>10.0</v>
      </c>
      <c r="C464" s="342" t="s">
        <v>784</v>
      </c>
      <c r="D464" s="342" t="s">
        <v>508</v>
      </c>
      <c r="E464" s="342">
        <v>1.0</v>
      </c>
      <c r="F464" s="343">
        <v>45548.74097222222</v>
      </c>
      <c r="G464" s="342">
        <v>1.0</v>
      </c>
      <c r="H464" s="342">
        <v>51.3774</v>
      </c>
      <c r="I464" s="342">
        <v>7.59679</v>
      </c>
      <c r="J464" s="342">
        <v>-27.374006</v>
      </c>
      <c r="K464" s="342">
        <v>-25.004437</v>
      </c>
      <c r="L464" s="342">
        <v>1077.82</v>
      </c>
      <c r="M464" s="342">
        <v>63.500432</v>
      </c>
      <c r="N464" s="342">
        <v>11588.9568</v>
      </c>
      <c r="O464" s="342">
        <v>11596.1526</v>
      </c>
      <c r="P464" s="344">
        <v>2088.52593</v>
      </c>
      <c r="Q464" s="344" t="s">
        <v>509</v>
      </c>
      <c r="R464" s="338" t="s">
        <v>12</v>
      </c>
      <c r="S464" s="338">
        <v>10.0</v>
      </c>
      <c r="T464" s="338">
        <v>5.0</v>
      </c>
      <c r="U464" s="338">
        <v>0.7</v>
      </c>
      <c r="V464" s="338">
        <v>0.7</v>
      </c>
      <c r="W464" s="338">
        <v>0.7</v>
      </c>
      <c r="X464" s="336">
        <v>2000.0</v>
      </c>
      <c r="Y464" s="336" t="s">
        <v>510</v>
      </c>
      <c r="Z464" s="336">
        <v>0.2</v>
      </c>
      <c r="AA464" s="336" t="s">
        <v>511</v>
      </c>
      <c r="AB464" s="336" t="s">
        <v>512</v>
      </c>
      <c r="AC464" s="336">
        <v>220.0</v>
      </c>
      <c r="AD464" s="162"/>
      <c r="AE464" s="361"/>
    </row>
    <row r="465">
      <c r="A465" s="342" t="s">
        <v>666</v>
      </c>
      <c r="B465" s="342">
        <v>10.0</v>
      </c>
      <c r="C465" s="342" t="s">
        <v>784</v>
      </c>
      <c r="D465" s="342" t="s">
        <v>508</v>
      </c>
      <c r="E465" s="342">
        <v>1.0</v>
      </c>
      <c r="F465" s="343">
        <v>45548.74375</v>
      </c>
      <c r="G465" s="342">
        <v>1.0</v>
      </c>
      <c r="H465" s="342">
        <v>51.3741</v>
      </c>
      <c r="I465" s="342">
        <v>7.70752</v>
      </c>
      <c r="J465" s="342">
        <v>-27.170581</v>
      </c>
      <c r="K465" s="342">
        <v>-25.257587</v>
      </c>
      <c r="L465" s="342">
        <v>1085.91</v>
      </c>
      <c r="M465" s="342">
        <v>64.000662</v>
      </c>
      <c r="N465" s="342">
        <v>11603.3484</v>
      </c>
      <c r="O465" s="342">
        <v>11596.1526</v>
      </c>
      <c r="P465" s="344">
        <v>2088.52593</v>
      </c>
      <c r="Q465" s="344" t="s">
        <v>509</v>
      </c>
      <c r="R465" s="338" t="s">
        <v>12</v>
      </c>
      <c r="S465" s="338">
        <v>10.0</v>
      </c>
      <c r="T465" s="338">
        <v>5.0</v>
      </c>
      <c r="U465" s="338">
        <v>0.7</v>
      </c>
      <c r="V465" s="338">
        <v>0.7</v>
      </c>
      <c r="W465" s="338">
        <v>0.7</v>
      </c>
      <c r="X465" s="336">
        <v>2000.0</v>
      </c>
      <c r="Y465" s="336" t="s">
        <v>510</v>
      </c>
      <c r="Z465" s="336">
        <v>0.2</v>
      </c>
      <c r="AA465" s="336" t="s">
        <v>511</v>
      </c>
      <c r="AB465" s="336" t="s">
        <v>512</v>
      </c>
      <c r="AC465" s="336">
        <v>220.0</v>
      </c>
      <c r="AD465" s="162"/>
      <c r="AE465" s="361"/>
    </row>
    <row r="466">
      <c r="A466" s="364" t="s">
        <v>636</v>
      </c>
      <c r="B466" s="364" t="s">
        <v>506</v>
      </c>
      <c r="C466" s="336" t="s">
        <v>507</v>
      </c>
      <c r="D466" s="364" t="s">
        <v>508</v>
      </c>
      <c r="E466" s="364">
        <v>0.8</v>
      </c>
      <c r="F466" s="365">
        <v>45552.40972222222</v>
      </c>
      <c r="G466" s="364">
        <v>1.0</v>
      </c>
      <c r="H466" s="364">
        <v>51.3741</v>
      </c>
      <c r="I466" s="364">
        <v>12.6638</v>
      </c>
      <c r="J466" s="364">
        <v>-26.4523</v>
      </c>
      <c r="K466" s="364">
        <v>-24.9644</v>
      </c>
      <c r="L466" s="364">
        <v>928.993</v>
      </c>
      <c r="M466" s="364">
        <v>64.49982</v>
      </c>
      <c r="N466" s="364">
        <v>8920.57</v>
      </c>
      <c r="O466" s="364">
        <v>8920.57</v>
      </c>
      <c r="P466" s="366">
        <v>2018.364</v>
      </c>
      <c r="Q466" s="366" t="s">
        <v>509</v>
      </c>
      <c r="R466" s="338" t="s">
        <v>12</v>
      </c>
      <c r="S466" s="367">
        <v>10.0</v>
      </c>
      <c r="T466" s="367">
        <v>5.0</v>
      </c>
      <c r="U466" s="367">
        <v>0.7</v>
      </c>
      <c r="V466" s="367">
        <v>0.7</v>
      </c>
      <c r="W466" s="367">
        <v>0.7</v>
      </c>
      <c r="X466" s="368">
        <v>2000.0</v>
      </c>
      <c r="Y466" s="369" t="s">
        <v>510</v>
      </c>
      <c r="Z466" s="368">
        <v>0.2</v>
      </c>
      <c r="AA466" s="369" t="s">
        <v>511</v>
      </c>
      <c r="AB466" s="369" t="s">
        <v>512</v>
      </c>
      <c r="AC466" s="368">
        <v>220.0</v>
      </c>
      <c r="AD466" s="162"/>
      <c r="AE466" s="361"/>
    </row>
    <row r="467">
      <c r="A467" s="364" t="s">
        <v>531</v>
      </c>
      <c r="B467" s="364" t="s">
        <v>506</v>
      </c>
      <c r="C467" s="336" t="s">
        <v>507</v>
      </c>
      <c r="D467" s="364" t="s">
        <v>508</v>
      </c>
      <c r="E467" s="364">
        <v>0.8</v>
      </c>
      <c r="F467" s="365">
        <v>45552.4125</v>
      </c>
      <c r="G467" s="364">
        <v>1.0</v>
      </c>
      <c r="H467" s="364">
        <v>51.3741</v>
      </c>
      <c r="I467" s="364">
        <v>13.1034</v>
      </c>
      <c r="J467" s="364">
        <v>-26.742</v>
      </c>
      <c r="K467" s="364">
        <v>-25.3237</v>
      </c>
      <c r="L467" s="364">
        <v>926.706</v>
      </c>
      <c r="M467" s="364">
        <v>64.00004</v>
      </c>
      <c r="N467" s="364">
        <v>8872.553</v>
      </c>
      <c r="O467" s="364">
        <v>8872.553</v>
      </c>
      <c r="P467" s="366">
        <v>2007.735</v>
      </c>
      <c r="Q467" s="366" t="s">
        <v>509</v>
      </c>
      <c r="R467" s="338" t="s">
        <v>12</v>
      </c>
      <c r="S467" s="367">
        <v>10.0</v>
      </c>
      <c r="T467" s="367">
        <v>5.0</v>
      </c>
      <c r="U467" s="367">
        <v>0.7</v>
      </c>
      <c r="V467" s="367">
        <v>0.7</v>
      </c>
      <c r="W467" s="367">
        <v>0.7</v>
      </c>
      <c r="X467" s="368">
        <v>2000.0</v>
      </c>
      <c r="Y467" s="369" t="s">
        <v>510</v>
      </c>
      <c r="Z467" s="368">
        <v>0.2</v>
      </c>
      <c r="AA467" s="369" t="s">
        <v>511</v>
      </c>
      <c r="AB467" s="369" t="s">
        <v>512</v>
      </c>
      <c r="AC467" s="368">
        <v>220.0</v>
      </c>
      <c r="AD467" s="162"/>
      <c r="AE467" s="361"/>
    </row>
    <row r="468">
      <c r="A468" s="364" t="s">
        <v>539</v>
      </c>
      <c r="B468" s="364" t="s">
        <v>506</v>
      </c>
      <c r="C468" s="336" t="s">
        <v>507</v>
      </c>
      <c r="D468" s="364" t="s">
        <v>508</v>
      </c>
      <c r="E468" s="364">
        <v>0.8</v>
      </c>
      <c r="F468" s="365">
        <v>45552.41527777778</v>
      </c>
      <c r="G468" s="364">
        <v>1.0</v>
      </c>
      <c r="H468" s="364">
        <v>51.3708</v>
      </c>
      <c r="I468" s="364">
        <v>12.8103</v>
      </c>
      <c r="J468" s="364">
        <v>-26.8731</v>
      </c>
      <c r="K468" s="364">
        <v>-25.7434</v>
      </c>
      <c r="L468" s="364">
        <v>919.362</v>
      </c>
      <c r="M468" s="364">
        <v>69.0001</v>
      </c>
      <c r="N468" s="364">
        <v>8889.479</v>
      </c>
      <c r="O468" s="364">
        <v>8889.479</v>
      </c>
      <c r="P468" s="366">
        <v>2011.482</v>
      </c>
      <c r="Q468" s="366" t="s">
        <v>509</v>
      </c>
      <c r="R468" s="338" t="s">
        <v>12</v>
      </c>
      <c r="S468" s="367">
        <v>10.0</v>
      </c>
      <c r="T468" s="367">
        <v>5.0</v>
      </c>
      <c r="U468" s="367">
        <v>0.7</v>
      </c>
      <c r="V468" s="367">
        <v>0.7</v>
      </c>
      <c r="W468" s="367">
        <v>0.7</v>
      </c>
      <c r="X468" s="368">
        <v>2000.0</v>
      </c>
      <c r="Y468" s="369" t="s">
        <v>510</v>
      </c>
      <c r="Z468" s="368">
        <v>0.2</v>
      </c>
      <c r="AA468" s="369" t="s">
        <v>511</v>
      </c>
      <c r="AB468" s="369" t="s">
        <v>512</v>
      </c>
      <c r="AC468" s="368">
        <v>220.0</v>
      </c>
      <c r="AD468" s="162"/>
      <c r="AE468" s="361"/>
    </row>
    <row r="469">
      <c r="A469" s="364" t="s">
        <v>543</v>
      </c>
      <c r="B469" s="364" t="s">
        <v>506</v>
      </c>
      <c r="C469" s="336" t="s">
        <v>507</v>
      </c>
      <c r="D469" s="364" t="s">
        <v>508</v>
      </c>
      <c r="E469" s="364">
        <v>0.8</v>
      </c>
      <c r="F469" s="365">
        <v>45552.41805555556</v>
      </c>
      <c r="G469" s="364">
        <v>1.0</v>
      </c>
      <c r="H469" s="364">
        <v>51.3675</v>
      </c>
      <c r="I469" s="364">
        <v>12.2472</v>
      </c>
      <c r="J469" s="364">
        <v>-26.9387</v>
      </c>
      <c r="K469" s="364">
        <v>-26.1998</v>
      </c>
      <c r="L469" s="364">
        <v>915.941</v>
      </c>
      <c r="M469" s="364">
        <v>84.50003</v>
      </c>
      <c r="N469" s="364">
        <v>8909.39</v>
      </c>
      <c r="O469" s="364">
        <v>8909.39</v>
      </c>
      <c r="P469" s="366">
        <v>2015.889</v>
      </c>
      <c r="Q469" s="366" t="s">
        <v>509</v>
      </c>
      <c r="R469" s="338" t="s">
        <v>12</v>
      </c>
      <c r="S469" s="367">
        <v>10.0</v>
      </c>
      <c r="T469" s="367">
        <v>5.0</v>
      </c>
      <c r="U469" s="367">
        <v>0.7</v>
      </c>
      <c r="V469" s="367">
        <v>0.7</v>
      </c>
      <c r="W469" s="367">
        <v>0.7</v>
      </c>
      <c r="X469" s="368">
        <v>2000.0</v>
      </c>
      <c r="Y469" s="369" t="s">
        <v>510</v>
      </c>
      <c r="Z469" s="368">
        <v>0.2</v>
      </c>
      <c r="AA469" s="369" t="s">
        <v>511</v>
      </c>
      <c r="AB469" s="369" t="s">
        <v>512</v>
      </c>
      <c r="AC469" s="368">
        <v>220.0</v>
      </c>
      <c r="AD469" s="162"/>
      <c r="AE469" s="361"/>
    </row>
    <row r="470">
      <c r="A470" s="364" t="s">
        <v>547</v>
      </c>
      <c r="B470" s="364" t="s">
        <v>506</v>
      </c>
      <c r="C470" s="336" t="s">
        <v>507</v>
      </c>
      <c r="D470" s="364" t="s">
        <v>508</v>
      </c>
      <c r="E470" s="364">
        <v>0.8</v>
      </c>
      <c r="F470" s="365">
        <v>45552.42083333333</v>
      </c>
      <c r="G470" s="364">
        <v>1.0</v>
      </c>
      <c r="H470" s="364">
        <v>51.3774</v>
      </c>
      <c r="I470" s="364">
        <v>11.4918</v>
      </c>
      <c r="J470" s="364">
        <v>-27.0203</v>
      </c>
      <c r="K470" s="364">
        <v>-25.4095</v>
      </c>
      <c r="L470" s="364">
        <v>925.243</v>
      </c>
      <c r="M470" s="364">
        <v>60.99901</v>
      </c>
      <c r="N470" s="364">
        <v>8891.94</v>
      </c>
      <c r="O470" s="364">
        <v>8891.94</v>
      </c>
      <c r="P470" s="366">
        <v>2012.026</v>
      </c>
      <c r="Q470" s="366" t="s">
        <v>509</v>
      </c>
      <c r="R470" s="338" t="s">
        <v>12</v>
      </c>
      <c r="S470" s="367">
        <v>10.0</v>
      </c>
      <c r="T470" s="367">
        <v>5.0</v>
      </c>
      <c r="U470" s="367">
        <v>0.7</v>
      </c>
      <c r="V470" s="367">
        <v>0.7</v>
      </c>
      <c r="W470" s="367">
        <v>0.7</v>
      </c>
      <c r="X470" s="368">
        <v>2000.0</v>
      </c>
      <c r="Y470" s="369" t="s">
        <v>510</v>
      </c>
      <c r="Z470" s="368">
        <v>0.2</v>
      </c>
      <c r="AA470" s="369" t="s">
        <v>511</v>
      </c>
      <c r="AB470" s="369" t="s">
        <v>512</v>
      </c>
      <c r="AC470" s="368">
        <v>220.0</v>
      </c>
      <c r="AD470" s="162"/>
      <c r="AE470" s="361"/>
    </row>
    <row r="471">
      <c r="A471" s="364" t="s">
        <v>550</v>
      </c>
      <c r="B471" s="364" t="s">
        <v>506</v>
      </c>
      <c r="C471" s="336" t="s">
        <v>507</v>
      </c>
      <c r="D471" s="364" t="s">
        <v>508</v>
      </c>
      <c r="E471" s="364">
        <v>0.8</v>
      </c>
      <c r="F471" s="365">
        <v>45552.42291666667</v>
      </c>
      <c r="G471" s="364">
        <v>1.0</v>
      </c>
      <c r="H471" s="364">
        <v>51.3708</v>
      </c>
      <c r="I471" s="364">
        <v>10.8227</v>
      </c>
      <c r="J471" s="364">
        <v>-27.0844</v>
      </c>
      <c r="K471" s="364">
        <v>-25.3191</v>
      </c>
      <c r="L471" s="364">
        <v>924.923</v>
      </c>
      <c r="M471" s="364">
        <v>61.49968</v>
      </c>
      <c r="N471" s="364">
        <v>8893.275</v>
      </c>
      <c r="O471" s="364">
        <v>8893.275</v>
      </c>
      <c r="P471" s="366">
        <v>2012.322</v>
      </c>
      <c r="Q471" s="366" t="s">
        <v>509</v>
      </c>
      <c r="R471" s="338" t="s">
        <v>12</v>
      </c>
      <c r="S471" s="367">
        <v>10.0</v>
      </c>
      <c r="T471" s="367">
        <v>5.0</v>
      </c>
      <c r="U471" s="367">
        <v>0.7</v>
      </c>
      <c r="V471" s="367">
        <v>0.7</v>
      </c>
      <c r="W471" s="367">
        <v>0.7</v>
      </c>
      <c r="X471" s="368">
        <v>2000.0</v>
      </c>
      <c r="Y471" s="369" t="s">
        <v>510</v>
      </c>
      <c r="Z471" s="368">
        <v>0.2</v>
      </c>
      <c r="AA471" s="369" t="s">
        <v>511</v>
      </c>
      <c r="AB471" s="369" t="s">
        <v>512</v>
      </c>
      <c r="AC471" s="368">
        <v>220.0</v>
      </c>
      <c r="AD471" s="162"/>
      <c r="AE471" s="361"/>
    </row>
    <row r="472">
      <c r="A472" s="364" t="s">
        <v>702</v>
      </c>
      <c r="B472" s="364" t="s">
        <v>517</v>
      </c>
      <c r="C472" s="364" t="s">
        <v>802</v>
      </c>
      <c r="D472" s="364" t="s">
        <v>508</v>
      </c>
      <c r="E472" s="364">
        <v>0.8</v>
      </c>
      <c r="F472" s="365">
        <v>45552.427777777775</v>
      </c>
      <c r="G472" s="364">
        <v>1.0</v>
      </c>
      <c r="H472" s="364">
        <v>51.3741</v>
      </c>
      <c r="I472" s="364">
        <v>10.6401</v>
      </c>
      <c r="J472" s="364">
        <v>-27.1274</v>
      </c>
      <c r="K472" s="364">
        <v>-25.7201</v>
      </c>
      <c r="L472" s="364">
        <v>994.339</v>
      </c>
      <c r="M472" s="364">
        <v>65.00004</v>
      </c>
      <c r="N472" s="364">
        <v>9104.138</v>
      </c>
      <c r="O472" s="364">
        <v>9226.56</v>
      </c>
      <c r="P472" s="366">
        <v>2091.856</v>
      </c>
      <c r="Q472" s="366" t="s">
        <v>519</v>
      </c>
      <c r="R472" s="338" t="s">
        <v>12</v>
      </c>
      <c r="S472" s="367">
        <v>10.0</v>
      </c>
      <c r="T472" s="367">
        <v>5.0</v>
      </c>
      <c r="U472" s="367">
        <v>0.7</v>
      </c>
      <c r="V472" s="367">
        <v>0.7</v>
      </c>
      <c r="W472" s="367">
        <v>0.7</v>
      </c>
      <c r="X472" s="368">
        <v>2000.0</v>
      </c>
      <c r="Y472" s="369" t="s">
        <v>510</v>
      </c>
      <c r="Z472" s="368">
        <v>0.2</v>
      </c>
      <c r="AA472" s="369" t="s">
        <v>511</v>
      </c>
      <c r="AB472" s="369" t="s">
        <v>512</v>
      </c>
      <c r="AC472" s="368">
        <v>220.0</v>
      </c>
      <c r="AD472" s="162"/>
      <c r="AE472" s="361"/>
    </row>
    <row r="473">
      <c r="A473" s="364" t="s">
        <v>704</v>
      </c>
      <c r="B473" s="364" t="s">
        <v>517</v>
      </c>
      <c r="C473" s="364" t="s">
        <v>802</v>
      </c>
      <c r="D473" s="364" t="s">
        <v>508</v>
      </c>
      <c r="E473" s="364">
        <v>0.8</v>
      </c>
      <c r="F473" s="365">
        <v>45552.430555555555</v>
      </c>
      <c r="G473" s="364">
        <v>1.0</v>
      </c>
      <c r="H473" s="364">
        <v>51.3708</v>
      </c>
      <c r="I473" s="364">
        <v>10.0105</v>
      </c>
      <c r="J473" s="364">
        <v>-27.2001</v>
      </c>
      <c r="K473" s="364">
        <v>-25.7761</v>
      </c>
      <c r="L473" s="364">
        <v>998.074</v>
      </c>
      <c r="M473" s="364">
        <v>64.00062</v>
      </c>
      <c r="N473" s="364">
        <v>9225.009</v>
      </c>
      <c r="O473" s="364">
        <v>9226.56</v>
      </c>
      <c r="P473" s="366">
        <v>2091.856</v>
      </c>
      <c r="Q473" s="366" t="s">
        <v>509</v>
      </c>
      <c r="R473" s="338" t="s">
        <v>12</v>
      </c>
      <c r="S473" s="367">
        <v>10.0</v>
      </c>
      <c r="T473" s="367">
        <v>5.0</v>
      </c>
      <c r="U473" s="367">
        <v>0.7</v>
      </c>
      <c r="V473" s="367">
        <v>0.7</v>
      </c>
      <c r="W473" s="367">
        <v>0.7</v>
      </c>
      <c r="X473" s="368">
        <v>2000.0</v>
      </c>
      <c r="Y473" s="369" t="s">
        <v>510</v>
      </c>
      <c r="Z473" s="368">
        <v>0.2</v>
      </c>
      <c r="AA473" s="369" t="s">
        <v>511</v>
      </c>
      <c r="AB473" s="369" t="s">
        <v>512</v>
      </c>
      <c r="AC473" s="368">
        <v>220.0</v>
      </c>
      <c r="AD473" s="162"/>
      <c r="AE473" s="361"/>
    </row>
    <row r="474">
      <c r="A474" s="364" t="s">
        <v>705</v>
      </c>
      <c r="B474" s="364" t="s">
        <v>517</v>
      </c>
      <c r="C474" s="364" t="s">
        <v>802</v>
      </c>
      <c r="D474" s="364" t="s">
        <v>508</v>
      </c>
      <c r="E474" s="364">
        <v>0.8</v>
      </c>
      <c r="F474" s="365">
        <v>45552.433333333334</v>
      </c>
      <c r="G474" s="364">
        <v>1.0</v>
      </c>
      <c r="H474" s="364">
        <v>51.3741</v>
      </c>
      <c r="I474" s="364">
        <v>9.58909</v>
      </c>
      <c r="J474" s="364">
        <v>-27.3002</v>
      </c>
      <c r="K474" s="364">
        <v>-25.5475</v>
      </c>
      <c r="L474" s="364">
        <v>1011.19</v>
      </c>
      <c r="M474" s="364">
        <v>62.49941</v>
      </c>
      <c r="N474" s="364">
        <v>9228.111</v>
      </c>
      <c r="O474" s="364">
        <v>9226.56</v>
      </c>
      <c r="P474" s="366">
        <v>2091.856</v>
      </c>
      <c r="Q474" s="366" t="s">
        <v>509</v>
      </c>
      <c r="R474" s="338" t="s">
        <v>12</v>
      </c>
      <c r="S474" s="367">
        <v>10.0</v>
      </c>
      <c r="T474" s="367">
        <v>5.0</v>
      </c>
      <c r="U474" s="367">
        <v>0.7</v>
      </c>
      <c r="V474" s="367">
        <v>0.7</v>
      </c>
      <c r="W474" s="367">
        <v>0.7</v>
      </c>
      <c r="X474" s="368">
        <v>2000.0</v>
      </c>
      <c r="Y474" s="369" t="s">
        <v>510</v>
      </c>
      <c r="Z474" s="368">
        <v>0.2</v>
      </c>
      <c r="AA474" s="369" t="s">
        <v>511</v>
      </c>
      <c r="AB474" s="369" t="s">
        <v>512</v>
      </c>
      <c r="AC474" s="368">
        <v>220.0</v>
      </c>
      <c r="AD474" s="162"/>
      <c r="AE474" s="361"/>
    </row>
    <row r="475">
      <c r="A475" s="364" t="s">
        <v>706</v>
      </c>
      <c r="B475" s="364" t="s">
        <v>523</v>
      </c>
      <c r="C475" s="364" t="s">
        <v>802</v>
      </c>
      <c r="D475" s="364" t="s">
        <v>508</v>
      </c>
      <c r="E475" s="364">
        <v>1.0</v>
      </c>
      <c r="F475" s="365">
        <v>45552.436111111114</v>
      </c>
      <c r="G475" s="364">
        <v>1.0</v>
      </c>
      <c r="H475" s="364">
        <v>51.3741</v>
      </c>
      <c r="I475" s="364">
        <v>9.25117</v>
      </c>
      <c r="J475" s="364">
        <v>-27.0852</v>
      </c>
      <c r="K475" s="364">
        <v>-25.0898</v>
      </c>
      <c r="L475" s="364">
        <v>1077.91</v>
      </c>
      <c r="M475" s="364">
        <v>65.00114</v>
      </c>
      <c r="N475" s="364">
        <v>11562.58</v>
      </c>
      <c r="O475" s="364">
        <v>11578.55</v>
      </c>
      <c r="P475" s="366">
        <v>2091.856</v>
      </c>
      <c r="Q475" s="366" t="s">
        <v>519</v>
      </c>
      <c r="R475" s="338" t="s">
        <v>12</v>
      </c>
      <c r="S475" s="367">
        <v>10.0</v>
      </c>
      <c r="T475" s="367">
        <v>5.0</v>
      </c>
      <c r="U475" s="367">
        <v>0.7</v>
      </c>
      <c r="V475" s="367">
        <v>0.7</v>
      </c>
      <c r="W475" s="367">
        <v>0.7</v>
      </c>
      <c r="X475" s="368">
        <v>2000.0</v>
      </c>
      <c r="Y475" s="369" t="s">
        <v>510</v>
      </c>
      <c r="Z475" s="368">
        <v>0.2</v>
      </c>
      <c r="AA475" s="369" t="s">
        <v>511</v>
      </c>
      <c r="AB475" s="369" t="s">
        <v>512</v>
      </c>
      <c r="AC475" s="368">
        <v>220.0</v>
      </c>
      <c r="AD475" s="162"/>
      <c r="AE475" s="361"/>
    </row>
    <row r="476">
      <c r="A476" s="364" t="s">
        <v>707</v>
      </c>
      <c r="B476" s="364" t="s">
        <v>523</v>
      </c>
      <c r="C476" s="364" t="s">
        <v>802</v>
      </c>
      <c r="D476" s="364" t="s">
        <v>508</v>
      </c>
      <c r="E476" s="364">
        <v>1.0</v>
      </c>
      <c r="F476" s="365">
        <v>45552.438888888886</v>
      </c>
      <c r="G476" s="364">
        <v>1.0</v>
      </c>
      <c r="H476" s="364">
        <v>51.3741</v>
      </c>
      <c r="I476" s="364">
        <v>9.03537</v>
      </c>
      <c r="J476" s="364">
        <v>-27.3239</v>
      </c>
      <c r="K476" s="364">
        <v>-25.7254</v>
      </c>
      <c r="L476" s="364">
        <v>1074.36</v>
      </c>
      <c r="M476" s="364">
        <v>66.49947</v>
      </c>
      <c r="N476" s="364">
        <v>11599.66</v>
      </c>
      <c r="O476" s="364">
        <v>11578.55</v>
      </c>
      <c r="P476" s="366">
        <v>2091.856</v>
      </c>
      <c r="Q476" s="366" t="s">
        <v>519</v>
      </c>
      <c r="R476" s="338" t="s">
        <v>12</v>
      </c>
      <c r="S476" s="367">
        <v>10.0</v>
      </c>
      <c r="T476" s="367">
        <v>5.0</v>
      </c>
      <c r="U476" s="367">
        <v>0.7</v>
      </c>
      <c r="V476" s="367">
        <v>0.7</v>
      </c>
      <c r="W476" s="367">
        <v>0.7</v>
      </c>
      <c r="X476" s="368">
        <v>2000.0</v>
      </c>
      <c r="Y476" s="369" t="s">
        <v>510</v>
      </c>
      <c r="Z476" s="368">
        <v>0.2</v>
      </c>
      <c r="AA476" s="369" t="s">
        <v>511</v>
      </c>
      <c r="AB476" s="369" t="s">
        <v>512</v>
      </c>
      <c r="AC476" s="368">
        <v>220.0</v>
      </c>
      <c r="AD476" s="162"/>
      <c r="AE476" s="361"/>
    </row>
    <row r="477">
      <c r="A477" s="370" t="s">
        <v>745</v>
      </c>
      <c r="B477" s="370" t="s">
        <v>523</v>
      </c>
      <c r="C477" s="370" t="s">
        <v>802</v>
      </c>
      <c r="D477" s="370" t="s">
        <v>508</v>
      </c>
      <c r="E477" s="370">
        <v>1.0</v>
      </c>
      <c r="F477" s="371">
        <v>45552.441666666666</v>
      </c>
      <c r="G477" s="370">
        <v>1.0</v>
      </c>
      <c r="H477" s="370">
        <v>51.3708</v>
      </c>
      <c r="I477" s="370">
        <v>8.74233</v>
      </c>
      <c r="J477" s="370">
        <v>-27.2763</v>
      </c>
      <c r="K477" s="370">
        <v>-24.5324</v>
      </c>
      <c r="L477" s="370">
        <v>1072.28</v>
      </c>
      <c r="M477" s="370">
        <v>60.00005</v>
      </c>
      <c r="N477" s="370">
        <v>11567.01</v>
      </c>
      <c r="O477" s="370">
        <v>11578.55</v>
      </c>
      <c r="P477" s="372">
        <v>2091.856</v>
      </c>
      <c r="Q477" s="372" t="s">
        <v>509</v>
      </c>
      <c r="R477" s="338" t="s">
        <v>12</v>
      </c>
      <c r="S477" s="367">
        <v>10.0</v>
      </c>
      <c r="T477" s="367">
        <v>5.0</v>
      </c>
      <c r="U477" s="367">
        <v>0.7</v>
      </c>
      <c r="V477" s="367">
        <v>0.7</v>
      </c>
      <c r="W477" s="367">
        <v>0.7</v>
      </c>
      <c r="X477" s="368">
        <v>2000.0</v>
      </c>
      <c r="Y477" s="369" t="s">
        <v>510</v>
      </c>
      <c r="Z477" s="368">
        <v>0.2</v>
      </c>
      <c r="AA477" s="369" t="s">
        <v>511</v>
      </c>
      <c r="AB477" s="369" t="s">
        <v>512</v>
      </c>
      <c r="AC477" s="368">
        <v>220.0</v>
      </c>
      <c r="AD477" s="162"/>
      <c r="AE477" s="361"/>
    </row>
    <row r="478">
      <c r="A478" s="370" t="s">
        <v>803</v>
      </c>
      <c r="B478" s="370" t="s">
        <v>523</v>
      </c>
      <c r="C478" s="370" t="s">
        <v>802</v>
      </c>
      <c r="D478" s="370" t="s">
        <v>508</v>
      </c>
      <c r="E478" s="370">
        <v>1.0</v>
      </c>
      <c r="F478" s="371">
        <v>45552.444444444445</v>
      </c>
      <c r="G478" s="370">
        <v>1.0</v>
      </c>
      <c r="H478" s="370">
        <v>51.3807</v>
      </c>
      <c r="I478" s="370">
        <v>8.70633</v>
      </c>
      <c r="J478" s="370">
        <v>-27.3</v>
      </c>
      <c r="K478" s="370">
        <v>-25.3265</v>
      </c>
      <c r="L478" s="370">
        <v>1085.82</v>
      </c>
      <c r="M478" s="370">
        <v>64.50077</v>
      </c>
      <c r="N478" s="370">
        <v>11590.09</v>
      </c>
      <c r="O478" s="370">
        <v>11578.55</v>
      </c>
      <c r="P478" s="372">
        <v>2091.856</v>
      </c>
      <c r="Q478" s="372" t="s">
        <v>509</v>
      </c>
      <c r="R478" s="338" t="s">
        <v>12</v>
      </c>
      <c r="S478" s="367">
        <v>10.0</v>
      </c>
      <c r="T478" s="367">
        <v>5.0</v>
      </c>
      <c r="U478" s="367">
        <v>0.7</v>
      </c>
      <c r="V478" s="367">
        <v>0.7</v>
      </c>
      <c r="W478" s="367">
        <v>0.7</v>
      </c>
      <c r="X478" s="368">
        <v>2000.0</v>
      </c>
      <c r="Y478" s="369" t="s">
        <v>510</v>
      </c>
      <c r="Z478" s="368">
        <v>0.2</v>
      </c>
      <c r="AA478" s="369" t="s">
        <v>511</v>
      </c>
      <c r="AB478" s="369" t="s">
        <v>512</v>
      </c>
      <c r="AC478" s="368">
        <v>220.0</v>
      </c>
      <c r="AD478" s="162"/>
      <c r="AE478" s="361"/>
    </row>
    <row r="479">
      <c r="A479" s="364" t="s">
        <v>708</v>
      </c>
      <c r="B479" s="364" t="s">
        <v>527</v>
      </c>
      <c r="C479" s="364" t="s">
        <v>802</v>
      </c>
      <c r="D479" s="364" t="s">
        <v>508</v>
      </c>
      <c r="E479" s="364">
        <v>1.2</v>
      </c>
      <c r="F479" s="365">
        <v>45552.447222222225</v>
      </c>
      <c r="G479" s="364">
        <v>1.0</v>
      </c>
      <c r="H479" s="364">
        <v>51.3741</v>
      </c>
      <c r="I479" s="364">
        <v>8.55338</v>
      </c>
      <c r="J479" s="364">
        <v>-27.3374</v>
      </c>
      <c r="K479" s="364">
        <v>-25.7624</v>
      </c>
      <c r="L479" s="364">
        <v>1126.69</v>
      </c>
      <c r="M479" s="364">
        <v>72.50045</v>
      </c>
      <c r="N479" s="364">
        <v>13975.59</v>
      </c>
      <c r="O479" s="364">
        <v>13976.18</v>
      </c>
      <c r="P479" s="366">
        <v>2091.856</v>
      </c>
      <c r="Q479" s="366" t="s">
        <v>509</v>
      </c>
      <c r="R479" s="338" t="s">
        <v>12</v>
      </c>
      <c r="S479" s="367">
        <v>10.0</v>
      </c>
      <c r="T479" s="367">
        <v>5.0</v>
      </c>
      <c r="U479" s="367">
        <v>0.7</v>
      </c>
      <c r="V479" s="367">
        <v>0.7</v>
      </c>
      <c r="W479" s="367">
        <v>0.7</v>
      </c>
      <c r="X479" s="368">
        <v>2000.0</v>
      </c>
      <c r="Y479" s="369" t="s">
        <v>510</v>
      </c>
      <c r="Z479" s="368">
        <v>0.2</v>
      </c>
      <c r="AA479" s="369" t="s">
        <v>511</v>
      </c>
      <c r="AB479" s="369" t="s">
        <v>512</v>
      </c>
      <c r="AC479" s="368">
        <v>220.0</v>
      </c>
      <c r="AD479" s="162"/>
      <c r="AE479" s="361"/>
    </row>
    <row r="480">
      <c r="A480" s="364" t="s">
        <v>709</v>
      </c>
      <c r="B480" s="364" t="s">
        <v>527</v>
      </c>
      <c r="C480" s="364" t="s">
        <v>802</v>
      </c>
      <c r="D480" s="364" t="s">
        <v>508</v>
      </c>
      <c r="E480" s="364">
        <v>1.2</v>
      </c>
      <c r="F480" s="365">
        <v>45552.45</v>
      </c>
      <c r="G480" s="364">
        <v>1.0</v>
      </c>
      <c r="H480" s="364">
        <v>51.3741</v>
      </c>
      <c r="I480" s="364">
        <v>8.49494</v>
      </c>
      <c r="J480" s="364">
        <v>-27.3472</v>
      </c>
      <c r="K480" s="364">
        <v>-25.8327</v>
      </c>
      <c r="L480" s="364">
        <v>1112.45</v>
      </c>
      <c r="M480" s="364">
        <v>73.00113</v>
      </c>
      <c r="N480" s="364">
        <v>13976.77</v>
      </c>
      <c r="O480" s="364">
        <v>13976.18</v>
      </c>
      <c r="P480" s="366">
        <v>2091.856</v>
      </c>
      <c r="Q480" s="366" t="s">
        <v>509</v>
      </c>
      <c r="R480" s="338" t="s">
        <v>12</v>
      </c>
      <c r="S480" s="367">
        <v>10.0</v>
      </c>
      <c r="T480" s="367">
        <v>5.0</v>
      </c>
      <c r="U480" s="367">
        <v>0.7</v>
      </c>
      <c r="V480" s="367">
        <v>0.7</v>
      </c>
      <c r="W480" s="367">
        <v>0.7</v>
      </c>
      <c r="X480" s="368">
        <v>2000.0</v>
      </c>
      <c r="Y480" s="369" t="s">
        <v>510</v>
      </c>
      <c r="Z480" s="368">
        <v>0.2</v>
      </c>
      <c r="AA480" s="369" t="s">
        <v>511</v>
      </c>
      <c r="AB480" s="369" t="s">
        <v>512</v>
      </c>
      <c r="AC480" s="368">
        <v>220.0</v>
      </c>
      <c r="AD480" s="162"/>
      <c r="AE480" s="361"/>
    </row>
    <row r="481">
      <c r="A481" s="364" t="s">
        <v>557</v>
      </c>
      <c r="B481" s="364">
        <v>2.0</v>
      </c>
      <c r="C481" s="364">
        <v>392.0</v>
      </c>
      <c r="D481" s="364" t="s">
        <v>532</v>
      </c>
      <c r="E481" s="364">
        <v>1.0</v>
      </c>
      <c r="F481" s="365">
        <v>45552.45347222222</v>
      </c>
      <c r="G481" s="364">
        <v>1.0</v>
      </c>
      <c r="H481" s="364">
        <v>51.3741</v>
      </c>
      <c r="I481" s="364">
        <v>8.26105</v>
      </c>
      <c r="J481" s="364">
        <v>-27.4174</v>
      </c>
      <c r="K481" s="364">
        <v>-25.2702</v>
      </c>
      <c r="L481" s="364">
        <v>1060.92</v>
      </c>
      <c r="M481" s="364">
        <v>63.00029</v>
      </c>
      <c r="N481" s="364">
        <v>11415.48</v>
      </c>
      <c r="O481" s="364">
        <v>11420.06</v>
      </c>
      <c r="P481" s="366">
        <v>2061.255</v>
      </c>
      <c r="Q481" s="366" t="s">
        <v>509</v>
      </c>
      <c r="R481" s="338" t="s">
        <v>12</v>
      </c>
      <c r="S481" s="367">
        <v>10.0</v>
      </c>
      <c r="T481" s="367">
        <v>5.0</v>
      </c>
      <c r="U481" s="367">
        <v>0.7</v>
      </c>
      <c r="V481" s="367">
        <v>0.7</v>
      </c>
      <c r="W481" s="367">
        <v>0.7</v>
      </c>
      <c r="X481" s="368">
        <v>2000.0</v>
      </c>
      <c r="Y481" s="369" t="s">
        <v>510</v>
      </c>
      <c r="Z481" s="368">
        <v>0.2</v>
      </c>
      <c r="AA481" s="369" t="s">
        <v>511</v>
      </c>
      <c r="AB481" s="369" t="s">
        <v>512</v>
      </c>
      <c r="AC481" s="368">
        <v>220.0</v>
      </c>
      <c r="AD481" s="162"/>
      <c r="AE481" s="361"/>
    </row>
    <row r="482">
      <c r="A482" s="364" t="s">
        <v>559</v>
      </c>
      <c r="B482" s="364">
        <v>2.0</v>
      </c>
      <c r="C482" s="364">
        <v>392.0</v>
      </c>
      <c r="D482" s="364" t="s">
        <v>532</v>
      </c>
      <c r="E482" s="364">
        <v>1.0</v>
      </c>
      <c r="F482" s="365">
        <v>45552.45625</v>
      </c>
      <c r="G482" s="364">
        <v>1.0</v>
      </c>
      <c r="H482" s="364">
        <v>51.3741</v>
      </c>
      <c r="I482" s="364">
        <v>8.4589</v>
      </c>
      <c r="J482" s="364">
        <v>-27.4614</v>
      </c>
      <c r="K482" s="364">
        <v>-25.683</v>
      </c>
      <c r="L482" s="364">
        <v>1060.95</v>
      </c>
      <c r="M482" s="364">
        <v>65.99944</v>
      </c>
      <c r="N482" s="364">
        <v>11424.64</v>
      </c>
      <c r="O482" s="364">
        <v>11420.06</v>
      </c>
      <c r="P482" s="366">
        <v>2061.255</v>
      </c>
      <c r="Q482" s="366" t="s">
        <v>509</v>
      </c>
      <c r="R482" s="338" t="s">
        <v>12</v>
      </c>
      <c r="S482" s="367">
        <v>10.0</v>
      </c>
      <c r="T482" s="367">
        <v>5.0</v>
      </c>
      <c r="U482" s="367">
        <v>0.7</v>
      </c>
      <c r="V482" s="367">
        <v>0.7</v>
      </c>
      <c r="W482" s="367">
        <v>0.7</v>
      </c>
      <c r="X482" s="368">
        <v>2000.0</v>
      </c>
      <c r="Y482" s="369" t="s">
        <v>510</v>
      </c>
      <c r="Z482" s="368">
        <v>0.2</v>
      </c>
      <c r="AA482" s="369" t="s">
        <v>511</v>
      </c>
      <c r="AB482" s="369" t="s">
        <v>512</v>
      </c>
      <c r="AC482" s="368">
        <v>220.0</v>
      </c>
      <c r="AD482" s="162"/>
      <c r="AE482" s="361"/>
    </row>
    <row r="483">
      <c r="A483" s="364" t="s">
        <v>560</v>
      </c>
      <c r="B483" s="364">
        <v>3.0</v>
      </c>
      <c r="C483" s="364">
        <v>534.0</v>
      </c>
      <c r="D483" s="364" t="s">
        <v>540</v>
      </c>
      <c r="E483" s="364">
        <v>1.0</v>
      </c>
      <c r="F483" s="365">
        <v>45552.45972222222</v>
      </c>
      <c r="G483" s="364">
        <v>1.0</v>
      </c>
      <c r="H483" s="364">
        <v>51.3741</v>
      </c>
      <c r="I483" s="364">
        <v>8.3596</v>
      </c>
      <c r="J483" s="364">
        <v>-27.4257</v>
      </c>
      <c r="K483" s="364">
        <v>-26.1145</v>
      </c>
      <c r="L483" s="364">
        <v>1017.54</v>
      </c>
      <c r="M483" s="364">
        <v>73.50002</v>
      </c>
      <c r="N483" s="364">
        <v>11243.13</v>
      </c>
      <c r="O483" s="364">
        <v>11243.22</v>
      </c>
      <c r="P483" s="366">
        <v>2030.101</v>
      </c>
      <c r="Q483" s="366" t="s">
        <v>509</v>
      </c>
      <c r="R483" s="338" t="s">
        <v>12</v>
      </c>
      <c r="S483" s="367">
        <v>10.0</v>
      </c>
      <c r="T483" s="367">
        <v>5.0</v>
      </c>
      <c r="U483" s="367">
        <v>0.7</v>
      </c>
      <c r="V483" s="367">
        <v>0.7</v>
      </c>
      <c r="W483" s="367">
        <v>0.7</v>
      </c>
      <c r="X483" s="368">
        <v>2000.0</v>
      </c>
      <c r="Y483" s="369" t="s">
        <v>510</v>
      </c>
      <c r="Z483" s="368">
        <v>0.2</v>
      </c>
      <c r="AA483" s="369" t="s">
        <v>511</v>
      </c>
      <c r="AB483" s="369" t="s">
        <v>512</v>
      </c>
      <c r="AC483" s="368">
        <v>220.0</v>
      </c>
      <c r="AD483" s="162"/>
      <c r="AE483" s="361"/>
    </row>
    <row r="484">
      <c r="A484" s="364" t="s">
        <v>562</v>
      </c>
      <c r="B484" s="364">
        <v>3.0</v>
      </c>
      <c r="C484" s="364">
        <v>534.0</v>
      </c>
      <c r="D484" s="364" t="s">
        <v>540</v>
      </c>
      <c r="E484" s="364">
        <v>1.0</v>
      </c>
      <c r="F484" s="365">
        <v>45552.4625</v>
      </c>
      <c r="G484" s="364">
        <v>1.0</v>
      </c>
      <c r="H484" s="364">
        <v>51.3741</v>
      </c>
      <c r="I484" s="364">
        <v>8.29232</v>
      </c>
      <c r="J484" s="364">
        <v>-27.5029</v>
      </c>
      <c r="K484" s="364">
        <v>-25.6794</v>
      </c>
      <c r="L484" s="364">
        <v>1036.42</v>
      </c>
      <c r="M484" s="364">
        <v>64.49841</v>
      </c>
      <c r="N484" s="364">
        <v>11243.32</v>
      </c>
      <c r="O484" s="364">
        <v>11243.22</v>
      </c>
      <c r="P484" s="366">
        <v>2030.101</v>
      </c>
      <c r="Q484" s="366" t="s">
        <v>509</v>
      </c>
      <c r="R484" s="338" t="s">
        <v>12</v>
      </c>
      <c r="S484" s="367">
        <v>10.0</v>
      </c>
      <c r="T484" s="367">
        <v>5.0</v>
      </c>
      <c r="U484" s="367">
        <v>0.7</v>
      </c>
      <c r="V484" s="367">
        <v>0.7</v>
      </c>
      <c r="W484" s="367">
        <v>0.7</v>
      </c>
      <c r="X484" s="368">
        <v>2000.0</v>
      </c>
      <c r="Y484" s="369" t="s">
        <v>510</v>
      </c>
      <c r="Z484" s="368">
        <v>0.2</v>
      </c>
      <c r="AA484" s="369" t="s">
        <v>511</v>
      </c>
      <c r="AB484" s="369" t="s">
        <v>512</v>
      </c>
      <c r="AC484" s="368">
        <v>220.0</v>
      </c>
      <c r="AD484" s="162"/>
      <c r="AE484" s="361"/>
    </row>
    <row r="485">
      <c r="A485" s="364" t="s">
        <v>637</v>
      </c>
      <c r="B485" s="364">
        <v>4.0</v>
      </c>
      <c r="C485" s="364">
        <v>535.0</v>
      </c>
      <c r="D485" s="364" t="s">
        <v>544</v>
      </c>
      <c r="E485" s="364">
        <v>1.0</v>
      </c>
      <c r="F485" s="365">
        <v>45552.46527777778</v>
      </c>
      <c r="G485" s="364">
        <v>1.0</v>
      </c>
      <c r="H485" s="364">
        <v>51.3774</v>
      </c>
      <c r="I485" s="364">
        <v>8.3997</v>
      </c>
      <c r="J485" s="364">
        <v>-27.4822</v>
      </c>
      <c r="K485" s="364">
        <v>-25.9631</v>
      </c>
      <c r="L485" s="364">
        <v>1024.95</v>
      </c>
      <c r="M485" s="364">
        <v>71.99965</v>
      </c>
      <c r="N485" s="364">
        <v>11236.88</v>
      </c>
      <c r="O485" s="364">
        <v>11270.56</v>
      </c>
      <c r="P485" s="366">
        <v>2034.917</v>
      </c>
      <c r="Q485" s="366" t="s">
        <v>519</v>
      </c>
      <c r="R485" s="338" t="s">
        <v>12</v>
      </c>
      <c r="S485" s="367">
        <v>10.0</v>
      </c>
      <c r="T485" s="367">
        <v>5.0</v>
      </c>
      <c r="U485" s="367">
        <v>0.7</v>
      </c>
      <c r="V485" s="367">
        <v>0.7</v>
      </c>
      <c r="W485" s="367">
        <v>0.7</v>
      </c>
      <c r="X485" s="368">
        <v>2000.0</v>
      </c>
      <c r="Y485" s="369" t="s">
        <v>510</v>
      </c>
      <c r="Z485" s="368">
        <v>0.2</v>
      </c>
      <c r="AA485" s="369" t="s">
        <v>511</v>
      </c>
      <c r="AB485" s="369" t="s">
        <v>512</v>
      </c>
      <c r="AC485" s="368">
        <v>220.0</v>
      </c>
      <c r="AD485" s="162"/>
      <c r="AE485" s="361"/>
    </row>
    <row r="486">
      <c r="A486" s="364" t="s">
        <v>710</v>
      </c>
      <c r="B486" s="364">
        <v>4.0</v>
      </c>
      <c r="C486" s="364">
        <v>535.0</v>
      </c>
      <c r="D486" s="364" t="s">
        <v>544</v>
      </c>
      <c r="E486" s="364">
        <v>1.0</v>
      </c>
      <c r="F486" s="365">
        <v>45552.46875</v>
      </c>
      <c r="G486" s="364">
        <v>1.0</v>
      </c>
      <c r="H486" s="364">
        <v>51.3708</v>
      </c>
      <c r="I486" s="364">
        <v>8.29929</v>
      </c>
      <c r="J486" s="364">
        <v>-27.3756</v>
      </c>
      <c r="K486" s="364">
        <v>-26.0146</v>
      </c>
      <c r="L486" s="364">
        <v>1032.4</v>
      </c>
      <c r="M486" s="364">
        <v>72.49957</v>
      </c>
      <c r="N486" s="364">
        <v>11260.15</v>
      </c>
      <c r="O486" s="364">
        <v>11270.56</v>
      </c>
      <c r="P486" s="366">
        <v>2034.917</v>
      </c>
      <c r="Q486" s="366" t="s">
        <v>509</v>
      </c>
      <c r="R486" s="338" t="s">
        <v>12</v>
      </c>
      <c r="S486" s="367">
        <v>10.0</v>
      </c>
      <c r="T486" s="367">
        <v>5.0</v>
      </c>
      <c r="U486" s="367">
        <v>0.7</v>
      </c>
      <c r="V486" s="367">
        <v>0.7</v>
      </c>
      <c r="W486" s="367">
        <v>0.7</v>
      </c>
      <c r="X486" s="368">
        <v>2000.0</v>
      </c>
      <c r="Y486" s="369" t="s">
        <v>510</v>
      </c>
      <c r="Z486" s="368">
        <v>0.2</v>
      </c>
      <c r="AA486" s="369" t="s">
        <v>511</v>
      </c>
      <c r="AB486" s="369" t="s">
        <v>512</v>
      </c>
      <c r="AC486" s="368">
        <v>220.0</v>
      </c>
      <c r="AD486" s="162"/>
      <c r="AE486" s="361"/>
    </row>
    <row r="487">
      <c r="A487" s="364" t="s">
        <v>753</v>
      </c>
      <c r="B487" s="364">
        <v>4.0</v>
      </c>
      <c r="C487" s="364">
        <v>535.0</v>
      </c>
      <c r="D487" s="364" t="s">
        <v>544</v>
      </c>
      <c r="E487" s="364">
        <v>1.0</v>
      </c>
      <c r="F487" s="365">
        <v>45552.47152777778</v>
      </c>
      <c r="G487" s="364">
        <v>1.0</v>
      </c>
      <c r="H487" s="364">
        <v>51.3741</v>
      </c>
      <c r="I487" s="364">
        <v>8.3223</v>
      </c>
      <c r="J487" s="364">
        <v>-27.4571</v>
      </c>
      <c r="K487" s="364">
        <v>-26.3099</v>
      </c>
      <c r="L487" s="364">
        <v>1037.94</v>
      </c>
      <c r="M487" s="364">
        <v>76.00098</v>
      </c>
      <c r="N487" s="364">
        <v>11280.97</v>
      </c>
      <c r="O487" s="364">
        <v>11270.56</v>
      </c>
      <c r="P487" s="366">
        <v>2034.917</v>
      </c>
      <c r="Q487" s="366" t="s">
        <v>509</v>
      </c>
      <c r="R487" s="338" t="s">
        <v>12</v>
      </c>
      <c r="S487" s="367">
        <v>10.0</v>
      </c>
      <c r="T487" s="367">
        <v>5.0</v>
      </c>
      <c r="U487" s="367">
        <v>0.7</v>
      </c>
      <c r="V487" s="367">
        <v>0.7</v>
      </c>
      <c r="W487" s="367">
        <v>0.7</v>
      </c>
      <c r="X487" s="368">
        <v>2000.0</v>
      </c>
      <c r="Y487" s="369" t="s">
        <v>510</v>
      </c>
      <c r="Z487" s="368">
        <v>0.2</v>
      </c>
      <c r="AA487" s="369" t="s">
        <v>511</v>
      </c>
      <c r="AB487" s="369" t="s">
        <v>512</v>
      </c>
      <c r="AC487" s="368">
        <v>220.0</v>
      </c>
      <c r="AD487" s="162"/>
      <c r="AE487" s="361"/>
    </row>
    <row r="488">
      <c r="A488" s="364" t="s">
        <v>571</v>
      </c>
      <c r="B488" s="364">
        <v>5.0</v>
      </c>
      <c r="C488" s="364">
        <v>547.0</v>
      </c>
      <c r="D488" s="364" t="s">
        <v>548</v>
      </c>
      <c r="E488" s="364">
        <v>1.0</v>
      </c>
      <c r="F488" s="365">
        <v>45552.475</v>
      </c>
      <c r="G488" s="364">
        <v>1.0</v>
      </c>
      <c r="H488" s="364">
        <v>51.3741</v>
      </c>
      <c r="I488" s="364">
        <v>8.2764</v>
      </c>
      <c r="J488" s="364">
        <v>-27.4988</v>
      </c>
      <c r="K488" s="364">
        <v>-25.9851</v>
      </c>
      <c r="L488" s="364">
        <v>1076.7</v>
      </c>
      <c r="M488" s="364">
        <v>68.99968</v>
      </c>
      <c r="N488" s="364">
        <v>11592.26</v>
      </c>
      <c r="O488" s="364">
        <v>11581.27</v>
      </c>
      <c r="P488" s="366">
        <v>2089.655</v>
      </c>
      <c r="Q488" s="366" t="s">
        <v>509</v>
      </c>
      <c r="R488" s="338" t="s">
        <v>12</v>
      </c>
      <c r="S488" s="367">
        <v>10.0</v>
      </c>
      <c r="T488" s="367">
        <v>5.0</v>
      </c>
      <c r="U488" s="367">
        <v>0.7</v>
      </c>
      <c r="V488" s="367">
        <v>0.7</v>
      </c>
      <c r="W488" s="367">
        <v>0.7</v>
      </c>
      <c r="X488" s="368">
        <v>2000.0</v>
      </c>
      <c r="Y488" s="369" t="s">
        <v>510</v>
      </c>
      <c r="Z488" s="368">
        <v>0.2</v>
      </c>
      <c r="AA488" s="369" t="s">
        <v>511</v>
      </c>
      <c r="AB488" s="369" t="s">
        <v>512</v>
      </c>
      <c r="AC488" s="368">
        <v>220.0</v>
      </c>
      <c r="AD488" s="162"/>
      <c r="AE488" s="361"/>
    </row>
    <row r="489">
      <c r="A489" s="364" t="s">
        <v>572</v>
      </c>
      <c r="B489" s="364">
        <v>5.0</v>
      </c>
      <c r="C489" s="364">
        <v>547.0</v>
      </c>
      <c r="D489" s="364" t="s">
        <v>548</v>
      </c>
      <c r="E489" s="364">
        <v>1.0</v>
      </c>
      <c r="F489" s="365">
        <v>45552.47777777778</v>
      </c>
      <c r="G489" s="364">
        <v>1.0</v>
      </c>
      <c r="H489" s="364">
        <v>51.3741</v>
      </c>
      <c r="I489" s="364">
        <v>8.36142</v>
      </c>
      <c r="J489" s="364">
        <v>-27.4787</v>
      </c>
      <c r="K489" s="364">
        <v>-26.086</v>
      </c>
      <c r="L489" s="364">
        <v>1063.31</v>
      </c>
      <c r="M489" s="364">
        <v>70.99956</v>
      </c>
      <c r="N489" s="364">
        <v>11570.27</v>
      </c>
      <c r="O489" s="364">
        <v>11581.27</v>
      </c>
      <c r="P489" s="366">
        <v>2089.655</v>
      </c>
      <c r="Q489" s="366" t="s">
        <v>509</v>
      </c>
      <c r="R489" s="338" t="s">
        <v>12</v>
      </c>
      <c r="S489" s="367">
        <v>10.0</v>
      </c>
      <c r="T489" s="367">
        <v>5.0</v>
      </c>
      <c r="U489" s="367">
        <v>0.7</v>
      </c>
      <c r="V489" s="367">
        <v>0.7</v>
      </c>
      <c r="W489" s="367">
        <v>0.7</v>
      </c>
      <c r="X489" s="368">
        <v>2000.0</v>
      </c>
      <c r="Y489" s="369" t="s">
        <v>510</v>
      </c>
      <c r="Z489" s="368">
        <v>0.2</v>
      </c>
      <c r="AA489" s="369" t="s">
        <v>511</v>
      </c>
      <c r="AB489" s="369" t="s">
        <v>512</v>
      </c>
      <c r="AC489" s="368">
        <v>220.0</v>
      </c>
      <c r="AD489" s="162"/>
      <c r="AE489" s="361"/>
    </row>
    <row r="490">
      <c r="A490" s="364" t="s">
        <v>573</v>
      </c>
      <c r="B490" s="364">
        <v>6.0</v>
      </c>
      <c r="C490" s="364">
        <v>548.0</v>
      </c>
      <c r="D490" s="364" t="s">
        <v>551</v>
      </c>
      <c r="E490" s="364">
        <v>1.0</v>
      </c>
      <c r="F490" s="365">
        <v>45552.48125</v>
      </c>
      <c r="G490" s="364">
        <v>1.0</v>
      </c>
      <c r="H490" s="364">
        <v>51.3708</v>
      </c>
      <c r="I490" s="364">
        <v>8.25096</v>
      </c>
      <c r="J490" s="364">
        <v>-27.4343</v>
      </c>
      <c r="K490" s="364">
        <v>-25.4496</v>
      </c>
      <c r="L490" s="364">
        <v>1082.12</v>
      </c>
      <c r="M490" s="364">
        <v>64.50002</v>
      </c>
      <c r="N490" s="364">
        <v>11549.68</v>
      </c>
      <c r="O490" s="364">
        <v>11558.09</v>
      </c>
      <c r="P490" s="366">
        <v>2085.572</v>
      </c>
      <c r="Q490" s="366" t="s">
        <v>509</v>
      </c>
      <c r="R490" s="338" t="s">
        <v>12</v>
      </c>
      <c r="S490" s="367">
        <v>10.0</v>
      </c>
      <c r="T490" s="367">
        <v>5.0</v>
      </c>
      <c r="U490" s="367">
        <v>0.7</v>
      </c>
      <c r="V490" s="367">
        <v>0.7</v>
      </c>
      <c r="W490" s="367">
        <v>0.7</v>
      </c>
      <c r="X490" s="368">
        <v>2000.0</v>
      </c>
      <c r="Y490" s="369" t="s">
        <v>510</v>
      </c>
      <c r="Z490" s="368">
        <v>0.2</v>
      </c>
      <c r="AA490" s="369" t="s">
        <v>511</v>
      </c>
      <c r="AB490" s="369" t="s">
        <v>512</v>
      </c>
      <c r="AC490" s="368">
        <v>220.0</v>
      </c>
      <c r="AD490" s="162"/>
      <c r="AE490" s="361"/>
    </row>
    <row r="491">
      <c r="A491" s="364" t="s">
        <v>574</v>
      </c>
      <c r="B491" s="364">
        <v>6.0</v>
      </c>
      <c r="C491" s="364">
        <v>548.0</v>
      </c>
      <c r="D491" s="364" t="s">
        <v>551</v>
      </c>
      <c r="E491" s="364">
        <v>1.0</v>
      </c>
      <c r="F491" s="365">
        <v>45552.48333333333</v>
      </c>
      <c r="G491" s="364">
        <v>1.0</v>
      </c>
      <c r="H491" s="364">
        <v>51.3708</v>
      </c>
      <c r="I491" s="364">
        <v>8.15725</v>
      </c>
      <c r="J491" s="364">
        <v>-27.543</v>
      </c>
      <c r="K491" s="364">
        <v>-26.0684</v>
      </c>
      <c r="L491" s="364">
        <v>1063.72</v>
      </c>
      <c r="M491" s="364">
        <v>69.49959</v>
      </c>
      <c r="N491" s="364">
        <v>11566.51</v>
      </c>
      <c r="O491" s="364">
        <v>11558.09</v>
      </c>
      <c r="P491" s="366">
        <v>2085.572</v>
      </c>
      <c r="Q491" s="366" t="s">
        <v>509</v>
      </c>
      <c r="R491" s="338" t="s">
        <v>12</v>
      </c>
      <c r="S491" s="367">
        <v>10.0</v>
      </c>
      <c r="T491" s="367">
        <v>5.0</v>
      </c>
      <c r="U491" s="367">
        <v>0.7</v>
      </c>
      <c r="V491" s="367">
        <v>0.7</v>
      </c>
      <c r="W491" s="367">
        <v>0.7</v>
      </c>
      <c r="X491" s="368">
        <v>2000.0</v>
      </c>
      <c r="Y491" s="369" t="s">
        <v>510</v>
      </c>
      <c r="Z491" s="368">
        <v>0.2</v>
      </c>
      <c r="AA491" s="369" t="s">
        <v>511</v>
      </c>
      <c r="AB491" s="369" t="s">
        <v>512</v>
      </c>
      <c r="AC491" s="368">
        <v>220.0</v>
      </c>
      <c r="AD491" s="162"/>
      <c r="AE491" s="361"/>
    </row>
    <row r="492">
      <c r="A492" s="364" t="s">
        <v>577</v>
      </c>
      <c r="B492" s="364">
        <v>7.0</v>
      </c>
      <c r="C492" s="364">
        <v>560.0</v>
      </c>
      <c r="D492" s="364" t="s">
        <v>554</v>
      </c>
      <c r="E492" s="364">
        <v>1.0</v>
      </c>
      <c r="F492" s="365">
        <v>45552.486805555556</v>
      </c>
      <c r="G492" s="364">
        <v>1.0</v>
      </c>
      <c r="H492" s="364">
        <v>51.3741</v>
      </c>
      <c r="I492" s="364">
        <v>8.19028</v>
      </c>
      <c r="J492" s="364">
        <v>-27.2824</v>
      </c>
      <c r="K492" s="364">
        <v>-25.8422</v>
      </c>
      <c r="L492" s="364">
        <v>1071.73</v>
      </c>
      <c r="M492" s="364">
        <v>71.49884</v>
      </c>
      <c r="N492" s="364">
        <v>11596.81</v>
      </c>
      <c r="O492" s="364">
        <v>11589.68</v>
      </c>
      <c r="P492" s="366">
        <v>2091.137</v>
      </c>
      <c r="Q492" s="366" t="s">
        <v>509</v>
      </c>
      <c r="R492" s="338" t="s">
        <v>12</v>
      </c>
      <c r="S492" s="367">
        <v>10.0</v>
      </c>
      <c r="T492" s="367">
        <v>5.0</v>
      </c>
      <c r="U492" s="367">
        <v>0.7</v>
      </c>
      <c r="V492" s="367">
        <v>0.7</v>
      </c>
      <c r="W492" s="367">
        <v>0.7</v>
      </c>
      <c r="X492" s="368">
        <v>2000.0</v>
      </c>
      <c r="Y492" s="369" t="s">
        <v>510</v>
      </c>
      <c r="Z492" s="368">
        <v>0.2</v>
      </c>
      <c r="AA492" s="369" t="s">
        <v>511</v>
      </c>
      <c r="AB492" s="369" t="s">
        <v>512</v>
      </c>
      <c r="AC492" s="368">
        <v>220.0</v>
      </c>
      <c r="AD492" s="162"/>
      <c r="AE492" s="361"/>
    </row>
    <row r="493">
      <c r="A493" s="364" t="s">
        <v>578</v>
      </c>
      <c r="B493" s="364">
        <v>7.0</v>
      </c>
      <c r="C493" s="364">
        <v>560.0</v>
      </c>
      <c r="D493" s="364" t="s">
        <v>554</v>
      </c>
      <c r="E493" s="364">
        <v>1.0</v>
      </c>
      <c r="F493" s="365">
        <v>45552.489583333336</v>
      </c>
      <c r="G493" s="364">
        <v>1.0</v>
      </c>
      <c r="H493" s="364">
        <v>51.3708</v>
      </c>
      <c r="I493" s="364">
        <v>8.18633</v>
      </c>
      <c r="J493" s="364">
        <v>-27.5256</v>
      </c>
      <c r="K493" s="364">
        <v>-25.5379</v>
      </c>
      <c r="L493" s="364">
        <v>1063.9</v>
      </c>
      <c r="M493" s="364">
        <v>66.99996</v>
      </c>
      <c r="N493" s="364">
        <v>11582.55</v>
      </c>
      <c r="O493" s="364">
        <v>11589.68</v>
      </c>
      <c r="P493" s="366">
        <v>2091.137</v>
      </c>
      <c r="Q493" s="366" t="s">
        <v>509</v>
      </c>
      <c r="R493" s="338" t="s">
        <v>12</v>
      </c>
      <c r="S493" s="367">
        <v>10.0</v>
      </c>
      <c r="T493" s="367">
        <v>5.0</v>
      </c>
      <c r="U493" s="367">
        <v>0.7</v>
      </c>
      <c r="V493" s="367">
        <v>0.7</v>
      </c>
      <c r="W493" s="367">
        <v>0.7</v>
      </c>
      <c r="X493" s="368">
        <v>2000.0</v>
      </c>
      <c r="Y493" s="369" t="s">
        <v>510</v>
      </c>
      <c r="Z493" s="368">
        <v>0.2</v>
      </c>
      <c r="AA493" s="369" t="s">
        <v>511</v>
      </c>
      <c r="AB493" s="369" t="s">
        <v>512</v>
      </c>
      <c r="AC493" s="368">
        <v>220.0</v>
      </c>
      <c r="AD493" s="162"/>
      <c r="AE493" s="361"/>
    </row>
    <row r="494">
      <c r="A494" s="364" t="s">
        <v>580</v>
      </c>
      <c r="B494" s="364">
        <v>8.0</v>
      </c>
      <c r="C494" s="364">
        <v>561.0</v>
      </c>
      <c r="D494" s="364" t="s">
        <v>558</v>
      </c>
      <c r="E494" s="364">
        <v>1.0</v>
      </c>
      <c r="F494" s="365">
        <v>45552.493055555555</v>
      </c>
      <c r="G494" s="364">
        <v>1.0</v>
      </c>
      <c r="H494" s="364">
        <v>51.3741</v>
      </c>
      <c r="I494" s="364">
        <v>8.09486</v>
      </c>
      <c r="J494" s="364">
        <v>-27.495</v>
      </c>
      <c r="K494" s="364">
        <v>-26.2961</v>
      </c>
      <c r="L494" s="364">
        <v>1061.25</v>
      </c>
      <c r="M494" s="364">
        <v>75.4999</v>
      </c>
      <c r="N494" s="364">
        <v>11577.36</v>
      </c>
      <c r="O494" s="364">
        <v>11586.7</v>
      </c>
      <c r="P494" s="366">
        <v>2090.612</v>
      </c>
      <c r="Q494" s="366" t="s">
        <v>509</v>
      </c>
      <c r="R494" s="338" t="s">
        <v>12</v>
      </c>
      <c r="S494" s="367">
        <v>10.0</v>
      </c>
      <c r="T494" s="367">
        <v>5.0</v>
      </c>
      <c r="U494" s="367">
        <v>0.7</v>
      </c>
      <c r="V494" s="367">
        <v>0.7</v>
      </c>
      <c r="W494" s="367">
        <v>0.7</v>
      </c>
      <c r="X494" s="368">
        <v>2000.0</v>
      </c>
      <c r="Y494" s="369" t="s">
        <v>510</v>
      </c>
      <c r="Z494" s="368">
        <v>0.2</v>
      </c>
      <c r="AA494" s="369" t="s">
        <v>511</v>
      </c>
      <c r="AB494" s="369" t="s">
        <v>512</v>
      </c>
      <c r="AC494" s="368">
        <v>220.0</v>
      </c>
      <c r="AD494" s="162"/>
      <c r="AE494" s="361"/>
    </row>
    <row r="495">
      <c r="A495" s="364" t="s">
        <v>581</v>
      </c>
      <c r="B495" s="364">
        <v>8.0</v>
      </c>
      <c r="C495" s="364">
        <v>561.0</v>
      </c>
      <c r="D495" s="364" t="s">
        <v>558</v>
      </c>
      <c r="E495" s="364">
        <v>1.0</v>
      </c>
      <c r="F495" s="365">
        <v>45552.495833333334</v>
      </c>
      <c r="G495" s="364">
        <v>1.0</v>
      </c>
      <c r="H495" s="364">
        <v>51.3741</v>
      </c>
      <c r="I495" s="364">
        <v>8.12734</v>
      </c>
      <c r="J495" s="364">
        <v>-27.3824</v>
      </c>
      <c r="K495" s="364">
        <v>-26.0118</v>
      </c>
      <c r="L495" s="364">
        <v>1062.97</v>
      </c>
      <c r="M495" s="364">
        <v>77.50026</v>
      </c>
      <c r="N495" s="364">
        <v>11596.05</v>
      </c>
      <c r="O495" s="364">
        <v>11586.7</v>
      </c>
      <c r="P495" s="366">
        <v>2090.612</v>
      </c>
      <c r="Q495" s="366" t="s">
        <v>509</v>
      </c>
      <c r="R495" s="338" t="s">
        <v>12</v>
      </c>
      <c r="S495" s="367">
        <v>10.0</v>
      </c>
      <c r="T495" s="367">
        <v>5.0</v>
      </c>
      <c r="U495" s="367">
        <v>0.7</v>
      </c>
      <c r="V495" s="367">
        <v>0.7</v>
      </c>
      <c r="W495" s="367">
        <v>0.7</v>
      </c>
      <c r="X495" s="368">
        <v>2000.0</v>
      </c>
      <c r="Y495" s="369" t="s">
        <v>510</v>
      </c>
      <c r="Z495" s="368">
        <v>0.2</v>
      </c>
      <c r="AA495" s="369" t="s">
        <v>511</v>
      </c>
      <c r="AB495" s="369" t="s">
        <v>512</v>
      </c>
      <c r="AC495" s="368">
        <v>220.0</v>
      </c>
      <c r="AD495" s="162"/>
      <c r="AE495" s="361"/>
    </row>
    <row r="496">
      <c r="A496" s="364" t="s">
        <v>583</v>
      </c>
      <c r="B496" s="364">
        <v>9.0</v>
      </c>
      <c r="C496" s="364">
        <v>573.0</v>
      </c>
      <c r="D496" s="364" t="s">
        <v>561</v>
      </c>
      <c r="E496" s="364">
        <v>1.0</v>
      </c>
      <c r="F496" s="365">
        <v>45552.49930555555</v>
      </c>
      <c r="G496" s="364">
        <v>1.0</v>
      </c>
      <c r="H496" s="364">
        <v>51.3708</v>
      </c>
      <c r="I496" s="364">
        <v>8.10019</v>
      </c>
      <c r="J496" s="364">
        <v>-27.55</v>
      </c>
      <c r="K496" s="364">
        <v>-25.8048</v>
      </c>
      <c r="L496" s="364">
        <v>1095.32</v>
      </c>
      <c r="M496" s="364">
        <v>68.50105</v>
      </c>
      <c r="N496" s="364">
        <v>11521.79</v>
      </c>
      <c r="O496" s="364">
        <v>11529.32</v>
      </c>
      <c r="P496" s="366">
        <v>2080.503</v>
      </c>
      <c r="Q496" s="366" t="s">
        <v>509</v>
      </c>
      <c r="R496" s="338" t="s">
        <v>12</v>
      </c>
      <c r="S496" s="367">
        <v>10.0</v>
      </c>
      <c r="T496" s="367">
        <v>5.0</v>
      </c>
      <c r="U496" s="367">
        <v>0.7</v>
      </c>
      <c r="V496" s="367">
        <v>0.7</v>
      </c>
      <c r="W496" s="367">
        <v>0.7</v>
      </c>
      <c r="X496" s="368">
        <v>2000.0</v>
      </c>
      <c r="Y496" s="369" t="s">
        <v>510</v>
      </c>
      <c r="Z496" s="368">
        <v>0.2</v>
      </c>
      <c r="AA496" s="369" t="s">
        <v>511</v>
      </c>
      <c r="AB496" s="369" t="s">
        <v>512</v>
      </c>
      <c r="AC496" s="368">
        <v>220.0</v>
      </c>
      <c r="AD496" s="162"/>
      <c r="AE496" s="361"/>
    </row>
    <row r="497">
      <c r="A497" s="364" t="s">
        <v>584</v>
      </c>
      <c r="B497" s="364">
        <v>9.0</v>
      </c>
      <c r="C497" s="364">
        <v>573.0</v>
      </c>
      <c r="D497" s="364" t="s">
        <v>561</v>
      </c>
      <c r="E497" s="364">
        <v>1.0</v>
      </c>
      <c r="F497" s="365">
        <v>45552.50208333333</v>
      </c>
      <c r="G497" s="364">
        <v>1.0</v>
      </c>
      <c r="H497" s="364">
        <v>51.3741</v>
      </c>
      <c r="I497" s="364">
        <v>8.29177</v>
      </c>
      <c r="J497" s="364">
        <v>-27.3573</v>
      </c>
      <c r="K497" s="364">
        <v>-26.3443</v>
      </c>
      <c r="L497" s="364">
        <v>1069.22</v>
      </c>
      <c r="M497" s="364">
        <v>76.50031</v>
      </c>
      <c r="N497" s="364">
        <v>11536.85</v>
      </c>
      <c r="O497" s="364">
        <v>11529.32</v>
      </c>
      <c r="P497" s="366">
        <v>2080.503</v>
      </c>
      <c r="Q497" s="366" t="s">
        <v>509</v>
      </c>
      <c r="R497" s="338" t="s">
        <v>12</v>
      </c>
      <c r="S497" s="367">
        <v>10.0</v>
      </c>
      <c r="T497" s="367">
        <v>5.0</v>
      </c>
      <c r="U497" s="367">
        <v>0.7</v>
      </c>
      <c r="V497" s="367">
        <v>0.7</v>
      </c>
      <c r="W497" s="367">
        <v>0.7</v>
      </c>
      <c r="X497" s="368">
        <v>2000.0</v>
      </c>
      <c r="Y497" s="369" t="s">
        <v>510</v>
      </c>
      <c r="Z497" s="368">
        <v>0.2</v>
      </c>
      <c r="AA497" s="369" t="s">
        <v>511</v>
      </c>
      <c r="AB497" s="369" t="s">
        <v>512</v>
      </c>
      <c r="AC497" s="368">
        <v>220.0</v>
      </c>
      <c r="AD497" s="162"/>
      <c r="AE497" s="361"/>
    </row>
    <row r="498">
      <c r="A498" s="364" t="s">
        <v>587</v>
      </c>
      <c r="B498" s="364">
        <v>10.0</v>
      </c>
      <c r="C498" s="364">
        <v>574.0</v>
      </c>
      <c r="D498" s="364" t="s">
        <v>532</v>
      </c>
      <c r="E498" s="364">
        <v>1.0</v>
      </c>
      <c r="F498" s="365">
        <v>45552.50555555556</v>
      </c>
      <c r="G498" s="364">
        <v>1.0</v>
      </c>
      <c r="H498" s="364">
        <v>51.3807</v>
      </c>
      <c r="I498" s="364">
        <v>8.23829</v>
      </c>
      <c r="J498" s="364">
        <v>-27.5002</v>
      </c>
      <c r="K498" s="364">
        <v>-26.5574</v>
      </c>
      <c r="L498" s="364">
        <v>1058.85</v>
      </c>
      <c r="M498" s="364">
        <v>81.00005</v>
      </c>
      <c r="N498" s="364">
        <v>11590.63</v>
      </c>
      <c r="O498" s="364">
        <v>0.0</v>
      </c>
      <c r="P498" s="366">
        <v>0.0</v>
      </c>
      <c r="Q498" s="366" t="s">
        <v>588</v>
      </c>
      <c r="R498" s="338" t="s">
        <v>534</v>
      </c>
      <c r="S498" s="367">
        <v>10.0</v>
      </c>
      <c r="T498" s="367">
        <v>5.0</v>
      </c>
      <c r="U498" s="367">
        <v>0.7</v>
      </c>
      <c r="V498" s="367">
        <v>0.7</v>
      </c>
      <c r="W498" s="367">
        <v>0.7</v>
      </c>
      <c r="X498" s="368">
        <v>2000.0</v>
      </c>
      <c r="Y498" s="369" t="s">
        <v>510</v>
      </c>
      <c r="Z498" s="368">
        <v>0.2</v>
      </c>
      <c r="AA498" s="369" t="s">
        <v>511</v>
      </c>
      <c r="AB498" s="369" t="s">
        <v>512</v>
      </c>
      <c r="AC498" s="368">
        <v>220.0</v>
      </c>
      <c r="AD498" s="162"/>
      <c r="AE498" s="361"/>
    </row>
    <row r="499">
      <c r="A499" s="364" t="s">
        <v>589</v>
      </c>
      <c r="B499" s="364">
        <v>10.0</v>
      </c>
      <c r="C499" s="364">
        <v>574.0</v>
      </c>
      <c r="D499" s="364" t="s">
        <v>532</v>
      </c>
      <c r="E499" s="364">
        <v>1.0</v>
      </c>
      <c r="F499" s="365">
        <v>45552.50902777778</v>
      </c>
      <c r="G499" s="364">
        <v>1.0</v>
      </c>
      <c r="H499" s="364">
        <v>51.3741</v>
      </c>
      <c r="I499" s="364">
        <v>8.1211</v>
      </c>
      <c r="J499" s="364">
        <v>-27.5081</v>
      </c>
      <c r="K499" s="364">
        <v>-25.6261</v>
      </c>
      <c r="L499" s="364">
        <v>1053.11</v>
      </c>
      <c r="M499" s="364">
        <v>64.99855</v>
      </c>
      <c r="N499" s="364">
        <v>11524.48</v>
      </c>
      <c r="O499" s="364">
        <v>0.0</v>
      </c>
      <c r="P499" s="366">
        <v>0.0</v>
      </c>
      <c r="Q499" s="366" t="s">
        <v>588</v>
      </c>
      <c r="R499" s="338" t="s">
        <v>534</v>
      </c>
      <c r="S499" s="367">
        <v>10.0</v>
      </c>
      <c r="T499" s="367">
        <v>5.0</v>
      </c>
      <c r="U499" s="367">
        <v>0.7</v>
      </c>
      <c r="V499" s="367">
        <v>0.7</v>
      </c>
      <c r="W499" s="367">
        <v>0.7</v>
      </c>
      <c r="X499" s="368">
        <v>2000.0</v>
      </c>
      <c r="Y499" s="369" t="s">
        <v>510</v>
      </c>
      <c r="Z499" s="368">
        <v>0.2</v>
      </c>
      <c r="AA499" s="369" t="s">
        <v>511</v>
      </c>
      <c r="AB499" s="369" t="s">
        <v>512</v>
      </c>
      <c r="AC499" s="368">
        <v>220.0</v>
      </c>
      <c r="AD499" s="162"/>
      <c r="AE499" s="361"/>
    </row>
    <row r="500">
      <c r="A500" s="364" t="s">
        <v>590</v>
      </c>
      <c r="B500" s="364">
        <v>10.0</v>
      </c>
      <c r="C500" s="364">
        <v>574.0</v>
      </c>
      <c r="D500" s="364" t="s">
        <v>532</v>
      </c>
      <c r="E500" s="364">
        <v>1.0</v>
      </c>
      <c r="F500" s="365">
        <v>45552.51180555556</v>
      </c>
      <c r="G500" s="364">
        <v>1.0</v>
      </c>
      <c r="H500" s="364">
        <v>51.3774</v>
      </c>
      <c r="I500" s="364">
        <v>8.20801</v>
      </c>
      <c r="J500" s="364">
        <v>-27.4568</v>
      </c>
      <c r="K500" s="364">
        <v>-26.0704</v>
      </c>
      <c r="L500" s="364">
        <v>1060.06</v>
      </c>
      <c r="M500" s="364">
        <v>69.99979</v>
      </c>
      <c r="N500" s="364">
        <v>11555.75</v>
      </c>
      <c r="O500" s="364">
        <v>0.0</v>
      </c>
      <c r="P500" s="366">
        <v>0.0</v>
      </c>
      <c r="Q500" s="366" t="s">
        <v>588</v>
      </c>
      <c r="R500" s="338" t="s">
        <v>534</v>
      </c>
      <c r="S500" s="367">
        <v>10.0</v>
      </c>
      <c r="T500" s="367">
        <v>5.0</v>
      </c>
      <c r="U500" s="367">
        <v>0.7</v>
      </c>
      <c r="V500" s="367">
        <v>0.7</v>
      </c>
      <c r="W500" s="367">
        <v>0.7</v>
      </c>
      <c r="X500" s="368">
        <v>2000.0</v>
      </c>
      <c r="Y500" s="369" t="s">
        <v>510</v>
      </c>
      <c r="Z500" s="368">
        <v>0.2</v>
      </c>
      <c r="AA500" s="369" t="s">
        <v>511</v>
      </c>
      <c r="AB500" s="369" t="s">
        <v>512</v>
      </c>
      <c r="AC500" s="368">
        <v>220.0</v>
      </c>
      <c r="AD500" s="162"/>
      <c r="AE500" s="361"/>
    </row>
    <row r="501">
      <c r="A501" s="364" t="s">
        <v>591</v>
      </c>
      <c r="B501" s="364">
        <v>10.0</v>
      </c>
      <c r="C501" s="364">
        <v>574.0</v>
      </c>
      <c r="D501" s="364" t="s">
        <v>532</v>
      </c>
      <c r="E501" s="364">
        <v>1.0</v>
      </c>
      <c r="F501" s="365">
        <v>45552.51458333333</v>
      </c>
      <c r="G501" s="364">
        <v>1.0</v>
      </c>
      <c r="H501" s="364">
        <v>51.3774</v>
      </c>
      <c r="I501" s="364">
        <v>8.02872</v>
      </c>
      <c r="J501" s="364">
        <v>-27.513</v>
      </c>
      <c r="K501" s="364">
        <v>-25.5725</v>
      </c>
      <c r="L501" s="364">
        <v>1063.71</v>
      </c>
      <c r="M501" s="364">
        <v>64.50072</v>
      </c>
      <c r="N501" s="364">
        <v>11529.35</v>
      </c>
      <c r="O501" s="364">
        <v>0.0</v>
      </c>
      <c r="P501" s="366">
        <v>0.0</v>
      </c>
      <c r="Q501" s="366" t="s">
        <v>588</v>
      </c>
      <c r="R501" s="338" t="s">
        <v>534</v>
      </c>
      <c r="S501" s="367">
        <v>10.0</v>
      </c>
      <c r="T501" s="367">
        <v>5.0</v>
      </c>
      <c r="U501" s="367">
        <v>0.7</v>
      </c>
      <c r="V501" s="367">
        <v>0.7</v>
      </c>
      <c r="W501" s="367">
        <v>0.7</v>
      </c>
      <c r="X501" s="368">
        <v>2000.0</v>
      </c>
      <c r="Y501" s="369" t="s">
        <v>510</v>
      </c>
      <c r="Z501" s="368">
        <v>0.2</v>
      </c>
      <c r="AA501" s="369" t="s">
        <v>511</v>
      </c>
      <c r="AB501" s="369" t="s">
        <v>512</v>
      </c>
      <c r="AC501" s="368">
        <v>220.0</v>
      </c>
      <c r="AD501" s="162"/>
      <c r="AE501" s="361"/>
    </row>
    <row r="502">
      <c r="A502" s="364" t="s">
        <v>592</v>
      </c>
      <c r="B502" s="364">
        <v>10.0</v>
      </c>
      <c r="C502" s="364">
        <v>574.0</v>
      </c>
      <c r="D502" s="364" t="s">
        <v>532</v>
      </c>
      <c r="E502" s="364">
        <v>1.0</v>
      </c>
      <c r="F502" s="365">
        <v>45552.51736111111</v>
      </c>
      <c r="G502" s="364">
        <v>1.0</v>
      </c>
      <c r="H502" s="364">
        <v>51.3774</v>
      </c>
      <c r="I502" s="364">
        <v>8.03963</v>
      </c>
      <c r="J502" s="364">
        <v>-27.5331</v>
      </c>
      <c r="K502" s="364">
        <v>-26.0336</v>
      </c>
      <c r="L502" s="364">
        <v>1059.53</v>
      </c>
      <c r="M502" s="364">
        <v>69.50048</v>
      </c>
      <c r="N502" s="364">
        <v>11557.03</v>
      </c>
      <c r="O502" s="364">
        <v>0.0</v>
      </c>
      <c r="P502" s="366">
        <v>0.0</v>
      </c>
      <c r="Q502" s="366" t="s">
        <v>588</v>
      </c>
      <c r="R502" s="338" t="s">
        <v>534</v>
      </c>
      <c r="S502" s="367">
        <v>10.0</v>
      </c>
      <c r="T502" s="367">
        <v>5.0</v>
      </c>
      <c r="U502" s="367">
        <v>0.7</v>
      </c>
      <c r="V502" s="367">
        <v>0.7</v>
      </c>
      <c r="W502" s="367">
        <v>0.7</v>
      </c>
      <c r="X502" s="368">
        <v>2000.0</v>
      </c>
      <c r="Y502" s="369" t="s">
        <v>510</v>
      </c>
      <c r="Z502" s="368">
        <v>0.2</v>
      </c>
      <c r="AA502" s="369" t="s">
        <v>511</v>
      </c>
      <c r="AB502" s="369" t="s">
        <v>512</v>
      </c>
      <c r="AC502" s="368">
        <v>220.0</v>
      </c>
      <c r="AD502" s="162"/>
      <c r="AE502" s="361"/>
    </row>
    <row r="503">
      <c r="A503" s="364" t="s">
        <v>593</v>
      </c>
      <c r="B503" s="364">
        <v>10.0</v>
      </c>
      <c r="C503" s="364">
        <v>574.0</v>
      </c>
      <c r="D503" s="364" t="s">
        <v>532</v>
      </c>
      <c r="E503" s="364">
        <v>1.0</v>
      </c>
      <c r="F503" s="365">
        <v>45552.52013888889</v>
      </c>
      <c r="G503" s="364">
        <v>2.0</v>
      </c>
      <c r="H503" s="364">
        <v>51.3741</v>
      </c>
      <c r="I503" s="364">
        <v>7.95942</v>
      </c>
      <c r="J503" s="364">
        <v>-27.5483</v>
      </c>
      <c r="K503" s="364">
        <v>-26.0603</v>
      </c>
      <c r="L503" s="364">
        <v>1063.49</v>
      </c>
      <c r="M503" s="364">
        <v>71.99996</v>
      </c>
      <c r="N503" s="364">
        <v>11559.31</v>
      </c>
      <c r="O503" s="364">
        <v>11556.62</v>
      </c>
      <c r="P503" s="366">
        <v>2085.312</v>
      </c>
      <c r="Q503" s="366" t="s">
        <v>509</v>
      </c>
      <c r="R503" s="338" t="s">
        <v>12</v>
      </c>
      <c r="S503" s="367">
        <v>10.0</v>
      </c>
      <c r="T503" s="367">
        <v>5.0</v>
      </c>
      <c r="U503" s="367">
        <v>0.7</v>
      </c>
      <c r="V503" s="367">
        <v>0.7</v>
      </c>
      <c r="W503" s="367">
        <v>0.7</v>
      </c>
      <c r="X503" s="368">
        <v>2000.0</v>
      </c>
      <c r="Y503" s="369" t="s">
        <v>510</v>
      </c>
      <c r="Z503" s="368">
        <v>0.2</v>
      </c>
      <c r="AA503" s="369" t="s">
        <v>511</v>
      </c>
      <c r="AB503" s="369" t="s">
        <v>512</v>
      </c>
      <c r="AC503" s="368">
        <v>220.0</v>
      </c>
      <c r="AD503" s="162"/>
      <c r="AE503" s="361"/>
    </row>
    <row r="504">
      <c r="A504" s="364" t="s">
        <v>594</v>
      </c>
      <c r="B504" s="364">
        <v>10.0</v>
      </c>
      <c r="C504" s="364">
        <v>574.0</v>
      </c>
      <c r="D504" s="364" t="s">
        <v>532</v>
      </c>
      <c r="E504" s="364">
        <v>1.0</v>
      </c>
      <c r="F504" s="365">
        <v>45552.52291666667</v>
      </c>
      <c r="G504" s="364">
        <v>2.0</v>
      </c>
      <c r="H504" s="364">
        <v>51.3741</v>
      </c>
      <c r="I504" s="364">
        <v>8.07772</v>
      </c>
      <c r="J504" s="364">
        <v>-27.3796</v>
      </c>
      <c r="K504" s="364">
        <v>-26.152</v>
      </c>
      <c r="L504" s="364">
        <v>1070.61</v>
      </c>
      <c r="M504" s="364">
        <v>73.0005</v>
      </c>
      <c r="N504" s="364">
        <v>11553.93</v>
      </c>
      <c r="O504" s="364">
        <v>11556.62</v>
      </c>
      <c r="P504" s="366">
        <v>2085.312</v>
      </c>
      <c r="Q504" s="366" t="s">
        <v>509</v>
      </c>
      <c r="R504" s="338" t="s">
        <v>12</v>
      </c>
      <c r="S504" s="367">
        <v>10.0</v>
      </c>
      <c r="T504" s="367">
        <v>5.0</v>
      </c>
      <c r="U504" s="367">
        <v>0.7</v>
      </c>
      <c r="V504" s="367">
        <v>0.7</v>
      </c>
      <c r="W504" s="367">
        <v>0.7</v>
      </c>
      <c r="X504" s="368">
        <v>2000.0</v>
      </c>
      <c r="Y504" s="369" t="s">
        <v>510</v>
      </c>
      <c r="Z504" s="368">
        <v>0.2</v>
      </c>
      <c r="AA504" s="369" t="s">
        <v>511</v>
      </c>
      <c r="AB504" s="369" t="s">
        <v>512</v>
      </c>
      <c r="AC504" s="368">
        <v>220.0</v>
      </c>
      <c r="AD504" s="162"/>
      <c r="AE504" s="361"/>
    </row>
    <row r="505">
      <c r="A505" s="364" t="s">
        <v>598</v>
      </c>
      <c r="B505" s="364">
        <v>11.0</v>
      </c>
      <c r="C505" s="364">
        <v>586.0</v>
      </c>
      <c r="D505" s="364" t="s">
        <v>540</v>
      </c>
      <c r="E505" s="364">
        <v>1.0</v>
      </c>
      <c r="F505" s="365">
        <v>45552.52638888889</v>
      </c>
      <c r="G505" s="364">
        <v>1.0</v>
      </c>
      <c r="H505" s="364">
        <v>51.3708</v>
      </c>
      <c r="I505" s="364">
        <v>8.04283</v>
      </c>
      <c r="J505" s="364">
        <v>-27.502</v>
      </c>
      <c r="K505" s="364">
        <v>-26.1682</v>
      </c>
      <c r="L505" s="364">
        <v>1058.69</v>
      </c>
      <c r="M505" s="364">
        <v>74.99954</v>
      </c>
      <c r="N505" s="364">
        <v>11539.27</v>
      </c>
      <c r="O505" s="364">
        <v>11546.24</v>
      </c>
      <c r="P505" s="366">
        <v>2083.483</v>
      </c>
      <c r="Q505" s="366" t="s">
        <v>519</v>
      </c>
      <c r="R505" s="338" t="s">
        <v>12</v>
      </c>
      <c r="S505" s="367">
        <v>10.0</v>
      </c>
      <c r="T505" s="367">
        <v>5.0</v>
      </c>
      <c r="U505" s="367">
        <v>0.7</v>
      </c>
      <c r="V505" s="367">
        <v>0.7</v>
      </c>
      <c r="W505" s="367">
        <v>0.7</v>
      </c>
      <c r="X505" s="368">
        <v>2000.0</v>
      </c>
      <c r="Y505" s="369" t="s">
        <v>510</v>
      </c>
      <c r="Z505" s="368">
        <v>0.2</v>
      </c>
      <c r="AA505" s="369" t="s">
        <v>511</v>
      </c>
      <c r="AB505" s="369" t="s">
        <v>512</v>
      </c>
      <c r="AC505" s="368">
        <v>220.0</v>
      </c>
      <c r="AD505" s="162"/>
      <c r="AE505" s="361"/>
    </row>
    <row r="506">
      <c r="A506" s="364" t="s">
        <v>599</v>
      </c>
      <c r="B506" s="364">
        <v>11.0</v>
      </c>
      <c r="C506" s="364">
        <v>586.0</v>
      </c>
      <c r="D506" s="364" t="s">
        <v>540</v>
      </c>
      <c r="E506" s="364">
        <v>1.0</v>
      </c>
      <c r="F506" s="365">
        <v>45552.52916666667</v>
      </c>
      <c r="G506" s="364">
        <v>1.0</v>
      </c>
      <c r="H506" s="364">
        <v>51.3774</v>
      </c>
      <c r="I506" s="364">
        <v>8.02575</v>
      </c>
      <c r="J506" s="364">
        <v>-27.4253</v>
      </c>
      <c r="K506" s="364">
        <v>-26.3802</v>
      </c>
      <c r="L506" s="364">
        <v>1069.95</v>
      </c>
      <c r="M506" s="364">
        <v>76.50025</v>
      </c>
      <c r="N506" s="364">
        <v>11576.66</v>
      </c>
      <c r="O506" s="364">
        <v>11546.24</v>
      </c>
      <c r="P506" s="366">
        <v>2083.483</v>
      </c>
      <c r="Q506" s="366" t="s">
        <v>519</v>
      </c>
      <c r="R506" s="338" t="s">
        <v>12</v>
      </c>
      <c r="S506" s="367">
        <v>10.0</v>
      </c>
      <c r="T506" s="367">
        <v>5.0</v>
      </c>
      <c r="U506" s="367">
        <v>0.7</v>
      </c>
      <c r="V506" s="367">
        <v>0.7</v>
      </c>
      <c r="W506" s="367">
        <v>0.7</v>
      </c>
      <c r="X506" s="368">
        <v>2000.0</v>
      </c>
      <c r="Y506" s="369" t="s">
        <v>510</v>
      </c>
      <c r="Z506" s="368">
        <v>0.2</v>
      </c>
      <c r="AA506" s="369" t="s">
        <v>511</v>
      </c>
      <c r="AB506" s="369" t="s">
        <v>512</v>
      </c>
      <c r="AC506" s="368">
        <v>220.0</v>
      </c>
      <c r="AD506" s="162"/>
      <c r="AE506" s="361"/>
    </row>
    <row r="507">
      <c r="A507" s="364" t="s">
        <v>726</v>
      </c>
      <c r="B507" s="364">
        <v>11.0</v>
      </c>
      <c r="C507" s="364">
        <v>586.0</v>
      </c>
      <c r="D507" s="364" t="s">
        <v>540</v>
      </c>
      <c r="E507" s="364">
        <v>1.0</v>
      </c>
      <c r="F507" s="365">
        <v>45552.53194444445</v>
      </c>
      <c r="G507" s="364">
        <v>1.0</v>
      </c>
      <c r="H507" s="364">
        <v>51.3675</v>
      </c>
      <c r="I507" s="364">
        <v>7.98421</v>
      </c>
      <c r="J507" s="364">
        <v>-27.5143</v>
      </c>
      <c r="K507" s="364">
        <v>-25.8869</v>
      </c>
      <c r="L507" s="364">
        <v>1069.29</v>
      </c>
      <c r="M507" s="364">
        <v>68.00054</v>
      </c>
      <c r="N507" s="364">
        <v>11538.45</v>
      </c>
      <c r="O507" s="364">
        <v>11546.24</v>
      </c>
      <c r="P507" s="366">
        <v>2083.483</v>
      </c>
      <c r="Q507" s="366" t="s">
        <v>509</v>
      </c>
      <c r="R507" s="338" t="s">
        <v>12</v>
      </c>
      <c r="S507" s="367">
        <v>10.0</v>
      </c>
      <c r="T507" s="367">
        <v>5.0</v>
      </c>
      <c r="U507" s="367">
        <v>0.7</v>
      </c>
      <c r="V507" s="367">
        <v>0.7</v>
      </c>
      <c r="W507" s="367">
        <v>0.7</v>
      </c>
      <c r="X507" s="368">
        <v>2000.0</v>
      </c>
      <c r="Y507" s="369" t="s">
        <v>510</v>
      </c>
      <c r="Z507" s="368">
        <v>0.2</v>
      </c>
      <c r="AA507" s="369" t="s">
        <v>511</v>
      </c>
      <c r="AB507" s="369" t="s">
        <v>512</v>
      </c>
      <c r="AC507" s="368">
        <v>220.0</v>
      </c>
      <c r="AD507" s="162"/>
      <c r="AE507" s="361"/>
    </row>
    <row r="508">
      <c r="A508" s="364" t="s">
        <v>727</v>
      </c>
      <c r="B508" s="364">
        <v>11.0</v>
      </c>
      <c r="C508" s="364">
        <v>586.0</v>
      </c>
      <c r="D508" s="364" t="s">
        <v>540</v>
      </c>
      <c r="E508" s="364">
        <v>1.0</v>
      </c>
      <c r="F508" s="365">
        <v>45552.53472222222</v>
      </c>
      <c r="G508" s="364">
        <v>1.0</v>
      </c>
      <c r="H508" s="364">
        <v>51.3774</v>
      </c>
      <c r="I508" s="364">
        <v>8.03339</v>
      </c>
      <c r="J508" s="364">
        <v>-27.4429</v>
      </c>
      <c r="K508" s="364">
        <v>-26.1808</v>
      </c>
      <c r="L508" s="364">
        <v>1059.39</v>
      </c>
      <c r="M508" s="364">
        <v>72.00059</v>
      </c>
      <c r="N508" s="364">
        <v>11554.03</v>
      </c>
      <c r="O508" s="364">
        <v>11546.24</v>
      </c>
      <c r="P508" s="366">
        <v>2083.483</v>
      </c>
      <c r="Q508" s="366" t="s">
        <v>509</v>
      </c>
      <c r="R508" s="338" t="s">
        <v>12</v>
      </c>
      <c r="S508" s="367">
        <v>10.0</v>
      </c>
      <c r="T508" s="367">
        <v>5.0</v>
      </c>
      <c r="U508" s="367">
        <v>0.7</v>
      </c>
      <c r="V508" s="367">
        <v>0.7</v>
      </c>
      <c r="W508" s="367">
        <v>0.7</v>
      </c>
      <c r="X508" s="368">
        <v>2000.0</v>
      </c>
      <c r="Y508" s="369" t="s">
        <v>510</v>
      </c>
      <c r="Z508" s="368">
        <v>0.2</v>
      </c>
      <c r="AA508" s="369" t="s">
        <v>511</v>
      </c>
      <c r="AB508" s="369" t="s">
        <v>512</v>
      </c>
      <c r="AC508" s="368">
        <v>220.0</v>
      </c>
      <c r="AD508" s="162"/>
      <c r="AE508" s="361"/>
    </row>
    <row r="509">
      <c r="A509" s="364" t="s">
        <v>804</v>
      </c>
      <c r="B509" s="364" t="s">
        <v>517</v>
      </c>
      <c r="C509" s="364" t="s">
        <v>802</v>
      </c>
      <c r="D509" s="364" t="s">
        <v>508</v>
      </c>
      <c r="E509" s="364">
        <v>0.8</v>
      </c>
      <c r="F509" s="365">
        <v>45552.538194444445</v>
      </c>
      <c r="G509" s="364">
        <v>1.0</v>
      </c>
      <c r="H509" s="364">
        <v>51.3741</v>
      </c>
      <c r="I509" s="364">
        <v>7.78438</v>
      </c>
      <c r="J509" s="364">
        <v>-27.4747</v>
      </c>
      <c r="K509" s="364">
        <v>-26.0459</v>
      </c>
      <c r="L509" s="364">
        <v>1006.58</v>
      </c>
      <c r="M509" s="364">
        <v>65.00122</v>
      </c>
      <c r="N509" s="364">
        <v>9254.585</v>
      </c>
      <c r="O509" s="364">
        <v>9225.731</v>
      </c>
      <c r="P509" s="366">
        <v>2091.856</v>
      </c>
      <c r="Q509" s="366" t="s">
        <v>519</v>
      </c>
      <c r="R509" s="338" t="s">
        <v>12</v>
      </c>
      <c r="S509" s="367">
        <v>10.0</v>
      </c>
      <c r="T509" s="367">
        <v>5.0</v>
      </c>
      <c r="U509" s="367">
        <v>0.7</v>
      </c>
      <c r="V509" s="367">
        <v>0.7</v>
      </c>
      <c r="W509" s="367">
        <v>0.7</v>
      </c>
      <c r="X509" s="368">
        <v>2000.0</v>
      </c>
      <c r="Y509" s="369" t="s">
        <v>510</v>
      </c>
      <c r="Z509" s="368">
        <v>0.2</v>
      </c>
      <c r="AA509" s="369" t="s">
        <v>511</v>
      </c>
      <c r="AB509" s="369" t="s">
        <v>512</v>
      </c>
      <c r="AC509" s="368">
        <v>220.0</v>
      </c>
      <c r="AD509" s="162"/>
      <c r="AE509" s="361"/>
    </row>
    <row r="510">
      <c r="A510" s="364" t="s">
        <v>805</v>
      </c>
      <c r="B510" s="364" t="s">
        <v>517</v>
      </c>
      <c r="C510" s="364" t="s">
        <v>802</v>
      </c>
      <c r="D510" s="364" t="s">
        <v>508</v>
      </c>
      <c r="E510" s="364">
        <v>0.8</v>
      </c>
      <c r="F510" s="365">
        <v>45552.54027777778</v>
      </c>
      <c r="G510" s="364">
        <v>1.0</v>
      </c>
      <c r="H510" s="364">
        <v>51.3807</v>
      </c>
      <c r="I510" s="364">
        <v>7.8928</v>
      </c>
      <c r="J510" s="364">
        <v>-27.4964</v>
      </c>
      <c r="K510" s="364">
        <v>-25.9568</v>
      </c>
      <c r="L510" s="364">
        <v>1005.56</v>
      </c>
      <c r="M510" s="364">
        <v>62.4999</v>
      </c>
      <c r="N510" s="364">
        <v>9219.872</v>
      </c>
      <c r="O510" s="364">
        <v>9225.731</v>
      </c>
      <c r="P510" s="366">
        <v>2091.856</v>
      </c>
      <c r="Q510" s="366" t="s">
        <v>509</v>
      </c>
      <c r="R510" s="338" t="s">
        <v>12</v>
      </c>
      <c r="S510" s="367">
        <v>10.0</v>
      </c>
      <c r="T510" s="367">
        <v>5.0</v>
      </c>
      <c r="U510" s="367">
        <v>0.7</v>
      </c>
      <c r="V510" s="367">
        <v>0.7</v>
      </c>
      <c r="W510" s="367">
        <v>0.7</v>
      </c>
      <c r="X510" s="368">
        <v>2000.0</v>
      </c>
      <c r="Y510" s="369" t="s">
        <v>510</v>
      </c>
      <c r="Z510" s="368">
        <v>0.2</v>
      </c>
      <c r="AA510" s="369" t="s">
        <v>511</v>
      </c>
      <c r="AB510" s="369" t="s">
        <v>512</v>
      </c>
      <c r="AC510" s="368">
        <v>220.0</v>
      </c>
      <c r="AD510" s="162"/>
      <c r="AE510" s="361"/>
    </row>
    <row r="511">
      <c r="A511" s="364" t="s">
        <v>806</v>
      </c>
      <c r="B511" s="364" t="s">
        <v>517</v>
      </c>
      <c r="C511" s="364" t="s">
        <v>802</v>
      </c>
      <c r="D511" s="364" t="s">
        <v>508</v>
      </c>
      <c r="E511" s="364">
        <v>0.8</v>
      </c>
      <c r="F511" s="365">
        <v>45552.54305555556</v>
      </c>
      <c r="G511" s="364">
        <v>1.0</v>
      </c>
      <c r="H511" s="364">
        <v>51.3741</v>
      </c>
      <c r="I511" s="364">
        <v>7.94285</v>
      </c>
      <c r="J511" s="364">
        <v>-27.5157</v>
      </c>
      <c r="K511" s="364">
        <v>-26.1369</v>
      </c>
      <c r="L511" s="364">
        <v>1013.95</v>
      </c>
      <c r="M511" s="364">
        <v>65.00084</v>
      </c>
      <c r="N511" s="364">
        <v>9231.591</v>
      </c>
      <c r="O511" s="364">
        <v>9225.731</v>
      </c>
      <c r="P511" s="366">
        <v>2091.856</v>
      </c>
      <c r="Q511" s="366" t="s">
        <v>509</v>
      </c>
      <c r="R511" s="338" t="s">
        <v>12</v>
      </c>
      <c r="S511" s="367">
        <v>10.0</v>
      </c>
      <c r="T511" s="367">
        <v>5.0</v>
      </c>
      <c r="U511" s="367">
        <v>0.7</v>
      </c>
      <c r="V511" s="367">
        <v>0.7</v>
      </c>
      <c r="W511" s="367">
        <v>0.7</v>
      </c>
      <c r="X511" s="368">
        <v>2000.0</v>
      </c>
      <c r="Y511" s="369" t="s">
        <v>510</v>
      </c>
      <c r="Z511" s="368">
        <v>0.2</v>
      </c>
      <c r="AA511" s="369" t="s">
        <v>511</v>
      </c>
      <c r="AB511" s="369" t="s">
        <v>512</v>
      </c>
      <c r="AC511" s="368">
        <v>220.0</v>
      </c>
      <c r="AD511" s="162"/>
      <c r="AE511" s="361"/>
    </row>
    <row r="512">
      <c r="A512" s="370" t="s">
        <v>807</v>
      </c>
      <c r="B512" s="370" t="s">
        <v>523</v>
      </c>
      <c r="C512" s="370" t="s">
        <v>802</v>
      </c>
      <c r="D512" s="370" t="s">
        <v>508</v>
      </c>
      <c r="E512" s="370">
        <v>1.0</v>
      </c>
      <c r="F512" s="371">
        <v>45552.54583333333</v>
      </c>
      <c r="G512" s="370">
        <v>1.0</v>
      </c>
      <c r="H512" s="370">
        <v>51.3708</v>
      </c>
      <c r="I512" s="370">
        <v>7.95145</v>
      </c>
      <c r="J512" s="370">
        <v>-27.5256</v>
      </c>
      <c r="K512" s="370">
        <v>-26.3117</v>
      </c>
      <c r="L512" s="370">
        <v>1068.71</v>
      </c>
      <c r="M512" s="370">
        <v>74.49973</v>
      </c>
      <c r="N512" s="370">
        <v>11589.91</v>
      </c>
      <c r="O512" s="370">
        <v>11586.41</v>
      </c>
      <c r="P512" s="372">
        <v>2091.856</v>
      </c>
      <c r="Q512" s="372" t="s">
        <v>509</v>
      </c>
      <c r="R512" s="338" t="s">
        <v>12</v>
      </c>
      <c r="S512" s="367">
        <v>10.0</v>
      </c>
      <c r="T512" s="367">
        <v>5.0</v>
      </c>
      <c r="U512" s="367">
        <v>0.7</v>
      </c>
      <c r="V512" s="367">
        <v>0.7</v>
      </c>
      <c r="W512" s="367">
        <v>0.7</v>
      </c>
      <c r="X512" s="368">
        <v>2000.0</v>
      </c>
      <c r="Y512" s="369" t="s">
        <v>510</v>
      </c>
      <c r="Z512" s="368">
        <v>0.2</v>
      </c>
      <c r="AA512" s="369" t="s">
        <v>511</v>
      </c>
      <c r="AB512" s="369" t="s">
        <v>512</v>
      </c>
      <c r="AC512" s="368">
        <v>220.0</v>
      </c>
      <c r="AD512" s="162"/>
      <c r="AE512" s="361"/>
    </row>
    <row r="513">
      <c r="A513" s="370" t="s">
        <v>808</v>
      </c>
      <c r="B513" s="370" t="s">
        <v>523</v>
      </c>
      <c r="C513" s="370" t="s">
        <v>802</v>
      </c>
      <c r="D513" s="370" t="s">
        <v>508</v>
      </c>
      <c r="E513" s="370">
        <v>1.0</v>
      </c>
      <c r="F513" s="371">
        <v>45552.54861111111</v>
      </c>
      <c r="G513" s="370">
        <v>1.0</v>
      </c>
      <c r="H513" s="370">
        <v>51.3741</v>
      </c>
      <c r="I513" s="370">
        <v>7.78306</v>
      </c>
      <c r="J513" s="370">
        <v>-27.6004</v>
      </c>
      <c r="K513" s="370">
        <v>-25.9259</v>
      </c>
      <c r="L513" s="370">
        <v>1061.85</v>
      </c>
      <c r="M513" s="370">
        <v>69.5002</v>
      </c>
      <c r="N513" s="370">
        <v>11582.9</v>
      </c>
      <c r="O513" s="370">
        <v>11586.41</v>
      </c>
      <c r="P513" s="372">
        <v>2091.856</v>
      </c>
      <c r="Q513" s="372" t="s">
        <v>509</v>
      </c>
      <c r="R513" s="338" t="s">
        <v>12</v>
      </c>
      <c r="S513" s="367">
        <v>10.0</v>
      </c>
      <c r="T513" s="367">
        <v>5.0</v>
      </c>
      <c r="U513" s="367">
        <v>0.7</v>
      </c>
      <c r="V513" s="367">
        <v>0.7</v>
      </c>
      <c r="W513" s="367">
        <v>0.7</v>
      </c>
      <c r="X513" s="368">
        <v>2000.0</v>
      </c>
      <c r="Y513" s="369" t="s">
        <v>510</v>
      </c>
      <c r="Z513" s="368">
        <v>0.2</v>
      </c>
      <c r="AA513" s="369" t="s">
        <v>511</v>
      </c>
      <c r="AB513" s="369" t="s">
        <v>512</v>
      </c>
      <c r="AC513" s="368">
        <v>220.0</v>
      </c>
      <c r="AD513" s="162"/>
      <c r="AE513" s="361"/>
    </row>
    <row r="514">
      <c r="A514" s="364" t="s">
        <v>809</v>
      </c>
      <c r="B514" s="364" t="s">
        <v>527</v>
      </c>
      <c r="C514" s="364" t="s">
        <v>802</v>
      </c>
      <c r="D514" s="364" t="s">
        <v>508</v>
      </c>
      <c r="E514" s="364">
        <v>1.2</v>
      </c>
      <c r="F514" s="365">
        <v>45552.55138888889</v>
      </c>
      <c r="G514" s="364">
        <v>1.0</v>
      </c>
      <c r="H514" s="364">
        <v>51.3675</v>
      </c>
      <c r="I514" s="364">
        <v>7.79125</v>
      </c>
      <c r="J514" s="364">
        <v>-27.4604</v>
      </c>
      <c r="K514" s="364">
        <v>-25.3806</v>
      </c>
      <c r="L514" s="364">
        <v>1097.75</v>
      </c>
      <c r="M514" s="364">
        <v>66.99988</v>
      </c>
      <c r="N514" s="364">
        <v>13930.28</v>
      </c>
      <c r="O514" s="364">
        <v>13938.27</v>
      </c>
      <c r="P514" s="366">
        <v>2091.856</v>
      </c>
      <c r="Q514" s="366" t="s">
        <v>509</v>
      </c>
      <c r="R514" s="338" t="s">
        <v>12</v>
      </c>
      <c r="S514" s="367">
        <v>10.0</v>
      </c>
      <c r="T514" s="367">
        <v>5.0</v>
      </c>
      <c r="U514" s="367">
        <v>0.7</v>
      </c>
      <c r="V514" s="367">
        <v>0.7</v>
      </c>
      <c r="W514" s="367">
        <v>0.7</v>
      </c>
      <c r="X514" s="368">
        <v>2000.0</v>
      </c>
      <c r="Y514" s="369" t="s">
        <v>510</v>
      </c>
      <c r="Z514" s="368">
        <v>0.2</v>
      </c>
      <c r="AA514" s="369" t="s">
        <v>511</v>
      </c>
      <c r="AB514" s="369" t="s">
        <v>512</v>
      </c>
      <c r="AC514" s="368">
        <v>220.0</v>
      </c>
      <c r="AD514" s="162"/>
      <c r="AE514" s="361"/>
    </row>
    <row r="515">
      <c r="A515" s="364" t="s">
        <v>810</v>
      </c>
      <c r="B515" s="364" t="s">
        <v>527</v>
      </c>
      <c r="C515" s="364" t="s">
        <v>802</v>
      </c>
      <c r="D515" s="364" t="s">
        <v>508</v>
      </c>
      <c r="E515" s="364">
        <v>1.2</v>
      </c>
      <c r="F515" s="365">
        <v>45552.55486111111</v>
      </c>
      <c r="G515" s="364">
        <v>1.0</v>
      </c>
      <c r="H515" s="364">
        <v>51.3708</v>
      </c>
      <c r="I515" s="364">
        <v>7.90407</v>
      </c>
      <c r="J515" s="364">
        <v>-27.4441</v>
      </c>
      <c r="K515" s="364">
        <v>-25.8033</v>
      </c>
      <c r="L515" s="364">
        <v>1106.45</v>
      </c>
      <c r="M515" s="364">
        <v>73.99945</v>
      </c>
      <c r="N515" s="364">
        <v>13946.26</v>
      </c>
      <c r="O515" s="364">
        <v>13938.27</v>
      </c>
      <c r="P515" s="366">
        <v>2091.856</v>
      </c>
      <c r="Q515" s="366" t="s">
        <v>509</v>
      </c>
      <c r="R515" s="338" t="s">
        <v>12</v>
      </c>
      <c r="S515" s="367">
        <v>10.0</v>
      </c>
      <c r="T515" s="367">
        <v>5.0</v>
      </c>
      <c r="U515" s="367">
        <v>0.7</v>
      </c>
      <c r="V515" s="367">
        <v>0.7</v>
      </c>
      <c r="W515" s="367">
        <v>0.7</v>
      </c>
      <c r="X515" s="368">
        <v>2000.0</v>
      </c>
      <c r="Y515" s="369" t="s">
        <v>510</v>
      </c>
      <c r="Z515" s="368">
        <v>0.2</v>
      </c>
      <c r="AA515" s="369" t="s">
        <v>511</v>
      </c>
      <c r="AB515" s="369" t="s">
        <v>512</v>
      </c>
      <c r="AC515" s="368">
        <v>220.0</v>
      </c>
      <c r="AD515" s="162"/>
      <c r="AE515" s="361"/>
    </row>
    <row r="516">
      <c r="A516" s="364" t="s">
        <v>652</v>
      </c>
      <c r="B516" s="364">
        <v>2.0</v>
      </c>
      <c r="C516" s="364">
        <v>587.0</v>
      </c>
      <c r="D516" s="364" t="s">
        <v>544</v>
      </c>
      <c r="E516" s="364">
        <v>1.0</v>
      </c>
      <c r="F516" s="365">
        <v>45552.55763888889</v>
      </c>
      <c r="G516" s="364">
        <v>1.0</v>
      </c>
      <c r="H516" s="364">
        <v>51.3708</v>
      </c>
      <c r="I516" s="364">
        <v>7.69639</v>
      </c>
      <c r="J516" s="364">
        <v>-27.5442</v>
      </c>
      <c r="K516" s="364">
        <v>-25.993</v>
      </c>
      <c r="L516" s="364">
        <v>1067.41</v>
      </c>
      <c r="M516" s="364">
        <v>71.50007</v>
      </c>
      <c r="N516" s="364">
        <v>11587.63</v>
      </c>
      <c r="O516" s="364">
        <v>11586.23</v>
      </c>
      <c r="P516" s="366">
        <v>2092.346</v>
      </c>
      <c r="Q516" s="366" t="s">
        <v>509</v>
      </c>
      <c r="R516" s="338" t="s">
        <v>12</v>
      </c>
      <c r="S516" s="367">
        <v>10.0</v>
      </c>
      <c r="T516" s="367">
        <v>5.0</v>
      </c>
      <c r="U516" s="367">
        <v>0.7</v>
      </c>
      <c r="V516" s="367">
        <v>0.7</v>
      </c>
      <c r="W516" s="367">
        <v>0.7</v>
      </c>
      <c r="X516" s="368">
        <v>2000.0</v>
      </c>
      <c r="Y516" s="369" t="s">
        <v>510</v>
      </c>
      <c r="Z516" s="368">
        <v>0.2</v>
      </c>
      <c r="AA516" s="369" t="s">
        <v>511</v>
      </c>
      <c r="AB516" s="369" t="s">
        <v>512</v>
      </c>
      <c r="AC516" s="368">
        <v>220.0</v>
      </c>
      <c r="AD516" s="162"/>
      <c r="AE516" s="361"/>
    </row>
    <row r="517">
      <c r="A517" s="364" t="s">
        <v>653</v>
      </c>
      <c r="B517" s="364">
        <v>2.0</v>
      </c>
      <c r="C517" s="364">
        <v>587.0</v>
      </c>
      <c r="D517" s="364" t="s">
        <v>544</v>
      </c>
      <c r="E517" s="364">
        <v>1.0</v>
      </c>
      <c r="F517" s="365">
        <v>45552.561111111114</v>
      </c>
      <c r="G517" s="364">
        <v>1.0</v>
      </c>
      <c r="H517" s="364">
        <v>51.3741</v>
      </c>
      <c r="I517" s="364">
        <v>7.69232</v>
      </c>
      <c r="J517" s="364">
        <v>-27.544</v>
      </c>
      <c r="K517" s="364">
        <v>-25.927</v>
      </c>
      <c r="L517" s="364">
        <v>1076.09</v>
      </c>
      <c r="M517" s="364">
        <v>67.00068</v>
      </c>
      <c r="N517" s="364">
        <v>11584.83</v>
      </c>
      <c r="O517" s="364">
        <v>11586.23</v>
      </c>
      <c r="P517" s="366">
        <v>2092.346</v>
      </c>
      <c r="Q517" s="366" t="s">
        <v>509</v>
      </c>
      <c r="R517" s="338" t="s">
        <v>12</v>
      </c>
      <c r="S517" s="367">
        <v>10.0</v>
      </c>
      <c r="T517" s="367">
        <v>5.0</v>
      </c>
      <c r="U517" s="367">
        <v>0.7</v>
      </c>
      <c r="V517" s="367">
        <v>0.7</v>
      </c>
      <c r="W517" s="367">
        <v>0.7</v>
      </c>
      <c r="X517" s="368">
        <v>2000.0</v>
      </c>
      <c r="Y517" s="369" t="s">
        <v>510</v>
      </c>
      <c r="Z517" s="368">
        <v>0.2</v>
      </c>
      <c r="AA517" s="369" t="s">
        <v>511</v>
      </c>
      <c r="AB517" s="369" t="s">
        <v>512</v>
      </c>
      <c r="AC517" s="368">
        <v>220.0</v>
      </c>
      <c r="AD517" s="162"/>
      <c r="AE517" s="361"/>
    </row>
    <row r="518">
      <c r="A518" s="364" t="s">
        <v>655</v>
      </c>
      <c r="B518" s="364">
        <v>3.0</v>
      </c>
      <c r="C518" s="364">
        <v>599.0</v>
      </c>
      <c r="D518" s="364" t="s">
        <v>548</v>
      </c>
      <c r="E518" s="364">
        <v>1.0</v>
      </c>
      <c r="F518" s="365">
        <v>45552.563888888886</v>
      </c>
      <c r="G518" s="364">
        <v>1.0</v>
      </c>
      <c r="H518" s="364">
        <v>51.3774</v>
      </c>
      <c r="I518" s="364">
        <v>7.64784</v>
      </c>
      <c r="J518" s="364">
        <v>-27.5029</v>
      </c>
      <c r="K518" s="364">
        <v>-25.8983</v>
      </c>
      <c r="L518" s="364">
        <v>1022.33</v>
      </c>
      <c r="M518" s="364">
        <v>67.00006</v>
      </c>
      <c r="N518" s="364">
        <v>11228.92</v>
      </c>
      <c r="O518" s="364">
        <v>11226.94</v>
      </c>
      <c r="P518" s="366">
        <v>2028.553</v>
      </c>
      <c r="Q518" s="366" t="s">
        <v>519</v>
      </c>
      <c r="R518" s="338" t="s">
        <v>12</v>
      </c>
      <c r="S518" s="367">
        <v>10.0</v>
      </c>
      <c r="T518" s="367">
        <v>5.0</v>
      </c>
      <c r="U518" s="367">
        <v>0.7</v>
      </c>
      <c r="V518" s="367">
        <v>0.7</v>
      </c>
      <c r="W518" s="367">
        <v>0.7</v>
      </c>
      <c r="X518" s="368">
        <v>2000.0</v>
      </c>
      <c r="Y518" s="369" t="s">
        <v>510</v>
      </c>
      <c r="Z518" s="368">
        <v>0.2</v>
      </c>
      <c r="AA518" s="369" t="s">
        <v>511</v>
      </c>
      <c r="AB518" s="369" t="s">
        <v>512</v>
      </c>
      <c r="AC518" s="368">
        <v>220.0</v>
      </c>
      <c r="AD518" s="162"/>
      <c r="AE518" s="361"/>
    </row>
    <row r="519">
      <c r="A519" s="364" t="s">
        <v>656</v>
      </c>
      <c r="B519" s="364">
        <v>3.0</v>
      </c>
      <c r="C519" s="364">
        <v>599.0</v>
      </c>
      <c r="D519" s="364" t="s">
        <v>548</v>
      </c>
      <c r="E519" s="364">
        <v>1.0</v>
      </c>
      <c r="F519" s="365">
        <v>45552.566666666666</v>
      </c>
      <c r="G519" s="364">
        <v>1.0</v>
      </c>
      <c r="H519" s="364">
        <v>51.3774</v>
      </c>
      <c r="I519" s="364">
        <v>7.71153</v>
      </c>
      <c r="J519" s="364">
        <v>-27.5362</v>
      </c>
      <c r="K519" s="364">
        <v>-25.4118</v>
      </c>
      <c r="L519" s="364">
        <v>1026.88</v>
      </c>
      <c r="M519" s="364">
        <v>63.00037</v>
      </c>
      <c r="N519" s="364">
        <v>11186.26</v>
      </c>
      <c r="O519" s="364">
        <v>11226.94</v>
      </c>
      <c r="P519" s="366">
        <v>2028.553</v>
      </c>
      <c r="Q519" s="366" t="s">
        <v>519</v>
      </c>
      <c r="R519" s="338" t="s">
        <v>12</v>
      </c>
      <c r="S519" s="367">
        <v>10.0</v>
      </c>
      <c r="T519" s="367">
        <v>5.0</v>
      </c>
      <c r="U519" s="367">
        <v>0.7</v>
      </c>
      <c r="V519" s="367">
        <v>0.7</v>
      </c>
      <c r="W519" s="367">
        <v>0.7</v>
      </c>
      <c r="X519" s="368">
        <v>2000.0</v>
      </c>
      <c r="Y519" s="369" t="s">
        <v>510</v>
      </c>
      <c r="Z519" s="368">
        <v>0.2</v>
      </c>
      <c r="AA519" s="369" t="s">
        <v>511</v>
      </c>
      <c r="AB519" s="369" t="s">
        <v>512</v>
      </c>
      <c r="AC519" s="368">
        <v>220.0</v>
      </c>
      <c r="AD519" s="162"/>
      <c r="AE519" s="361"/>
    </row>
    <row r="520">
      <c r="A520" s="364" t="s">
        <v>772</v>
      </c>
      <c r="B520" s="364">
        <v>3.0</v>
      </c>
      <c r="C520" s="364">
        <v>599.0</v>
      </c>
      <c r="D520" s="364" t="s">
        <v>548</v>
      </c>
      <c r="E520" s="364">
        <v>1.0</v>
      </c>
      <c r="F520" s="365">
        <v>45552.569444444445</v>
      </c>
      <c r="G520" s="364">
        <v>1.0</v>
      </c>
      <c r="H520" s="364">
        <v>51.3708</v>
      </c>
      <c r="I520" s="364">
        <v>7.78982</v>
      </c>
      <c r="J520" s="364">
        <v>-27.5162</v>
      </c>
      <c r="K520" s="364">
        <v>-25.6</v>
      </c>
      <c r="L520" s="364">
        <v>1028.21</v>
      </c>
      <c r="M520" s="364">
        <v>63.49954</v>
      </c>
      <c r="N520" s="364">
        <v>11219.36</v>
      </c>
      <c r="O520" s="364">
        <v>11226.94</v>
      </c>
      <c r="P520" s="366">
        <v>2028.553</v>
      </c>
      <c r="Q520" s="366" t="s">
        <v>509</v>
      </c>
      <c r="R520" s="338" t="s">
        <v>12</v>
      </c>
      <c r="S520" s="367">
        <v>10.0</v>
      </c>
      <c r="T520" s="367">
        <v>5.0</v>
      </c>
      <c r="U520" s="367">
        <v>0.7</v>
      </c>
      <c r="V520" s="367">
        <v>0.7</v>
      </c>
      <c r="W520" s="367">
        <v>0.7</v>
      </c>
      <c r="X520" s="368">
        <v>2000.0</v>
      </c>
      <c r="Y520" s="369" t="s">
        <v>510</v>
      </c>
      <c r="Z520" s="368">
        <v>0.2</v>
      </c>
      <c r="AA520" s="369" t="s">
        <v>511</v>
      </c>
      <c r="AB520" s="369" t="s">
        <v>512</v>
      </c>
      <c r="AC520" s="368">
        <v>220.0</v>
      </c>
      <c r="AD520" s="162"/>
      <c r="AE520" s="361"/>
    </row>
    <row r="521">
      <c r="A521" s="364" t="s">
        <v>773</v>
      </c>
      <c r="B521" s="364">
        <v>3.0</v>
      </c>
      <c r="C521" s="364">
        <v>599.0</v>
      </c>
      <c r="D521" s="364" t="s">
        <v>548</v>
      </c>
      <c r="E521" s="364">
        <v>1.0</v>
      </c>
      <c r="F521" s="365">
        <v>45552.572222222225</v>
      </c>
      <c r="G521" s="364">
        <v>1.0</v>
      </c>
      <c r="H521" s="364">
        <v>51.3774</v>
      </c>
      <c r="I521" s="364">
        <v>7.9121</v>
      </c>
      <c r="J521" s="364">
        <v>-27.4309</v>
      </c>
      <c r="K521" s="364">
        <v>-26.1856</v>
      </c>
      <c r="L521" s="364">
        <v>1030.16</v>
      </c>
      <c r="M521" s="364">
        <v>74.99967</v>
      </c>
      <c r="N521" s="364">
        <v>11234.52</v>
      </c>
      <c r="O521" s="364">
        <v>11226.94</v>
      </c>
      <c r="P521" s="366">
        <v>2028.553</v>
      </c>
      <c r="Q521" s="366" t="s">
        <v>509</v>
      </c>
      <c r="R521" s="338" t="s">
        <v>12</v>
      </c>
      <c r="S521" s="367">
        <v>10.0</v>
      </c>
      <c r="T521" s="367">
        <v>5.0</v>
      </c>
      <c r="U521" s="367">
        <v>0.7</v>
      </c>
      <c r="V521" s="367">
        <v>0.7</v>
      </c>
      <c r="W521" s="367">
        <v>0.7</v>
      </c>
      <c r="X521" s="368">
        <v>2000.0</v>
      </c>
      <c r="Y521" s="369" t="s">
        <v>510</v>
      </c>
      <c r="Z521" s="368">
        <v>0.2</v>
      </c>
      <c r="AA521" s="369" t="s">
        <v>511</v>
      </c>
      <c r="AB521" s="369" t="s">
        <v>512</v>
      </c>
      <c r="AC521" s="368">
        <v>220.0</v>
      </c>
      <c r="AD521" s="162"/>
      <c r="AE521" s="361"/>
    </row>
    <row r="522">
      <c r="A522" s="364" t="s">
        <v>628</v>
      </c>
      <c r="B522" s="364">
        <v>4.0</v>
      </c>
      <c r="C522" s="364">
        <v>600.0</v>
      </c>
      <c r="D522" s="364" t="s">
        <v>551</v>
      </c>
      <c r="E522" s="364">
        <v>1.0</v>
      </c>
      <c r="F522" s="365">
        <v>45552.575694444444</v>
      </c>
      <c r="G522" s="364">
        <v>1.0</v>
      </c>
      <c r="H522" s="364">
        <v>51.3741</v>
      </c>
      <c r="I522" s="364">
        <v>7.72412</v>
      </c>
      <c r="J522" s="364">
        <v>-27.463</v>
      </c>
      <c r="K522" s="364">
        <v>-26.2443</v>
      </c>
      <c r="L522" s="364">
        <v>1034.63</v>
      </c>
      <c r="M522" s="364">
        <v>75.50056</v>
      </c>
      <c r="N522" s="364">
        <v>11264.28</v>
      </c>
      <c r="O522" s="364">
        <v>11255.83</v>
      </c>
      <c r="P522" s="366">
        <v>2033.682</v>
      </c>
      <c r="Q522" s="366" t="s">
        <v>509</v>
      </c>
      <c r="R522" s="338" t="s">
        <v>12</v>
      </c>
      <c r="S522" s="367">
        <v>10.0</v>
      </c>
      <c r="T522" s="367">
        <v>5.0</v>
      </c>
      <c r="U522" s="367">
        <v>0.7</v>
      </c>
      <c r="V522" s="367">
        <v>0.7</v>
      </c>
      <c r="W522" s="367">
        <v>0.7</v>
      </c>
      <c r="X522" s="368">
        <v>2000.0</v>
      </c>
      <c r="Y522" s="369" t="s">
        <v>510</v>
      </c>
      <c r="Z522" s="368">
        <v>0.2</v>
      </c>
      <c r="AA522" s="369" t="s">
        <v>511</v>
      </c>
      <c r="AB522" s="369" t="s">
        <v>512</v>
      </c>
      <c r="AC522" s="368">
        <v>220.0</v>
      </c>
      <c r="AD522" s="162"/>
      <c r="AE522" s="361"/>
    </row>
    <row r="523">
      <c r="A523" s="364" t="s">
        <v>657</v>
      </c>
      <c r="B523" s="364">
        <v>4.0</v>
      </c>
      <c r="C523" s="364">
        <v>600.0</v>
      </c>
      <c r="D523" s="364" t="s">
        <v>551</v>
      </c>
      <c r="E523" s="364">
        <v>1.0</v>
      </c>
      <c r="F523" s="365">
        <v>45552.57847222222</v>
      </c>
      <c r="G523" s="364">
        <v>1.0</v>
      </c>
      <c r="H523" s="364">
        <v>51.3774</v>
      </c>
      <c r="I523" s="364">
        <v>7.76887</v>
      </c>
      <c r="J523" s="364">
        <v>-27.5712</v>
      </c>
      <c r="K523" s="364">
        <v>-25.8161</v>
      </c>
      <c r="L523" s="364">
        <v>1033.45</v>
      </c>
      <c r="M523" s="364">
        <v>67.49983</v>
      </c>
      <c r="N523" s="364">
        <v>11247.39</v>
      </c>
      <c r="O523" s="364">
        <v>11255.83</v>
      </c>
      <c r="P523" s="366">
        <v>2033.682</v>
      </c>
      <c r="Q523" s="366" t="s">
        <v>509</v>
      </c>
      <c r="R523" s="338" t="s">
        <v>12</v>
      </c>
      <c r="S523" s="367">
        <v>10.0</v>
      </c>
      <c r="T523" s="367">
        <v>5.0</v>
      </c>
      <c r="U523" s="367">
        <v>0.7</v>
      </c>
      <c r="V523" s="367">
        <v>0.7</v>
      </c>
      <c r="W523" s="367">
        <v>0.7</v>
      </c>
      <c r="X523" s="368">
        <v>2000.0</v>
      </c>
      <c r="Y523" s="369" t="s">
        <v>510</v>
      </c>
      <c r="Z523" s="368">
        <v>0.2</v>
      </c>
      <c r="AA523" s="369" t="s">
        <v>511</v>
      </c>
      <c r="AB523" s="369" t="s">
        <v>512</v>
      </c>
      <c r="AC523" s="368">
        <v>220.0</v>
      </c>
      <c r="AD523" s="162"/>
      <c r="AE523" s="361"/>
    </row>
    <row r="524">
      <c r="A524" s="370" t="s">
        <v>630</v>
      </c>
      <c r="B524" s="370">
        <v>5.0</v>
      </c>
      <c r="C524" s="370" t="s">
        <v>802</v>
      </c>
      <c r="D524" s="370" t="s">
        <v>508</v>
      </c>
      <c r="E524" s="370">
        <v>1.0</v>
      </c>
      <c r="F524" s="371">
        <v>45552.58194444444</v>
      </c>
      <c r="G524" s="370">
        <v>1.0</v>
      </c>
      <c r="H524" s="370">
        <v>51.3708</v>
      </c>
      <c r="I524" s="370">
        <v>7.66706</v>
      </c>
      <c r="J524" s="370">
        <v>-27.4621</v>
      </c>
      <c r="K524" s="370">
        <v>-25.8603</v>
      </c>
      <c r="L524" s="370">
        <v>1077.48</v>
      </c>
      <c r="M524" s="370">
        <v>68.99952</v>
      </c>
      <c r="N524" s="370">
        <v>11603.52</v>
      </c>
      <c r="O524" s="370">
        <v>11603.89</v>
      </c>
      <c r="P524" s="372">
        <v>2095.482</v>
      </c>
      <c r="Q524" s="372" t="s">
        <v>509</v>
      </c>
      <c r="R524" s="338" t="s">
        <v>12</v>
      </c>
      <c r="S524" s="367">
        <v>10.0</v>
      </c>
      <c r="T524" s="367">
        <v>5.0</v>
      </c>
      <c r="U524" s="367">
        <v>0.7</v>
      </c>
      <c r="V524" s="367">
        <v>0.7</v>
      </c>
      <c r="W524" s="367">
        <v>0.7</v>
      </c>
      <c r="X524" s="368">
        <v>2000.0</v>
      </c>
      <c r="Y524" s="369" t="s">
        <v>510</v>
      </c>
      <c r="Z524" s="368">
        <v>0.2</v>
      </c>
      <c r="AA524" s="369" t="s">
        <v>511</v>
      </c>
      <c r="AB524" s="369" t="s">
        <v>512</v>
      </c>
      <c r="AC524" s="368">
        <v>220.0</v>
      </c>
      <c r="AD524" s="162"/>
      <c r="AE524" s="361"/>
    </row>
    <row r="525">
      <c r="A525" s="370" t="s">
        <v>659</v>
      </c>
      <c r="B525" s="370">
        <v>5.0</v>
      </c>
      <c r="C525" s="370" t="s">
        <v>802</v>
      </c>
      <c r="D525" s="370" t="s">
        <v>508</v>
      </c>
      <c r="E525" s="370">
        <v>1.0</v>
      </c>
      <c r="F525" s="371">
        <v>45552.58472222222</v>
      </c>
      <c r="G525" s="370">
        <v>1.0</v>
      </c>
      <c r="H525" s="370">
        <v>51.3708</v>
      </c>
      <c r="I525" s="370">
        <v>7.76237</v>
      </c>
      <c r="J525" s="370">
        <v>-27.4084</v>
      </c>
      <c r="K525" s="370">
        <v>-25.815</v>
      </c>
      <c r="L525" s="370">
        <v>1067.16</v>
      </c>
      <c r="M525" s="370">
        <v>66.99993</v>
      </c>
      <c r="N525" s="370">
        <v>11604.26</v>
      </c>
      <c r="O525" s="370">
        <v>11603.89</v>
      </c>
      <c r="P525" s="372">
        <v>2095.482</v>
      </c>
      <c r="Q525" s="372" t="s">
        <v>509</v>
      </c>
      <c r="R525" s="338" t="s">
        <v>12</v>
      </c>
      <c r="S525" s="367">
        <v>10.0</v>
      </c>
      <c r="T525" s="367">
        <v>5.0</v>
      </c>
      <c r="U525" s="367">
        <v>0.7</v>
      </c>
      <c r="V525" s="367">
        <v>0.7</v>
      </c>
      <c r="W525" s="367">
        <v>0.7</v>
      </c>
      <c r="X525" s="368">
        <v>2000.0</v>
      </c>
      <c r="Y525" s="369" t="s">
        <v>510</v>
      </c>
      <c r="Z525" s="368">
        <v>0.2</v>
      </c>
      <c r="AA525" s="369" t="s">
        <v>511</v>
      </c>
      <c r="AB525" s="369" t="s">
        <v>512</v>
      </c>
      <c r="AC525" s="368">
        <v>220.0</v>
      </c>
      <c r="AD525" s="162"/>
      <c r="AE525" s="361"/>
    </row>
    <row r="526">
      <c r="A526" s="373"/>
      <c r="B526" s="373"/>
      <c r="C526" s="373"/>
      <c r="D526" s="373"/>
      <c r="E526" s="373"/>
      <c r="F526" s="374"/>
      <c r="G526" s="373"/>
      <c r="H526" s="373"/>
      <c r="I526" s="373"/>
      <c r="J526" s="373"/>
      <c r="K526" s="373"/>
      <c r="L526" s="373"/>
      <c r="M526" s="373"/>
      <c r="N526" s="373"/>
      <c r="O526" s="373"/>
      <c r="P526" s="375"/>
      <c r="Q526" s="376"/>
      <c r="R526" s="377"/>
      <c r="S526" s="377"/>
      <c r="T526" s="377"/>
      <c r="U526" s="377"/>
      <c r="V526" s="377"/>
      <c r="W526" s="377"/>
      <c r="X526" s="378"/>
      <c r="Y526" s="378"/>
      <c r="Z526" s="378"/>
      <c r="AA526" s="378"/>
      <c r="AB526" s="378"/>
      <c r="AC526" s="378"/>
      <c r="AD526" s="162"/>
      <c r="AE526" s="361"/>
    </row>
    <row r="527">
      <c r="A527" s="373"/>
      <c r="B527" s="373"/>
      <c r="C527" s="373"/>
      <c r="D527" s="373"/>
      <c r="E527" s="373"/>
      <c r="F527" s="374"/>
      <c r="G527" s="373"/>
      <c r="H527" s="373"/>
      <c r="I527" s="373"/>
      <c r="J527" s="373"/>
      <c r="K527" s="373"/>
      <c r="L527" s="373"/>
      <c r="M527" s="373"/>
      <c r="N527" s="373"/>
      <c r="O527" s="373"/>
      <c r="P527" s="375"/>
      <c r="Q527" s="376"/>
      <c r="R527" s="377"/>
      <c r="S527" s="377"/>
      <c r="T527" s="377"/>
      <c r="U527" s="377"/>
      <c r="V527" s="377"/>
      <c r="W527" s="377"/>
      <c r="X527" s="378"/>
      <c r="Y527" s="378"/>
      <c r="Z527" s="378"/>
      <c r="AA527" s="378"/>
      <c r="AB527" s="378"/>
      <c r="AC527" s="378"/>
      <c r="AD527" s="162"/>
      <c r="AE527" s="361"/>
    </row>
    <row r="528">
      <c r="A528" s="373"/>
      <c r="B528" s="373"/>
      <c r="C528" s="373"/>
      <c r="D528" s="373"/>
      <c r="E528" s="373"/>
      <c r="F528" s="374"/>
      <c r="G528" s="373"/>
      <c r="H528" s="373"/>
      <c r="I528" s="373"/>
      <c r="J528" s="373"/>
      <c r="K528" s="373"/>
      <c r="L528" s="373"/>
      <c r="M528" s="373"/>
      <c r="N528" s="373"/>
      <c r="O528" s="373"/>
      <c r="P528" s="375"/>
      <c r="Q528" s="376"/>
      <c r="R528" s="377"/>
      <c r="S528" s="377"/>
      <c r="T528" s="377"/>
      <c r="U528" s="377"/>
      <c r="V528" s="377"/>
      <c r="W528" s="377"/>
      <c r="X528" s="378"/>
      <c r="Y528" s="378"/>
      <c r="Z528" s="378"/>
      <c r="AA528" s="378"/>
      <c r="AB528" s="378"/>
      <c r="AC528" s="378"/>
      <c r="AD528" s="162"/>
      <c r="AE528" s="361"/>
    </row>
    <row r="529">
      <c r="A529" s="373"/>
      <c r="B529" s="373"/>
      <c r="C529" s="373"/>
      <c r="D529" s="373"/>
      <c r="E529" s="373"/>
      <c r="F529" s="374"/>
      <c r="G529" s="373"/>
      <c r="H529" s="373"/>
      <c r="I529" s="373"/>
      <c r="J529" s="373"/>
      <c r="K529" s="373"/>
      <c r="L529" s="373"/>
      <c r="M529" s="373"/>
      <c r="N529" s="373"/>
      <c r="O529" s="373"/>
      <c r="P529" s="375"/>
      <c r="Q529" s="376"/>
      <c r="R529" s="377"/>
      <c r="S529" s="377"/>
      <c r="T529" s="377"/>
      <c r="U529" s="377"/>
      <c r="V529" s="377"/>
      <c r="W529" s="377"/>
      <c r="X529" s="378"/>
      <c r="Y529" s="378"/>
      <c r="Z529" s="378"/>
      <c r="AA529" s="378"/>
      <c r="AB529" s="378"/>
      <c r="AC529" s="378"/>
      <c r="AD529" s="162"/>
      <c r="AE529" s="361"/>
    </row>
    <row r="530">
      <c r="A530" s="373"/>
      <c r="B530" s="373"/>
      <c r="C530" s="373"/>
      <c r="D530" s="373"/>
      <c r="E530" s="373"/>
      <c r="F530" s="374"/>
      <c r="G530" s="373"/>
      <c r="H530" s="373"/>
      <c r="I530" s="373"/>
      <c r="J530" s="373"/>
      <c r="K530" s="373"/>
      <c r="L530" s="373"/>
      <c r="M530" s="373"/>
      <c r="N530" s="373"/>
      <c r="O530" s="373"/>
      <c r="P530" s="375"/>
      <c r="Q530" s="376"/>
      <c r="R530" s="377"/>
      <c r="S530" s="377"/>
      <c r="T530" s="377"/>
      <c r="U530" s="377"/>
      <c r="V530" s="377"/>
      <c r="W530" s="377"/>
      <c r="X530" s="378"/>
      <c r="Y530" s="378"/>
      <c r="Z530" s="378"/>
      <c r="AA530" s="378"/>
      <c r="AB530" s="378"/>
      <c r="AC530" s="378"/>
      <c r="AD530" s="162"/>
      <c r="AE530" s="361"/>
    </row>
    <row r="531">
      <c r="A531" s="373"/>
      <c r="B531" s="373"/>
      <c r="C531" s="373"/>
      <c r="D531" s="373"/>
      <c r="E531" s="373"/>
      <c r="F531" s="374"/>
      <c r="G531" s="373"/>
      <c r="H531" s="373"/>
      <c r="I531" s="373"/>
      <c r="J531" s="373"/>
      <c r="K531" s="373"/>
      <c r="L531" s="373"/>
      <c r="M531" s="373"/>
      <c r="N531" s="373"/>
      <c r="O531" s="373"/>
      <c r="P531" s="375"/>
      <c r="Q531" s="376"/>
      <c r="R531" s="377"/>
      <c r="S531" s="377"/>
      <c r="T531" s="377"/>
      <c r="U531" s="377"/>
      <c r="V531" s="377"/>
      <c r="W531" s="377"/>
      <c r="X531" s="378"/>
      <c r="Y531" s="378"/>
      <c r="Z531" s="378"/>
      <c r="AA531" s="378"/>
      <c r="AB531" s="378"/>
      <c r="AC531" s="378"/>
      <c r="AD531" s="162"/>
      <c r="AE531" s="361"/>
    </row>
    <row r="532">
      <c r="A532" s="373"/>
      <c r="B532" s="373"/>
      <c r="C532" s="373"/>
      <c r="D532" s="373"/>
      <c r="E532" s="373"/>
      <c r="F532" s="374"/>
      <c r="G532" s="373"/>
      <c r="H532" s="373"/>
      <c r="I532" s="373"/>
      <c r="J532" s="373"/>
      <c r="K532" s="373"/>
      <c r="L532" s="373"/>
      <c r="M532" s="373"/>
      <c r="N532" s="373"/>
      <c r="O532" s="373"/>
      <c r="P532" s="375"/>
      <c r="Q532" s="376"/>
      <c r="R532" s="377"/>
      <c r="S532" s="377"/>
      <c r="T532" s="377"/>
      <c r="U532" s="377"/>
      <c r="V532" s="377"/>
      <c r="W532" s="377"/>
      <c r="X532" s="378"/>
      <c r="Y532" s="378"/>
      <c r="Z532" s="378"/>
      <c r="AA532" s="378"/>
      <c r="AB532" s="378"/>
      <c r="AC532" s="378"/>
      <c r="AD532" s="162"/>
      <c r="AE532" s="361"/>
    </row>
    <row r="533">
      <c r="A533" s="373"/>
      <c r="B533" s="373"/>
      <c r="C533" s="373"/>
      <c r="D533" s="373"/>
      <c r="E533" s="373"/>
      <c r="F533" s="374"/>
      <c r="G533" s="373"/>
      <c r="H533" s="373"/>
      <c r="I533" s="373"/>
      <c r="J533" s="373"/>
      <c r="K533" s="373"/>
      <c r="L533" s="373"/>
      <c r="M533" s="373"/>
      <c r="N533" s="373"/>
      <c r="O533" s="373"/>
      <c r="P533" s="375"/>
      <c r="Q533" s="376"/>
      <c r="R533" s="377"/>
      <c r="S533" s="377"/>
      <c r="T533" s="377"/>
      <c r="U533" s="377"/>
      <c r="V533" s="377"/>
      <c r="W533" s="377"/>
      <c r="X533" s="378"/>
      <c r="Y533" s="378"/>
      <c r="Z533" s="378"/>
      <c r="AA533" s="378"/>
      <c r="AB533" s="378"/>
      <c r="AC533" s="378"/>
      <c r="AD533" s="162"/>
      <c r="AE533" s="361"/>
    </row>
    <row r="534">
      <c r="A534" s="373"/>
      <c r="B534" s="373"/>
      <c r="C534" s="373"/>
      <c r="D534" s="373"/>
      <c r="E534" s="373"/>
      <c r="F534" s="374"/>
      <c r="G534" s="373"/>
      <c r="H534" s="373"/>
      <c r="I534" s="373"/>
      <c r="J534" s="373"/>
      <c r="K534" s="373"/>
      <c r="L534" s="373"/>
      <c r="M534" s="373"/>
      <c r="N534" s="373"/>
      <c r="O534" s="373"/>
      <c r="P534" s="375"/>
      <c r="Q534" s="376"/>
      <c r="R534" s="377"/>
      <c r="S534" s="377"/>
      <c r="T534" s="377"/>
      <c r="U534" s="377"/>
      <c r="V534" s="377"/>
      <c r="W534" s="377"/>
      <c r="X534" s="378"/>
      <c r="Y534" s="378"/>
      <c r="Z534" s="378"/>
      <c r="AA534" s="378"/>
      <c r="AB534" s="378"/>
      <c r="AC534" s="378"/>
      <c r="AD534" s="162"/>
      <c r="AE534" s="361"/>
    </row>
    <row r="535">
      <c r="A535" s="373"/>
      <c r="B535" s="373"/>
      <c r="C535" s="373"/>
      <c r="D535" s="373"/>
      <c r="E535" s="373"/>
      <c r="F535" s="374"/>
      <c r="G535" s="373"/>
      <c r="H535" s="373"/>
      <c r="I535" s="373"/>
      <c r="J535" s="373"/>
      <c r="K535" s="373"/>
      <c r="L535" s="373"/>
      <c r="M535" s="373"/>
      <c r="N535" s="373"/>
      <c r="O535" s="373"/>
      <c r="P535" s="375"/>
      <c r="Q535" s="376"/>
      <c r="R535" s="377"/>
      <c r="S535" s="377"/>
      <c r="T535" s="377"/>
      <c r="U535" s="377"/>
      <c r="V535" s="377"/>
      <c r="W535" s="377"/>
      <c r="X535" s="378"/>
      <c r="Y535" s="378"/>
      <c r="Z535" s="378"/>
      <c r="AA535" s="378"/>
      <c r="AB535" s="378"/>
      <c r="AC535" s="378"/>
      <c r="AD535" s="162"/>
      <c r="AE535" s="361"/>
    </row>
    <row r="536">
      <c r="A536" s="373"/>
      <c r="B536" s="373"/>
      <c r="C536" s="373"/>
      <c r="D536" s="373"/>
      <c r="E536" s="373"/>
      <c r="F536" s="374"/>
      <c r="G536" s="373"/>
      <c r="H536" s="373"/>
      <c r="I536" s="373"/>
      <c r="J536" s="373"/>
      <c r="K536" s="373"/>
      <c r="L536" s="373"/>
      <c r="M536" s="373"/>
      <c r="N536" s="373"/>
      <c r="O536" s="373"/>
      <c r="P536" s="375"/>
      <c r="Q536" s="376"/>
      <c r="R536" s="377"/>
      <c r="S536" s="377"/>
      <c r="T536" s="377"/>
      <c r="U536" s="377"/>
      <c r="V536" s="377"/>
      <c r="W536" s="377"/>
      <c r="X536" s="378"/>
      <c r="Y536" s="378"/>
      <c r="Z536" s="378"/>
      <c r="AA536" s="378"/>
      <c r="AB536" s="378"/>
      <c r="AC536" s="378"/>
      <c r="AD536" s="162"/>
      <c r="AE536" s="361"/>
    </row>
    <row r="537">
      <c r="A537" s="373"/>
      <c r="B537" s="373"/>
      <c r="C537" s="373"/>
      <c r="D537" s="373"/>
      <c r="E537" s="373"/>
      <c r="F537" s="374"/>
      <c r="G537" s="373"/>
      <c r="H537" s="373"/>
      <c r="I537" s="373"/>
      <c r="J537" s="373"/>
      <c r="K537" s="373"/>
      <c r="L537" s="373"/>
      <c r="M537" s="373"/>
      <c r="N537" s="373"/>
      <c r="O537" s="373"/>
      <c r="P537" s="375"/>
      <c r="Q537" s="376"/>
      <c r="R537" s="377"/>
      <c r="S537" s="377"/>
      <c r="T537" s="377"/>
      <c r="U537" s="377"/>
      <c r="V537" s="377"/>
      <c r="W537" s="377"/>
      <c r="X537" s="378"/>
      <c r="Y537" s="378"/>
      <c r="Z537" s="378"/>
      <c r="AA537" s="378"/>
      <c r="AB537" s="378"/>
      <c r="AC537" s="378"/>
      <c r="AD537" s="162"/>
      <c r="AE537" s="361"/>
    </row>
    <row r="538">
      <c r="A538" s="373"/>
      <c r="B538" s="373"/>
      <c r="C538" s="373"/>
      <c r="D538" s="373"/>
      <c r="E538" s="373"/>
      <c r="F538" s="374"/>
      <c r="G538" s="373"/>
      <c r="H538" s="373"/>
      <c r="I538" s="373"/>
      <c r="J538" s="373"/>
      <c r="K538" s="373"/>
      <c r="L538" s="373"/>
      <c r="M538" s="373"/>
      <c r="N538" s="373"/>
      <c r="O538" s="373"/>
      <c r="P538" s="375"/>
      <c r="Q538" s="376"/>
      <c r="R538" s="377"/>
      <c r="S538" s="377"/>
      <c r="T538" s="377"/>
      <c r="U538" s="377"/>
      <c r="V538" s="377"/>
      <c r="W538" s="377"/>
      <c r="X538" s="378"/>
      <c r="Y538" s="378"/>
      <c r="Z538" s="378"/>
      <c r="AA538" s="378"/>
      <c r="AB538" s="378"/>
      <c r="AC538" s="378"/>
      <c r="AD538" s="162"/>
      <c r="AE538" s="361"/>
    </row>
    <row r="539">
      <c r="A539" s="373"/>
      <c r="B539" s="373"/>
      <c r="C539" s="373"/>
      <c r="D539" s="373"/>
      <c r="E539" s="373"/>
      <c r="F539" s="374"/>
      <c r="G539" s="373"/>
      <c r="H539" s="373"/>
      <c r="I539" s="373"/>
      <c r="J539" s="373"/>
      <c r="K539" s="373"/>
      <c r="L539" s="373"/>
      <c r="M539" s="373"/>
      <c r="N539" s="373"/>
      <c r="O539" s="373"/>
      <c r="P539" s="375"/>
      <c r="Q539" s="376"/>
      <c r="R539" s="377"/>
      <c r="S539" s="377"/>
      <c r="T539" s="377"/>
      <c r="U539" s="377"/>
      <c r="V539" s="377"/>
      <c r="W539" s="377"/>
      <c r="X539" s="378"/>
      <c r="Y539" s="378"/>
      <c r="Z539" s="378"/>
      <c r="AA539" s="378"/>
      <c r="AB539" s="378"/>
      <c r="AC539" s="378"/>
      <c r="AD539" s="162"/>
      <c r="AE539" s="361"/>
    </row>
    <row r="540">
      <c r="A540" s="373"/>
      <c r="B540" s="373"/>
      <c r="C540" s="373"/>
      <c r="D540" s="373"/>
      <c r="E540" s="373"/>
      <c r="F540" s="374"/>
      <c r="G540" s="373"/>
      <c r="H540" s="373"/>
      <c r="I540" s="373"/>
      <c r="J540" s="373"/>
      <c r="K540" s="373"/>
      <c r="L540" s="373"/>
      <c r="M540" s="373"/>
      <c r="N540" s="373"/>
      <c r="O540" s="373"/>
      <c r="P540" s="375"/>
      <c r="Q540" s="376"/>
      <c r="R540" s="377"/>
      <c r="S540" s="377"/>
      <c r="T540" s="377"/>
      <c r="U540" s="377"/>
      <c r="V540" s="377"/>
      <c r="W540" s="377"/>
      <c r="X540" s="378"/>
      <c r="Y540" s="378"/>
      <c r="Z540" s="378"/>
      <c r="AA540" s="378"/>
      <c r="AB540" s="378"/>
      <c r="AC540" s="378"/>
      <c r="AD540" s="162"/>
      <c r="AE540" s="361"/>
    </row>
    <row r="541">
      <c r="A541" s="373"/>
      <c r="B541" s="373"/>
      <c r="C541" s="373"/>
      <c r="D541" s="373"/>
      <c r="E541" s="373"/>
      <c r="F541" s="374"/>
      <c r="G541" s="373"/>
      <c r="H541" s="373"/>
      <c r="I541" s="373"/>
      <c r="J541" s="373"/>
      <c r="K541" s="373"/>
      <c r="L541" s="373"/>
      <c r="M541" s="373"/>
      <c r="N541" s="373"/>
      <c r="O541" s="373"/>
      <c r="P541" s="375"/>
      <c r="Q541" s="376"/>
      <c r="R541" s="377"/>
      <c r="S541" s="377"/>
      <c r="T541" s="377"/>
      <c r="U541" s="377"/>
      <c r="V541" s="377"/>
      <c r="W541" s="377"/>
      <c r="X541" s="378"/>
      <c r="Y541" s="378"/>
      <c r="Z541" s="378"/>
      <c r="AA541" s="378"/>
      <c r="AB541" s="378"/>
      <c r="AC541" s="378"/>
      <c r="AD541" s="162"/>
      <c r="AE541" s="361"/>
    </row>
    <row r="542">
      <c r="A542" s="373"/>
      <c r="B542" s="373"/>
      <c r="C542" s="373"/>
      <c r="D542" s="373"/>
      <c r="E542" s="373"/>
      <c r="F542" s="374"/>
      <c r="G542" s="373"/>
      <c r="H542" s="373"/>
      <c r="I542" s="373"/>
      <c r="J542" s="373"/>
      <c r="K542" s="373"/>
      <c r="L542" s="373"/>
      <c r="M542" s="373"/>
      <c r="N542" s="373"/>
      <c r="O542" s="373"/>
      <c r="P542" s="375"/>
      <c r="Q542" s="376"/>
      <c r="R542" s="377"/>
      <c r="S542" s="377"/>
      <c r="T542" s="377"/>
      <c r="U542" s="377"/>
      <c r="V542" s="377"/>
      <c r="W542" s="377"/>
      <c r="X542" s="378"/>
      <c r="Y542" s="378"/>
      <c r="Z542" s="378"/>
      <c r="AA542" s="378"/>
      <c r="AB542" s="378"/>
      <c r="AC542" s="378"/>
      <c r="AD542" s="162"/>
      <c r="AE542" s="361"/>
    </row>
    <row r="543">
      <c r="A543" s="373"/>
      <c r="B543" s="373"/>
      <c r="C543" s="373"/>
      <c r="D543" s="373"/>
      <c r="E543" s="373"/>
      <c r="F543" s="374"/>
      <c r="G543" s="373"/>
      <c r="H543" s="373"/>
      <c r="I543" s="373"/>
      <c r="J543" s="373"/>
      <c r="K543" s="373"/>
      <c r="L543" s="373"/>
      <c r="M543" s="373"/>
      <c r="N543" s="373"/>
      <c r="O543" s="373"/>
      <c r="P543" s="375"/>
      <c r="Q543" s="376"/>
      <c r="R543" s="377"/>
      <c r="S543" s="377"/>
      <c r="T543" s="377"/>
      <c r="U543" s="377"/>
      <c r="V543" s="377"/>
      <c r="W543" s="377"/>
      <c r="X543" s="378"/>
      <c r="Y543" s="378"/>
      <c r="Z543" s="378"/>
      <c r="AA543" s="378"/>
      <c r="AB543" s="378"/>
      <c r="AC543" s="378"/>
      <c r="AD543" s="162"/>
      <c r="AE543" s="361"/>
    </row>
    <row r="544">
      <c r="A544" s="373"/>
      <c r="B544" s="373"/>
      <c r="C544" s="373"/>
      <c r="D544" s="373"/>
      <c r="E544" s="373"/>
      <c r="F544" s="374"/>
      <c r="G544" s="373"/>
      <c r="H544" s="373"/>
      <c r="I544" s="373"/>
      <c r="J544" s="373"/>
      <c r="K544" s="373"/>
      <c r="L544" s="373"/>
      <c r="M544" s="373"/>
      <c r="N544" s="373"/>
      <c r="O544" s="373"/>
      <c r="P544" s="375"/>
      <c r="Q544" s="376"/>
      <c r="R544" s="377"/>
      <c r="S544" s="377"/>
      <c r="T544" s="377"/>
      <c r="U544" s="377"/>
      <c r="V544" s="377"/>
      <c r="W544" s="377"/>
      <c r="X544" s="378"/>
      <c r="Y544" s="378"/>
      <c r="Z544" s="378"/>
      <c r="AA544" s="378"/>
      <c r="AB544" s="378"/>
      <c r="AC544" s="378"/>
      <c r="AD544" s="162"/>
      <c r="AE544" s="361"/>
    </row>
    <row r="545">
      <c r="A545" s="373"/>
      <c r="B545" s="373"/>
      <c r="C545" s="373"/>
      <c r="D545" s="373"/>
      <c r="E545" s="373"/>
      <c r="F545" s="374"/>
      <c r="G545" s="373"/>
      <c r="H545" s="373"/>
      <c r="I545" s="373"/>
      <c r="J545" s="373"/>
      <c r="K545" s="373"/>
      <c r="L545" s="373"/>
      <c r="M545" s="373"/>
      <c r="N545" s="373"/>
      <c r="O545" s="373"/>
      <c r="P545" s="375"/>
      <c r="Q545" s="376"/>
      <c r="R545" s="377"/>
      <c r="S545" s="377"/>
      <c r="T545" s="377"/>
      <c r="U545" s="377"/>
      <c r="V545" s="377"/>
      <c r="W545" s="377"/>
      <c r="X545" s="378"/>
      <c r="Y545" s="378"/>
      <c r="Z545" s="378"/>
      <c r="AA545" s="378"/>
      <c r="AB545" s="378"/>
      <c r="AC545" s="378"/>
      <c r="AD545" s="162"/>
      <c r="AE545" s="361"/>
    </row>
    <row r="546">
      <c r="A546" s="373"/>
      <c r="B546" s="373"/>
      <c r="C546" s="373"/>
      <c r="D546" s="373"/>
      <c r="E546" s="373"/>
      <c r="F546" s="374"/>
      <c r="G546" s="373"/>
      <c r="H546" s="373"/>
      <c r="I546" s="373"/>
      <c r="J546" s="373"/>
      <c r="K546" s="373"/>
      <c r="L546" s="373"/>
      <c r="M546" s="373"/>
      <c r="N546" s="373"/>
      <c r="O546" s="373"/>
      <c r="P546" s="375"/>
      <c r="Q546" s="376"/>
      <c r="R546" s="377"/>
      <c r="S546" s="377"/>
      <c r="T546" s="377"/>
      <c r="U546" s="377"/>
      <c r="V546" s="377"/>
      <c r="W546" s="377"/>
      <c r="X546" s="378"/>
      <c r="Y546" s="378"/>
      <c r="Z546" s="378"/>
      <c r="AA546" s="378"/>
      <c r="AB546" s="378"/>
      <c r="AC546" s="378"/>
      <c r="AD546" s="162"/>
      <c r="AE546" s="361"/>
    </row>
    <row r="547">
      <c r="A547" s="373"/>
      <c r="B547" s="373"/>
      <c r="C547" s="373"/>
      <c r="D547" s="373"/>
      <c r="E547" s="373"/>
      <c r="F547" s="374"/>
      <c r="G547" s="373"/>
      <c r="H547" s="373"/>
      <c r="I547" s="373"/>
      <c r="J547" s="373"/>
      <c r="K547" s="373"/>
      <c r="L547" s="373"/>
      <c r="M547" s="373"/>
      <c r="N547" s="373"/>
      <c r="O547" s="373"/>
      <c r="P547" s="375"/>
      <c r="Q547" s="376"/>
      <c r="R547" s="377"/>
      <c r="S547" s="377"/>
      <c r="T547" s="377"/>
      <c r="U547" s="377"/>
      <c r="V547" s="377"/>
      <c r="W547" s="377"/>
      <c r="X547" s="378"/>
      <c r="Y547" s="378"/>
      <c r="Z547" s="378"/>
      <c r="AA547" s="378"/>
      <c r="AB547" s="378"/>
      <c r="AC547" s="378"/>
      <c r="AD547" s="162"/>
      <c r="AE547" s="361"/>
    </row>
    <row r="548">
      <c r="A548" s="373"/>
      <c r="B548" s="373"/>
      <c r="C548" s="373"/>
      <c r="D548" s="373"/>
      <c r="E548" s="373"/>
      <c r="F548" s="374"/>
      <c r="G548" s="373"/>
      <c r="H548" s="373"/>
      <c r="I548" s="373"/>
      <c r="J548" s="373"/>
      <c r="K548" s="373"/>
      <c r="L548" s="373"/>
      <c r="M548" s="373"/>
      <c r="N548" s="373"/>
      <c r="O548" s="373"/>
      <c r="P548" s="375"/>
      <c r="Q548" s="376"/>
      <c r="R548" s="377"/>
      <c r="S548" s="377"/>
      <c r="T548" s="377"/>
      <c r="U548" s="377"/>
      <c r="V548" s="377"/>
      <c r="W548" s="377"/>
      <c r="X548" s="378"/>
      <c r="Y548" s="378"/>
      <c r="Z548" s="378"/>
      <c r="AA548" s="378"/>
      <c r="AB548" s="378"/>
      <c r="AC548" s="378"/>
      <c r="AD548" s="162"/>
      <c r="AE548" s="361"/>
    </row>
    <row r="549">
      <c r="A549" s="373"/>
      <c r="B549" s="373"/>
      <c r="C549" s="373"/>
      <c r="D549" s="373"/>
      <c r="E549" s="373"/>
      <c r="F549" s="374"/>
      <c r="G549" s="373"/>
      <c r="H549" s="373"/>
      <c r="I549" s="373"/>
      <c r="J549" s="373"/>
      <c r="K549" s="373"/>
      <c r="L549" s="373"/>
      <c r="M549" s="373"/>
      <c r="N549" s="373"/>
      <c r="O549" s="373"/>
      <c r="P549" s="375"/>
      <c r="Q549" s="376"/>
      <c r="R549" s="377"/>
      <c r="S549" s="377"/>
      <c r="T549" s="377"/>
      <c r="U549" s="377"/>
      <c r="V549" s="377"/>
      <c r="W549" s="377"/>
      <c r="X549" s="378"/>
      <c r="Y549" s="378"/>
      <c r="Z549" s="378"/>
      <c r="AA549" s="378"/>
      <c r="AB549" s="378"/>
      <c r="AC549" s="378"/>
      <c r="AD549" s="162"/>
      <c r="AE549" s="361"/>
    </row>
    <row r="550">
      <c r="A550" s="373"/>
      <c r="B550" s="373"/>
      <c r="C550" s="373"/>
      <c r="D550" s="373"/>
      <c r="E550" s="373"/>
      <c r="F550" s="374"/>
      <c r="G550" s="373"/>
      <c r="H550" s="373"/>
      <c r="I550" s="373"/>
      <c r="J550" s="373"/>
      <c r="K550" s="373"/>
      <c r="L550" s="373"/>
      <c r="M550" s="373"/>
      <c r="N550" s="373"/>
      <c r="O550" s="373"/>
      <c r="P550" s="375"/>
      <c r="Q550" s="376"/>
      <c r="R550" s="377"/>
      <c r="S550" s="377"/>
      <c r="T550" s="377"/>
      <c r="U550" s="377"/>
      <c r="V550" s="377"/>
      <c r="W550" s="377"/>
      <c r="X550" s="378"/>
      <c r="Y550" s="378"/>
      <c r="Z550" s="378"/>
      <c r="AA550" s="378"/>
      <c r="AB550" s="378"/>
      <c r="AC550" s="378"/>
      <c r="AD550" s="162"/>
      <c r="AE550" s="361"/>
    </row>
    <row r="551">
      <c r="A551" s="373"/>
      <c r="B551" s="373"/>
      <c r="C551" s="373"/>
      <c r="D551" s="373"/>
      <c r="E551" s="373"/>
      <c r="F551" s="374"/>
      <c r="G551" s="373"/>
      <c r="H551" s="373"/>
      <c r="I551" s="373"/>
      <c r="J551" s="373"/>
      <c r="K551" s="373"/>
      <c r="L551" s="373"/>
      <c r="M551" s="373"/>
      <c r="N551" s="373"/>
      <c r="O551" s="373"/>
      <c r="P551" s="375"/>
      <c r="Q551" s="376"/>
      <c r="R551" s="377"/>
      <c r="S551" s="377"/>
      <c r="T551" s="377"/>
      <c r="U551" s="377"/>
      <c r="V551" s="377"/>
      <c r="W551" s="377"/>
      <c r="X551" s="378"/>
      <c r="Y551" s="378"/>
      <c r="Z551" s="378"/>
      <c r="AA551" s="378"/>
      <c r="AB551" s="378"/>
      <c r="AC551" s="378"/>
      <c r="AD551" s="162"/>
      <c r="AE551" s="361"/>
    </row>
    <row r="552">
      <c r="A552" s="373"/>
      <c r="B552" s="373"/>
      <c r="C552" s="373"/>
      <c r="D552" s="373"/>
      <c r="E552" s="373"/>
      <c r="F552" s="374"/>
      <c r="G552" s="373"/>
      <c r="H552" s="373"/>
      <c r="I552" s="373"/>
      <c r="J552" s="373"/>
      <c r="K552" s="373"/>
      <c r="L552" s="373"/>
      <c r="M552" s="373"/>
      <c r="N552" s="373"/>
      <c r="O552" s="373"/>
      <c r="P552" s="375"/>
      <c r="Q552" s="376"/>
      <c r="R552" s="377"/>
      <c r="S552" s="377"/>
      <c r="T552" s="377"/>
      <c r="U552" s="377"/>
      <c r="V552" s="377"/>
      <c r="W552" s="377"/>
      <c r="X552" s="378"/>
      <c r="Y552" s="378"/>
      <c r="Z552" s="378"/>
      <c r="AA552" s="378"/>
      <c r="AB552" s="378"/>
      <c r="AC552" s="378"/>
      <c r="AD552" s="162"/>
      <c r="AE552" s="361"/>
    </row>
    <row r="553">
      <c r="A553" s="373"/>
      <c r="B553" s="373"/>
      <c r="C553" s="373"/>
      <c r="D553" s="373"/>
      <c r="E553" s="373"/>
      <c r="F553" s="374"/>
      <c r="G553" s="373"/>
      <c r="H553" s="373"/>
      <c r="I553" s="373"/>
      <c r="J553" s="373"/>
      <c r="K553" s="373"/>
      <c r="L553" s="373"/>
      <c r="M553" s="373"/>
      <c r="N553" s="373"/>
      <c r="O553" s="373"/>
      <c r="P553" s="375"/>
      <c r="Q553" s="376"/>
      <c r="R553" s="377"/>
      <c r="S553" s="377"/>
      <c r="T553" s="377"/>
      <c r="U553" s="377"/>
      <c r="V553" s="377"/>
      <c r="W553" s="377"/>
      <c r="X553" s="378"/>
      <c r="Y553" s="378"/>
      <c r="Z553" s="378"/>
      <c r="AA553" s="378"/>
      <c r="AB553" s="378"/>
      <c r="AC553" s="378"/>
      <c r="AD553" s="162"/>
      <c r="AE553" s="361"/>
    </row>
    <row r="554">
      <c r="A554" s="373"/>
      <c r="B554" s="373"/>
      <c r="C554" s="373"/>
      <c r="D554" s="373"/>
      <c r="E554" s="373"/>
      <c r="F554" s="374"/>
      <c r="G554" s="373"/>
      <c r="H554" s="373"/>
      <c r="I554" s="373"/>
      <c r="J554" s="373"/>
      <c r="K554" s="373"/>
      <c r="L554" s="373"/>
      <c r="M554" s="373"/>
      <c r="N554" s="373"/>
      <c r="O554" s="373"/>
      <c r="P554" s="375"/>
      <c r="Q554" s="376"/>
      <c r="R554" s="377"/>
      <c r="S554" s="377"/>
      <c r="T554" s="377"/>
      <c r="U554" s="377"/>
      <c r="V554" s="377"/>
      <c r="W554" s="377"/>
      <c r="X554" s="378"/>
      <c r="Y554" s="378"/>
      <c r="Z554" s="378"/>
      <c r="AA554" s="378"/>
      <c r="AB554" s="378"/>
      <c r="AC554" s="378"/>
      <c r="AD554" s="162"/>
      <c r="AE554" s="361"/>
    </row>
    <row r="555">
      <c r="A555" s="373"/>
      <c r="B555" s="373"/>
      <c r="C555" s="373"/>
      <c r="D555" s="373"/>
      <c r="E555" s="373"/>
      <c r="F555" s="374"/>
      <c r="G555" s="373"/>
      <c r="H555" s="373"/>
      <c r="I555" s="373"/>
      <c r="J555" s="373"/>
      <c r="K555" s="373"/>
      <c r="L555" s="373"/>
      <c r="M555" s="373"/>
      <c r="N555" s="373"/>
      <c r="O555" s="373"/>
      <c r="P555" s="375"/>
      <c r="Q555" s="376"/>
      <c r="R555" s="377"/>
      <c r="S555" s="377"/>
      <c r="T555" s="377"/>
      <c r="U555" s="377"/>
      <c r="V555" s="377"/>
      <c r="W555" s="377"/>
      <c r="X555" s="378"/>
      <c r="Y555" s="378"/>
      <c r="Z555" s="378"/>
      <c r="AA555" s="378"/>
      <c r="AB555" s="378"/>
      <c r="AC555" s="378"/>
      <c r="AD555" s="162"/>
      <c r="AE555" s="361"/>
    </row>
    <row r="556">
      <c r="A556" s="373"/>
      <c r="B556" s="373"/>
      <c r="C556" s="373"/>
      <c r="D556" s="373"/>
      <c r="E556" s="373"/>
      <c r="F556" s="374"/>
      <c r="G556" s="373"/>
      <c r="H556" s="373"/>
      <c r="I556" s="373"/>
      <c r="J556" s="373"/>
      <c r="K556" s="373"/>
      <c r="L556" s="373"/>
      <c r="M556" s="373"/>
      <c r="N556" s="373"/>
      <c r="O556" s="373"/>
      <c r="P556" s="375"/>
      <c r="Q556" s="376"/>
      <c r="R556" s="377"/>
      <c r="S556" s="377"/>
      <c r="T556" s="377"/>
      <c r="U556" s="377"/>
      <c r="V556" s="377"/>
      <c r="W556" s="377"/>
      <c r="X556" s="378"/>
      <c r="Y556" s="378"/>
      <c r="Z556" s="378"/>
      <c r="AA556" s="378"/>
      <c r="AB556" s="378"/>
      <c r="AC556" s="378"/>
      <c r="AD556" s="162"/>
      <c r="AE556" s="361"/>
    </row>
    <row r="557">
      <c r="A557" s="373"/>
      <c r="B557" s="373"/>
      <c r="C557" s="373"/>
      <c r="D557" s="373"/>
      <c r="E557" s="373"/>
      <c r="F557" s="374"/>
      <c r="G557" s="373"/>
      <c r="H557" s="373"/>
      <c r="I557" s="373"/>
      <c r="J557" s="373"/>
      <c r="K557" s="373"/>
      <c r="L557" s="373"/>
      <c r="M557" s="373"/>
      <c r="N557" s="373"/>
      <c r="O557" s="373"/>
      <c r="P557" s="375"/>
      <c r="Q557" s="376"/>
      <c r="R557" s="377"/>
      <c r="S557" s="377"/>
      <c r="T557" s="377"/>
      <c r="U557" s="377"/>
      <c r="V557" s="377"/>
      <c r="W557" s="377"/>
      <c r="X557" s="378"/>
      <c r="Y557" s="378"/>
      <c r="Z557" s="378"/>
      <c r="AA557" s="378"/>
      <c r="AB557" s="378"/>
      <c r="AC557" s="378"/>
      <c r="AD557" s="162"/>
      <c r="AE557" s="361"/>
    </row>
    <row r="558">
      <c r="A558" s="373"/>
      <c r="B558" s="373"/>
      <c r="C558" s="373"/>
      <c r="D558" s="373"/>
      <c r="E558" s="373"/>
      <c r="F558" s="374"/>
      <c r="G558" s="373"/>
      <c r="H558" s="373"/>
      <c r="I558" s="373"/>
      <c r="J558" s="373"/>
      <c r="K558" s="373"/>
      <c r="L558" s="373"/>
      <c r="M558" s="373"/>
      <c r="N558" s="373"/>
      <c r="O558" s="373"/>
      <c r="P558" s="375"/>
      <c r="Q558" s="376"/>
      <c r="R558" s="377"/>
      <c r="S558" s="377"/>
      <c r="T558" s="377"/>
      <c r="U558" s="377"/>
      <c r="V558" s="377"/>
      <c r="W558" s="377"/>
      <c r="X558" s="378"/>
      <c r="Y558" s="378"/>
      <c r="Z558" s="378"/>
      <c r="AA558" s="378"/>
      <c r="AB558" s="378"/>
      <c r="AC558" s="378"/>
      <c r="AD558" s="162"/>
      <c r="AE558" s="361"/>
    </row>
    <row r="559">
      <c r="A559" s="379"/>
      <c r="B559" s="379"/>
      <c r="C559" s="379"/>
      <c r="D559" s="379"/>
      <c r="E559" s="379"/>
      <c r="F559" s="380"/>
      <c r="G559" s="379"/>
      <c r="H559" s="379"/>
      <c r="I559" s="379"/>
      <c r="J559" s="379"/>
      <c r="K559" s="379"/>
      <c r="L559" s="379"/>
      <c r="M559" s="379"/>
      <c r="N559" s="379"/>
      <c r="O559" s="379"/>
      <c r="P559" s="376"/>
      <c r="Q559" s="381"/>
      <c r="R559" s="381"/>
      <c r="S559" s="376"/>
      <c r="T559" s="376"/>
      <c r="U559" s="382"/>
      <c r="V559" s="382"/>
      <c r="W559" s="382"/>
      <c r="X559" s="383"/>
      <c r="Y559" s="383"/>
      <c r="Z559" s="383"/>
      <c r="AA559" s="383"/>
      <c r="AB559" s="383"/>
      <c r="AC559" s="383"/>
      <c r="AD559" s="162"/>
      <c r="AE559" s="361"/>
    </row>
    <row r="560">
      <c r="A560" s="379"/>
      <c r="B560" s="379"/>
      <c r="C560" s="379"/>
      <c r="D560" s="379"/>
      <c r="E560" s="379"/>
      <c r="F560" s="380"/>
      <c r="G560" s="379"/>
      <c r="H560" s="379"/>
      <c r="I560" s="379"/>
      <c r="J560" s="379"/>
      <c r="K560" s="379"/>
      <c r="L560" s="379"/>
      <c r="M560" s="379"/>
      <c r="N560" s="379"/>
      <c r="O560" s="379"/>
      <c r="P560" s="376"/>
      <c r="Q560" s="381"/>
      <c r="R560" s="381"/>
      <c r="S560" s="376"/>
      <c r="T560" s="376"/>
      <c r="U560" s="382"/>
      <c r="V560" s="382"/>
      <c r="W560" s="382"/>
      <c r="X560" s="383"/>
      <c r="Y560" s="383"/>
      <c r="Z560" s="383"/>
      <c r="AA560" s="383"/>
      <c r="AB560" s="383"/>
      <c r="AC560" s="383"/>
      <c r="AD560" s="162"/>
      <c r="AE560" s="361"/>
    </row>
    <row r="561">
      <c r="A561" s="379"/>
      <c r="B561" s="379"/>
      <c r="C561" s="379"/>
      <c r="D561" s="379"/>
      <c r="E561" s="379"/>
      <c r="F561" s="380"/>
      <c r="G561" s="379"/>
      <c r="H561" s="379"/>
      <c r="I561" s="379"/>
      <c r="J561" s="379"/>
      <c r="K561" s="379"/>
      <c r="L561" s="379"/>
      <c r="M561" s="379"/>
      <c r="N561" s="379"/>
      <c r="O561" s="379"/>
      <c r="P561" s="376"/>
      <c r="Q561" s="381"/>
      <c r="R561" s="381"/>
      <c r="S561" s="376"/>
      <c r="T561" s="376"/>
      <c r="U561" s="382"/>
      <c r="V561" s="382"/>
      <c r="W561" s="382"/>
      <c r="X561" s="383"/>
      <c r="Y561" s="383"/>
      <c r="Z561" s="383"/>
      <c r="AA561" s="383"/>
      <c r="AB561" s="383"/>
      <c r="AC561" s="383"/>
      <c r="AD561" s="162"/>
      <c r="AE561" s="361"/>
    </row>
    <row r="562">
      <c r="A562" s="379"/>
      <c r="B562" s="379"/>
      <c r="C562" s="379"/>
      <c r="D562" s="379"/>
      <c r="E562" s="379"/>
      <c r="F562" s="380"/>
      <c r="G562" s="379"/>
      <c r="H562" s="379"/>
      <c r="I562" s="379"/>
      <c r="J562" s="379"/>
      <c r="K562" s="379"/>
      <c r="L562" s="379"/>
      <c r="M562" s="379"/>
      <c r="N562" s="379"/>
      <c r="O562" s="379"/>
      <c r="P562" s="376"/>
      <c r="Q562" s="381"/>
      <c r="R562" s="381"/>
      <c r="S562" s="376"/>
      <c r="T562" s="376"/>
      <c r="U562" s="382"/>
      <c r="V562" s="382"/>
      <c r="W562" s="382"/>
      <c r="X562" s="383"/>
      <c r="Y562" s="383"/>
      <c r="Z562" s="383"/>
      <c r="AA562" s="383"/>
      <c r="AB562" s="383"/>
      <c r="AC562" s="383"/>
      <c r="AD562" s="162"/>
      <c r="AE562" s="361"/>
    </row>
    <row r="563">
      <c r="A563" s="379"/>
      <c r="B563" s="379"/>
      <c r="C563" s="379"/>
      <c r="D563" s="379"/>
      <c r="E563" s="379"/>
      <c r="F563" s="380"/>
      <c r="G563" s="379"/>
      <c r="H563" s="379"/>
      <c r="I563" s="379"/>
      <c r="J563" s="379"/>
      <c r="K563" s="379"/>
      <c r="L563" s="379"/>
      <c r="M563" s="379"/>
      <c r="N563" s="379"/>
      <c r="O563" s="379"/>
      <c r="P563" s="376"/>
      <c r="Q563" s="381"/>
      <c r="R563" s="381"/>
      <c r="S563" s="376"/>
      <c r="T563" s="376"/>
      <c r="U563" s="382"/>
      <c r="V563" s="382"/>
      <c r="W563" s="382"/>
      <c r="X563" s="383"/>
      <c r="Y563" s="383"/>
      <c r="Z563" s="383"/>
      <c r="AA563" s="383"/>
      <c r="AB563" s="383"/>
      <c r="AC563" s="383"/>
      <c r="AD563" s="162"/>
      <c r="AE563" s="361"/>
    </row>
    <row r="564">
      <c r="A564" s="379"/>
      <c r="B564" s="379"/>
      <c r="C564" s="379"/>
      <c r="D564" s="379"/>
      <c r="E564" s="379"/>
      <c r="F564" s="380"/>
      <c r="G564" s="379"/>
      <c r="H564" s="379"/>
      <c r="I564" s="379"/>
      <c r="J564" s="379"/>
      <c r="K564" s="379"/>
      <c r="L564" s="379"/>
      <c r="M564" s="379"/>
      <c r="N564" s="379"/>
      <c r="O564" s="379"/>
      <c r="P564" s="376"/>
      <c r="Q564" s="381"/>
      <c r="R564" s="381"/>
      <c r="S564" s="376"/>
      <c r="T564" s="376"/>
      <c r="U564" s="382"/>
      <c r="V564" s="382"/>
      <c r="W564" s="382"/>
      <c r="X564" s="383"/>
      <c r="Y564" s="383"/>
      <c r="Z564" s="383"/>
      <c r="AA564" s="383"/>
      <c r="AB564" s="383"/>
      <c r="AC564" s="383"/>
      <c r="AD564" s="162"/>
      <c r="AE564" s="361"/>
    </row>
    <row r="565">
      <c r="A565" s="379"/>
      <c r="B565" s="379"/>
      <c r="C565" s="379"/>
      <c r="D565" s="379"/>
      <c r="E565" s="379"/>
      <c r="F565" s="380"/>
      <c r="G565" s="379"/>
      <c r="H565" s="379"/>
      <c r="I565" s="379"/>
      <c r="J565" s="379"/>
      <c r="K565" s="379"/>
      <c r="L565" s="379"/>
      <c r="M565" s="379"/>
      <c r="N565" s="379"/>
      <c r="O565" s="379"/>
      <c r="P565" s="376"/>
      <c r="Q565" s="381"/>
      <c r="R565" s="381"/>
      <c r="S565" s="376"/>
      <c r="T565" s="376"/>
      <c r="U565" s="382"/>
      <c r="V565" s="382"/>
      <c r="W565" s="382"/>
      <c r="X565" s="383"/>
      <c r="Y565" s="383"/>
      <c r="Z565" s="383"/>
      <c r="AA565" s="383"/>
      <c r="AB565" s="383"/>
      <c r="AC565" s="383"/>
      <c r="AD565" s="162"/>
      <c r="AE565" s="361"/>
    </row>
    <row r="566">
      <c r="A566" s="379"/>
      <c r="B566" s="379"/>
      <c r="C566" s="379"/>
      <c r="D566" s="379"/>
      <c r="E566" s="379"/>
      <c r="F566" s="380"/>
      <c r="G566" s="379"/>
      <c r="H566" s="379"/>
      <c r="I566" s="379"/>
      <c r="J566" s="379"/>
      <c r="K566" s="379"/>
      <c r="L566" s="379"/>
      <c r="M566" s="379"/>
      <c r="N566" s="379"/>
      <c r="O566" s="379"/>
      <c r="P566" s="376"/>
      <c r="Q566" s="381"/>
      <c r="R566" s="381"/>
      <c r="S566" s="376"/>
      <c r="T566" s="376"/>
      <c r="U566" s="382"/>
      <c r="V566" s="382"/>
      <c r="W566" s="382"/>
      <c r="X566" s="383"/>
      <c r="Y566" s="383"/>
      <c r="Z566" s="383"/>
      <c r="AA566" s="383"/>
      <c r="AB566" s="383"/>
      <c r="AC566" s="383"/>
      <c r="AD566" s="162"/>
      <c r="AE566" s="361"/>
    </row>
    <row r="567">
      <c r="A567" s="379"/>
      <c r="B567" s="379"/>
      <c r="C567" s="379"/>
      <c r="D567" s="379"/>
      <c r="E567" s="379"/>
      <c r="F567" s="380"/>
      <c r="G567" s="379"/>
      <c r="H567" s="379"/>
      <c r="I567" s="379"/>
      <c r="J567" s="379"/>
      <c r="K567" s="379"/>
      <c r="L567" s="379"/>
      <c r="M567" s="379"/>
      <c r="N567" s="379"/>
      <c r="O567" s="379"/>
      <c r="P567" s="376"/>
      <c r="Q567" s="381"/>
      <c r="R567" s="381"/>
      <c r="S567" s="376"/>
      <c r="T567" s="376"/>
      <c r="U567" s="382"/>
      <c r="V567" s="382"/>
      <c r="W567" s="382"/>
      <c r="X567" s="383"/>
      <c r="Y567" s="383"/>
      <c r="Z567" s="383"/>
      <c r="AA567" s="383"/>
      <c r="AB567" s="383"/>
      <c r="AC567" s="383"/>
      <c r="AD567" s="162"/>
      <c r="AE567" s="361"/>
    </row>
    <row r="568">
      <c r="A568" s="379"/>
      <c r="B568" s="379"/>
      <c r="C568" s="379"/>
      <c r="D568" s="379"/>
      <c r="E568" s="379"/>
      <c r="F568" s="380"/>
      <c r="G568" s="379"/>
      <c r="H568" s="379"/>
      <c r="I568" s="379"/>
      <c r="J568" s="379"/>
      <c r="K568" s="379"/>
      <c r="L568" s="379"/>
      <c r="M568" s="379"/>
      <c r="N568" s="379"/>
      <c r="O568" s="379"/>
      <c r="P568" s="376"/>
      <c r="Q568" s="381"/>
      <c r="R568" s="381"/>
      <c r="S568" s="376"/>
      <c r="T568" s="376"/>
      <c r="U568" s="382"/>
      <c r="V568" s="382"/>
      <c r="W568" s="382"/>
      <c r="X568" s="383"/>
      <c r="Y568" s="383"/>
      <c r="Z568" s="383"/>
      <c r="AA568" s="383"/>
      <c r="AB568" s="383"/>
      <c r="AC568" s="383"/>
      <c r="AD568" s="162"/>
      <c r="AE568" s="361"/>
    </row>
    <row r="569">
      <c r="A569" s="379"/>
      <c r="B569" s="379"/>
      <c r="C569" s="379"/>
      <c r="D569" s="379"/>
      <c r="E569" s="379"/>
      <c r="F569" s="380"/>
      <c r="G569" s="379"/>
      <c r="H569" s="379"/>
      <c r="I569" s="379"/>
      <c r="J569" s="379"/>
      <c r="K569" s="379"/>
      <c r="L569" s="379"/>
      <c r="M569" s="379"/>
      <c r="N569" s="379"/>
      <c r="O569" s="379"/>
      <c r="P569" s="376"/>
      <c r="Q569" s="381"/>
      <c r="R569" s="381"/>
      <c r="S569" s="376"/>
      <c r="T569" s="376"/>
      <c r="U569" s="382"/>
      <c r="V569" s="382"/>
      <c r="W569" s="382"/>
      <c r="X569" s="383"/>
      <c r="Y569" s="383"/>
      <c r="Z569" s="383"/>
      <c r="AA569" s="383"/>
      <c r="AB569" s="383"/>
      <c r="AC569" s="383"/>
      <c r="AD569" s="162"/>
      <c r="AE569" s="361"/>
    </row>
    <row r="570">
      <c r="A570" s="379"/>
      <c r="B570" s="379"/>
      <c r="C570" s="379"/>
      <c r="D570" s="379"/>
      <c r="E570" s="379"/>
      <c r="F570" s="380"/>
      <c r="G570" s="379"/>
      <c r="H570" s="379"/>
      <c r="I570" s="379"/>
      <c r="J570" s="379"/>
      <c r="K570" s="379"/>
      <c r="L570" s="379"/>
      <c r="M570" s="379"/>
      <c r="N570" s="379"/>
      <c r="O570" s="379"/>
      <c r="P570" s="376"/>
      <c r="Q570" s="381"/>
      <c r="R570" s="381"/>
      <c r="S570" s="376"/>
      <c r="T570" s="376"/>
      <c r="U570" s="382"/>
      <c r="V570" s="382"/>
      <c r="W570" s="382"/>
      <c r="X570" s="383"/>
      <c r="Y570" s="383"/>
      <c r="Z570" s="383"/>
      <c r="AA570" s="383"/>
      <c r="AB570" s="383"/>
      <c r="AC570" s="383"/>
      <c r="AD570" s="162"/>
      <c r="AE570" s="361"/>
    </row>
    <row r="571">
      <c r="A571" s="379"/>
      <c r="B571" s="379"/>
      <c r="C571" s="379"/>
      <c r="D571" s="379"/>
      <c r="E571" s="379"/>
      <c r="F571" s="380"/>
      <c r="G571" s="379"/>
      <c r="H571" s="379"/>
      <c r="I571" s="379"/>
      <c r="J571" s="379"/>
      <c r="K571" s="379"/>
      <c r="L571" s="379"/>
      <c r="M571" s="379"/>
      <c r="N571" s="379"/>
      <c r="O571" s="379"/>
      <c r="P571" s="376"/>
      <c r="Q571" s="381"/>
      <c r="R571" s="381"/>
      <c r="S571" s="376"/>
      <c r="T571" s="376"/>
      <c r="U571" s="382"/>
      <c r="V571" s="382"/>
      <c r="W571" s="382"/>
      <c r="X571" s="383"/>
      <c r="Y571" s="383"/>
      <c r="Z571" s="383"/>
      <c r="AA571" s="383"/>
      <c r="AB571" s="383"/>
      <c r="AC571" s="383"/>
      <c r="AD571" s="162"/>
      <c r="AE571" s="361"/>
    </row>
    <row r="572">
      <c r="A572" s="379"/>
      <c r="B572" s="379"/>
      <c r="C572" s="379"/>
      <c r="D572" s="379"/>
      <c r="E572" s="379"/>
      <c r="F572" s="380"/>
      <c r="G572" s="379"/>
      <c r="H572" s="379"/>
      <c r="I572" s="379"/>
      <c r="J572" s="379"/>
      <c r="K572" s="379"/>
      <c r="L572" s="379"/>
      <c r="M572" s="379"/>
      <c r="N572" s="379"/>
      <c r="O572" s="379"/>
      <c r="P572" s="376"/>
      <c r="Q572" s="381"/>
      <c r="R572" s="381"/>
      <c r="S572" s="376"/>
      <c r="T572" s="376"/>
      <c r="U572" s="382"/>
      <c r="V572" s="382"/>
      <c r="W572" s="382"/>
      <c r="X572" s="383"/>
      <c r="Y572" s="383"/>
      <c r="Z572" s="383"/>
      <c r="AA572" s="383"/>
      <c r="AB572" s="383"/>
      <c r="AC572" s="383"/>
      <c r="AD572" s="162"/>
      <c r="AE572" s="361"/>
    </row>
    <row r="573">
      <c r="A573" s="379"/>
      <c r="B573" s="379"/>
      <c r="C573" s="379"/>
      <c r="D573" s="379"/>
      <c r="E573" s="379"/>
      <c r="F573" s="380"/>
      <c r="G573" s="379"/>
      <c r="H573" s="379"/>
      <c r="I573" s="379"/>
      <c r="J573" s="379"/>
      <c r="K573" s="379"/>
      <c r="L573" s="379"/>
      <c r="M573" s="379"/>
      <c r="N573" s="379"/>
      <c r="O573" s="379"/>
      <c r="P573" s="376"/>
      <c r="Q573" s="381"/>
      <c r="R573" s="381"/>
      <c r="S573" s="376"/>
      <c r="T573" s="376"/>
      <c r="U573" s="382"/>
      <c r="V573" s="382"/>
      <c r="W573" s="382"/>
      <c r="X573" s="383"/>
      <c r="Y573" s="383"/>
      <c r="Z573" s="383"/>
      <c r="AA573" s="383"/>
      <c r="AB573" s="383"/>
      <c r="AC573" s="383"/>
      <c r="AD573" s="162"/>
      <c r="AE573" s="361"/>
    </row>
    <row r="574">
      <c r="A574" s="379"/>
      <c r="B574" s="379"/>
      <c r="C574" s="379"/>
      <c r="D574" s="379"/>
      <c r="E574" s="379"/>
      <c r="F574" s="380"/>
      <c r="G574" s="379"/>
      <c r="H574" s="379"/>
      <c r="I574" s="379"/>
      <c r="J574" s="379"/>
      <c r="K574" s="379"/>
      <c r="L574" s="379"/>
      <c r="M574" s="379"/>
      <c r="N574" s="379"/>
      <c r="O574" s="379"/>
      <c r="P574" s="376"/>
      <c r="Q574" s="381"/>
      <c r="R574" s="381"/>
      <c r="S574" s="376"/>
      <c r="T574" s="376"/>
      <c r="U574" s="382"/>
      <c r="V574" s="382"/>
      <c r="W574" s="382"/>
      <c r="X574" s="383"/>
      <c r="Y574" s="383"/>
      <c r="Z574" s="383"/>
      <c r="AA574" s="383"/>
      <c r="AB574" s="383"/>
      <c r="AC574" s="383"/>
      <c r="AD574" s="162"/>
      <c r="AE574" s="361"/>
    </row>
    <row r="575">
      <c r="A575" s="379"/>
      <c r="B575" s="379"/>
      <c r="C575" s="379"/>
      <c r="D575" s="379"/>
      <c r="E575" s="379"/>
      <c r="F575" s="380"/>
      <c r="G575" s="379"/>
      <c r="H575" s="379"/>
      <c r="I575" s="379"/>
      <c r="J575" s="379"/>
      <c r="K575" s="379"/>
      <c r="L575" s="379"/>
      <c r="M575" s="379"/>
      <c r="N575" s="379"/>
      <c r="O575" s="379"/>
      <c r="P575" s="376"/>
      <c r="Q575" s="381"/>
      <c r="R575" s="381"/>
      <c r="S575" s="376"/>
      <c r="T575" s="376"/>
      <c r="U575" s="382"/>
      <c r="V575" s="382"/>
      <c r="W575" s="382"/>
      <c r="X575" s="383"/>
      <c r="Y575" s="383"/>
      <c r="Z575" s="383"/>
      <c r="AA575" s="383"/>
      <c r="AB575" s="383"/>
      <c r="AC575" s="383"/>
      <c r="AD575" s="162"/>
      <c r="AE575" s="361"/>
    </row>
    <row r="576">
      <c r="A576" s="379"/>
      <c r="B576" s="379"/>
      <c r="C576" s="379"/>
      <c r="D576" s="379"/>
      <c r="E576" s="379"/>
      <c r="F576" s="380"/>
      <c r="G576" s="379"/>
      <c r="H576" s="379"/>
      <c r="I576" s="379"/>
      <c r="J576" s="379"/>
      <c r="K576" s="379"/>
      <c r="L576" s="379"/>
      <c r="M576" s="379"/>
      <c r="N576" s="379"/>
      <c r="O576" s="379"/>
      <c r="P576" s="376"/>
      <c r="Q576" s="381"/>
      <c r="R576" s="381"/>
      <c r="S576" s="376"/>
      <c r="T576" s="376"/>
      <c r="U576" s="382"/>
      <c r="V576" s="382"/>
      <c r="W576" s="382"/>
      <c r="X576" s="383"/>
      <c r="Y576" s="383"/>
      <c r="Z576" s="383"/>
      <c r="AA576" s="383"/>
      <c r="AB576" s="383"/>
      <c r="AC576" s="383"/>
      <c r="AD576" s="162"/>
      <c r="AE576" s="361"/>
    </row>
    <row r="577">
      <c r="A577" s="379"/>
      <c r="B577" s="379"/>
      <c r="C577" s="379"/>
      <c r="D577" s="379"/>
      <c r="E577" s="379"/>
      <c r="F577" s="380"/>
      <c r="G577" s="379"/>
      <c r="H577" s="379"/>
      <c r="I577" s="379"/>
      <c r="J577" s="379"/>
      <c r="K577" s="379"/>
      <c r="L577" s="379"/>
      <c r="M577" s="379"/>
      <c r="N577" s="379"/>
      <c r="O577" s="379"/>
      <c r="P577" s="376"/>
      <c r="Q577" s="381"/>
      <c r="R577" s="381"/>
      <c r="S577" s="376"/>
      <c r="T577" s="376"/>
      <c r="U577" s="382"/>
      <c r="V577" s="382"/>
      <c r="W577" s="382"/>
      <c r="X577" s="383"/>
      <c r="Y577" s="383"/>
      <c r="Z577" s="383"/>
      <c r="AA577" s="383"/>
      <c r="AB577" s="383"/>
      <c r="AC577" s="383"/>
      <c r="AD577" s="162"/>
      <c r="AE577" s="361"/>
    </row>
    <row r="578">
      <c r="A578" s="379"/>
      <c r="B578" s="379"/>
      <c r="C578" s="379"/>
      <c r="D578" s="379"/>
      <c r="E578" s="379"/>
      <c r="F578" s="380"/>
      <c r="G578" s="379"/>
      <c r="H578" s="379"/>
      <c r="I578" s="379"/>
      <c r="J578" s="379"/>
      <c r="K578" s="379"/>
      <c r="L578" s="379"/>
      <c r="M578" s="379"/>
      <c r="N578" s="379"/>
      <c r="O578" s="379"/>
      <c r="P578" s="376"/>
      <c r="Q578" s="381"/>
      <c r="R578" s="381"/>
      <c r="S578" s="376"/>
      <c r="T578" s="376"/>
      <c r="U578" s="382"/>
      <c r="V578" s="382"/>
      <c r="W578" s="382"/>
      <c r="X578" s="383"/>
      <c r="Y578" s="383"/>
      <c r="Z578" s="383"/>
      <c r="AA578" s="383"/>
      <c r="AB578" s="383"/>
      <c r="AC578" s="383"/>
      <c r="AD578" s="162"/>
      <c r="AE578" s="361"/>
    </row>
    <row r="579">
      <c r="A579" s="379"/>
      <c r="B579" s="379"/>
      <c r="C579" s="379"/>
      <c r="D579" s="379"/>
      <c r="E579" s="379"/>
      <c r="F579" s="380"/>
      <c r="G579" s="379"/>
      <c r="H579" s="379"/>
      <c r="I579" s="379"/>
      <c r="J579" s="379"/>
      <c r="K579" s="379"/>
      <c r="L579" s="379"/>
      <c r="M579" s="379"/>
      <c r="N579" s="379"/>
      <c r="O579" s="379"/>
      <c r="P579" s="376"/>
      <c r="Q579" s="381"/>
      <c r="R579" s="381"/>
      <c r="S579" s="376"/>
      <c r="T579" s="376"/>
      <c r="U579" s="382"/>
      <c r="V579" s="382"/>
      <c r="W579" s="382"/>
      <c r="X579" s="383"/>
      <c r="Y579" s="383"/>
      <c r="Z579" s="383"/>
      <c r="AA579" s="383"/>
      <c r="AB579" s="383"/>
      <c r="AC579" s="383"/>
      <c r="AD579" s="162"/>
      <c r="AE579" s="361"/>
    </row>
    <row r="580">
      <c r="A580" s="379"/>
      <c r="B580" s="379"/>
      <c r="C580" s="379"/>
      <c r="D580" s="379"/>
      <c r="E580" s="379"/>
      <c r="F580" s="380"/>
      <c r="G580" s="379"/>
      <c r="H580" s="379"/>
      <c r="I580" s="379"/>
      <c r="J580" s="379"/>
      <c r="K580" s="379"/>
      <c r="L580" s="379"/>
      <c r="M580" s="379"/>
      <c r="N580" s="379"/>
      <c r="O580" s="379"/>
      <c r="P580" s="376"/>
      <c r="Q580" s="381"/>
      <c r="R580" s="381"/>
      <c r="S580" s="376"/>
      <c r="T580" s="376"/>
      <c r="U580" s="382"/>
      <c r="V580" s="382"/>
      <c r="W580" s="382"/>
      <c r="X580" s="383"/>
      <c r="Y580" s="383"/>
      <c r="Z580" s="383"/>
      <c r="AA580" s="383"/>
      <c r="AB580" s="383"/>
      <c r="AC580" s="383"/>
      <c r="AD580" s="162"/>
      <c r="AE580" s="361"/>
    </row>
    <row r="581">
      <c r="A581" s="379"/>
      <c r="B581" s="379"/>
      <c r="C581" s="379"/>
      <c r="D581" s="379"/>
      <c r="E581" s="379"/>
      <c r="F581" s="380"/>
      <c r="G581" s="379"/>
      <c r="H581" s="379"/>
      <c r="I581" s="379"/>
      <c r="J581" s="379"/>
      <c r="K581" s="379"/>
      <c r="L581" s="379"/>
      <c r="M581" s="379"/>
      <c r="N581" s="379"/>
      <c r="O581" s="379"/>
      <c r="P581" s="376"/>
      <c r="Q581" s="381"/>
      <c r="R581" s="381"/>
      <c r="S581" s="376"/>
      <c r="T581" s="376"/>
      <c r="U581" s="382"/>
      <c r="V581" s="382"/>
      <c r="W581" s="382"/>
      <c r="X581" s="383"/>
      <c r="Y581" s="383"/>
      <c r="Z581" s="383"/>
      <c r="AA581" s="383"/>
      <c r="AB581" s="383"/>
      <c r="AC581" s="383"/>
      <c r="AD581" s="162"/>
      <c r="AE581" s="361"/>
    </row>
    <row r="582">
      <c r="A582" s="379"/>
      <c r="B582" s="379"/>
      <c r="C582" s="379"/>
      <c r="D582" s="379"/>
      <c r="E582" s="379"/>
      <c r="F582" s="380"/>
      <c r="G582" s="379"/>
      <c r="H582" s="379"/>
      <c r="I582" s="379"/>
      <c r="J582" s="379"/>
      <c r="K582" s="379"/>
      <c r="L582" s="379"/>
      <c r="M582" s="379"/>
      <c r="N582" s="379"/>
      <c r="O582" s="379"/>
      <c r="P582" s="376"/>
      <c r="Q582" s="381"/>
      <c r="R582" s="381"/>
      <c r="S582" s="376"/>
      <c r="T582" s="376"/>
      <c r="U582" s="382"/>
      <c r="V582" s="382"/>
      <c r="W582" s="382"/>
      <c r="X582" s="383"/>
      <c r="Y582" s="383"/>
      <c r="Z582" s="383"/>
      <c r="AA582" s="383"/>
      <c r="AB582" s="383"/>
      <c r="AC582" s="383"/>
      <c r="AD582" s="162"/>
      <c r="AE582" s="361"/>
    </row>
    <row r="583">
      <c r="A583" s="379"/>
      <c r="B583" s="379"/>
      <c r="C583" s="379"/>
      <c r="D583" s="379"/>
      <c r="E583" s="379"/>
      <c r="F583" s="380"/>
      <c r="G583" s="379"/>
      <c r="H583" s="379"/>
      <c r="I583" s="379"/>
      <c r="J583" s="379"/>
      <c r="K583" s="379"/>
      <c r="L583" s="379"/>
      <c r="M583" s="379"/>
      <c r="N583" s="379"/>
      <c r="O583" s="379"/>
      <c r="P583" s="376"/>
      <c r="Q583" s="381"/>
      <c r="R583" s="381"/>
      <c r="S583" s="376"/>
      <c r="T583" s="376"/>
      <c r="U583" s="382" t="s">
        <v>509</v>
      </c>
      <c r="V583" s="382">
        <v>15.0</v>
      </c>
      <c r="W583" s="382">
        <v>5.0</v>
      </c>
      <c r="X583" s="383">
        <v>0.7</v>
      </c>
      <c r="Y583" s="383">
        <v>0.7</v>
      </c>
      <c r="Z583" s="383">
        <v>0.7</v>
      </c>
      <c r="AA583" s="383">
        <v>1700.0</v>
      </c>
      <c r="AB583" s="383" t="s">
        <v>811</v>
      </c>
      <c r="AC583" s="383">
        <v>0.85</v>
      </c>
      <c r="AD583" s="162"/>
      <c r="AE583" s="361"/>
    </row>
    <row r="584">
      <c r="A584" s="379"/>
      <c r="B584" s="379"/>
      <c r="C584" s="379"/>
      <c r="D584" s="379"/>
      <c r="E584" s="379"/>
      <c r="F584" s="380"/>
      <c r="G584" s="379"/>
      <c r="H584" s="379"/>
      <c r="I584" s="379"/>
      <c r="J584" s="379"/>
      <c r="K584" s="379"/>
      <c r="L584" s="379"/>
      <c r="M584" s="379"/>
      <c r="N584" s="379"/>
      <c r="O584" s="379"/>
      <c r="P584" s="376"/>
      <c r="Q584" s="381"/>
      <c r="R584" s="381"/>
      <c r="S584" s="376"/>
      <c r="T584" s="376"/>
      <c r="U584" s="382" t="s">
        <v>509</v>
      </c>
      <c r="V584" s="382">
        <v>15.0</v>
      </c>
      <c r="W584" s="382">
        <v>5.0</v>
      </c>
      <c r="X584" s="383">
        <v>0.7</v>
      </c>
      <c r="Y584" s="383">
        <v>0.7</v>
      </c>
      <c r="Z584" s="383">
        <v>0.7</v>
      </c>
      <c r="AA584" s="383">
        <v>1700.0</v>
      </c>
      <c r="AB584" s="383" t="s">
        <v>811</v>
      </c>
      <c r="AC584" s="383">
        <v>0.85</v>
      </c>
      <c r="AD584" s="162"/>
      <c r="AE584" s="361"/>
    </row>
    <row r="585">
      <c r="A585" s="379"/>
      <c r="B585" s="379"/>
      <c r="C585" s="379"/>
      <c r="D585" s="379"/>
      <c r="E585" s="379"/>
      <c r="F585" s="380"/>
      <c r="G585" s="379"/>
      <c r="H585" s="379"/>
      <c r="I585" s="379"/>
      <c r="J585" s="379"/>
      <c r="K585" s="379"/>
      <c r="L585" s="379"/>
      <c r="M585" s="379"/>
      <c r="N585" s="379"/>
      <c r="O585" s="379"/>
      <c r="P585" s="376"/>
      <c r="Q585" s="381"/>
      <c r="R585" s="381"/>
      <c r="S585" s="376"/>
      <c r="T585" s="376"/>
      <c r="U585" s="382" t="s">
        <v>509</v>
      </c>
      <c r="V585" s="382">
        <v>15.0</v>
      </c>
      <c r="W585" s="382">
        <v>5.0</v>
      </c>
      <c r="X585" s="383">
        <v>0.7</v>
      </c>
      <c r="Y585" s="383">
        <v>0.7</v>
      </c>
      <c r="Z585" s="383">
        <v>0.7</v>
      </c>
      <c r="AA585" s="383">
        <v>1700.0</v>
      </c>
      <c r="AB585" s="383" t="s">
        <v>811</v>
      </c>
      <c r="AC585" s="383">
        <v>0.85</v>
      </c>
      <c r="AD585" s="162"/>
      <c r="AE585" s="361"/>
    </row>
    <row r="586">
      <c r="A586" s="379"/>
      <c r="B586" s="379"/>
      <c r="C586" s="379"/>
      <c r="D586" s="379"/>
      <c r="E586" s="379"/>
      <c r="F586" s="380"/>
      <c r="G586" s="379"/>
      <c r="H586" s="379"/>
      <c r="I586" s="379"/>
      <c r="J586" s="379"/>
      <c r="K586" s="379"/>
      <c r="L586" s="379"/>
      <c r="M586" s="379"/>
      <c r="N586" s="379"/>
      <c r="O586" s="379"/>
      <c r="P586" s="376"/>
      <c r="Q586" s="381"/>
      <c r="R586" s="381"/>
      <c r="S586" s="376"/>
      <c r="T586" s="376"/>
      <c r="U586" s="382" t="s">
        <v>509</v>
      </c>
      <c r="V586" s="382">
        <v>15.0</v>
      </c>
      <c r="W586" s="382">
        <v>5.0</v>
      </c>
      <c r="X586" s="383">
        <v>0.7</v>
      </c>
      <c r="Y586" s="383">
        <v>0.7</v>
      </c>
      <c r="Z586" s="383">
        <v>0.7</v>
      </c>
      <c r="AA586" s="383">
        <v>1700.0</v>
      </c>
      <c r="AB586" s="383" t="s">
        <v>811</v>
      </c>
      <c r="AC586" s="383">
        <v>0.85</v>
      </c>
      <c r="AD586" s="162"/>
      <c r="AE586" s="361"/>
    </row>
    <row r="587">
      <c r="A587" s="379"/>
      <c r="B587" s="379"/>
      <c r="C587" s="379"/>
      <c r="D587" s="379"/>
      <c r="E587" s="379"/>
      <c r="F587" s="380"/>
      <c r="G587" s="379"/>
      <c r="H587" s="379"/>
      <c r="I587" s="379"/>
      <c r="J587" s="379"/>
      <c r="K587" s="379"/>
      <c r="L587" s="379"/>
      <c r="M587" s="379"/>
      <c r="N587" s="379"/>
      <c r="O587" s="379"/>
      <c r="P587" s="376"/>
      <c r="Q587" s="381"/>
      <c r="R587" s="381"/>
      <c r="S587" s="376"/>
      <c r="T587" s="376"/>
      <c r="U587" s="382" t="s">
        <v>509</v>
      </c>
      <c r="V587" s="382">
        <v>15.0</v>
      </c>
      <c r="W587" s="382">
        <v>5.0</v>
      </c>
      <c r="X587" s="383">
        <v>0.7</v>
      </c>
      <c r="Y587" s="383">
        <v>0.7</v>
      </c>
      <c r="Z587" s="383">
        <v>0.7</v>
      </c>
      <c r="AA587" s="383">
        <v>1700.0</v>
      </c>
      <c r="AB587" s="383" t="s">
        <v>811</v>
      </c>
      <c r="AC587" s="383">
        <v>0.85</v>
      </c>
      <c r="AD587" s="162"/>
      <c r="AE587" s="361"/>
    </row>
    <row r="588">
      <c r="A588" s="379"/>
      <c r="B588" s="379"/>
      <c r="C588" s="379"/>
      <c r="D588" s="379"/>
      <c r="E588" s="379"/>
      <c r="F588" s="380"/>
      <c r="G588" s="379"/>
      <c r="H588" s="379"/>
      <c r="I588" s="379"/>
      <c r="J588" s="379"/>
      <c r="K588" s="379"/>
      <c r="L588" s="379"/>
      <c r="M588" s="379"/>
      <c r="N588" s="379"/>
      <c r="O588" s="379"/>
      <c r="P588" s="376"/>
      <c r="Q588" s="381"/>
      <c r="R588" s="381"/>
      <c r="S588" s="376"/>
      <c r="T588" s="376"/>
      <c r="U588" s="382" t="s">
        <v>519</v>
      </c>
      <c r="V588" s="382">
        <v>15.0</v>
      </c>
      <c r="W588" s="382">
        <v>5.0</v>
      </c>
      <c r="X588" s="383">
        <v>0.7</v>
      </c>
      <c r="Y588" s="383">
        <v>0.7</v>
      </c>
      <c r="Z588" s="383">
        <v>0.7</v>
      </c>
      <c r="AA588" s="383">
        <v>1700.0</v>
      </c>
      <c r="AB588" s="383" t="s">
        <v>811</v>
      </c>
      <c r="AC588" s="383">
        <v>0.85</v>
      </c>
      <c r="AD588" s="162"/>
      <c r="AE588" s="361"/>
    </row>
    <row r="589">
      <c r="A589" s="379"/>
      <c r="B589" s="379"/>
      <c r="C589" s="379"/>
      <c r="D589" s="379"/>
      <c r="E589" s="379"/>
      <c r="F589" s="380"/>
      <c r="G589" s="379"/>
      <c r="H589" s="379"/>
      <c r="I589" s="379"/>
      <c r="J589" s="379"/>
      <c r="K589" s="379"/>
      <c r="L589" s="379"/>
      <c r="M589" s="379"/>
      <c r="N589" s="379"/>
      <c r="O589" s="379"/>
      <c r="P589" s="376"/>
      <c r="Q589" s="381"/>
      <c r="R589" s="381"/>
      <c r="S589" s="376"/>
      <c r="T589" s="376"/>
      <c r="U589" s="382" t="s">
        <v>519</v>
      </c>
      <c r="V589" s="382">
        <v>15.0</v>
      </c>
      <c r="W589" s="382">
        <v>5.0</v>
      </c>
      <c r="X589" s="383">
        <v>0.7</v>
      </c>
      <c r="Y589" s="383">
        <v>0.7</v>
      </c>
      <c r="Z589" s="383">
        <v>0.7</v>
      </c>
      <c r="AA589" s="383">
        <v>1700.0</v>
      </c>
      <c r="AB589" s="383" t="s">
        <v>811</v>
      </c>
      <c r="AC589" s="383">
        <v>0.85</v>
      </c>
      <c r="AD589" s="162"/>
      <c r="AE589" s="361"/>
    </row>
    <row r="590">
      <c r="A590" s="379"/>
      <c r="B590" s="379"/>
      <c r="C590" s="379"/>
      <c r="D590" s="379"/>
      <c r="E590" s="379"/>
      <c r="F590" s="380"/>
      <c r="G590" s="379"/>
      <c r="H590" s="379"/>
      <c r="I590" s="379"/>
      <c r="J590" s="379"/>
      <c r="K590" s="379"/>
      <c r="L590" s="379"/>
      <c r="M590" s="379"/>
      <c r="N590" s="379"/>
      <c r="O590" s="379"/>
      <c r="P590" s="376"/>
      <c r="Q590" s="381"/>
      <c r="R590" s="381"/>
      <c r="S590" s="376"/>
      <c r="T590" s="376"/>
      <c r="U590" s="382" t="s">
        <v>509</v>
      </c>
      <c r="V590" s="382">
        <v>15.0</v>
      </c>
      <c r="W590" s="382">
        <v>5.0</v>
      </c>
      <c r="X590" s="383">
        <v>0.7</v>
      </c>
      <c r="Y590" s="383">
        <v>0.7</v>
      </c>
      <c r="Z590" s="383">
        <v>0.7</v>
      </c>
      <c r="AA590" s="383">
        <v>1700.0</v>
      </c>
      <c r="AB590" s="383" t="s">
        <v>811</v>
      </c>
      <c r="AC590" s="383">
        <v>0.85</v>
      </c>
      <c r="AD590" s="162"/>
      <c r="AE590" s="361"/>
    </row>
    <row r="591">
      <c r="A591" s="379"/>
      <c r="B591" s="379"/>
      <c r="C591" s="379"/>
      <c r="D591" s="379"/>
      <c r="E591" s="379"/>
      <c r="F591" s="380"/>
      <c r="G591" s="379"/>
      <c r="H591" s="379"/>
      <c r="I591" s="379"/>
      <c r="J591" s="379"/>
      <c r="K591" s="379"/>
      <c r="L591" s="379"/>
      <c r="M591" s="379"/>
      <c r="N591" s="379"/>
      <c r="O591" s="379"/>
      <c r="P591" s="376"/>
      <c r="Q591" s="381"/>
      <c r="R591" s="381"/>
      <c r="S591" s="376"/>
      <c r="T591" s="376"/>
      <c r="U591" s="382" t="s">
        <v>509</v>
      </c>
      <c r="V591" s="382">
        <v>15.0</v>
      </c>
      <c r="W591" s="382">
        <v>5.0</v>
      </c>
      <c r="X591" s="383">
        <v>0.7</v>
      </c>
      <c r="Y591" s="383">
        <v>0.7</v>
      </c>
      <c r="Z591" s="383">
        <v>0.7</v>
      </c>
      <c r="AA591" s="383">
        <v>1700.0</v>
      </c>
      <c r="AB591" s="383" t="s">
        <v>811</v>
      </c>
      <c r="AC591" s="383">
        <v>0.85</v>
      </c>
      <c r="AD591" s="162"/>
      <c r="AE591" s="361"/>
    </row>
    <row r="592">
      <c r="A592" s="379"/>
      <c r="B592" s="379"/>
      <c r="C592" s="379"/>
      <c r="D592" s="379"/>
      <c r="E592" s="379"/>
      <c r="F592" s="380"/>
      <c r="G592" s="379"/>
      <c r="H592" s="379"/>
      <c r="I592" s="379"/>
      <c r="J592" s="379"/>
      <c r="K592" s="379"/>
      <c r="L592" s="379"/>
      <c r="M592" s="379"/>
      <c r="N592" s="379"/>
      <c r="O592" s="379"/>
      <c r="P592" s="376"/>
      <c r="Q592" s="381"/>
      <c r="R592" s="381"/>
      <c r="S592" s="376"/>
      <c r="T592" s="376"/>
      <c r="U592" s="382" t="s">
        <v>509</v>
      </c>
      <c r="V592" s="382">
        <v>15.0</v>
      </c>
      <c r="W592" s="382">
        <v>5.0</v>
      </c>
      <c r="X592" s="383">
        <v>0.7</v>
      </c>
      <c r="Y592" s="383">
        <v>0.7</v>
      </c>
      <c r="Z592" s="383">
        <v>0.7</v>
      </c>
      <c r="AA592" s="383">
        <v>1700.0</v>
      </c>
      <c r="AB592" s="383" t="s">
        <v>811</v>
      </c>
      <c r="AC592" s="383">
        <v>0.85</v>
      </c>
      <c r="AD592" s="162"/>
      <c r="AE592" s="361"/>
    </row>
    <row r="593">
      <c r="A593" s="379"/>
      <c r="B593" s="379"/>
      <c r="C593" s="379"/>
      <c r="D593" s="379"/>
      <c r="E593" s="379"/>
      <c r="F593" s="380"/>
      <c r="G593" s="379"/>
      <c r="H593" s="379"/>
      <c r="I593" s="379"/>
      <c r="J593" s="379"/>
      <c r="K593" s="379"/>
      <c r="L593" s="379"/>
      <c r="M593" s="379"/>
      <c r="N593" s="379"/>
      <c r="O593" s="379"/>
      <c r="P593" s="376"/>
      <c r="Q593" s="381"/>
      <c r="R593" s="381"/>
      <c r="S593" s="376"/>
      <c r="T593" s="376"/>
      <c r="U593" s="382" t="s">
        <v>509</v>
      </c>
      <c r="V593" s="382">
        <v>15.0</v>
      </c>
      <c r="W593" s="382">
        <v>5.0</v>
      </c>
      <c r="X593" s="383">
        <v>0.7</v>
      </c>
      <c r="Y593" s="383">
        <v>0.7</v>
      </c>
      <c r="Z593" s="383">
        <v>0.7</v>
      </c>
      <c r="AA593" s="383">
        <v>1700.0</v>
      </c>
      <c r="AB593" s="383" t="s">
        <v>811</v>
      </c>
      <c r="AC593" s="383">
        <v>0.85</v>
      </c>
      <c r="AD593" s="162"/>
      <c r="AE593" s="361"/>
    </row>
    <row r="594" ht="15.0" customHeight="1">
      <c r="A594" s="379"/>
      <c r="B594" s="379"/>
      <c r="C594" s="379"/>
      <c r="D594" s="379"/>
      <c r="E594" s="379"/>
      <c r="F594" s="380"/>
      <c r="G594" s="379"/>
      <c r="H594" s="379"/>
      <c r="I594" s="379"/>
      <c r="J594" s="379"/>
      <c r="K594" s="379"/>
      <c r="L594" s="379"/>
      <c r="M594" s="379"/>
      <c r="N594" s="379"/>
      <c r="O594" s="379"/>
      <c r="P594" s="376"/>
      <c r="Q594" s="381"/>
      <c r="R594" s="381"/>
      <c r="S594" s="376"/>
      <c r="T594" s="376"/>
      <c r="U594" s="382" t="s">
        <v>509</v>
      </c>
      <c r="V594" s="382">
        <v>15.0</v>
      </c>
      <c r="W594" s="382">
        <v>5.0</v>
      </c>
      <c r="X594" s="383">
        <v>0.7</v>
      </c>
      <c r="Y594" s="383">
        <v>0.7</v>
      </c>
      <c r="Z594" s="383">
        <v>0.7</v>
      </c>
      <c r="AA594" s="383">
        <v>1700.0</v>
      </c>
      <c r="AB594" s="383" t="s">
        <v>811</v>
      </c>
      <c r="AC594" s="383">
        <v>0.85</v>
      </c>
      <c r="AD594" s="171"/>
      <c r="AE594" s="384"/>
    </row>
    <row r="595" ht="15.0" customHeight="1">
      <c r="A595" s="379"/>
      <c r="B595" s="379"/>
      <c r="C595" s="379"/>
      <c r="D595" s="379"/>
      <c r="E595" s="379"/>
      <c r="F595" s="380"/>
      <c r="G595" s="379"/>
      <c r="H595" s="379"/>
      <c r="I595" s="379"/>
      <c r="J595" s="379"/>
      <c r="K595" s="379"/>
      <c r="L595" s="379"/>
      <c r="M595" s="379"/>
      <c r="N595" s="379"/>
      <c r="O595" s="379"/>
      <c r="P595" s="376"/>
      <c r="Q595" s="381"/>
      <c r="R595" s="381"/>
      <c r="S595" s="376"/>
      <c r="T595" s="376"/>
      <c r="U595" s="382" t="s">
        <v>509</v>
      </c>
      <c r="V595" s="382">
        <v>15.0</v>
      </c>
      <c r="W595" s="382">
        <v>5.0</v>
      </c>
      <c r="X595" s="383">
        <v>0.7</v>
      </c>
      <c r="Y595" s="383">
        <v>0.7</v>
      </c>
      <c r="Z595" s="383">
        <v>0.7</v>
      </c>
      <c r="AA595" s="383">
        <v>1700.0</v>
      </c>
      <c r="AB595" s="383" t="s">
        <v>811</v>
      </c>
      <c r="AC595" s="383">
        <v>0.85</v>
      </c>
      <c r="AD595" s="171"/>
      <c r="AE595" s="384"/>
    </row>
    <row r="596" ht="15.0" customHeight="1">
      <c r="A596" s="379"/>
      <c r="B596" s="379"/>
      <c r="C596" s="379"/>
      <c r="D596" s="379"/>
      <c r="E596" s="379"/>
      <c r="F596" s="380"/>
      <c r="G596" s="379"/>
      <c r="H596" s="379"/>
      <c r="I596" s="379"/>
      <c r="J596" s="379"/>
      <c r="K596" s="379"/>
      <c r="L596" s="379"/>
      <c r="M596" s="379"/>
      <c r="N596" s="379"/>
      <c r="O596" s="379"/>
      <c r="P596" s="376"/>
      <c r="Q596" s="381"/>
      <c r="R596" s="381"/>
      <c r="S596" s="376"/>
      <c r="T596" s="376"/>
      <c r="U596" s="382" t="s">
        <v>519</v>
      </c>
      <c r="V596" s="382">
        <v>15.0</v>
      </c>
      <c r="W596" s="382">
        <v>5.0</v>
      </c>
      <c r="X596" s="383">
        <v>0.7</v>
      </c>
      <c r="Y596" s="383">
        <v>0.7</v>
      </c>
      <c r="Z596" s="383">
        <v>0.7</v>
      </c>
      <c r="AA596" s="383">
        <v>1700.0</v>
      </c>
      <c r="AB596" s="383" t="s">
        <v>811</v>
      </c>
      <c r="AC596" s="383">
        <v>0.85</v>
      </c>
      <c r="AD596" s="171"/>
      <c r="AE596" s="384"/>
    </row>
    <row r="597" ht="15.0" customHeight="1">
      <c r="A597" s="379"/>
      <c r="B597" s="379"/>
      <c r="C597" s="379"/>
      <c r="D597" s="379"/>
      <c r="E597" s="379"/>
      <c r="F597" s="380"/>
      <c r="G597" s="379"/>
      <c r="H597" s="379"/>
      <c r="I597" s="379"/>
      <c r="J597" s="379"/>
      <c r="K597" s="379"/>
      <c r="L597" s="379"/>
      <c r="M597" s="379"/>
      <c r="N597" s="379"/>
      <c r="O597" s="379"/>
      <c r="P597" s="376"/>
      <c r="Q597" s="381"/>
      <c r="R597" s="381"/>
      <c r="S597" s="376"/>
      <c r="T597" s="376"/>
      <c r="U597" s="382" t="s">
        <v>519</v>
      </c>
      <c r="V597" s="382">
        <v>15.0</v>
      </c>
      <c r="W597" s="382">
        <v>5.0</v>
      </c>
      <c r="X597" s="383">
        <v>0.7</v>
      </c>
      <c r="Y597" s="383">
        <v>0.7</v>
      </c>
      <c r="Z597" s="383">
        <v>0.7</v>
      </c>
      <c r="AA597" s="383">
        <v>1700.0</v>
      </c>
      <c r="AB597" s="383" t="s">
        <v>811</v>
      </c>
      <c r="AC597" s="383">
        <v>0.85</v>
      </c>
      <c r="AD597" s="171"/>
      <c r="AE597" s="384"/>
    </row>
    <row r="598" ht="15.0" customHeight="1">
      <c r="A598" s="379"/>
      <c r="B598" s="379"/>
      <c r="C598" s="379"/>
      <c r="D598" s="379"/>
      <c r="E598" s="379"/>
      <c r="F598" s="380"/>
      <c r="G598" s="379"/>
      <c r="H598" s="379"/>
      <c r="I598" s="379"/>
      <c r="J598" s="379"/>
      <c r="K598" s="379"/>
      <c r="L598" s="379"/>
      <c r="M598" s="379"/>
      <c r="N598" s="379"/>
      <c r="O598" s="379"/>
      <c r="P598" s="376"/>
      <c r="Q598" s="381"/>
      <c r="R598" s="381"/>
      <c r="S598" s="376"/>
      <c r="T598" s="376"/>
      <c r="U598" s="382" t="s">
        <v>509</v>
      </c>
      <c r="V598" s="382">
        <v>15.0</v>
      </c>
      <c r="W598" s="382">
        <v>5.0</v>
      </c>
      <c r="X598" s="383">
        <v>0.7</v>
      </c>
      <c r="Y598" s="383">
        <v>0.7</v>
      </c>
      <c r="Z598" s="383">
        <v>0.7</v>
      </c>
      <c r="AA598" s="383">
        <v>1700.0</v>
      </c>
      <c r="AB598" s="383" t="s">
        <v>811</v>
      </c>
      <c r="AC598" s="383">
        <v>0.85</v>
      </c>
      <c r="AD598" s="171"/>
      <c r="AE598" s="384"/>
    </row>
    <row r="599" ht="15.0" customHeight="1">
      <c r="A599" s="379"/>
      <c r="B599" s="379"/>
      <c r="C599" s="379"/>
      <c r="D599" s="379"/>
      <c r="E599" s="379"/>
      <c r="F599" s="380"/>
      <c r="G599" s="379"/>
      <c r="H599" s="379"/>
      <c r="I599" s="379"/>
      <c r="J599" s="379"/>
      <c r="K599" s="379"/>
      <c r="L599" s="379"/>
      <c r="M599" s="379"/>
      <c r="N599" s="379"/>
      <c r="O599" s="379"/>
      <c r="P599" s="376"/>
      <c r="Q599" s="381"/>
      <c r="R599" s="381"/>
      <c r="S599" s="376"/>
      <c r="T599" s="376"/>
      <c r="U599" s="382" t="s">
        <v>509</v>
      </c>
      <c r="V599" s="382">
        <v>15.0</v>
      </c>
      <c r="W599" s="382">
        <v>5.0</v>
      </c>
      <c r="X599" s="383">
        <v>0.7</v>
      </c>
      <c r="Y599" s="383">
        <v>0.7</v>
      </c>
      <c r="Z599" s="383">
        <v>0.7</v>
      </c>
      <c r="AA599" s="383">
        <v>1700.0</v>
      </c>
      <c r="AB599" s="383" t="s">
        <v>811</v>
      </c>
      <c r="AC599" s="383">
        <v>0.85</v>
      </c>
      <c r="AD599" s="171"/>
      <c r="AE599" s="384"/>
    </row>
    <row r="600" ht="15.0" customHeight="1">
      <c r="A600" s="379"/>
      <c r="B600" s="379"/>
      <c r="C600" s="379"/>
      <c r="D600" s="379"/>
      <c r="E600" s="379"/>
      <c r="F600" s="380"/>
      <c r="G600" s="379"/>
      <c r="H600" s="379"/>
      <c r="I600" s="379"/>
      <c r="J600" s="379"/>
      <c r="K600" s="379"/>
      <c r="L600" s="379"/>
      <c r="M600" s="379"/>
      <c r="N600" s="379"/>
      <c r="O600" s="379"/>
      <c r="P600" s="376"/>
      <c r="Q600" s="381"/>
      <c r="R600" s="381"/>
      <c r="S600" s="376"/>
      <c r="T600" s="376"/>
      <c r="U600" s="382" t="s">
        <v>509</v>
      </c>
      <c r="V600" s="382">
        <v>15.0</v>
      </c>
      <c r="W600" s="382">
        <v>5.0</v>
      </c>
      <c r="X600" s="383">
        <v>0.7</v>
      </c>
      <c r="Y600" s="383">
        <v>0.7</v>
      </c>
      <c r="Z600" s="383">
        <v>0.7</v>
      </c>
      <c r="AA600" s="383">
        <v>1700.0</v>
      </c>
      <c r="AB600" s="383" t="s">
        <v>811</v>
      </c>
      <c r="AC600" s="383">
        <v>0.85</v>
      </c>
      <c r="AD600" s="171"/>
      <c r="AE600" s="384"/>
    </row>
    <row r="601" ht="15.0" customHeight="1">
      <c r="A601" s="379"/>
      <c r="B601" s="379"/>
      <c r="C601" s="379"/>
      <c r="D601" s="379"/>
      <c r="E601" s="379"/>
      <c r="F601" s="380"/>
      <c r="G601" s="379"/>
      <c r="H601" s="379"/>
      <c r="I601" s="379"/>
      <c r="J601" s="379"/>
      <c r="K601" s="379"/>
      <c r="L601" s="379"/>
      <c r="M601" s="379"/>
      <c r="N601" s="379"/>
      <c r="O601" s="379"/>
      <c r="P601" s="376"/>
      <c r="Q601" s="381"/>
      <c r="R601" s="381"/>
      <c r="S601" s="376"/>
      <c r="T601" s="376"/>
      <c r="U601" s="382" t="s">
        <v>509</v>
      </c>
      <c r="V601" s="382">
        <v>15.0</v>
      </c>
      <c r="W601" s="382">
        <v>5.0</v>
      </c>
      <c r="X601" s="383">
        <v>0.7</v>
      </c>
      <c r="Y601" s="383">
        <v>0.7</v>
      </c>
      <c r="Z601" s="383">
        <v>0.7</v>
      </c>
      <c r="AA601" s="383">
        <v>1700.0</v>
      </c>
      <c r="AB601" s="383" t="s">
        <v>811</v>
      </c>
      <c r="AC601" s="383">
        <v>0.85</v>
      </c>
      <c r="AD601" s="171"/>
      <c r="AE601" s="384"/>
    </row>
    <row r="602" ht="15.0" customHeight="1">
      <c r="A602" s="379"/>
      <c r="B602" s="379"/>
      <c r="C602" s="379"/>
      <c r="D602" s="379"/>
      <c r="E602" s="379"/>
      <c r="F602" s="380"/>
      <c r="G602" s="379"/>
      <c r="H602" s="379"/>
      <c r="I602" s="379"/>
      <c r="J602" s="379"/>
      <c r="K602" s="379"/>
      <c r="L602" s="379"/>
      <c r="M602" s="379"/>
      <c r="N602" s="379"/>
      <c r="O602" s="379"/>
      <c r="P602" s="376"/>
      <c r="Q602" s="381"/>
      <c r="R602" s="381"/>
      <c r="S602" s="376"/>
      <c r="T602" s="376"/>
      <c r="U602" s="382" t="s">
        <v>509</v>
      </c>
      <c r="V602" s="382">
        <v>15.0</v>
      </c>
      <c r="W602" s="382">
        <v>5.0</v>
      </c>
      <c r="X602" s="383">
        <v>0.7</v>
      </c>
      <c r="Y602" s="383">
        <v>0.7</v>
      </c>
      <c r="Z602" s="383">
        <v>0.7</v>
      </c>
      <c r="AA602" s="383">
        <v>1700.0</v>
      </c>
      <c r="AB602" s="383" t="s">
        <v>811</v>
      </c>
      <c r="AC602" s="383">
        <v>0.85</v>
      </c>
      <c r="AD602" s="171"/>
      <c r="AE602" s="384"/>
    </row>
    <row r="603" ht="15.0" customHeight="1">
      <c r="A603" s="379"/>
      <c r="B603" s="379"/>
      <c r="C603" s="379"/>
      <c r="D603" s="379"/>
      <c r="E603" s="379"/>
      <c r="F603" s="380"/>
      <c r="G603" s="379"/>
      <c r="H603" s="379"/>
      <c r="I603" s="379"/>
      <c r="J603" s="379"/>
      <c r="K603" s="379"/>
      <c r="L603" s="379"/>
      <c r="M603" s="379"/>
      <c r="N603" s="379"/>
      <c r="O603" s="379"/>
      <c r="P603" s="376"/>
      <c r="Q603" s="381"/>
      <c r="R603" s="381"/>
      <c r="S603" s="376"/>
      <c r="T603" s="376"/>
      <c r="U603" s="382" t="s">
        <v>509</v>
      </c>
      <c r="V603" s="382">
        <v>15.0</v>
      </c>
      <c r="W603" s="382">
        <v>5.0</v>
      </c>
      <c r="X603" s="383">
        <v>0.7</v>
      </c>
      <c r="Y603" s="383">
        <v>0.7</v>
      </c>
      <c r="Z603" s="383">
        <v>0.7</v>
      </c>
      <c r="AA603" s="383">
        <v>1700.0</v>
      </c>
      <c r="AB603" s="383" t="s">
        <v>811</v>
      </c>
      <c r="AC603" s="383">
        <v>0.85</v>
      </c>
      <c r="AD603" s="171"/>
      <c r="AE603" s="384"/>
    </row>
    <row r="604" ht="15.0" customHeight="1">
      <c r="A604" s="379"/>
      <c r="B604" s="379"/>
      <c r="C604" s="379"/>
      <c r="D604" s="379"/>
      <c r="E604" s="379"/>
      <c r="F604" s="380"/>
      <c r="G604" s="379"/>
      <c r="H604" s="379"/>
      <c r="I604" s="379"/>
      <c r="J604" s="379"/>
      <c r="K604" s="379"/>
      <c r="L604" s="379"/>
      <c r="M604" s="379"/>
      <c r="N604" s="379"/>
      <c r="O604" s="379"/>
      <c r="P604" s="376"/>
      <c r="Q604" s="381"/>
      <c r="R604" s="381"/>
      <c r="S604" s="376"/>
      <c r="T604" s="376"/>
      <c r="U604" s="382" t="s">
        <v>509</v>
      </c>
      <c r="V604" s="382">
        <v>15.0</v>
      </c>
      <c r="W604" s="382">
        <v>5.0</v>
      </c>
      <c r="X604" s="383">
        <v>0.7</v>
      </c>
      <c r="Y604" s="383">
        <v>0.7</v>
      </c>
      <c r="Z604" s="383">
        <v>0.7</v>
      </c>
      <c r="AA604" s="383">
        <v>1700.0</v>
      </c>
      <c r="AB604" s="383" t="s">
        <v>811</v>
      </c>
      <c r="AC604" s="383">
        <v>0.85</v>
      </c>
      <c r="AD604" s="171"/>
      <c r="AE604" s="384"/>
    </row>
    <row r="605" ht="15.0" customHeight="1">
      <c r="A605" s="379"/>
      <c r="B605" s="379"/>
      <c r="C605" s="379"/>
      <c r="D605" s="379"/>
      <c r="E605" s="379"/>
      <c r="F605" s="380"/>
      <c r="G605" s="379"/>
      <c r="H605" s="379"/>
      <c r="I605" s="379"/>
      <c r="J605" s="379"/>
      <c r="K605" s="379"/>
      <c r="L605" s="379"/>
      <c r="M605" s="379"/>
      <c r="N605" s="379"/>
      <c r="O605" s="379"/>
      <c r="P605" s="376"/>
      <c r="Q605" s="381"/>
      <c r="R605" s="381"/>
      <c r="S605" s="376"/>
      <c r="T605" s="376"/>
      <c r="U605" s="382" t="s">
        <v>509</v>
      </c>
      <c r="V605" s="382">
        <v>15.0</v>
      </c>
      <c r="W605" s="382">
        <v>5.0</v>
      </c>
      <c r="X605" s="383">
        <v>0.7</v>
      </c>
      <c r="Y605" s="383">
        <v>0.7</v>
      </c>
      <c r="Z605" s="383">
        <v>0.7</v>
      </c>
      <c r="AA605" s="383">
        <v>1700.0</v>
      </c>
      <c r="AB605" s="383" t="s">
        <v>811</v>
      </c>
      <c r="AC605" s="383">
        <v>0.85</v>
      </c>
      <c r="AD605" s="171"/>
      <c r="AE605" s="384"/>
    </row>
    <row r="606" ht="15.0" customHeight="1">
      <c r="A606" s="379"/>
      <c r="B606" s="379"/>
      <c r="C606" s="379"/>
      <c r="D606" s="379"/>
      <c r="E606" s="379"/>
      <c r="F606" s="380"/>
      <c r="G606" s="379"/>
      <c r="H606" s="379"/>
      <c r="I606" s="379"/>
      <c r="J606" s="379"/>
      <c r="K606" s="379"/>
      <c r="L606" s="379"/>
      <c r="M606" s="379"/>
      <c r="N606" s="379"/>
      <c r="O606" s="379"/>
      <c r="P606" s="376"/>
      <c r="Q606" s="381"/>
      <c r="R606" s="381"/>
      <c r="S606" s="376"/>
      <c r="T606" s="376"/>
      <c r="U606" s="382" t="s">
        <v>509</v>
      </c>
      <c r="V606" s="382">
        <v>15.0</v>
      </c>
      <c r="W606" s="382">
        <v>5.0</v>
      </c>
      <c r="X606" s="383">
        <v>0.7</v>
      </c>
      <c r="Y606" s="383">
        <v>0.7</v>
      </c>
      <c r="Z606" s="383">
        <v>0.7</v>
      </c>
      <c r="AA606" s="383">
        <v>1700.0</v>
      </c>
      <c r="AB606" s="383" t="s">
        <v>811</v>
      </c>
      <c r="AC606" s="383">
        <v>0.85</v>
      </c>
      <c r="AD606" s="171"/>
      <c r="AE606" s="384"/>
    </row>
    <row r="607" ht="15.0" customHeight="1">
      <c r="A607" s="379"/>
      <c r="B607" s="379"/>
      <c r="C607" s="379"/>
      <c r="D607" s="379"/>
      <c r="E607" s="379"/>
      <c r="F607" s="380"/>
      <c r="G607" s="379"/>
      <c r="H607" s="379"/>
      <c r="I607" s="379"/>
      <c r="J607" s="379"/>
      <c r="K607" s="379"/>
      <c r="L607" s="379"/>
      <c r="M607" s="379"/>
      <c r="N607" s="379"/>
      <c r="O607" s="379"/>
      <c r="P607" s="376"/>
      <c r="Q607" s="381"/>
      <c r="R607" s="381"/>
      <c r="S607" s="376"/>
      <c r="T607" s="376"/>
      <c r="U607" s="382" t="s">
        <v>588</v>
      </c>
      <c r="V607" s="382">
        <v>15.0</v>
      </c>
      <c r="W607" s="382">
        <v>5.0</v>
      </c>
      <c r="X607" s="383">
        <v>0.7</v>
      </c>
      <c r="Y607" s="383">
        <v>0.7</v>
      </c>
      <c r="Z607" s="383">
        <v>0.7</v>
      </c>
      <c r="AA607" s="383">
        <v>1700.0</v>
      </c>
      <c r="AB607" s="383" t="s">
        <v>811</v>
      </c>
      <c r="AC607" s="383">
        <v>0.85</v>
      </c>
      <c r="AD607" s="171"/>
      <c r="AE607" s="384"/>
    </row>
    <row r="608" ht="15.0" customHeight="1">
      <c r="A608" s="379"/>
      <c r="B608" s="379"/>
      <c r="C608" s="379"/>
      <c r="D608" s="379"/>
      <c r="E608" s="379"/>
      <c r="F608" s="380"/>
      <c r="G608" s="379"/>
      <c r="H608" s="379"/>
      <c r="I608" s="379"/>
      <c r="J608" s="379"/>
      <c r="K608" s="379"/>
      <c r="L608" s="379"/>
      <c r="M608" s="379"/>
      <c r="N608" s="379"/>
      <c r="O608" s="379"/>
      <c r="P608" s="376"/>
      <c r="Q608" s="381"/>
      <c r="R608" s="381"/>
      <c r="S608" s="376"/>
      <c r="T608" s="376"/>
      <c r="U608" s="382" t="s">
        <v>588</v>
      </c>
      <c r="V608" s="382">
        <v>15.0</v>
      </c>
      <c r="W608" s="382">
        <v>5.0</v>
      </c>
      <c r="X608" s="383">
        <v>0.7</v>
      </c>
      <c r="Y608" s="383">
        <v>0.7</v>
      </c>
      <c r="Z608" s="383">
        <v>0.7</v>
      </c>
      <c r="AA608" s="383">
        <v>1700.0</v>
      </c>
      <c r="AB608" s="383" t="s">
        <v>811</v>
      </c>
      <c r="AC608" s="383">
        <v>0.85</v>
      </c>
      <c r="AD608" s="171"/>
      <c r="AE608" s="384"/>
    </row>
    <row r="609" ht="15.0" customHeight="1">
      <c r="A609" s="379"/>
      <c r="B609" s="379"/>
      <c r="C609" s="379"/>
      <c r="D609" s="379"/>
      <c r="E609" s="379"/>
      <c r="F609" s="380"/>
      <c r="G609" s="379"/>
      <c r="H609" s="379"/>
      <c r="I609" s="379"/>
      <c r="J609" s="379"/>
      <c r="K609" s="379"/>
      <c r="L609" s="379"/>
      <c r="M609" s="379"/>
      <c r="N609" s="379"/>
      <c r="O609" s="379"/>
      <c r="P609" s="376"/>
      <c r="Q609" s="381"/>
      <c r="R609" s="381"/>
      <c r="S609" s="376"/>
      <c r="T609" s="376"/>
      <c r="U609" s="382" t="s">
        <v>588</v>
      </c>
      <c r="V609" s="382">
        <v>15.0</v>
      </c>
      <c r="W609" s="382">
        <v>5.0</v>
      </c>
      <c r="X609" s="383">
        <v>0.7</v>
      </c>
      <c r="Y609" s="383">
        <v>0.7</v>
      </c>
      <c r="Z609" s="383">
        <v>0.7</v>
      </c>
      <c r="AA609" s="383">
        <v>1700.0</v>
      </c>
      <c r="AB609" s="383" t="s">
        <v>811</v>
      </c>
      <c r="AC609" s="383">
        <v>0.85</v>
      </c>
      <c r="AD609" s="171"/>
      <c r="AE609" s="384"/>
    </row>
    <row r="610" ht="15.0" customHeight="1">
      <c r="A610" s="379"/>
      <c r="B610" s="379"/>
      <c r="C610" s="379"/>
      <c r="D610" s="379"/>
      <c r="E610" s="379"/>
      <c r="F610" s="380"/>
      <c r="G610" s="379"/>
      <c r="H610" s="379"/>
      <c r="I610" s="379"/>
      <c r="J610" s="379"/>
      <c r="K610" s="379"/>
      <c r="L610" s="379"/>
      <c r="M610" s="379"/>
      <c r="N610" s="379"/>
      <c r="O610" s="379"/>
      <c r="P610" s="376"/>
      <c r="Q610" s="381"/>
      <c r="R610" s="381"/>
      <c r="S610" s="376"/>
      <c r="T610" s="376"/>
      <c r="U610" s="382" t="s">
        <v>588</v>
      </c>
      <c r="V610" s="382">
        <v>15.0</v>
      </c>
      <c r="W610" s="382">
        <v>5.0</v>
      </c>
      <c r="X610" s="383">
        <v>0.7</v>
      </c>
      <c r="Y610" s="383">
        <v>0.7</v>
      </c>
      <c r="Z610" s="383">
        <v>0.7</v>
      </c>
      <c r="AA610" s="383">
        <v>1700.0</v>
      </c>
      <c r="AB610" s="383" t="s">
        <v>811</v>
      </c>
      <c r="AC610" s="383">
        <v>0.85</v>
      </c>
      <c r="AD610" s="171"/>
      <c r="AE610" s="384"/>
    </row>
    <row r="611" ht="15.0" customHeight="1">
      <c r="A611" s="379"/>
      <c r="B611" s="379"/>
      <c r="C611" s="379"/>
      <c r="D611" s="379"/>
      <c r="E611" s="379"/>
      <c r="F611" s="380"/>
      <c r="G611" s="379"/>
      <c r="H611" s="379"/>
      <c r="I611" s="379"/>
      <c r="J611" s="379"/>
      <c r="K611" s="379"/>
      <c r="L611" s="379"/>
      <c r="M611" s="379"/>
      <c r="N611" s="379"/>
      <c r="O611" s="379"/>
      <c r="P611" s="376"/>
      <c r="Q611" s="381"/>
      <c r="R611" s="381"/>
      <c r="S611" s="376"/>
      <c r="T611" s="376"/>
      <c r="U611" s="382" t="s">
        <v>588</v>
      </c>
      <c r="V611" s="382">
        <v>15.0</v>
      </c>
      <c r="W611" s="382">
        <v>5.0</v>
      </c>
      <c r="X611" s="383">
        <v>0.7</v>
      </c>
      <c r="Y611" s="383">
        <v>0.7</v>
      </c>
      <c r="Z611" s="383">
        <v>0.7</v>
      </c>
      <c r="AA611" s="383">
        <v>1700.0</v>
      </c>
      <c r="AB611" s="383" t="s">
        <v>811</v>
      </c>
      <c r="AC611" s="383">
        <v>0.85</v>
      </c>
      <c r="AD611" s="171"/>
      <c r="AE611" s="384"/>
    </row>
    <row r="612" ht="15.0" customHeight="1">
      <c r="A612" s="379"/>
      <c r="B612" s="379"/>
      <c r="C612" s="379"/>
      <c r="D612" s="379"/>
      <c r="E612" s="379"/>
      <c r="F612" s="380"/>
      <c r="G612" s="379"/>
      <c r="H612" s="379"/>
      <c r="I612" s="379"/>
      <c r="J612" s="379"/>
      <c r="K612" s="379"/>
      <c r="L612" s="379"/>
      <c r="M612" s="379"/>
      <c r="N612" s="379"/>
      <c r="O612" s="379"/>
      <c r="P612" s="376"/>
      <c r="Q612" s="381"/>
      <c r="R612" s="381"/>
      <c r="S612" s="376"/>
      <c r="T612" s="376"/>
      <c r="U612" s="382" t="s">
        <v>509</v>
      </c>
      <c r="V612" s="382">
        <v>15.0</v>
      </c>
      <c r="W612" s="382">
        <v>5.0</v>
      </c>
      <c r="X612" s="383">
        <v>0.7</v>
      </c>
      <c r="Y612" s="383">
        <v>0.7</v>
      </c>
      <c r="Z612" s="383">
        <v>0.7</v>
      </c>
      <c r="AA612" s="383">
        <v>1700.0</v>
      </c>
      <c r="AB612" s="383" t="s">
        <v>811</v>
      </c>
      <c r="AC612" s="383">
        <v>0.85</v>
      </c>
      <c r="AD612" s="171"/>
      <c r="AE612" s="384"/>
    </row>
    <row r="613" ht="15.0" customHeight="1">
      <c r="A613" s="379"/>
      <c r="B613" s="379"/>
      <c r="C613" s="379"/>
      <c r="D613" s="379"/>
      <c r="E613" s="379"/>
      <c r="F613" s="380"/>
      <c r="G613" s="379"/>
      <c r="H613" s="379"/>
      <c r="I613" s="379"/>
      <c r="J613" s="379"/>
      <c r="K613" s="379"/>
      <c r="L613" s="379"/>
      <c r="M613" s="379"/>
      <c r="N613" s="379"/>
      <c r="O613" s="379"/>
      <c r="P613" s="376"/>
      <c r="Q613" s="381"/>
      <c r="R613" s="381"/>
      <c r="S613" s="376"/>
      <c r="T613" s="376"/>
      <c r="U613" s="382" t="s">
        <v>509</v>
      </c>
      <c r="V613" s="382">
        <v>15.0</v>
      </c>
      <c r="W613" s="382">
        <v>5.0</v>
      </c>
      <c r="X613" s="383">
        <v>0.7</v>
      </c>
      <c r="Y613" s="383">
        <v>0.7</v>
      </c>
      <c r="Z613" s="383">
        <v>0.7</v>
      </c>
      <c r="AA613" s="383">
        <v>1700.0</v>
      </c>
      <c r="AB613" s="383" t="s">
        <v>811</v>
      </c>
      <c r="AC613" s="383">
        <v>0.85</v>
      </c>
      <c r="AD613" s="171"/>
      <c r="AE613" s="384"/>
    </row>
    <row r="614" ht="15.0" customHeight="1">
      <c r="A614" s="379"/>
      <c r="B614" s="379"/>
      <c r="C614" s="379"/>
      <c r="D614" s="379"/>
      <c r="E614" s="379"/>
      <c r="F614" s="380"/>
      <c r="G614" s="379"/>
      <c r="H614" s="379"/>
      <c r="I614" s="379"/>
      <c r="J614" s="379"/>
      <c r="K614" s="379"/>
      <c r="L614" s="379"/>
      <c r="M614" s="379"/>
      <c r="N614" s="379"/>
      <c r="O614" s="379"/>
      <c r="P614" s="376"/>
      <c r="Q614" s="381"/>
      <c r="R614" s="381"/>
      <c r="S614" s="376"/>
      <c r="T614" s="376"/>
      <c r="U614" s="382" t="s">
        <v>509</v>
      </c>
      <c r="V614" s="382">
        <v>15.0</v>
      </c>
      <c r="W614" s="382">
        <v>5.0</v>
      </c>
      <c r="X614" s="383">
        <v>0.7</v>
      </c>
      <c r="Y614" s="383">
        <v>0.7</v>
      </c>
      <c r="Z614" s="383">
        <v>0.7</v>
      </c>
      <c r="AA614" s="383">
        <v>1700.0</v>
      </c>
      <c r="AB614" s="383" t="s">
        <v>811</v>
      </c>
      <c r="AC614" s="383">
        <v>0.85</v>
      </c>
      <c r="AD614" s="171"/>
      <c r="AE614" s="384"/>
    </row>
    <row r="615" ht="15.0" customHeight="1">
      <c r="A615" s="379"/>
      <c r="B615" s="379"/>
      <c r="C615" s="379"/>
      <c r="D615" s="379"/>
      <c r="E615" s="379"/>
      <c r="F615" s="380"/>
      <c r="G615" s="379"/>
      <c r="H615" s="379"/>
      <c r="I615" s="379"/>
      <c r="J615" s="379"/>
      <c r="K615" s="379"/>
      <c r="L615" s="379"/>
      <c r="M615" s="379"/>
      <c r="N615" s="379"/>
      <c r="O615" s="379"/>
      <c r="P615" s="376"/>
      <c r="Q615" s="381"/>
      <c r="R615" s="381"/>
      <c r="S615" s="376"/>
      <c r="T615" s="376"/>
      <c r="U615" s="382" t="s">
        <v>509</v>
      </c>
      <c r="V615" s="382">
        <v>15.0</v>
      </c>
      <c r="W615" s="382">
        <v>5.0</v>
      </c>
      <c r="X615" s="383">
        <v>0.7</v>
      </c>
      <c r="Y615" s="383">
        <v>0.7</v>
      </c>
      <c r="Z615" s="383">
        <v>0.7</v>
      </c>
      <c r="AA615" s="383">
        <v>1700.0</v>
      </c>
      <c r="AB615" s="383" t="s">
        <v>811</v>
      </c>
      <c r="AC615" s="383">
        <v>0.85</v>
      </c>
      <c r="AD615" s="171"/>
      <c r="AE615" s="384"/>
    </row>
    <row r="616" ht="15.0" customHeight="1">
      <c r="A616" s="379"/>
      <c r="B616" s="379"/>
      <c r="C616" s="379"/>
      <c r="D616" s="379"/>
      <c r="E616" s="379"/>
      <c r="F616" s="380"/>
      <c r="G616" s="379"/>
      <c r="H616" s="379"/>
      <c r="I616" s="379"/>
      <c r="J616" s="379"/>
      <c r="K616" s="379"/>
      <c r="L616" s="379"/>
      <c r="M616" s="379"/>
      <c r="N616" s="379"/>
      <c r="O616" s="379"/>
      <c r="P616" s="376"/>
      <c r="Q616" s="381"/>
      <c r="R616" s="381"/>
      <c r="S616" s="376"/>
      <c r="T616" s="376"/>
      <c r="U616" s="382" t="s">
        <v>509</v>
      </c>
      <c r="V616" s="382">
        <v>15.0</v>
      </c>
      <c r="W616" s="382">
        <v>5.0</v>
      </c>
      <c r="X616" s="383">
        <v>0.7</v>
      </c>
      <c r="Y616" s="383">
        <v>0.7</v>
      </c>
      <c r="Z616" s="383">
        <v>0.7</v>
      </c>
      <c r="AA616" s="383">
        <v>1700.0</v>
      </c>
      <c r="AB616" s="383" t="s">
        <v>811</v>
      </c>
      <c r="AC616" s="383">
        <v>0.85</v>
      </c>
      <c r="AD616" s="171"/>
      <c r="AE616" s="384"/>
    </row>
    <row r="617" ht="15.0" customHeight="1">
      <c r="A617" s="379"/>
      <c r="B617" s="379"/>
      <c r="C617" s="379"/>
      <c r="D617" s="379"/>
      <c r="E617" s="379"/>
      <c r="F617" s="380"/>
      <c r="G617" s="379"/>
      <c r="H617" s="379"/>
      <c r="I617" s="379"/>
      <c r="J617" s="379"/>
      <c r="K617" s="379"/>
      <c r="L617" s="379"/>
      <c r="M617" s="379"/>
      <c r="N617" s="379"/>
      <c r="O617" s="379"/>
      <c r="P617" s="376"/>
      <c r="Q617" s="381"/>
      <c r="R617" s="381"/>
      <c r="S617" s="376"/>
      <c r="T617" s="376"/>
      <c r="U617" s="382" t="s">
        <v>519</v>
      </c>
      <c r="V617" s="382">
        <v>15.0</v>
      </c>
      <c r="W617" s="382">
        <v>5.0</v>
      </c>
      <c r="X617" s="383">
        <v>0.7</v>
      </c>
      <c r="Y617" s="383">
        <v>0.7</v>
      </c>
      <c r="Z617" s="383">
        <v>0.7</v>
      </c>
      <c r="AA617" s="383">
        <v>1700.0</v>
      </c>
      <c r="AB617" s="383" t="s">
        <v>811</v>
      </c>
      <c r="AC617" s="383">
        <v>0.85</v>
      </c>
      <c r="AD617" s="171"/>
      <c r="AE617" s="384"/>
    </row>
    <row r="618" ht="15.0" customHeight="1">
      <c r="A618" s="379"/>
      <c r="B618" s="379"/>
      <c r="C618" s="379"/>
      <c r="D618" s="379"/>
      <c r="E618" s="379"/>
      <c r="F618" s="380"/>
      <c r="G618" s="379"/>
      <c r="H618" s="379"/>
      <c r="I618" s="379"/>
      <c r="J618" s="379"/>
      <c r="K618" s="379"/>
      <c r="L618" s="379"/>
      <c r="M618" s="379"/>
      <c r="N618" s="379"/>
      <c r="O618" s="379"/>
      <c r="P618" s="376"/>
      <c r="Q618" s="381"/>
      <c r="R618" s="381"/>
      <c r="S618" s="376"/>
      <c r="T618" s="376"/>
      <c r="U618" s="382" t="s">
        <v>519</v>
      </c>
      <c r="V618" s="382">
        <v>15.0</v>
      </c>
      <c r="W618" s="382">
        <v>5.0</v>
      </c>
      <c r="X618" s="383">
        <v>0.7</v>
      </c>
      <c r="Y618" s="383">
        <v>0.7</v>
      </c>
      <c r="Z618" s="383">
        <v>0.7</v>
      </c>
      <c r="AA618" s="383">
        <v>1700.0</v>
      </c>
      <c r="AB618" s="383" t="s">
        <v>811</v>
      </c>
      <c r="AC618" s="383">
        <v>0.85</v>
      </c>
      <c r="AD618" s="171"/>
      <c r="AE618" s="384"/>
    </row>
    <row r="619" ht="15.0" customHeight="1">
      <c r="A619" s="379"/>
      <c r="B619" s="379"/>
      <c r="C619" s="379"/>
      <c r="D619" s="379"/>
      <c r="E619" s="379"/>
      <c r="F619" s="380"/>
      <c r="G619" s="379"/>
      <c r="H619" s="379"/>
      <c r="I619" s="379"/>
      <c r="J619" s="379"/>
      <c r="K619" s="379"/>
      <c r="L619" s="379"/>
      <c r="M619" s="379"/>
      <c r="N619" s="379"/>
      <c r="O619" s="379"/>
      <c r="P619" s="376"/>
      <c r="Q619" s="381"/>
      <c r="R619" s="381"/>
      <c r="S619" s="376"/>
      <c r="T619" s="376"/>
      <c r="U619" s="382" t="s">
        <v>509</v>
      </c>
      <c r="V619" s="382">
        <v>15.0</v>
      </c>
      <c r="W619" s="382">
        <v>5.0</v>
      </c>
      <c r="X619" s="383">
        <v>0.7</v>
      </c>
      <c r="Y619" s="383">
        <v>0.7</v>
      </c>
      <c r="Z619" s="383">
        <v>0.7</v>
      </c>
      <c r="AA619" s="383">
        <v>1700.0</v>
      </c>
      <c r="AB619" s="383" t="s">
        <v>811</v>
      </c>
      <c r="AC619" s="383">
        <v>0.85</v>
      </c>
      <c r="AD619" s="171"/>
      <c r="AE619" s="384"/>
    </row>
    <row r="620" ht="15.0" customHeight="1">
      <c r="A620" s="379"/>
      <c r="B620" s="379"/>
      <c r="C620" s="379"/>
      <c r="D620" s="379"/>
      <c r="E620" s="379"/>
      <c r="F620" s="380"/>
      <c r="G620" s="379"/>
      <c r="H620" s="379"/>
      <c r="I620" s="379"/>
      <c r="J620" s="379"/>
      <c r="K620" s="379"/>
      <c r="L620" s="379"/>
      <c r="M620" s="379"/>
      <c r="N620" s="379"/>
      <c r="O620" s="379"/>
      <c r="P620" s="376"/>
      <c r="Q620" s="381"/>
      <c r="R620" s="381"/>
      <c r="S620" s="376"/>
      <c r="T620" s="376"/>
      <c r="U620" s="382" t="s">
        <v>509</v>
      </c>
      <c r="V620" s="382">
        <v>15.0</v>
      </c>
      <c r="W620" s="382">
        <v>5.0</v>
      </c>
      <c r="X620" s="383">
        <v>0.7</v>
      </c>
      <c r="Y620" s="383">
        <v>0.7</v>
      </c>
      <c r="Z620" s="383">
        <v>0.7</v>
      </c>
      <c r="AA620" s="383">
        <v>1700.0</v>
      </c>
      <c r="AB620" s="383" t="s">
        <v>811</v>
      </c>
      <c r="AC620" s="383">
        <v>0.85</v>
      </c>
      <c r="AD620" s="171"/>
      <c r="AE620" s="384"/>
    </row>
    <row r="621" ht="15.0" customHeight="1">
      <c r="A621" s="379"/>
      <c r="B621" s="379"/>
      <c r="C621" s="379"/>
      <c r="D621" s="379"/>
      <c r="E621" s="379"/>
      <c r="F621" s="380"/>
      <c r="G621" s="379"/>
      <c r="H621" s="379"/>
      <c r="I621" s="379"/>
      <c r="J621" s="379"/>
      <c r="K621" s="379"/>
      <c r="L621" s="379"/>
      <c r="M621" s="379"/>
      <c r="N621" s="379"/>
      <c r="O621" s="379"/>
      <c r="P621" s="376"/>
      <c r="Q621" s="381"/>
      <c r="R621" s="381"/>
      <c r="S621" s="376"/>
      <c r="T621" s="376"/>
      <c r="U621" s="382" t="s">
        <v>509</v>
      </c>
      <c r="V621" s="382">
        <v>15.0</v>
      </c>
      <c r="W621" s="382">
        <v>5.0</v>
      </c>
      <c r="X621" s="383">
        <v>0.7</v>
      </c>
      <c r="Y621" s="383">
        <v>0.7</v>
      </c>
      <c r="Z621" s="383">
        <v>0.7</v>
      </c>
      <c r="AA621" s="383">
        <v>1700.0</v>
      </c>
      <c r="AB621" s="383" t="s">
        <v>811</v>
      </c>
      <c r="AC621" s="383">
        <v>0.85</v>
      </c>
      <c r="AD621" s="171"/>
      <c r="AE621" s="384"/>
    </row>
    <row r="622" ht="15.0" customHeight="1">
      <c r="A622" s="379"/>
      <c r="B622" s="379"/>
      <c r="C622" s="379"/>
      <c r="D622" s="379"/>
      <c r="E622" s="379"/>
      <c r="F622" s="380"/>
      <c r="G622" s="379"/>
      <c r="H622" s="379"/>
      <c r="I622" s="379"/>
      <c r="J622" s="379"/>
      <c r="K622" s="379"/>
      <c r="L622" s="379"/>
      <c r="M622" s="379"/>
      <c r="N622" s="379"/>
      <c r="O622" s="379"/>
      <c r="P622" s="376"/>
      <c r="Q622" s="381"/>
      <c r="R622" s="381"/>
      <c r="S622" s="376"/>
      <c r="T622" s="376"/>
      <c r="U622" s="382" t="s">
        <v>509</v>
      </c>
      <c r="V622" s="382">
        <v>15.0</v>
      </c>
      <c r="W622" s="382">
        <v>5.0</v>
      </c>
      <c r="X622" s="383">
        <v>0.7</v>
      </c>
      <c r="Y622" s="383">
        <v>0.7</v>
      </c>
      <c r="Z622" s="383">
        <v>0.7</v>
      </c>
      <c r="AA622" s="383">
        <v>1700.0</v>
      </c>
      <c r="AB622" s="383" t="s">
        <v>811</v>
      </c>
      <c r="AC622" s="383">
        <v>0.85</v>
      </c>
      <c r="AD622" s="171"/>
      <c r="AE622" s="384"/>
    </row>
    <row r="623" ht="15.0" customHeight="1">
      <c r="A623" s="379"/>
      <c r="B623" s="379"/>
      <c r="C623" s="379"/>
      <c r="D623" s="379"/>
      <c r="E623" s="379"/>
      <c r="F623" s="380"/>
      <c r="G623" s="379"/>
      <c r="H623" s="379"/>
      <c r="I623" s="379"/>
      <c r="J623" s="379"/>
      <c r="K623" s="379"/>
      <c r="L623" s="379"/>
      <c r="M623" s="379"/>
      <c r="N623" s="379"/>
      <c r="O623" s="379"/>
      <c r="P623" s="376"/>
      <c r="Q623" s="381"/>
      <c r="R623" s="381"/>
      <c r="S623" s="376"/>
      <c r="T623" s="376"/>
      <c r="U623" s="382" t="s">
        <v>509</v>
      </c>
      <c r="V623" s="382">
        <v>15.0</v>
      </c>
      <c r="W623" s="382">
        <v>5.0</v>
      </c>
      <c r="X623" s="383">
        <v>0.7</v>
      </c>
      <c r="Y623" s="383">
        <v>0.7</v>
      </c>
      <c r="Z623" s="383">
        <v>0.7</v>
      </c>
      <c r="AA623" s="383">
        <v>1700.0</v>
      </c>
      <c r="AB623" s="383" t="s">
        <v>811</v>
      </c>
      <c r="AC623" s="383">
        <v>0.85</v>
      </c>
      <c r="AD623" s="171"/>
      <c r="AE623" s="384"/>
    </row>
    <row r="624" ht="15.0" customHeight="1">
      <c r="A624" s="379"/>
      <c r="B624" s="379"/>
      <c r="C624" s="379"/>
      <c r="D624" s="379"/>
      <c r="E624" s="379"/>
      <c r="F624" s="380"/>
      <c r="G624" s="379"/>
      <c r="H624" s="379"/>
      <c r="I624" s="379"/>
      <c r="J624" s="379"/>
      <c r="K624" s="379"/>
      <c r="L624" s="379"/>
      <c r="M624" s="379"/>
      <c r="N624" s="379"/>
      <c r="O624" s="379"/>
      <c r="P624" s="376"/>
      <c r="Q624" s="381"/>
      <c r="R624" s="381"/>
      <c r="S624" s="376"/>
      <c r="T624" s="376"/>
      <c r="U624" s="382" t="s">
        <v>519</v>
      </c>
      <c r="V624" s="382">
        <v>15.0</v>
      </c>
      <c r="W624" s="382">
        <v>5.0</v>
      </c>
      <c r="X624" s="383">
        <v>0.7</v>
      </c>
      <c r="Y624" s="383">
        <v>0.7</v>
      </c>
      <c r="Z624" s="383">
        <v>0.7</v>
      </c>
      <c r="AA624" s="383">
        <v>1700.0</v>
      </c>
      <c r="AB624" s="383" t="s">
        <v>811</v>
      </c>
      <c r="AC624" s="383">
        <v>0.85</v>
      </c>
      <c r="AD624" s="171"/>
      <c r="AE624" s="384"/>
    </row>
    <row r="625" ht="15.0" customHeight="1">
      <c r="A625" s="379"/>
      <c r="B625" s="379"/>
      <c r="C625" s="379"/>
      <c r="D625" s="379"/>
      <c r="E625" s="379"/>
      <c r="F625" s="380"/>
      <c r="G625" s="379"/>
      <c r="H625" s="379"/>
      <c r="I625" s="379"/>
      <c r="J625" s="379"/>
      <c r="K625" s="379"/>
      <c r="L625" s="379"/>
      <c r="M625" s="379"/>
      <c r="N625" s="379"/>
      <c r="O625" s="379"/>
      <c r="P625" s="376"/>
      <c r="Q625" s="381"/>
      <c r="R625" s="381"/>
      <c r="S625" s="376"/>
      <c r="T625" s="376"/>
      <c r="U625" s="382" t="s">
        <v>509</v>
      </c>
      <c r="V625" s="382">
        <v>15.0</v>
      </c>
      <c r="W625" s="382">
        <v>5.0</v>
      </c>
      <c r="X625" s="383">
        <v>0.7</v>
      </c>
      <c r="Y625" s="383">
        <v>0.7</v>
      </c>
      <c r="Z625" s="383">
        <v>0.7</v>
      </c>
      <c r="AA625" s="383">
        <v>1700.0</v>
      </c>
      <c r="AB625" s="383" t="s">
        <v>811</v>
      </c>
      <c r="AC625" s="383">
        <v>0.85</v>
      </c>
      <c r="AD625" s="171"/>
      <c r="AE625" s="384"/>
    </row>
    <row r="626" ht="15.0" customHeight="1">
      <c r="A626" s="379"/>
      <c r="B626" s="379"/>
      <c r="C626" s="379"/>
      <c r="D626" s="379"/>
      <c r="E626" s="379"/>
      <c r="F626" s="380"/>
      <c r="G626" s="379"/>
      <c r="H626" s="379"/>
      <c r="I626" s="379"/>
      <c r="J626" s="379"/>
      <c r="K626" s="379"/>
      <c r="L626" s="379"/>
      <c r="M626" s="379"/>
      <c r="N626" s="379"/>
      <c r="O626" s="379"/>
      <c r="P626" s="376"/>
      <c r="Q626" s="381"/>
      <c r="R626" s="381"/>
      <c r="S626" s="376"/>
      <c r="T626" s="376"/>
      <c r="U626" s="382" t="s">
        <v>519</v>
      </c>
      <c r="V626" s="382">
        <v>15.0</v>
      </c>
      <c r="W626" s="382">
        <v>5.0</v>
      </c>
      <c r="X626" s="383">
        <v>0.7</v>
      </c>
      <c r="Y626" s="383">
        <v>0.7</v>
      </c>
      <c r="Z626" s="383">
        <v>0.7</v>
      </c>
      <c r="AA626" s="383">
        <v>1700.0</v>
      </c>
      <c r="AB626" s="383" t="s">
        <v>811</v>
      </c>
      <c r="AC626" s="383">
        <v>0.85</v>
      </c>
      <c r="AD626" s="171"/>
      <c r="AE626" s="384"/>
    </row>
    <row r="627" ht="15.0" customHeight="1">
      <c r="A627" s="379"/>
      <c r="B627" s="379"/>
      <c r="C627" s="379"/>
      <c r="D627" s="379"/>
      <c r="E627" s="379"/>
      <c r="F627" s="380"/>
      <c r="G627" s="379"/>
      <c r="H627" s="379"/>
      <c r="I627" s="379"/>
      <c r="J627" s="379"/>
      <c r="K627" s="379"/>
      <c r="L627" s="379"/>
      <c r="M627" s="379"/>
      <c r="N627" s="379"/>
      <c r="O627" s="379"/>
      <c r="P627" s="376"/>
      <c r="Q627" s="381"/>
      <c r="R627" s="381"/>
      <c r="S627" s="376"/>
      <c r="T627" s="376"/>
      <c r="U627" s="382" t="s">
        <v>509</v>
      </c>
      <c r="V627" s="382">
        <v>15.0</v>
      </c>
      <c r="W627" s="382">
        <v>5.0</v>
      </c>
      <c r="X627" s="383">
        <v>0.7</v>
      </c>
      <c r="Y627" s="383">
        <v>0.7</v>
      </c>
      <c r="Z627" s="383">
        <v>0.7</v>
      </c>
      <c r="AA627" s="383">
        <v>1700.0</v>
      </c>
      <c r="AB627" s="383" t="s">
        <v>811</v>
      </c>
      <c r="AC627" s="383">
        <v>0.85</v>
      </c>
      <c r="AD627" s="171"/>
      <c r="AE627" s="384"/>
    </row>
    <row r="628" ht="15.0" customHeight="1">
      <c r="A628" s="379"/>
      <c r="B628" s="379"/>
      <c r="C628" s="379"/>
      <c r="D628" s="379"/>
      <c r="E628" s="379"/>
      <c r="F628" s="380"/>
      <c r="G628" s="379"/>
      <c r="H628" s="379"/>
      <c r="I628" s="379"/>
      <c r="J628" s="379"/>
      <c r="K628" s="379"/>
      <c r="L628" s="379"/>
      <c r="M628" s="379"/>
      <c r="N628" s="379"/>
      <c r="O628" s="379"/>
      <c r="P628" s="376"/>
      <c r="Q628" s="381"/>
      <c r="R628" s="381"/>
      <c r="S628" s="376"/>
      <c r="T628" s="376"/>
      <c r="U628" s="382" t="s">
        <v>519</v>
      </c>
      <c r="V628" s="382">
        <v>15.0</v>
      </c>
      <c r="W628" s="382">
        <v>5.0</v>
      </c>
      <c r="X628" s="383">
        <v>0.7</v>
      </c>
      <c r="Y628" s="383">
        <v>0.7</v>
      </c>
      <c r="Z628" s="383">
        <v>0.7</v>
      </c>
      <c r="AA628" s="383">
        <v>1700.0</v>
      </c>
      <c r="AB628" s="383" t="s">
        <v>811</v>
      </c>
      <c r="AC628" s="383">
        <v>0.85</v>
      </c>
      <c r="AD628" s="171"/>
      <c r="AE628" s="384"/>
    </row>
    <row r="629" ht="15.0" customHeight="1">
      <c r="A629" s="379"/>
      <c r="B629" s="379"/>
      <c r="C629" s="379"/>
      <c r="D629" s="379"/>
      <c r="E629" s="379"/>
      <c r="F629" s="380"/>
      <c r="G629" s="379"/>
      <c r="H629" s="379"/>
      <c r="I629" s="379"/>
      <c r="J629" s="379"/>
      <c r="K629" s="379"/>
      <c r="L629" s="379"/>
      <c r="M629" s="379"/>
      <c r="N629" s="379"/>
      <c r="O629" s="379"/>
      <c r="P629" s="376"/>
      <c r="Q629" s="381"/>
      <c r="R629" s="381"/>
      <c r="S629" s="376"/>
      <c r="T629" s="376"/>
      <c r="U629" s="382" t="s">
        <v>509</v>
      </c>
      <c r="V629" s="382">
        <v>15.0</v>
      </c>
      <c r="W629" s="382">
        <v>5.0</v>
      </c>
      <c r="X629" s="383">
        <v>0.7</v>
      </c>
      <c r="Y629" s="383">
        <v>0.7</v>
      </c>
      <c r="Z629" s="383">
        <v>0.7</v>
      </c>
      <c r="AA629" s="383">
        <v>1700.0</v>
      </c>
      <c r="AB629" s="383" t="s">
        <v>811</v>
      </c>
      <c r="AC629" s="383">
        <v>0.85</v>
      </c>
      <c r="AD629" s="171"/>
      <c r="AE629" s="384"/>
    </row>
    <row r="630" ht="15.0" customHeight="1">
      <c r="A630" s="379"/>
      <c r="B630" s="379"/>
      <c r="C630" s="379"/>
      <c r="D630" s="379"/>
      <c r="E630" s="379"/>
      <c r="F630" s="380"/>
      <c r="G630" s="379"/>
      <c r="H630" s="379"/>
      <c r="I630" s="379"/>
      <c r="J630" s="379"/>
      <c r="K630" s="379"/>
      <c r="L630" s="379"/>
      <c r="M630" s="379"/>
      <c r="N630" s="379"/>
      <c r="O630" s="379"/>
      <c r="P630" s="376"/>
      <c r="Q630" s="381"/>
      <c r="R630" s="381"/>
      <c r="S630" s="376"/>
      <c r="T630" s="376"/>
      <c r="U630" s="382" t="s">
        <v>509</v>
      </c>
      <c r="V630" s="382">
        <v>15.0</v>
      </c>
      <c r="W630" s="382">
        <v>5.0</v>
      </c>
      <c r="X630" s="383">
        <v>0.7</v>
      </c>
      <c r="Y630" s="383">
        <v>0.7</v>
      </c>
      <c r="Z630" s="383">
        <v>0.7</v>
      </c>
      <c r="AA630" s="383">
        <v>1700.0</v>
      </c>
      <c r="AB630" s="383" t="s">
        <v>811</v>
      </c>
      <c r="AC630" s="383">
        <v>0.85</v>
      </c>
      <c r="AD630" s="171"/>
      <c r="AE630" s="384"/>
    </row>
    <row r="631" ht="15.0" customHeight="1">
      <c r="A631" s="379"/>
      <c r="B631" s="379"/>
      <c r="C631" s="379"/>
      <c r="D631" s="379"/>
      <c r="E631" s="379"/>
      <c r="F631" s="380"/>
      <c r="G631" s="379"/>
      <c r="H631" s="379"/>
      <c r="I631" s="379"/>
      <c r="J631" s="379"/>
      <c r="K631" s="379"/>
      <c r="L631" s="379"/>
      <c r="M631" s="379"/>
      <c r="N631" s="379"/>
      <c r="O631" s="379"/>
      <c r="P631" s="376"/>
      <c r="Q631" s="381"/>
      <c r="R631" s="381"/>
      <c r="S631" s="376"/>
      <c r="T631" s="376"/>
      <c r="U631" s="382" t="s">
        <v>509</v>
      </c>
      <c r="V631" s="382">
        <v>15.0</v>
      </c>
      <c r="W631" s="382">
        <v>5.0</v>
      </c>
      <c r="X631" s="383">
        <v>0.7</v>
      </c>
      <c r="Y631" s="383">
        <v>0.7</v>
      </c>
      <c r="Z631" s="383">
        <v>0.7</v>
      </c>
      <c r="AA631" s="383">
        <v>1700.0</v>
      </c>
      <c r="AB631" s="383" t="s">
        <v>811</v>
      </c>
      <c r="AC631" s="383">
        <v>0.85</v>
      </c>
      <c r="AD631" s="171"/>
      <c r="AE631" s="384"/>
    </row>
    <row r="632" ht="15.0" customHeight="1">
      <c r="A632" s="379"/>
      <c r="B632" s="379"/>
      <c r="C632" s="379"/>
      <c r="D632" s="379"/>
      <c r="E632" s="379"/>
      <c r="F632" s="380"/>
      <c r="G632" s="379"/>
      <c r="H632" s="379"/>
      <c r="I632" s="379"/>
      <c r="J632" s="379"/>
      <c r="K632" s="379"/>
      <c r="L632" s="379"/>
      <c r="M632" s="379"/>
      <c r="N632" s="379"/>
      <c r="O632" s="379"/>
      <c r="P632" s="376"/>
      <c r="Q632" s="381"/>
      <c r="R632" s="381"/>
      <c r="S632" s="376"/>
      <c r="T632" s="376"/>
      <c r="U632" s="382" t="s">
        <v>519</v>
      </c>
      <c r="V632" s="382">
        <v>15.0</v>
      </c>
      <c r="W632" s="382">
        <v>5.0</v>
      </c>
      <c r="X632" s="383">
        <v>0.7</v>
      </c>
      <c r="Y632" s="383">
        <v>0.7</v>
      </c>
      <c r="Z632" s="383">
        <v>0.7</v>
      </c>
      <c r="AA632" s="383">
        <v>1700.0</v>
      </c>
      <c r="AB632" s="383" t="s">
        <v>811</v>
      </c>
      <c r="AC632" s="383">
        <v>0.85</v>
      </c>
      <c r="AD632" s="171"/>
      <c r="AE632" s="384"/>
    </row>
    <row r="633" ht="15.0" customHeight="1">
      <c r="A633" s="379"/>
      <c r="B633" s="379"/>
      <c r="C633" s="379"/>
      <c r="D633" s="379"/>
      <c r="E633" s="379"/>
      <c r="F633" s="380"/>
      <c r="G633" s="379"/>
      <c r="H633" s="379"/>
      <c r="I633" s="379"/>
      <c r="J633" s="379"/>
      <c r="K633" s="379"/>
      <c r="L633" s="379"/>
      <c r="M633" s="379"/>
      <c r="N633" s="379"/>
      <c r="O633" s="379"/>
      <c r="P633" s="376"/>
      <c r="Q633" s="381"/>
      <c r="R633" s="381"/>
      <c r="S633" s="376"/>
      <c r="T633" s="376"/>
      <c r="U633" s="382" t="s">
        <v>509</v>
      </c>
      <c r="V633" s="382">
        <v>15.0</v>
      </c>
      <c r="W633" s="382">
        <v>5.0</v>
      </c>
      <c r="X633" s="383">
        <v>0.7</v>
      </c>
      <c r="Y633" s="383">
        <v>0.7</v>
      </c>
      <c r="Z633" s="383">
        <v>0.7</v>
      </c>
      <c r="AA633" s="383">
        <v>1700.0</v>
      </c>
      <c r="AB633" s="383" t="s">
        <v>811</v>
      </c>
      <c r="AC633" s="383">
        <v>0.85</v>
      </c>
      <c r="AD633" s="171"/>
      <c r="AE633" s="384"/>
    </row>
    <row r="634" ht="15.0" customHeight="1">
      <c r="A634" s="379"/>
      <c r="B634" s="379"/>
      <c r="C634" s="379"/>
      <c r="D634" s="379"/>
      <c r="E634" s="379"/>
      <c r="F634" s="380"/>
      <c r="G634" s="379"/>
      <c r="H634" s="379"/>
      <c r="I634" s="379"/>
      <c r="J634" s="379"/>
      <c r="K634" s="379"/>
      <c r="L634" s="379"/>
      <c r="M634" s="379"/>
      <c r="N634" s="379"/>
      <c r="O634" s="379"/>
      <c r="P634" s="376"/>
      <c r="Q634" s="381"/>
      <c r="R634" s="381"/>
      <c r="S634" s="376"/>
      <c r="T634" s="376"/>
      <c r="U634" s="382" t="s">
        <v>509</v>
      </c>
      <c r="V634" s="382">
        <v>15.0</v>
      </c>
      <c r="W634" s="382">
        <v>5.0</v>
      </c>
      <c r="X634" s="383">
        <v>0.7</v>
      </c>
      <c r="Y634" s="383">
        <v>0.7</v>
      </c>
      <c r="Z634" s="383">
        <v>0.7</v>
      </c>
      <c r="AA634" s="383">
        <v>1700.0</v>
      </c>
      <c r="AB634" s="383" t="s">
        <v>811</v>
      </c>
      <c r="AC634" s="383">
        <v>0.85</v>
      </c>
      <c r="AD634" s="171"/>
      <c r="AE634" s="384"/>
    </row>
    <row r="635" ht="15.0" customHeight="1">
      <c r="A635" s="379"/>
      <c r="B635" s="379"/>
      <c r="C635" s="379"/>
      <c r="D635" s="379"/>
      <c r="E635" s="379"/>
      <c r="F635" s="380"/>
      <c r="G635" s="379"/>
      <c r="H635" s="379"/>
      <c r="I635" s="379"/>
      <c r="J635" s="379"/>
      <c r="K635" s="379"/>
      <c r="L635" s="379"/>
      <c r="M635" s="379"/>
      <c r="N635" s="379"/>
      <c r="O635" s="379"/>
      <c r="P635" s="376"/>
      <c r="Q635" s="381"/>
      <c r="R635" s="381"/>
      <c r="S635" s="376"/>
      <c r="T635" s="376"/>
      <c r="U635" s="382" t="s">
        <v>509</v>
      </c>
      <c r="V635" s="382">
        <v>15.0</v>
      </c>
      <c r="W635" s="382">
        <v>5.0</v>
      </c>
      <c r="X635" s="383">
        <v>0.7</v>
      </c>
      <c r="Y635" s="383">
        <v>0.7</v>
      </c>
      <c r="Z635" s="383">
        <v>0.7</v>
      </c>
      <c r="AA635" s="383">
        <v>1700.0</v>
      </c>
      <c r="AB635" s="383" t="s">
        <v>811</v>
      </c>
      <c r="AC635" s="383">
        <v>0.85</v>
      </c>
      <c r="AD635" s="171"/>
      <c r="AE635" s="384"/>
    </row>
    <row r="636" ht="15.0" customHeight="1">
      <c r="A636" s="379"/>
      <c r="B636" s="379"/>
      <c r="C636" s="379"/>
      <c r="D636" s="379"/>
      <c r="E636" s="379"/>
      <c r="F636" s="380"/>
      <c r="G636" s="379"/>
      <c r="H636" s="379"/>
      <c r="I636" s="379"/>
      <c r="J636" s="379"/>
      <c r="K636" s="379"/>
      <c r="L636" s="379"/>
      <c r="M636" s="379"/>
      <c r="N636" s="379"/>
      <c r="O636" s="379"/>
      <c r="P636" s="376"/>
      <c r="Q636" s="381"/>
      <c r="R636" s="381"/>
      <c r="S636" s="376"/>
      <c r="T636" s="376"/>
      <c r="U636" s="382" t="s">
        <v>588</v>
      </c>
      <c r="V636" s="382">
        <v>15.0</v>
      </c>
      <c r="W636" s="382">
        <v>5.0</v>
      </c>
      <c r="X636" s="383">
        <v>0.7</v>
      </c>
      <c r="Y636" s="383">
        <v>0.7</v>
      </c>
      <c r="Z636" s="383">
        <v>0.7</v>
      </c>
      <c r="AA636" s="383">
        <v>1700.0</v>
      </c>
      <c r="AB636" s="383" t="s">
        <v>811</v>
      </c>
      <c r="AC636" s="383">
        <v>0.85</v>
      </c>
      <c r="AD636" s="171"/>
      <c r="AE636" s="384"/>
    </row>
    <row r="637" ht="15.0" customHeight="1">
      <c r="A637" s="379"/>
      <c r="B637" s="379"/>
      <c r="C637" s="379"/>
      <c r="D637" s="379"/>
      <c r="E637" s="379"/>
      <c r="F637" s="380"/>
      <c r="G637" s="379"/>
      <c r="H637" s="379"/>
      <c r="I637" s="379"/>
      <c r="J637" s="379"/>
      <c r="K637" s="379"/>
      <c r="L637" s="379"/>
      <c r="M637" s="379"/>
      <c r="N637" s="379"/>
      <c r="O637" s="379"/>
      <c r="P637" s="376"/>
      <c r="Q637" s="381"/>
      <c r="R637" s="381"/>
      <c r="S637" s="376"/>
      <c r="T637" s="376"/>
      <c r="U637" s="382" t="s">
        <v>588</v>
      </c>
      <c r="V637" s="382">
        <v>15.0</v>
      </c>
      <c r="W637" s="382">
        <v>5.0</v>
      </c>
      <c r="X637" s="383">
        <v>0.7</v>
      </c>
      <c r="Y637" s="383">
        <v>0.7</v>
      </c>
      <c r="Z637" s="383">
        <v>0.7</v>
      </c>
      <c r="AA637" s="383">
        <v>1700.0</v>
      </c>
      <c r="AB637" s="383" t="s">
        <v>811</v>
      </c>
      <c r="AC637" s="383">
        <v>0.85</v>
      </c>
      <c r="AD637" s="171"/>
      <c r="AE637" s="384"/>
    </row>
    <row r="638" ht="15.0" customHeight="1">
      <c r="A638" s="379"/>
      <c r="B638" s="379"/>
      <c r="C638" s="379"/>
      <c r="D638" s="379"/>
      <c r="E638" s="379"/>
      <c r="F638" s="380"/>
      <c r="G638" s="379"/>
      <c r="H638" s="379"/>
      <c r="I638" s="379"/>
      <c r="J638" s="379"/>
      <c r="K638" s="379"/>
      <c r="L638" s="379"/>
      <c r="M638" s="379"/>
      <c r="N638" s="379"/>
      <c r="O638" s="379"/>
      <c r="P638" s="376"/>
      <c r="Q638" s="381"/>
      <c r="R638" s="381"/>
      <c r="S638" s="376"/>
      <c r="T638" s="376"/>
      <c r="U638" s="382" t="s">
        <v>588</v>
      </c>
      <c r="V638" s="382">
        <v>15.0</v>
      </c>
      <c r="W638" s="382">
        <v>5.0</v>
      </c>
      <c r="X638" s="383">
        <v>0.7</v>
      </c>
      <c r="Y638" s="383">
        <v>0.7</v>
      </c>
      <c r="Z638" s="383">
        <v>0.7</v>
      </c>
      <c r="AA638" s="383">
        <v>1700.0</v>
      </c>
      <c r="AB638" s="383" t="s">
        <v>811</v>
      </c>
      <c r="AC638" s="383">
        <v>0.85</v>
      </c>
      <c r="AD638" s="171"/>
      <c r="AE638" s="384"/>
    </row>
    <row r="639" ht="15.0" customHeight="1">
      <c r="A639" s="379"/>
      <c r="B639" s="379"/>
      <c r="C639" s="379"/>
      <c r="D639" s="379"/>
      <c r="E639" s="379"/>
      <c r="F639" s="380"/>
      <c r="G639" s="379"/>
      <c r="H639" s="379"/>
      <c r="I639" s="379"/>
      <c r="J639" s="379"/>
      <c r="K639" s="379"/>
      <c r="L639" s="379"/>
      <c r="M639" s="379"/>
      <c r="N639" s="379"/>
      <c r="O639" s="379"/>
      <c r="P639" s="376"/>
      <c r="Q639" s="381"/>
      <c r="R639" s="381"/>
      <c r="S639" s="376"/>
      <c r="T639" s="376"/>
      <c r="U639" s="382" t="s">
        <v>588</v>
      </c>
      <c r="V639" s="382">
        <v>15.0</v>
      </c>
      <c r="W639" s="382">
        <v>5.0</v>
      </c>
      <c r="X639" s="383">
        <v>0.7</v>
      </c>
      <c r="Y639" s="383">
        <v>0.7</v>
      </c>
      <c r="Z639" s="383">
        <v>0.7</v>
      </c>
      <c r="AA639" s="383">
        <v>1700.0</v>
      </c>
      <c r="AB639" s="383" t="s">
        <v>811</v>
      </c>
      <c r="AC639" s="383">
        <v>0.85</v>
      </c>
      <c r="AD639" s="171"/>
      <c r="AE639" s="384"/>
    </row>
    <row r="640" ht="15.0" customHeight="1">
      <c r="A640" s="379"/>
      <c r="B640" s="379"/>
      <c r="C640" s="379"/>
      <c r="D640" s="379"/>
      <c r="E640" s="379"/>
      <c r="F640" s="380"/>
      <c r="G640" s="379"/>
      <c r="H640" s="379"/>
      <c r="I640" s="379"/>
      <c r="J640" s="379"/>
      <c r="K640" s="379"/>
      <c r="L640" s="379"/>
      <c r="M640" s="379"/>
      <c r="N640" s="379"/>
      <c r="O640" s="379"/>
      <c r="P640" s="376"/>
      <c r="Q640" s="381"/>
      <c r="R640" s="381"/>
      <c r="S640" s="376"/>
      <c r="T640" s="376"/>
      <c r="U640" s="382" t="s">
        <v>588</v>
      </c>
      <c r="V640" s="382">
        <v>15.0</v>
      </c>
      <c r="W640" s="382">
        <v>5.0</v>
      </c>
      <c r="X640" s="383">
        <v>0.7</v>
      </c>
      <c r="Y640" s="383">
        <v>0.7</v>
      </c>
      <c r="Z640" s="383">
        <v>0.7</v>
      </c>
      <c r="AA640" s="383">
        <v>1700.0</v>
      </c>
      <c r="AB640" s="383" t="s">
        <v>811</v>
      </c>
      <c r="AC640" s="383">
        <v>0.85</v>
      </c>
      <c r="AD640" s="171"/>
      <c r="AE640" s="384"/>
    </row>
    <row r="641" ht="15.0" customHeight="1">
      <c r="A641" s="379"/>
      <c r="B641" s="379"/>
      <c r="C641" s="379"/>
      <c r="D641" s="379"/>
      <c r="E641" s="379"/>
      <c r="F641" s="380"/>
      <c r="G641" s="379"/>
      <c r="H641" s="379"/>
      <c r="I641" s="379"/>
      <c r="J641" s="379"/>
      <c r="K641" s="379"/>
      <c r="L641" s="379"/>
      <c r="M641" s="379"/>
      <c r="N641" s="379"/>
      <c r="O641" s="379"/>
      <c r="P641" s="376"/>
      <c r="Q641" s="381"/>
      <c r="R641" s="381"/>
      <c r="S641" s="376"/>
      <c r="T641" s="376"/>
      <c r="U641" s="382" t="s">
        <v>509</v>
      </c>
      <c r="V641" s="382">
        <v>15.0</v>
      </c>
      <c r="W641" s="382">
        <v>5.0</v>
      </c>
      <c r="X641" s="383">
        <v>0.7</v>
      </c>
      <c r="Y641" s="383">
        <v>0.7</v>
      </c>
      <c r="Z641" s="383">
        <v>0.7</v>
      </c>
      <c r="AA641" s="383">
        <v>1700.0</v>
      </c>
      <c r="AB641" s="383" t="s">
        <v>811</v>
      </c>
      <c r="AC641" s="383">
        <v>0.85</v>
      </c>
      <c r="AD641" s="171"/>
      <c r="AE641" s="384"/>
    </row>
    <row r="642" ht="15.0" customHeight="1">
      <c r="A642" s="379"/>
      <c r="B642" s="379"/>
      <c r="C642" s="379"/>
      <c r="D642" s="379"/>
      <c r="E642" s="379"/>
      <c r="F642" s="380"/>
      <c r="G642" s="379"/>
      <c r="H642" s="379"/>
      <c r="I642" s="379"/>
      <c r="J642" s="379"/>
      <c r="K642" s="379"/>
      <c r="L642" s="379"/>
      <c r="M642" s="379"/>
      <c r="N642" s="379"/>
      <c r="O642" s="379"/>
      <c r="P642" s="376"/>
      <c r="Q642" s="381"/>
      <c r="R642" s="381"/>
      <c r="S642" s="376"/>
      <c r="T642" s="376"/>
      <c r="U642" s="382" t="s">
        <v>519</v>
      </c>
      <c r="V642" s="382">
        <v>15.0</v>
      </c>
      <c r="W642" s="382">
        <v>5.0</v>
      </c>
      <c r="X642" s="383">
        <v>0.7</v>
      </c>
      <c r="Y642" s="383">
        <v>0.7</v>
      </c>
      <c r="Z642" s="383">
        <v>0.7</v>
      </c>
      <c r="AA642" s="383">
        <v>1700.0</v>
      </c>
      <c r="AB642" s="383" t="s">
        <v>811</v>
      </c>
      <c r="AC642" s="383">
        <v>0.85</v>
      </c>
      <c r="AD642" s="171"/>
      <c r="AE642" s="384"/>
    </row>
    <row r="643" ht="15.0" customHeight="1">
      <c r="A643" s="379"/>
      <c r="B643" s="379"/>
      <c r="C643" s="379"/>
      <c r="D643" s="379"/>
      <c r="E643" s="379"/>
      <c r="F643" s="380"/>
      <c r="G643" s="379"/>
      <c r="H643" s="379"/>
      <c r="I643" s="379"/>
      <c r="J643" s="379"/>
      <c r="K643" s="379"/>
      <c r="L643" s="379"/>
      <c r="M643" s="379"/>
      <c r="N643" s="379"/>
      <c r="O643" s="379"/>
      <c r="P643" s="376"/>
      <c r="Q643" s="381"/>
      <c r="R643" s="381"/>
      <c r="S643" s="376"/>
      <c r="T643" s="376"/>
      <c r="U643" s="382" t="s">
        <v>509</v>
      </c>
      <c r="V643" s="382">
        <v>15.0</v>
      </c>
      <c r="W643" s="382">
        <v>5.0</v>
      </c>
      <c r="X643" s="383">
        <v>0.7</v>
      </c>
      <c r="Y643" s="383">
        <v>0.7</v>
      </c>
      <c r="Z643" s="383">
        <v>0.7</v>
      </c>
      <c r="AA643" s="383">
        <v>1700.0</v>
      </c>
      <c r="AB643" s="383" t="s">
        <v>811</v>
      </c>
      <c r="AC643" s="383">
        <v>0.85</v>
      </c>
      <c r="AD643" s="171"/>
      <c r="AE643" s="384"/>
    </row>
    <row r="644" ht="15.0" customHeight="1">
      <c r="A644" s="379"/>
      <c r="B644" s="379"/>
      <c r="C644" s="379"/>
      <c r="D644" s="379"/>
      <c r="E644" s="379"/>
      <c r="F644" s="380"/>
      <c r="G644" s="379"/>
      <c r="H644" s="379"/>
      <c r="I644" s="379"/>
      <c r="J644" s="379"/>
      <c r="K644" s="379"/>
      <c r="L644" s="379"/>
      <c r="M644" s="379"/>
      <c r="N644" s="379"/>
      <c r="O644" s="379"/>
      <c r="P644" s="376"/>
      <c r="Q644" s="381"/>
      <c r="R644" s="381"/>
      <c r="S644" s="376"/>
      <c r="T644" s="376"/>
      <c r="U644" s="382" t="s">
        <v>519</v>
      </c>
      <c r="V644" s="382">
        <v>15.0</v>
      </c>
      <c r="W644" s="382">
        <v>5.0</v>
      </c>
      <c r="X644" s="383">
        <v>0.7</v>
      </c>
      <c r="Y644" s="383">
        <v>0.7</v>
      </c>
      <c r="Z644" s="383">
        <v>0.7</v>
      </c>
      <c r="AA644" s="383">
        <v>1700.0</v>
      </c>
      <c r="AB644" s="383" t="s">
        <v>811</v>
      </c>
      <c r="AC644" s="383">
        <v>0.85</v>
      </c>
      <c r="AD644" s="171"/>
      <c r="AE644" s="384"/>
    </row>
    <row r="645" ht="15.0" customHeight="1">
      <c r="A645" s="379"/>
      <c r="B645" s="379"/>
      <c r="C645" s="379"/>
      <c r="D645" s="379"/>
      <c r="E645" s="379"/>
      <c r="F645" s="380"/>
      <c r="G645" s="379"/>
      <c r="H645" s="379"/>
      <c r="I645" s="379"/>
      <c r="J645" s="379"/>
      <c r="K645" s="379"/>
      <c r="L645" s="379"/>
      <c r="M645" s="379"/>
      <c r="N645" s="379"/>
      <c r="O645" s="379"/>
      <c r="P645" s="376"/>
      <c r="Q645" s="381"/>
      <c r="R645" s="381"/>
      <c r="S645" s="376"/>
      <c r="T645" s="376"/>
      <c r="U645" s="382" t="s">
        <v>509</v>
      </c>
      <c r="V645" s="382">
        <v>15.0</v>
      </c>
      <c r="W645" s="382">
        <v>5.0</v>
      </c>
      <c r="X645" s="383">
        <v>0.7</v>
      </c>
      <c r="Y645" s="383">
        <v>0.7</v>
      </c>
      <c r="Z645" s="383">
        <v>0.7</v>
      </c>
      <c r="AA645" s="383">
        <v>1700.0</v>
      </c>
      <c r="AB645" s="383" t="s">
        <v>811</v>
      </c>
      <c r="AC645" s="383">
        <v>0.85</v>
      </c>
      <c r="AD645" s="171"/>
      <c r="AE645" s="384"/>
    </row>
    <row r="646" ht="15.0" customHeight="1">
      <c r="A646" s="379"/>
      <c r="B646" s="379"/>
      <c r="C646" s="379"/>
      <c r="D646" s="379"/>
      <c r="E646" s="379"/>
      <c r="F646" s="380"/>
      <c r="G646" s="379"/>
      <c r="H646" s="379"/>
      <c r="I646" s="379"/>
      <c r="J646" s="379"/>
      <c r="K646" s="379"/>
      <c r="L646" s="379"/>
      <c r="M646" s="379"/>
      <c r="N646" s="379"/>
      <c r="O646" s="379"/>
      <c r="P646" s="376"/>
      <c r="Q646" s="381"/>
      <c r="R646" s="381"/>
      <c r="S646" s="376"/>
      <c r="T646" s="376"/>
      <c r="U646" s="382" t="s">
        <v>509</v>
      </c>
      <c r="V646" s="382">
        <v>15.0</v>
      </c>
      <c r="W646" s="382">
        <v>5.0</v>
      </c>
      <c r="X646" s="383">
        <v>0.7</v>
      </c>
      <c r="Y646" s="383">
        <v>0.7</v>
      </c>
      <c r="Z646" s="383">
        <v>0.7</v>
      </c>
      <c r="AA646" s="383">
        <v>1700.0</v>
      </c>
      <c r="AB646" s="383" t="s">
        <v>811</v>
      </c>
      <c r="AC646" s="383">
        <v>0.85</v>
      </c>
      <c r="AD646" s="171"/>
      <c r="AE646" s="384"/>
    </row>
    <row r="647" ht="15.0" customHeight="1">
      <c r="A647" s="379"/>
      <c r="B647" s="379"/>
      <c r="C647" s="379"/>
      <c r="D647" s="379"/>
      <c r="E647" s="379"/>
      <c r="F647" s="380"/>
      <c r="G647" s="379"/>
      <c r="H647" s="379"/>
      <c r="I647" s="379"/>
      <c r="J647" s="379"/>
      <c r="K647" s="379"/>
      <c r="L647" s="379"/>
      <c r="M647" s="379"/>
      <c r="N647" s="379"/>
      <c r="O647" s="379"/>
      <c r="P647" s="376"/>
      <c r="Q647" s="381"/>
      <c r="R647" s="381"/>
      <c r="S647" s="376"/>
      <c r="T647" s="376"/>
      <c r="U647" s="382" t="s">
        <v>509</v>
      </c>
      <c r="V647" s="382">
        <v>15.0</v>
      </c>
      <c r="W647" s="382">
        <v>5.0</v>
      </c>
      <c r="X647" s="383">
        <v>0.7</v>
      </c>
      <c r="Y647" s="383">
        <v>0.7</v>
      </c>
      <c r="Z647" s="383">
        <v>0.7</v>
      </c>
      <c r="AA647" s="383">
        <v>1700.0</v>
      </c>
      <c r="AB647" s="383" t="s">
        <v>811</v>
      </c>
      <c r="AC647" s="383">
        <v>0.85</v>
      </c>
      <c r="AD647" s="171"/>
      <c r="AE647" s="384"/>
    </row>
    <row r="648" ht="15.0" customHeight="1">
      <c r="A648" s="379"/>
      <c r="B648" s="379"/>
      <c r="C648" s="379"/>
      <c r="D648" s="379"/>
      <c r="E648" s="379"/>
      <c r="F648" s="380"/>
      <c r="G648" s="379"/>
      <c r="H648" s="379"/>
      <c r="I648" s="379"/>
      <c r="J648" s="379"/>
      <c r="K648" s="379"/>
      <c r="L648" s="379"/>
      <c r="M648" s="379"/>
      <c r="N648" s="379"/>
      <c r="O648" s="379"/>
      <c r="P648" s="376"/>
      <c r="Q648" s="381"/>
      <c r="R648" s="381"/>
      <c r="S648" s="376"/>
      <c r="T648" s="376"/>
      <c r="U648" s="382" t="s">
        <v>519</v>
      </c>
      <c r="V648" s="382">
        <v>15.0</v>
      </c>
      <c r="W648" s="382">
        <v>5.0</v>
      </c>
      <c r="X648" s="383">
        <v>0.7</v>
      </c>
      <c r="Y648" s="383">
        <v>0.7</v>
      </c>
      <c r="Z648" s="383">
        <v>0.7</v>
      </c>
      <c r="AA648" s="383">
        <v>1700.0</v>
      </c>
      <c r="AB648" s="383" t="s">
        <v>811</v>
      </c>
      <c r="AC648" s="383">
        <v>0.85</v>
      </c>
      <c r="AD648" s="171"/>
      <c r="AE648" s="384"/>
    </row>
    <row r="649" ht="15.0" customHeight="1">
      <c r="A649" s="379"/>
      <c r="B649" s="379"/>
      <c r="C649" s="379"/>
      <c r="D649" s="379"/>
      <c r="E649" s="379"/>
      <c r="F649" s="380"/>
      <c r="G649" s="379"/>
      <c r="H649" s="379"/>
      <c r="I649" s="379"/>
      <c r="J649" s="379"/>
      <c r="K649" s="379"/>
      <c r="L649" s="379"/>
      <c r="M649" s="379"/>
      <c r="N649" s="379"/>
      <c r="O649" s="379"/>
      <c r="P649" s="376"/>
      <c r="Q649" s="381"/>
      <c r="R649" s="381"/>
      <c r="S649" s="376"/>
      <c r="T649" s="376"/>
      <c r="U649" s="382" t="s">
        <v>519</v>
      </c>
      <c r="V649" s="382">
        <v>15.0</v>
      </c>
      <c r="W649" s="382">
        <v>5.0</v>
      </c>
      <c r="X649" s="383">
        <v>0.7</v>
      </c>
      <c r="Y649" s="383">
        <v>0.7</v>
      </c>
      <c r="Z649" s="383">
        <v>0.7</v>
      </c>
      <c r="AA649" s="383">
        <v>1700.0</v>
      </c>
      <c r="AB649" s="383" t="s">
        <v>811</v>
      </c>
      <c r="AC649" s="383">
        <v>0.85</v>
      </c>
      <c r="AD649" s="171"/>
      <c r="AE649" s="384"/>
    </row>
    <row r="650" ht="15.0" customHeight="1">
      <c r="A650" s="379"/>
      <c r="B650" s="379"/>
      <c r="C650" s="379"/>
      <c r="D650" s="379"/>
      <c r="E650" s="379"/>
      <c r="F650" s="380"/>
      <c r="G650" s="379"/>
      <c r="H650" s="379"/>
      <c r="I650" s="379"/>
      <c r="J650" s="379"/>
      <c r="K650" s="379"/>
      <c r="L650" s="379"/>
      <c r="M650" s="379"/>
      <c r="N650" s="379"/>
      <c r="O650" s="379"/>
      <c r="P650" s="376"/>
      <c r="Q650" s="381"/>
      <c r="R650" s="381"/>
      <c r="S650" s="376"/>
      <c r="T650" s="376"/>
      <c r="U650" s="382" t="s">
        <v>509</v>
      </c>
      <c r="V650" s="382">
        <v>15.0</v>
      </c>
      <c r="W650" s="382">
        <v>5.0</v>
      </c>
      <c r="X650" s="383">
        <v>0.7</v>
      </c>
      <c r="Y650" s="383">
        <v>0.7</v>
      </c>
      <c r="Z650" s="383">
        <v>0.7</v>
      </c>
      <c r="AA650" s="383">
        <v>1700.0</v>
      </c>
      <c r="AB650" s="383" t="s">
        <v>811</v>
      </c>
      <c r="AC650" s="383">
        <v>0.85</v>
      </c>
      <c r="AD650" s="171"/>
      <c r="AE650" s="384"/>
    </row>
    <row r="651" ht="15.0" customHeight="1">
      <c r="A651" s="379"/>
      <c r="B651" s="379"/>
      <c r="C651" s="379"/>
      <c r="D651" s="379"/>
      <c r="E651" s="379"/>
      <c r="F651" s="380"/>
      <c r="G651" s="379"/>
      <c r="H651" s="379"/>
      <c r="I651" s="379"/>
      <c r="J651" s="379"/>
      <c r="K651" s="379"/>
      <c r="L651" s="379"/>
      <c r="M651" s="379"/>
      <c r="N651" s="379"/>
      <c r="O651" s="379"/>
      <c r="P651" s="376"/>
      <c r="Q651" s="381"/>
      <c r="R651" s="381"/>
      <c r="S651" s="376"/>
      <c r="T651" s="376"/>
      <c r="U651" s="382" t="s">
        <v>509</v>
      </c>
      <c r="V651" s="382">
        <v>15.0</v>
      </c>
      <c r="W651" s="382">
        <v>5.0</v>
      </c>
      <c r="X651" s="383">
        <v>0.7</v>
      </c>
      <c r="Y651" s="383">
        <v>0.7</v>
      </c>
      <c r="Z651" s="383">
        <v>0.7</v>
      </c>
      <c r="AA651" s="383">
        <v>1700.0</v>
      </c>
      <c r="AB651" s="383" t="s">
        <v>811</v>
      </c>
      <c r="AC651" s="383">
        <v>0.85</v>
      </c>
      <c r="AD651" s="171"/>
      <c r="AE651" s="384"/>
    </row>
    <row r="652" ht="15.0" customHeight="1">
      <c r="A652" s="379"/>
      <c r="B652" s="379"/>
      <c r="C652" s="379"/>
      <c r="D652" s="379"/>
      <c r="E652" s="379"/>
      <c r="F652" s="380"/>
      <c r="G652" s="379"/>
      <c r="H652" s="379"/>
      <c r="I652" s="379"/>
      <c r="J652" s="379"/>
      <c r="K652" s="379"/>
      <c r="L652" s="379"/>
      <c r="M652" s="379"/>
      <c r="N652" s="379"/>
      <c r="O652" s="379"/>
      <c r="P652" s="376"/>
      <c r="Q652" s="381"/>
      <c r="R652" s="381"/>
      <c r="S652" s="376"/>
      <c r="T652" s="376"/>
      <c r="U652" s="382" t="s">
        <v>509</v>
      </c>
      <c r="V652" s="382">
        <v>15.0</v>
      </c>
      <c r="W652" s="382">
        <v>5.0</v>
      </c>
      <c r="X652" s="383">
        <v>0.7</v>
      </c>
      <c r="Y652" s="383">
        <v>0.7</v>
      </c>
      <c r="Z652" s="383">
        <v>0.7</v>
      </c>
      <c r="AA652" s="383">
        <v>1700.0</v>
      </c>
      <c r="AB652" s="383" t="s">
        <v>811</v>
      </c>
      <c r="AC652" s="383">
        <v>0.85</v>
      </c>
      <c r="AD652" s="171"/>
      <c r="AE652" s="384"/>
    </row>
    <row r="653" ht="15.0" customHeight="1">
      <c r="A653" s="379"/>
      <c r="B653" s="379"/>
      <c r="C653" s="379"/>
      <c r="D653" s="379"/>
      <c r="E653" s="379"/>
      <c r="F653" s="380"/>
      <c r="G653" s="379"/>
      <c r="H653" s="379"/>
      <c r="I653" s="379"/>
      <c r="J653" s="379"/>
      <c r="K653" s="379"/>
      <c r="L653" s="379"/>
      <c r="M653" s="379"/>
      <c r="N653" s="379"/>
      <c r="O653" s="379"/>
      <c r="P653" s="376"/>
      <c r="Q653" s="381"/>
      <c r="R653" s="381"/>
      <c r="S653" s="376"/>
      <c r="T653" s="376"/>
      <c r="U653" s="382" t="s">
        <v>509</v>
      </c>
      <c r="V653" s="382">
        <v>15.0</v>
      </c>
      <c r="W653" s="382">
        <v>5.0</v>
      </c>
      <c r="X653" s="383">
        <v>0.7</v>
      </c>
      <c r="Y653" s="383">
        <v>0.7</v>
      </c>
      <c r="Z653" s="383">
        <v>0.7</v>
      </c>
      <c r="AA653" s="383">
        <v>1700.0</v>
      </c>
      <c r="AB653" s="383" t="s">
        <v>811</v>
      </c>
      <c r="AC653" s="383">
        <v>0.85</v>
      </c>
      <c r="AD653" s="171"/>
      <c r="AE653" s="384"/>
    </row>
    <row r="654" ht="15.0" customHeight="1">
      <c r="A654" s="379"/>
      <c r="B654" s="379"/>
      <c r="C654" s="379"/>
      <c r="D654" s="379"/>
      <c r="E654" s="379"/>
      <c r="F654" s="380"/>
      <c r="G654" s="379"/>
      <c r="H654" s="379"/>
      <c r="I654" s="379"/>
      <c r="J654" s="379"/>
      <c r="K654" s="379"/>
      <c r="L654" s="379"/>
      <c r="M654" s="379"/>
      <c r="N654" s="379"/>
      <c r="O654" s="379"/>
      <c r="P654" s="376"/>
      <c r="Q654" s="381"/>
      <c r="R654" s="381"/>
      <c r="S654" s="376"/>
      <c r="T654" s="376"/>
      <c r="U654" s="382" t="s">
        <v>509</v>
      </c>
      <c r="V654" s="382">
        <v>15.0</v>
      </c>
      <c r="W654" s="382">
        <v>5.0</v>
      </c>
      <c r="X654" s="383">
        <v>0.7</v>
      </c>
      <c r="Y654" s="383">
        <v>0.7</v>
      </c>
      <c r="Z654" s="383">
        <v>0.7</v>
      </c>
      <c r="AA654" s="383">
        <v>1700.0</v>
      </c>
      <c r="AB654" s="383" t="s">
        <v>811</v>
      </c>
      <c r="AC654" s="383">
        <v>0.85</v>
      </c>
      <c r="AD654" s="171"/>
      <c r="AE654" s="384"/>
    </row>
    <row r="655" ht="15.0" customHeight="1">
      <c r="A655" s="379"/>
      <c r="B655" s="379"/>
      <c r="C655" s="379"/>
      <c r="D655" s="379"/>
      <c r="E655" s="379"/>
      <c r="F655" s="380"/>
      <c r="G655" s="379"/>
      <c r="H655" s="379"/>
      <c r="I655" s="379"/>
      <c r="J655" s="379"/>
      <c r="K655" s="379"/>
      <c r="L655" s="379"/>
      <c r="M655" s="379"/>
      <c r="N655" s="379"/>
      <c r="O655" s="379"/>
      <c r="P655" s="376"/>
      <c r="Q655" s="381"/>
      <c r="R655" s="381"/>
      <c r="S655" s="376"/>
      <c r="T655" s="376"/>
      <c r="U655" s="382" t="s">
        <v>509</v>
      </c>
      <c r="V655" s="382">
        <v>15.0</v>
      </c>
      <c r="W655" s="382">
        <v>5.0</v>
      </c>
      <c r="X655" s="383">
        <v>0.7</v>
      </c>
      <c r="Y655" s="383">
        <v>0.7</v>
      </c>
      <c r="Z655" s="383">
        <v>0.7</v>
      </c>
      <c r="AA655" s="383">
        <v>1700.0</v>
      </c>
      <c r="AB655" s="383" t="s">
        <v>811</v>
      </c>
      <c r="AC655" s="383">
        <v>0.85</v>
      </c>
      <c r="AD655" s="171"/>
      <c r="AE655" s="384"/>
    </row>
    <row r="656" ht="15.0" customHeight="1">
      <c r="A656" s="379"/>
      <c r="B656" s="379"/>
      <c r="C656" s="379"/>
      <c r="D656" s="379"/>
      <c r="E656" s="379"/>
      <c r="F656" s="380"/>
      <c r="G656" s="379"/>
      <c r="H656" s="379"/>
      <c r="I656" s="379"/>
      <c r="J656" s="379"/>
      <c r="K656" s="379"/>
      <c r="L656" s="379"/>
      <c r="M656" s="379"/>
      <c r="N656" s="379"/>
      <c r="O656" s="379"/>
      <c r="P656" s="376"/>
      <c r="Q656" s="381"/>
      <c r="R656" s="381"/>
      <c r="S656" s="376"/>
      <c r="T656" s="376"/>
      <c r="U656" s="382" t="s">
        <v>519</v>
      </c>
      <c r="V656" s="382">
        <v>15.0</v>
      </c>
      <c r="W656" s="382">
        <v>5.0</v>
      </c>
      <c r="X656" s="383">
        <v>0.7</v>
      </c>
      <c r="Y656" s="383">
        <v>0.7</v>
      </c>
      <c r="Z656" s="383">
        <v>0.7</v>
      </c>
      <c r="AA656" s="383">
        <v>1700.0</v>
      </c>
      <c r="AB656" s="383" t="s">
        <v>811</v>
      </c>
      <c r="AC656" s="383">
        <v>0.85</v>
      </c>
      <c r="AD656" s="171"/>
      <c r="AE656" s="384"/>
    </row>
    <row r="657" ht="15.0" customHeight="1">
      <c r="A657" s="379"/>
      <c r="B657" s="379"/>
      <c r="C657" s="379"/>
      <c r="D657" s="379"/>
      <c r="E657" s="379"/>
      <c r="F657" s="380"/>
      <c r="G657" s="379"/>
      <c r="H657" s="379"/>
      <c r="I657" s="379"/>
      <c r="J657" s="379"/>
      <c r="K657" s="379"/>
      <c r="L657" s="379"/>
      <c r="M657" s="379"/>
      <c r="N657" s="379"/>
      <c r="O657" s="379"/>
      <c r="P657" s="376"/>
      <c r="Q657" s="381"/>
      <c r="R657" s="381"/>
      <c r="S657" s="376"/>
      <c r="T657" s="376"/>
      <c r="U657" s="382" t="s">
        <v>509</v>
      </c>
      <c r="V657" s="382">
        <v>15.0</v>
      </c>
      <c r="W657" s="382">
        <v>5.0</v>
      </c>
      <c r="X657" s="383">
        <v>0.7</v>
      </c>
      <c r="Y657" s="383">
        <v>0.7</v>
      </c>
      <c r="Z657" s="383">
        <v>0.7</v>
      </c>
      <c r="AA657" s="383">
        <v>1700.0</v>
      </c>
      <c r="AB657" s="383" t="s">
        <v>811</v>
      </c>
      <c r="AC657" s="383">
        <v>0.85</v>
      </c>
      <c r="AD657" s="171"/>
      <c r="AE657" s="384"/>
    </row>
    <row r="658" ht="15.0" customHeight="1">
      <c r="A658" s="379"/>
      <c r="B658" s="379"/>
      <c r="C658" s="379"/>
      <c r="D658" s="379"/>
      <c r="E658" s="379"/>
      <c r="F658" s="380"/>
      <c r="G658" s="379"/>
      <c r="H658" s="379"/>
      <c r="I658" s="379"/>
      <c r="J658" s="379"/>
      <c r="K658" s="379"/>
      <c r="L658" s="379"/>
      <c r="M658" s="379"/>
      <c r="N658" s="379"/>
      <c r="O658" s="379"/>
      <c r="P658" s="376"/>
      <c r="Q658" s="381"/>
      <c r="R658" s="381"/>
      <c r="S658" s="376"/>
      <c r="T658" s="376"/>
      <c r="U658" s="382" t="s">
        <v>509</v>
      </c>
      <c r="V658" s="382">
        <v>15.0</v>
      </c>
      <c r="W658" s="382">
        <v>5.0</v>
      </c>
      <c r="X658" s="383">
        <v>0.7</v>
      </c>
      <c r="Y658" s="383">
        <v>0.7</v>
      </c>
      <c r="Z658" s="383">
        <v>0.7</v>
      </c>
      <c r="AA658" s="383">
        <v>1700.0</v>
      </c>
      <c r="AB658" s="383" t="s">
        <v>811</v>
      </c>
      <c r="AC658" s="383">
        <v>0.85</v>
      </c>
      <c r="AD658" s="171"/>
      <c r="AE658" s="384"/>
    </row>
    <row r="659" ht="15.0" customHeight="1">
      <c r="A659" s="379"/>
      <c r="B659" s="379"/>
      <c r="C659" s="379"/>
      <c r="D659" s="379"/>
      <c r="E659" s="379"/>
      <c r="F659" s="380"/>
      <c r="G659" s="379"/>
      <c r="H659" s="379"/>
      <c r="I659" s="379"/>
      <c r="J659" s="379"/>
      <c r="K659" s="379"/>
      <c r="L659" s="379"/>
      <c r="M659" s="379"/>
      <c r="N659" s="379"/>
      <c r="O659" s="379"/>
      <c r="P659" s="376"/>
      <c r="Q659" s="381"/>
      <c r="R659" s="381"/>
      <c r="S659" s="376"/>
      <c r="T659" s="376"/>
      <c r="U659" s="382" t="s">
        <v>509</v>
      </c>
      <c r="V659" s="382">
        <v>15.0</v>
      </c>
      <c r="W659" s="382">
        <v>5.0</v>
      </c>
      <c r="X659" s="383">
        <v>0.7</v>
      </c>
      <c r="Y659" s="383">
        <v>0.7</v>
      </c>
      <c r="Z659" s="383">
        <v>0.7</v>
      </c>
      <c r="AA659" s="383">
        <v>1700.0</v>
      </c>
      <c r="AB659" s="383" t="s">
        <v>811</v>
      </c>
      <c r="AC659" s="383">
        <v>0.85</v>
      </c>
      <c r="AD659" s="171"/>
      <c r="AE659" s="384"/>
    </row>
    <row r="660" ht="15.0" customHeight="1">
      <c r="A660" s="379"/>
      <c r="B660" s="379"/>
      <c r="C660" s="379"/>
      <c r="D660" s="379"/>
      <c r="E660" s="379"/>
      <c r="F660" s="380"/>
      <c r="G660" s="379"/>
      <c r="H660" s="379"/>
      <c r="I660" s="379"/>
      <c r="J660" s="379"/>
      <c r="K660" s="379"/>
      <c r="L660" s="379"/>
      <c r="M660" s="379"/>
      <c r="N660" s="379"/>
      <c r="O660" s="379"/>
      <c r="P660" s="376"/>
      <c r="Q660" s="381"/>
      <c r="R660" s="381"/>
      <c r="S660" s="376"/>
      <c r="T660" s="376"/>
      <c r="U660" s="382" t="s">
        <v>509</v>
      </c>
      <c r="V660" s="382">
        <v>15.0</v>
      </c>
      <c r="W660" s="382">
        <v>5.0</v>
      </c>
      <c r="X660" s="383">
        <v>0.7</v>
      </c>
      <c r="Y660" s="383">
        <v>0.7</v>
      </c>
      <c r="Z660" s="383">
        <v>0.7</v>
      </c>
      <c r="AA660" s="383">
        <v>1700.0</v>
      </c>
      <c r="AB660" s="383" t="s">
        <v>811</v>
      </c>
      <c r="AC660" s="383">
        <v>0.85</v>
      </c>
      <c r="AD660" s="171"/>
      <c r="AE660" s="384"/>
    </row>
    <row r="661" ht="15.0" customHeight="1">
      <c r="A661" s="379"/>
      <c r="B661" s="379"/>
      <c r="C661" s="379"/>
      <c r="D661" s="379"/>
      <c r="E661" s="379"/>
      <c r="F661" s="380"/>
      <c r="G661" s="379"/>
      <c r="H661" s="379"/>
      <c r="I661" s="379"/>
      <c r="J661" s="379"/>
      <c r="K661" s="379"/>
      <c r="L661" s="379"/>
      <c r="M661" s="379"/>
      <c r="N661" s="379"/>
      <c r="O661" s="379"/>
      <c r="P661" s="376"/>
      <c r="Q661" s="381"/>
      <c r="R661" s="381"/>
      <c r="S661" s="376"/>
      <c r="T661" s="376"/>
      <c r="U661" s="382" t="s">
        <v>509</v>
      </c>
      <c r="V661" s="382">
        <v>15.0</v>
      </c>
      <c r="W661" s="382">
        <v>5.0</v>
      </c>
      <c r="X661" s="383">
        <v>0.7</v>
      </c>
      <c r="Y661" s="383">
        <v>0.7</v>
      </c>
      <c r="Z661" s="383">
        <v>0.7</v>
      </c>
      <c r="AA661" s="383">
        <v>1700.0</v>
      </c>
      <c r="AB661" s="383" t="s">
        <v>811</v>
      </c>
      <c r="AC661" s="383">
        <v>0.85</v>
      </c>
      <c r="AD661" s="171"/>
      <c r="AE661" s="384"/>
    </row>
    <row r="662" ht="15.0" customHeight="1">
      <c r="A662" s="379"/>
      <c r="B662" s="379"/>
      <c r="C662" s="379"/>
      <c r="D662" s="379"/>
      <c r="E662" s="379"/>
      <c r="F662" s="380"/>
      <c r="G662" s="379"/>
      <c r="H662" s="379"/>
      <c r="I662" s="379"/>
      <c r="J662" s="379"/>
      <c r="K662" s="379"/>
      <c r="L662" s="379"/>
      <c r="M662" s="379"/>
      <c r="N662" s="379"/>
      <c r="O662" s="379"/>
      <c r="P662" s="376"/>
      <c r="Q662" s="381"/>
      <c r="R662" s="381"/>
      <c r="S662" s="376"/>
      <c r="T662" s="376"/>
      <c r="U662" s="382" t="s">
        <v>509</v>
      </c>
      <c r="V662" s="382">
        <v>15.0</v>
      </c>
      <c r="W662" s="382">
        <v>5.0</v>
      </c>
      <c r="X662" s="383">
        <v>0.7</v>
      </c>
      <c r="Y662" s="383">
        <v>0.7</v>
      </c>
      <c r="Z662" s="383">
        <v>0.7</v>
      </c>
      <c r="AA662" s="383">
        <v>1700.0</v>
      </c>
      <c r="AB662" s="383" t="s">
        <v>811</v>
      </c>
      <c r="AC662" s="383">
        <v>0.85</v>
      </c>
      <c r="AD662" s="171"/>
      <c r="AE662" s="384"/>
    </row>
    <row r="663" ht="15.0" customHeight="1">
      <c r="A663" s="379"/>
      <c r="B663" s="379"/>
      <c r="C663" s="379"/>
      <c r="D663" s="379"/>
      <c r="E663" s="379"/>
      <c r="F663" s="380"/>
      <c r="G663" s="379"/>
      <c r="H663" s="379"/>
      <c r="I663" s="379"/>
      <c r="J663" s="379"/>
      <c r="K663" s="379"/>
      <c r="L663" s="379"/>
      <c r="M663" s="379"/>
      <c r="N663" s="379"/>
      <c r="O663" s="379"/>
      <c r="P663" s="376"/>
      <c r="Q663" s="381"/>
      <c r="R663" s="381"/>
      <c r="S663" s="376"/>
      <c r="T663" s="376"/>
      <c r="U663" s="382" t="s">
        <v>509</v>
      </c>
      <c r="V663" s="382">
        <v>15.0</v>
      </c>
      <c r="W663" s="382">
        <v>5.0</v>
      </c>
      <c r="X663" s="383">
        <v>0.7</v>
      </c>
      <c r="Y663" s="383">
        <v>0.7</v>
      </c>
      <c r="Z663" s="383">
        <v>0.7</v>
      </c>
      <c r="AA663" s="383">
        <v>1700.0</v>
      </c>
      <c r="AB663" s="383" t="s">
        <v>811</v>
      </c>
      <c r="AC663" s="383">
        <v>0.85</v>
      </c>
      <c r="AD663" s="171"/>
      <c r="AE663" s="384"/>
    </row>
    <row r="664" ht="15.0" customHeight="1">
      <c r="A664" s="379"/>
      <c r="B664" s="379"/>
      <c r="C664" s="379"/>
      <c r="D664" s="379"/>
      <c r="E664" s="379"/>
      <c r="F664" s="380"/>
      <c r="G664" s="379"/>
      <c r="H664" s="379"/>
      <c r="I664" s="379"/>
      <c r="J664" s="379"/>
      <c r="K664" s="379"/>
      <c r="L664" s="379"/>
      <c r="M664" s="379"/>
      <c r="N664" s="379"/>
      <c r="O664" s="379"/>
      <c r="P664" s="376"/>
      <c r="Q664" s="381"/>
      <c r="R664" s="381"/>
      <c r="S664" s="376"/>
      <c r="T664" s="376"/>
      <c r="U664" s="382" t="s">
        <v>509</v>
      </c>
      <c r="V664" s="382">
        <v>15.0</v>
      </c>
      <c r="W664" s="382">
        <v>5.0</v>
      </c>
      <c r="X664" s="383">
        <v>0.7</v>
      </c>
      <c r="Y664" s="383">
        <v>0.7</v>
      </c>
      <c r="Z664" s="383">
        <v>0.7</v>
      </c>
      <c r="AA664" s="383">
        <v>1700.0</v>
      </c>
      <c r="AB664" s="383" t="s">
        <v>811</v>
      </c>
      <c r="AC664" s="383">
        <v>0.85</v>
      </c>
      <c r="AD664" s="171"/>
      <c r="AE664" s="384"/>
    </row>
    <row r="665" ht="15.0" customHeight="1">
      <c r="A665" s="379"/>
      <c r="B665" s="379"/>
      <c r="C665" s="379"/>
      <c r="D665" s="379"/>
      <c r="E665" s="379"/>
      <c r="F665" s="380"/>
      <c r="G665" s="379"/>
      <c r="H665" s="379"/>
      <c r="I665" s="379"/>
      <c r="J665" s="379"/>
      <c r="K665" s="379"/>
      <c r="L665" s="379"/>
      <c r="M665" s="379"/>
      <c r="N665" s="379"/>
      <c r="O665" s="379"/>
      <c r="P665" s="376"/>
      <c r="Q665" s="381"/>
      <c r="R665" s="381"/>
      <c r="S665" s="376"/>
      <c r="T665" s="376"/>
      <c r="U665" s="382" t="s">
        <v>509</v>
      </c>
      <c r="V665" s="382">
        <v>15.0</v>
      </c>
      <c r="W665" s="382">
        <v>5.0</v>
      </c>
      <c r="X665" s="383">
        <v>0.7</v>
      </c>
      <c r="Y665" s="383">
        <v>0.7</v>
      </c>
      <c r="Z665" s="383">
        <v>0.7</v>
      </c>
      <c r="AA665" s="383">
        <v>1700.0</v>
      </c>
      <c r="AB665" s="383" t="s">
        <v>811</v>
      </c>
      <c r="AC665" s="383">
        <v>0.85</v>
      </c>
      <c r="AD665" s="171"/>
      <c r="AE665" s="384"/>
    </row>
    <row r="666" ht="15.0" customHeight="1">
      <c r="A666" s="379"/>
      <c r="B666" s="379"/>
      <c r="C666" s="379"/>
      <c r="D666" s="379"/>
      <c r="E666" s="379"/>
      <c r="F666" s="380"/>
      <c r="G666" s="379"/>
      <c r="H666" s="379"/>
      <c r="I666" s="379"/>
      <c r="J666" s="379"/>
      <c r="K666" s="379"/>
      <c r="L666" s="379"/>
      <c r="M666" s="379"/>
      <c r="N666" s="379"/>
      <c r="O666" s="379"/>
      <c r="P666" s="376"/>
      <c r="Q666" s="381"/>
      <c r="R666" s="381"/>
      <c r="S666" s="376"/>
      <c r="T666" s="376"/>
      <c r="U666" s="382" t="s">
        <v>509</v>
      </c>
      <c r="V666" s="382">
        <v>15.0</v>
      </c>
      <c r="W666" s="382">
        <v>5.0</v>
      </c>
      <c r="X666" s="383">
        <v>0.7</v>
      </c>
      <c r="Y666" s="383">
        <v>0.7</v>
      </c>
      <c r="Z666" s="383">
        <v>0.7</v>
      </c>
      <c r="AA666" s="383">
        <v>1700.0</v>
      </c>
      <c r="AB666" s="383" t="s">
        <v>811</v>
      </c>
      <c r="AC666" s="383">
        <v>0.85</v>
      </c>
      <c r="AD666" s="171"/>
      <c r="AE666" s="384"/>
    </row>
    <row r="667" ht="15.0" customHeight="1">
      <c r="A667" s="379"/>
      <c r="B667" s="379"/>
      <c r="C667" s="379"/>
      <c r="D667" s="379"/>
      <c r="E667" s="379"/>
      <c r="F667" s="380"/>
      <c r="G667" s="379"/>
      <c r="H667" s="379"/>
      <c r="I667" s="379"/>
      <c r="J667" s="379"/>
      <c r="K667" s="379"/>
      <c r="L667" s="379"/>
      <c r="M667" s="379"/>
      <c r="N667" s="379"/>
      <c r="O667" s="379"/>
      <c r="P667" s="376"/>
      <c r="Q667" s="381"/>
      <c r="R667" s="381"/>
      <c r="S667" s="376"/>
      <c r="T667" s="376"/>
      <c r="U667" s="382" t="s">
        <v>509</v>
      </c>
      <c r="V667" s="382">
        <v>15.0</v>
      </c>
      <c r="W667" s="382">
        <v>5.0</v>
      </c>
      <c r="X667" s="383">
        <v>0.7</v>
      </c>
      <c r="Y667" s="383">
        <v>0.7</v>
      </c>
      <c r="Z667" s="383">
        <v>0.7</v>
      </c>
      <c r="AA667" s="383">
        <v>1700.0</v>
      </c>
      <c r="AB667" s="383" t="s">
        <v>811</v>
      </c>
      <c r="AC667" s="383">
        <v>0.85</v>
      </c>
      <c r="AD667" s="171"/>
      <c r="AE667" s="384"/>
    </row>
    <row r="668" ht="15.0" customHeight="1">
      <c r="A668" s="379"/>
      <c r="B668" s="379"/>
      <c r="C668" s="379"/>
      <c r="D668" s="379"/>
      <c r="E668" s="379"/>
      <c r="F668" s="380"/>
      <c r="G668" s="379"/>
      <c r="H668" s="379"/>
      <c r="I668" s="379"/>
      <c r="J668" s="379"/>
      <c r="K668" s="379"/>
      <c r="L668" s="379"/>
      <c r="M668" s="379"/>
      <c r="N668" s="379"/>
      <c r="O668" s="379"/>
      <c r="P668" s="376"/>
      <c r="Q668" s="381"/>
      <c r="R668" s="381"/>
      <c r="S668" s="376"/>
      <c r="T668" s="376"/>
      <c r="U668" s="382" t="s">
        <v>509</v>
      </c>
      <c r="V668" s="382">
        <v>15.0</v>
      </c>
      <c r="W668" s="382">
        <v>5.0</v>
      </c>
      <c r="X668" s="383">
        <v>0.7</v>
      </c>
      <c r="Y668" s="383">
        <v>0.7</v>
      </c>
      <c r="Z668" s="383">
        <v>0.7</v>
      </c>
      <c r="AA668" s="383">
        <v>1700.0</v>
      </c>
      <c r="AB668" s="383" t="s">
        <v>811</v>
      </c>
      <c r="AC668" s="383">
        <v>0.85</v>
      </c>
      <c r="AD668" s="171"/>
      <c r="AE668" s="384"/>
    </row>
    <row r="669" ht="15.0" customHeight="1">
      <c r="A669" s="379"/>
      <c r="B669" s="379"/>
      <c r="C669" s="379"/>
      <c r="D669" s="379"/>
      <c r="E669" s="379"/>
      <c r="F669" s="380"/>
      <c r="G669" s="379"/>
      <c r="H669" s="379"/>
      <c r="I669" s="379"/>
      <c r="J669" s="379"/>
      <c r="K669" s="379"/>
      <c r="L669" s="379"/>
      <c r="M669" s="379"/>
      <c r="N669" s="379"/>
      <c r="O669" s="379"/>
      <c r="P669" s="376"/>
      <c r="Q669" s="381"/>
      <c r="R669" s="381"/>
      <c r="S669" s="376"/>
      <c r="T669" s="376"/>
      <c r="U669" s="382" t="s">
        <v>509</v>
      </c>
      <c r="V669" s="382">
        <v>15.0</v>
      </c>
      <c r="W669" s="382">
        <v>5.0</v>
      </c>
      <c r="X669" s="383">
        <v>0.7</v>
      </c>
      <c r="Y669" s="383">
        <v>0.7</v>
      </c>
      <c r="Z669" s="383">
        <v>0.7</v>
      </c>
      <c r="AA669" s="383">
        <v>1700.0</v>
      </c>
      <c r="AB669" s="383" t="s">
        <v>811</v>
      </c>
      <c r="AC669" s="383">
        <v>0.85</v>
      </c>
      <c r="AD669" s="171"/>
      <c r="AE669" s="384"/>
    </row>
    <row r="670" ht="15.0" customHeight="1">
      <c r="A670" s="379"/>
      <c r="B670" s="379"/>
      <c r="C670" s="379"/>
      <c r="D670" s="379"/>
      <c r="E670" s="379"/>
      <c r="F670" s="380"/>
      <c r="G670" s="379"/>
      <c r="H670" s="379"/>
      <c r="I670" s="379"/>
      <c r="J670" s="379"/>
      <c r="K670" s="379"/>
      <c r="L670" s="379"/>
      <c r="M670" s="379"/>
      <c r="N670" s="379"/>
      <c r="O670" s="379"/>
      <c r="P670" s="376"/>
      <c r="Q670" s="381"/>
      <c r="R670" s="381"/>
      <c r="S670" s="376"/>
      <c r="T670" s="376"/>
      <c r="U670" s="382" t="s">
        <v>509</v>
      </c>
      <c r="V670" s="382">
        <v>15.0</v>
      </c>
      <c r="W670" s="382">
        <v>5.0</v>
      </c>
      <c r="X670" s="383">
        <v>0.7</v>
      </c>
      <c r="Y670" s="383">
        <v>0.7</v>
      </c>
      <c r="Z670" s="383">
        <v>0.7</v>
      </c>
      <c r="AA670" s="383">
        <v>1700.0</v>
      </c>
      <c r="AB670" s="383" t="s">
        <v>811</v>
      </c>
      <c r="AC670" s="383">
        <v>0.85</v>
      </c>
      <c r="AD670" s="171"/>
      <c r="AE670" s="384"/>
    </row>
    <row r="671" ht="15.0" customHeight="1">
      <c r="A671" s="379"/>
      <c r="B671" s="379"/>
      <c r="C671" s="379"/>
      <c r="D671" s="379"/>
      <c r="E671" s="379"/>
      <c r="F671" s="380"/>
      <c r="G671" s="379"/>
      <c r="H671" s="379"/>
      <c r="I671" s="379"/>
      <c r="J671" s="379"/>
      <c r="K671" s="379"/>
      <c r="L671" s="379"/>
      <c r="M671" s="379"/>
      <c r="N671" s="379"/>
      <c r="O671" s="379"/>
      <c r="P671" s="376"/>
      <c r="Q671" s="381"/>
      <c r="R671" s="381"/>
      <c r="S671" s="376"/>
      <c r="T671" s="376"/>
      <c r="U671" s="382" t="s">
        <v>509</v>
      </c>
      <c r="V671" s="382">
        <v>15.0</v>
      </c>
      <c r="W671" s="382">
        <v>5.0</v>
      </c>
      <c r="X671" s="383">
        <v>0.7</v>
      </c>
      <c r="Y671" s="383">
        <v>0.7</v>
      </c>
      <c r="Z671" s="383">
        <v>0.7</v>
      </c>
      <c r="AA671" s="383">
        <v>1700.0</v>
      </c>
      <c r="AB671" s="383" t="s">
        <v>811</v>
      </c>
      <c r="AC671" s="383">
        <v>0.85</v>
      </c>
      <c r="AD671" s="171"/>
      <c r="AE671" s="384"/>
    </row>
    <row r="672" ht="15.0" customHeight="1">
      <c r="A672" s="379"/>
      <c r="B672" s="379"/>
      <c r="C672" s="379"/>
      <c r="D672" s="379"/>
      <c r="E672" s="379"/>
      <c r="F672" s="380"/>
      <c r="G672" s="379"/>
      <c r="H672" s="379"/>
      <c r="I672" s="379"/>
      <c r="J672" s="379"/>
      <c r="K672" s="379"/>
      <c r="L672" s="379"/>
      <c r="M672" s="379"/>
      <c r="N672" s="379"/>
      <c r="O672" s="379"/>
      <c r="P672" s="376"/>
      <c r="Q672" s="381"/>
      <c r="R672" s="381"/>
      <c r="S672" s="376"/>
      <c r="T672" s="376"/>
      <c r="U672" s="382" t="s">
        <v>509</v>
      </c>
      <c r="V672" s="382">
        <v>15.0</v>
      </c>
      <c r="W672" s="382">
        <v>5.0</v>
      </c>
      <c r="X672" s="383">
        <v>0.7</v>
      </c>
      <c r="Y672" s="383">
        <v>0.7</v>
      </c>
      <c r="Z672" s="383">
        <v>0.7</v>
      </c>
      <c r="AA672" s="383">
        <v>1700.0</v>
      </c>
      <c r="AB672" s="383" t="s">
        <v>811</v>
      </c>
      <c r="AC672" s="383">
        <v>0.85</v>
      </c>
      <c r="AD672" s="171"/>
      <c r="AE672" s="384"/>
    </row>
    <row r="673" ht="15.0" customHeight="1">
      <c r="A673" s="379"/>
      <c r="B673" s="379"/>
      <c r="C673" s="379"/>
      <c r="D673" s="379"/>
      <c r="E673" s="379"/>
      <c r="F673" s="380"/>
      <c r="G673" s="379"/>
      <c r="H673" s="379"/>
      <c r="I673" s="379"/>
      <c r="J673" s="379"/>
      <c r="K673" s="379"/>
      <c r="L673" s="379"/>
      <c r="M673" s="379"/>
      <c r="N673" s="379"/>
      <c r="O673" s="379"/>
      <c r="P673" s="376"/>
      <c r="Q673" s="156"/>
      <c r="R673" s="156"/>
      <c r="S673" s="376"/>
      <c r="T673" s="376"/>
      <c r="U673" s="382" t="s">
        <v>519</v>
      </c>
      <c r="V673" s="382">
        <v>15.0</v>
      </c>
      <c r="W673" s="382">
        <v>5.0</v>
      </c>
      <c r="X673" s="383">
        <v>0.7</v>
      </c>
      <c r="Y673" s="383">
        <v>0.7</v>
      </c>
      <c r="Z673" s="383">
        <v>0.7</v>
      </c>
      <c r="AA673" s="383">
        <v>1700.0</v>
      </c>
      <c r="AB673" s="383" t="s">
        <v>811</v>
      </c>
      <c r="AC673" s="383">
        <v>0.85</v>
      </c>
      <c r="AD673" s="171"/>
      <c r="AE673" s="384"/>
    </row>
    <row r="674" ht="15.0" customHeight="1">
      <c r="A674" s="379"/>
      <c r="B674" s="379"/>
      <c r="C674" s="379"/>
      <c r="D674" s="379"/>
      <c r="E674" s="379"/>
      <c r="F674" s="380"/>
      <c r="G674" s="379"/>
      <c r="H674" s="379"/>
      <c r="I674" s="379"/>
      <c r="J674" s="379"/>
      <c r="K674" s="379"/>
      <c r="L674" s="379"/>
      <c r="M674" s="379"/>
      <c r="N674" s="379"/>
      <c r="O674" s="379"/>
      <c r="P674" s="376"/>
      <c r="Q674" s="156"/>
      <c r="R674" s="156"/>
      <c r="S674" s="376"/>
      <c r="T674" s="376"/>
      <c r="U674" s="382" t="s">
        <v>509</v>
      </c>
      <c r="V674" s="382">
        <v>15.0</v>
      </c>
      <c r="W674" s="382">
        <v>5.0</v>
      </c>
      <c r="X674" s="383">
        <v>0.7</v>
      </c>
      <c r="Y674" s="383">
        <v>0.7</v>
      </c>
      <c r="Z674" s="383">
        <v>0.7</v>
      </c>
      <c r="AA674" s="383">
        <v>1700.0</v>
      </c>
      <c r="AB674" s="383" t="s">
        <v>811</v>
      </c>
      <c r="AC674" s="383">
        <v>0.85</v>
      </c>
      <c r="AD674" s="171"/>
      <c r="AE674" s="384"/>
    </row>
    <row r="675" ht="15.0" customHeight="1">
      <c r="A675" s="379"/>
      <c r="B675" s="379"/>
      <c r="C675" s="379"/>
      <c r="D675" s="379"/>
      <c r="E675" s="379"/>
      <c r="F675" s="380"/>
      <c r="G675" s="379"/>
      <c r="H675" s="379"/>
      <c r="I675" s="379"/>
      <c r="J675" s="379"/>
      <c r="K675" s="379"/>
      <c r="L675" s="379"/>
      <c r="M675" s="379"/>
      <c r="N675" s="379"/>
      <c r="O675" s="379"/>
      <c r="P675" s="376"/>
      <c r="Q675" s="156"/>
      <c r="R675" s="156"/>
      <c r="S675" s="376"/>
      <c r="T675" s="376"/>
      <c r="U675" s="382" t="s">
        <v>509</v>
      </c>
      <c r="V675" s="382">
        <v>15.0</v>
      </c>
      <c r="W675" s="382">
        <v>5.0</v>
      </c>
      <c r="X675" s="383">
        <v>0.7</v>
      </c>
      <c r="Y675" s="383">
        <v>0.7</v>
      </c>
      <c r="Z675" s="383">
        <v>0.7</v>
      </c>
      <c r="AA675" s="383">
        <v>1700.0</v>
      </c>
      <c r="AB675" s="383" t="s">
        <v>811</v>
      </c>
      <c r="AC675" s="383">
        <v>0.85</v>
      </c>
      <c r="AD675" s="171"/>
      <c r="AE675" s="384"/>
    </row>
    <row r="676" ht="15.0" customHeight="1">
      <c r="A676" s="379"/>
      <c r="B676" s="379"/>
      <c r="C676" s="379"/>
      <c r="D676" s="379"/>
      <c r="E676" s="379"/>
      <c r="F676" s="380"/>
      <c r="G676" s="379"/>
      <c r="H676" s="379"/>
      <c r="I676" s="379"/>
      <c r="J676" s="379"/>
      <c r="K676" s="379"/>
      <c r="L676" s="379"/>
      <c r="M676" s="379"/>
      <c r="N676" s="379"/>
      <c r="O676" s="379"/>
      <c r="P676" s="376"/>
      <c r="Q676" s="156"/>
      <c r="R676" s="156"/>
      <c r="S676" s="376"/>
      <c r="T676" s="376"/>
      <c r="U676" s="382" t="s">
        <v>509</v>
      </c>
      <c r="V676" s="382">
        <v>15.0</v>
      </c>
      <c r="W676" s="382">
        <v>5.0</v>
      </c>
      <c r="X676" s="383">
        <v>0.7</v>
      </c>
      <c r="Y676" s="383">
        <v>0.7</v>
      </c>
      <c r="Z676" s="383">
        <v>0.7</v>
      </c>
      <c r="AA676" s="383">
        <v>1700.0</v>
      </c>
      <c r="AB676" s="383" t="s">
        <v>811</v>
      </c>
      <c r="AC676" s="383">
        <v>0.85</v>
      </c>
      <c r="AD676" s="171"/>
      <c r="AE676" s="384"/>
    </row>
    <row r="677" ht="15.0" customHeight="1">
      <c r="A677" s="379"/>
      <c r="B677" s="379"/>
      <c r="C677" s="379"/>
      <c r="D677" s="379"/>
      <c r="E677" s="379"/>
      <c r="F677" s="380"/>
      <c r="G677" s="379"/>
      <c r="H677" s="379"/>
      <c r="I677" s="379"/>
      <c r="J677" s="379"/>
      <c r="K677" s="379"/>
      <c r="L677" s="379"/>
      <c r="M677" s="379"/>
      <c r="N677" s="379"/>
      <c r="O677" s="379"/>
      <c r="P677" s="376"/>
      <c r="Q677" s="156"/>
      <c r="R677" s="156"/>
      <c r="S677" s="376"/>
      <c r="T677" s="376"/>
      <c r="U677" s="382" t="s">
        <v>509</v>
      </c>
      <c r="V677" s="382">
        <v>15.0</v>
      </c>
      <c r="W677" s="382">
        <v>5.0</v>
      </c>
      <c r="X677" s="383">
        <v>0.7</v>
      </c>
      <c r="Y677" s="383">
        <v>0.7</v>
      </c>
      <c r="Z677" s="383">
        <v>0.7</v>
      </c>
      <c r="AA677" s="383">
        <v>1700.0</v>
      </c>
      <c r="AB677" s="383" t="s">
        <v>811</v>
      </c>
      <c r="AC677" s="383">
        <v>0.85</v>
      </c>
      <c r="AD677" s="171"/>
      <c r="AE677" s="384"/>
    </row>
    <row r="678" ht="15.0" customHeight="1">
      <c r="A678" s="379"/>
      <c r="B678" s="379"/>
      <c r="C678" s="379"/>
      <c r="D678" s="379"/>
      <c r="E678" s="379"/>
      <c r="F678" s="380"/>
      <c r="G678" s="379"/>
      <c r="H678" s="379"/>
      <c r="I678" s="379"/>
      <c r="J678" s="379"/>
      <c r="K678" s="379"/>
      <c r="L678" s="379"/>
      <c r="M678" s="379"/>
      <c r="N678" s="379"/>
      <c r="O678" s="379"/>
      <c r="P678" s="376"/>
      <c r="Q678" s="156"/>
      <c r="R678" s="156"/>
      <c r="S678" s="376"/>
      <c r="T678" s="376"/>
      <c r="U678" s="382" t="s">
        <v>509</v>
      </c>
      <c r="V678" s="382">
        <v>15.0</v>
      </c>
      <c r="W678" s="382">
        <v>5.0</v>
      </c>
      <c r="X678" s="383">
        <v>0.7</v>
      </c>
      <c r="Y678" s="383">
        <v>0.7</v>
      </c>
      <c r="Z678" s="383">
        <v>0.7</v>
      </c>
      <c r="AA678" s="383">
        <v>1700.0</v>
      </c>
      <c r="AB678" s="383" t="s">
        <v>811</v>
      </c>
      <c r="AC678" s="383">
        <v>0.85</v>
      </c>
      <c r="AD678" s="171"/>
      <c r="AE678" s="384"/>
    </row>
    <row r="679" ht="15.0" customHeight="1">
      <c r="A679" s="379"/>
      <c r="B679" s="379"/>
      <c r="C679" s="379"/>
      <c r="D679" s="379"/>
      <c r="E679" s="379"/>
      <c r="F679" s="380"/>
      <c r="G679" s="379"/>
      <c r="H679" s="379"/>
      <c r="I679" s="379"/>
      <c r="J679" s="379"/>
      <c r="K679" s="379"/>
      <c r="L679" s="379"/>
      <c r="M679" s="379"/>
      <c r="N679" s="379"/>
      <c r="O679" s="379"/>
      <c r="P679" s="376"/>
      <c r="Q679" s="156"/>
      <c r="R679" s="156"/>
      <c r="S679" s="376"/>
      <c r="T679" s="376"/>
      <c r="U679" s="382" t="s">
        <v>509</v>
      </c>
      <c r="V679" s="382">
        <v>15.0</v>
      </c>
      <c r="W679" s="382">
        <v>5.0</v>
      </c>
      <c r="X679" s="383">
        <v>0.7</v>
      </c>
      <c r="Y679" s="383">
        <v>0.7</v>
      </c>
      <c r="Z679" s="383">
        <v>0.7</v>
      </c>
      <c r="AA679" s="383">
        <v>1700.0</v>
      </c>
      <c r="AB679" s="383" t="s">
        <v>811</v>
      </c>
      <c r="AC679" s="383">
        <v>0.85</v>
      </c>
      <c r="AD679" s="171"/>
      <c r="AE679" s="384"/>
    </row>
    <row r="680" ht="15.0" customHeight="1">
      <c r="A680" s="379"/>
      <c r="B680" s="379"/>
      <c r="C680" s="379"/>
      <c r="D680" s="379"/>
      <c r="E680" s="379"/>
      <c r="F680" s="380"/>
      <c r="G680" s="379"/>
      <c r="H680" s="379"/>
      <c r="I680" s="379"/>
      <c r="J680" s="379"/>
      <c r="K680" s="379"/>
      <c r="L680" s="379"/>
      <c r="M680" s="379"/>
      <c r="N680" s="379"/>
      <c r="O680" s="379"/>
      <c r="P680" s="376"/>
      <c r="Q680" s="156"/>
      <c r="R680" s="156"/>
      <c r="S680" s="376"/>
      <c r="T680" s="376"/>
      <c r="U680" s="382" t="s">
        <v>509</v>
      </c>
      <c r="V680" s="382">
        <v>15.0</v>
      </c>
      <c r="W680" s="382">
        <v>5.0</v>
      </c>
      <c r="X680" s="383">
        <v>0.7</v>
      </c>
      <c r="Y680" s="383">
        <v>0.7</v>
      </c>
      <c r="Z680" s="383">
        <v>0.7</v>
      </c>
      <c r="AA680" s="383">
        <v>1700.0</v>
      </c>
      <c r="AB680" s="383" t="s">
        <v>811</v>
      </c>
      <c r="AC680" s="383">
        <v>0.85</v>
      </c>
      <c r="AD680" s="171"/>
      <c r="AE680" s="384"/>
    </row>
    <row r="681" ht="15.0" customHeight="1">
      <c r="A681" s="379"/>
      <c r="B681" s="379"/>
      <c r="C681" s="379"/>
      <c r="D681" s="379"/>
      <c r="E681" s="379"/>
      <c r="F681" s="380"/>
      <c r="G681" s="379"/>
      <c r="H681" s="379"/>
      <c r="I681" s="379"/>
      <c r="J681" s="379"/>
      <c r="K681" s="379"/>
      <c r="L681" s="379"/>
      <c r="M681" s="379"/>
      <c r="N681" s="379"/>
      <c r="O681" s="379"/>
      <c r="P681" s="376"/>
      <c r="Q681" s="156"/>
      <c r="R681" s="156"/>
      <c r="S681" s="376"/>
      <c r="T681" s="376"/>
      <c r="U681" s="382" t="s">
        <v>509</v>
      </c>
      <c r="V681" s="382">
        <v>15.0</v>
      </c>
      <c r="W681" s="382">
        <v>5.0</v>
      </c>
      <c r="X681" s="383">
        <v>0.7</v>
      </c>
      <c r="Y681" s="383">
        <v>0.7</v>
      </c>
      <c r="Z681" s="383">
        <v>0.7</v>
      </c>
      <c r="AA681" s="383">
        <v>1700.0</v>
      </c>
      <c r="AB681" s="383" t="s">
        <v>811</v>
      </c>
      <c r="AC681" s="383">
        <v>0.85</v>
      </c>
      <c r="AD681" s="171"/>
      <c r="AE681" s="384"/>
    </row>
    <row r="682" ht="15.0" customHeight="1">
      <c r="A682" s="379"/>
      <c r="B682" s="379"/>
      <c r="C682" s="379"/>
      <c r="D682" s="379"/>
      <c r="E682" s="379"/>
      <c r="F682" s="380"/>
      <c r="G682" s="379"/>
      <c r="H682" s="379"/>
      <c r="I682" s="379"/>
      <c r="J682" s="379"/>
      <c r="K682" s="379"/>
      <c r="L682" s="379"/>
      <c r="M682" s="379"/>
      <c r="N682" s="379"/>
      <c r="O682" s="379"/>
      <c r="P682" s="376"/>
      <c r="Q682" s="156"/>
      <c r="R682" s="156"/>
      <c r="S682" s="376"/>
      <c r="T682" s="376"/>
      <c r="U682" s="382" t="s">
        <v>509</v>
      </c>
      <c r="V682" s="382">
        <v>15.0</v>
      </c>
      <c r="W682" s="382">
        <v>5.0</v>
      </c>
      <c r="X682" s="383">
        <v>0.7</v>
      </c>
      <c r="Y682" s="383">
        <v>0.7</v>
      </c>
      <c r="Z682" s="383">
        <v>0.7</v>
      </c>
      <c r="AA682" s="383">
        <v>1700.0</v>
      </c>
      <c r="AB682" s="383" t="s">
        <v>811</v>
      </c>
      <c r="AC682" s="383">
        <v>0.85</v>
      </c>
      <c r="AD682" s="171"/>
      <c r="AE682" s="384"/>
    </row>
    <row r="683" ht="15.0" customHeight="1">
      <c r="A683" s="379"/>
      <c r="B683" s="379"/>
      <c r="C683" s="379"/>
      <c r="D683" s="379"/>
      <c r="E683" s="379"/>
      <c r="F683" s="380"/>
      <c r="G683" s="379"/>
      <c r="H683" s="379"/>
      <c r="I683" s="379"/>
      <c r="J683" s="379"/>
      <c r="K683" s="379"/>
      <c r="L683" s="379"/>
      <c r="M683" s="379"/>
      <c r="N683" s="379"/>
      <c r="O683" s="379"/>
      <c r="P683" s="376"/>
      <c r="Q683" s="381"/>
      <c r="R683" s="381"/>
      <c r="S683" s="376"/>
      <c r="T683" s="376"/>
      <c r="U683" s="382" t="s">
        <v>509</v>
      </c>
      <c r="V683" s="382">
        <v>15.0</v>
      </c>
      <c r="W683" s="382">
        <v>5.0</v>
      </c>
      <c r="X683" s="383">
        <v>0.7</v>
      </c>
      <c r="Y683" s="383">
        <v>0.7</v>
      </c>
      <c r="Z683" s="383">
        <v>0.7</v>
      </c>
      <c r="AA683" s="383">
        <v>1700.0</v>
      </c>
      <c r="AB683" s="383" t="s">
        <v>811</v>
      </c>
      <c r="AC683" s="383">
        <v>0.85</v>
      </c>
      <c r="AD683" s="171"/>
      <c r="AE683" s="384"/>
    </row>
    <row r="684" ht="15.0" customHeight="1">
      <c r="A684" s="379"/>
      <c r="B684" s="379"/>
      <c r="C684" s="379"/>
      <c r="D684" s="379"/>
      <c r="E684" s="379"/>
      <c r="F684" s="380"/>
      <c r="G684" s="379"/>
      <c r="H684" s="379"/>
      <c r="I684" s="379"/>
      <c r="J684" s="379"/>
      <c r="K684" s="379"/>
      <c r="L684" s="379"/>
      <c r="M684" s="379"/>
      <c r="N684" s="379"/>
      <c r="O684" s="379"/>
      <c r="P684" s="376"/>
      <c r="Q684" s="381"/>
      <c r="R684" s="381"/>
      <c r="S684" s="376"/>
      <c r="T684" s="376"/>
      <c r="U684" s="382" t="s">
        <v>509</v>
      </c>
      <c r="V684" s="382">
        <v>15.0</v>
      </c>
      <c r="W684" s="382">
        <v>5.0</v>
      </c>
      <c r="X684" s="383">
        <v>0.7</v>
      </c>
      <c r="Y684" s="383">
        <v>0.7</v>
      </c>
      <c r="Z684" s="383">
        <v>0.7</v>
      </c>
      <c r="AA684" s="383">
        <v>1700.0</v>
      </c>
      <c r="AB684" s="383" t="s">
        <v>811</v>
      </c>
      <c r="AC684" s="383">
        <v>0.85</v>
      </c>
      <c r="AD684" s="171"/>
      <c r="AE684" s="384"/>
    </row>
    <row r="685" ht="15.0" customHeight="1">
      <c r="A685" s="379"/>
      <c r="B685" s="379"/>
      <c r="C685" s="379"/>
      <c r="D685" s="379"/>
      <c r="E685" s="379"/>
      <c r="F685" s="380"/>
      <c r="G685" s="379"/>
      <c r="H685" s="379"/>
      <c r="I685" s="379"/>
      <c r="J685" s="379"/>
      <c r="K685" s="379"/>
      <c r="L685" s="379"/>
      <c r="M685" s="379"/>
      <c r="N685" s="379"/>
      <c r="O685" s="379"/>
      <c r="P685" s="376"/>
      <c r="Q685" s="381"/>
      <c r="R685" s="381"/>
      <c r="S685" s="376"/>
      <c r="T685" s="376"/>
      <c r="U685" s="382" t="s">
        <v>519</v>
      </c>
      <c r="V685" s="382">
        <v>15.0</v>
      </c>
      <c r="W685" s="382">
        <v>5.0</v>
      </c>
      <c r="X685" s="383">
        <v>0.7</v>
      </c>
      <c r="Y685" s="383">
        <v>0.7</v>
      </c>
      <c r="Z685" s="383">
        <v>0.7</v>
      </c>
      <c r="AA685" s="383">
        <v>1700.0</v>
      </c>
      <c r="AB685" s="383" t="s">
        <v>811</v>
      </c>
      <c r="AC685" s="383">
        <v>0.85</v>
      </c>
      <c r="AD685" s="171"/>
      <c r="AE685" s="384"/>
    </row>
    <row r="686" ht="15.0" customHeight="1">
      <c r="A686" s="379"/>
      <c r="B686" s="379"/>
      <c r="C686" s="379"/>
      <c r="D686" s="379"/>
      <c r="E686" s="379"/>
      <c r="F686" s="380"/>
      <c r="G686" s="379"/>
      <c r="H686" s="379"/>
      <c r="I686" s="379"/>
      <c r="J686" s="379"/>
      <c r="K686" s="379"/>
      <c r="L686" s="379"/>
      <c r="M686" s="379"/>
      <c r="N686" s="379"/>
      <c r="O686" s="379"/>
      <c r="P686" s="376"/>
      <c r="Q686" s="381"/>
      <c r="R686" s="381"/>
      <c r="S686" s="376"/>
      <c r="T686" s="376"/>
      <c r="U686" s="382" t="s">
        <v>509</v>
      </c>
      <c r="V686" s="382">
        <v>15.0</v>
      </c>
      <c r="W686" s="382">
        <v>5.0</v>
      </c>
      <c r="X686" s="383">
        <v>0.7</v>
      </c>
      <c r="Y686" s="383">
        <v>0.7</v>
      </c>
      <c r="Z686" s="383">
        <v>0.7</v>
      </c>
      <c r="AA686" s="383">
        <v>1700.0</v>
      </c>
      <c r="AB686" s="383" t="s">
        <v>811</v>
      </c>
      <c r="AC686" s="383">
        <v>0.85</v>
      </c>
      <c r="AD686" s="171"/>
      <c r="AE686" s="384"/>
    </row>
    <row r="687" ht="15.0" customHeight="1">
      <c r="A687" s="379"/>
      <c r="B687" s="379"/>
      <c r="C687" s="379"/>
      <c r="D687" s="379"/>
      <c r="E687" s="379"/>
      <c r="F687" s="380"/>
      <c r="G687" s="379"/>
      <c r="H687" s="379"/>
      <c r="I687" s="379"/>
      <c r="J687" s="379"/>
      <c r="K687" s="379"/>
      <c r="L687" s="379"/>
      <c r="M687" s="379"/>
      <c r="N687" s="379"/>
      <c r="O687" s="379"/>
      <c r="P687" s="376"/>
      <c r="Q687" s="381"/>
      <c r="R687" s="381"/>
      <c r="S687" s="376"/>
      <c r="T687" s="376"/>
      <c r="U687" s="382" t="s">
        <v>509</v>
      </c>
      <c r="V687" s="382">
        <v>15.0</v>
      </c>
      <c r="W687" s="382">
        <v>5.0</v>
      </c>
      <c r="X687" s="383">
        <v>0.7</v>
      </c>
      <c r="Y687" s="383">
        <v>0.7</v>
      </c>
      <c r="Z687" s="383">
        <v>0.7</v>
      </c>
      <c r="AA687" s="383">
        <v>1700.0</v>
      </c>
      <c r="AB687" s="383" t="s">
        <v>811</v>
      </c>
      <c r="AC687" s="383">
        <v>0.85</v>
      </c>
      <c r="AD687" s="171"/>
      <c r="AE687" s="384"/>
    </row>
    <row r="688" ht="15.0" customHeight="1">
      <c r="A688" s="379"/>
      <c r="B688" s="379"/>
      <c r="C688" s="379"/>
      <c r="D688" s="379"/>
      <c r="E688" s="379"/>
      <c r="F688" s="380"/>
      <c r="G688" s="379"/>
      <c r="H688" s="379"/>
      <c r="I688" s="379"/>
      <c r="J688" s="379"/>
      <c r="K688" s="379"/>
      <c r="L688" s="379"/>
      <c r="M688" s="379"/>
      <c r="N688" s="379"/>
      <c r="O688" s="379"/>
      <c r="P688" s="376"/>
      <c r="Q688" s="381"/>
      <c r="R688" s="381"/>
      <c r="S688" s="376"/>
      <c r="T688" s="376"/>
      <c r="U688" s="382" t="s">
        <v>509</v>
      </c>
      <c r="V688" s="382">
        <v>15.0</v>
      </c>
      <c r="W688" s="382">
        <v>5.0</v>
      </c>
      <c r="X688" s="383">
        <v>0.7</v>
      </c>
      <c r="Y688" s="383">
        <v>0.7</v>
      </c>
      <c r="Z688" s="383">
        <v>0.7</v>
      </c>
      <c r="AA688" s="383">
        <v>1700.0</v>
      </c>
      <c r="AB688" s="383" t="s">
        <v>811</v>
      </c>
      <c r="AC688" s="383">
        <v>0.85</v>
      </c>
      <c r="AD688" s="171"/>
      <c r="AE688" s="384"/>
    </row>
    <row r="689" ht="15.0" customHeight="1">
      <c r="A689" s="379"/>
      <c r="B689" s="379"/>
      <c r="C689" s="379"/>
      <c r="D689" s="379"/>
      <c r="E689" s="379"/>
      <c r="F689" s="380"/>
      <c r="G689" s="379"/>
      <c r="H689" s="379"/>
      <c r="I689" s="379"/>
      <c r="J689" s="379"/>
      <c r="K689" s="379"/>
      <c r="L689" s="379"/>
      <c r="M689" s="379"/>
      <c r="N689" s="379"/>
      <c r="O689" s="379"/>
      <c r="P689" s="376"/>
      <c r="Q689" s="381"/>
      <c r="R689" s="381"/>
      <c r="S689" s="376"/>
      <c r="T689" s="376"/>
      <c r="U689" s="382" t="s">
        <v>509</v>
      </c>
      <c r="V689" s="382">
        <v>15.0</v>
      </c>
      <c r="W689" s="382">
        <v>5.0</v>
      </c>
      <c r="X689" s="383">
        <v>0.7</v>
      </c>
      <c r="Y689" s="383">
        <v>0.7</v>
      </c>
      <c r="Z689" s="383">
        <v>0.7</v>
      </c>
      <c r="AA689" s="383">
        <v>1700.0</v>
      </c>
      <c r="AB689" s="383" t="s">
        <v>811</v>
      </c>
      <c r="AC689" s="383">
        <v>0.85</v>
      </c>
      <c r="AD689" s="171"/>
      <c r="AE689" s="384"/>
    </row>
    <row r="690" ht="15.0" customHeight="1">
      <c r="A690" s="379"/>
      <c r="B690" s="379"/>
      <c r="C690" s="379"/>
      <c r="D690" s="379"/>
      <c r="E690" s="379"/>
      <c r="F690" s="380"/>
      <c r="G690" s="379"/>
      <c r="H690" s="379"/>
      <c r="I690" s="379"/>
      <c r="J690" s="379"/>
      <c r="K690" s="379"/>
      <c r="L690" s="379"/>
      <c r="M690" s="379"/>
      <c r="N690" s="379"/>
      <c r="O690" s="379"/>
      <c r="P690" s="376"/>
      <c r="Q690" s="381"/>
      <c r="R690" s="381"/>
      <c r="S690" s="376"/>
      <c r="T690" s="376"/>
      <c r="U690" s="382" t="s">
        <v>509</v>
      </c>
      <c r="V690" s="382">
        <v>15.0</v>
      </c>
      <c r="W690" s="382">
        <v>5.0</v>
      </c>
      <c r="X690" s="383">
        <v>0.7</v>
      </c>
      <c r="Y690" s="383">
        <v>0.7</v>
      </c>
      <c r="Z690" s="383">
        <v>0.7</v>
      </c>
      <c r="AA690" s="383">
        <v>1700.0</v>
      </c>
      <c r="AB690" s="383" t="s">
        <v>811</v>
      </c>
      <c r="AC690" s="383">
        <v>0.85</v>
      </c>
      <c r="AD690" s="171"/>
      <c r="AE690" s="384"/>
    </row>
    <row r="691" ht="15.0" customHeight="1">
      <c r="A691" s="379"/>
      <c r="B691" s="379"/>
      <c r="C691" s="379"/>
      <c r="D691" s="379"/>
      <c r="E691" s="379"/>
      <c r="F691" s="380"/>
      <c r="G691" s="379"/>
      <c r="H691" s="379"/>
      <c r="I691" s="379"/>
      <c r="J691" s="379"/>
      <c r="K691" s="379"/>
      <c r="L691" s="379"/>
      <c r="M691" s="379"/>
      <c r="N691" s="379"/>
      <c r="O691" s="379"/>
      <c r="P691" s="376"/>
      <c r="Q691" s="381"/>
      <c r="R691" s="381"/>
      <c r="S691" s="376"/>
      <c r="T691" s="376"/>
      <c r="U691" s="382" t="s">
        <v>509</v>
      </c>
      <c r="V691" s="382">
        <v>15.0</v>
      </c>
      <c r="W691" s="382">
        <v>5.0</v>
      </c>
      <c r="X691" s="383">
        <v>0.7</v>
      </c>
      <c r="Y691" s="383">
        <v>0.7</v>
      </c>
      <c r="Z691" s="383">
        <v>0.7</v>
      </c>
      <c r="AA691" s="383">
        <v>1700.0</v>
      </c>
      <c r="AB691" s="383" t="s">
        <v>811</v>
      </c>
      <c r="AC691" s="383">
        <v>0.85</v>
      </c>
      <c r="AD691" s="171"/>
      <c r="AE691" s="384"/>
    </row>
    <row r="692" ht="15.0" customHeight="1">
      <c r="A692" s="379"/>
      <c r="B692" s="379"/>
      <c r="C692" s="379"/>
      <c r="D692" s="379"/>
      <c r="E692" s="379"/>
      <c r="F692" s="380"/>
      <c r="G692" s="379"/>
      <c r="H692" s="379"/>
      <c r="I692" s="379"/>
      <c r="J692" s="379"/>
      <c r="K692" s="379"/>
      <c r="L692" s="379"/>
      <c r="M692" s="379"/>
      <c r="N692" s="379"/>
      <c r="O692" s="379"/>
      <c r="P692" s="376"/>
      <c r="Q692" s="381"/>
      <c r="R692" s="381"/>
      <c r="S692" s="376"/>
      <c r="T692" s="376"/>
      <c r="U692" s="382" t="s">
        <v>509</v>
      </c>
      <c r="V692" s="382">
        <v>15.0</v>
      </c>
      <c r="W692" s="382">
        <v>5.0</v>
      </c>
      <c r="X692" s="383">
        <v>0.7</v>
      </c>
      <c r="Y692" s="383">
        <v>0.7</v>
      </c>
      <c r="Z692" s="383">
        <v>0.7</v>
      </c>
      <c r="AA692" s="383">
        <v>1700.0</v>
      </c>
      <c r="AB692" s="383" t="s">
        <v>811</v>
      </c>
      <c r="AC692" s="383">
        <v>0.85</v>
      </c>
      <c r="AD692" s="171"/>
      <c r="AE692" s="384"/>
    </row>
    <row r="693" ht="15.0" customHeight="1">
      <c r="A693" s="379"/>
      <c r="B693" s="379"/>
      <c r="C693" s="379"/>
      <c r="D693" s="379"/>
      <c r="E693" s="379"/>
      <c r="F693" s="380"/>
      <c r="G693" s="379"/>
      <c r="H693" s="379"/>
      <c r="I693" s="379"/>
      <c r="J693" s="379"/>
      <c r="K693" s="379"/>
      <c r="L693" s="379"/>
      <c r="M693" s="379"/>
      <c r="N693" s="379"/>
      <c r="O693" s="379"/>
      <c r="P693" s="376"/>
      <c r="Q693" s="381"/>
      <c r="R693" s="381"/>
      <c r="S693" s="376"/>
      <c r="T693" s="376"/>
      <c r="U693" s="382" t="s">
        <v>509</v>
      </c>
      <c r="V693" s="382">
        <v>15.0</v>
      </c>
      <c r="W693" s="382">
        <v>5.0</v>
      </c>
      <c r="X693" s="383">
        <v>0.7</v>
      </c>
      <c r="Y693" s="383">
        <v>0.7</v>
      </c>
      <c r="Z693" s="383">
        <v>0.7</v>
      </c>
      <c r="AA693" s="383">
        <v>1700.0</v>
      </c>
      <c r="AB693" s="383" t="s">
        <v>811</v>
      </c>
      <c r="AC693" s="383">
        <v>0.85</v>
      </c>
      <c r="AD693" s="171"/>
      <c r="AE693" s="384"/>
    </row>
    <row r="694" ht="15.0" customHeight="1">
      <c r="A694" s="379"/>
      <c r="B694" s="379"/>
      <c r="C694" s="379"/>
      <c r="D694" s="379"/>
      <c r="E694" s="379"/>
      <c r="F694" s="380"/>
      <c r="G694" s="379"/>
      <c r="H694" s="379"/>
      <c r="I694" s="379"/>
      <c r="J694" s="379"/>
      <c r="K694" s="379"/>
      <c r="L694" s="379"/>
      <c r="M694" s="379"/>
      <c r="N694" s="379"/>
      <c r="O694" s="379"/>
      <c r="P694" s="376"/>
      <c r="Q694" s="381"/>
      <c r="R694" s="381"/>
      <c r="S694" s="376"/>
      <c r="T694" s="376"/>
      <c r="U694" s="382" t="s">
        <v>519</v>
      </c>
      <c r="V694" s="382">
        <v>15.0</v>
      </c>
      <c r="W694" s="382">
        <v>5.0</v>
      </c>
      <c r="X694" s="383">
        <v>0.7</v>
      </c>
      <c r="Y694" s="383">
        <v>0.7</v>
      </c>
      <c r="Z694" s="383">
        <v>0.7</v>
      </c>
      <c r="AA694" s="383">
        <v>1700.0</v>
      </c>
      <c r="AB694" s="383" t="s">
        <v>811</v>
      </c>
      <c r="AC694" s="383">
        <v>0.85</v>
      </c>
      <c r="AD694" s="171"/>
      <c r="AE694" s="384"/>
    </row>
    <row r="695" ht="15.0" customHeight="1">
      <c r="A695" s="379"/>
      <c r="B695" s="379"/>
      <c r="C695" s="379"/>
      <c r="D695" s="379"/>
      <c r="E695" s="379"/>
      <c r="F695" s="380"/>
      <c r="G695" s="379"/>
      <c r="H695" s="379"/>
      <c r="I695" s="379"/>
      <c r="J695" s="379"/>
      <c r="K695" s="379"/>
      <c r="L695" s="379"/>
      <c r="M695" s="379"/>
      <c r="N695" s="379"/>
      <c r="O695" s="379"/>
      <c r="P695" s="376"/>
      <c r="Q695" s="381"/>
      <c r="R695" s="381"/>
      <c r="S695" s="376"/>
      <c r="T695" s="376"/>
      <c r="U695" s="382" t="s">
        <v>509</v>
      </c>
      <c r="V695" s="382">
        <v>15.0</v>
      </c>
      <c r="W695" s="382">
        <v>5.0</v>
      </c>
      <c r="X695" s="383">
        <v>0.7</v>
      </c>
      <c r="Y695" s="383">
        <v>0.7</v>
      </c>
      <c r="Z695" s="383">
        <v>0.7</v>
      </c>
      <c r="AA695" s="383">
        <v>1700.0</v>
      </c>
      <c r="AB695" s="383" t="s">
        <v>811</v>
      </c>
      <c r="AC695" s="383">
        <v>0.85</v>
      </c>
      <c r="AD695" s="171"/>
      <c r="AE695" s="384"/>
    </row>
    <row r="696" ht="15.0" customHeight="1">
      <c r="A696" s="379"/>
      <c r="B696" s="379"/>
      <c r="C696" s="379"/>
      <c r="D696" s="379"/>
      <c r="E696" s="379"/>
      <c r="F696" s="380"/>
      <c r="G696" s="379"/>
      <c r="H696" s="379"/>
      <c r="I696" s="379"/>
      <c r="J696" s="379"/>
      <c r="K696" s="379"/>
      <c r="L696" s="379"/>
      <c r="M696" s="379"/>
      <c r="N696" s="379"/>
      <c r="O696" s="379"/>
      <c r="P696" s="376"/>
      <c r="Q696" s="381"/>
      <c r="R696" s="381"/>
      <c r="S696" s="376"/>
      <c r="T696" s="376"/>
      <c r="U696" s="382" t="s">
        <v>509</v>
      </c>
      <c r="V696" s="382">
        <v>15.0</v>
      </c>
      <c r="W696" s="382">
        <v>5.0</v>
      </c>
      <c r="X696" s="383">
        <v>0.7</v>
      </c>
      <c r="Y696" s="383">
        <v>0.7</v>
      </c>
      <c r="Z696" s="383">
        <v>0.7</v>
      </c>
      <c r="AA696" s="383">
        <v>1700.0</v>
      </c>
      <c r="AB696" s="383" t="s">
        <v>811</v>
      </c>
      <c r="AC696" s="383">
        <v>0.85</v>
      </c>
      <c r="AD696" s="171"/>
      <c r="AE696" s="384"/>
    </row>
    <row r="697" ht="15.0" customHeight="1">
      <c r="A697" s="379"/>
      <c r="B697" s="379"/>
      <c r="C697" s="379"/>
      <c r="D697" s="379"/>
      <c r="E697" s="379"/>
      <c r="F697" s="380"/>
      <c r="G697" s="379"/>
      <c r="H697" s="379"/>
      <c r="I697" s="379"/>
      <c r="J697" s="379"/>
      <c r="K697" s="379"/>
      <c r="L697" s="379"/>
      <c r="M697" s="379"/>
      <c r="N697" s="379"/>
      <c r="O697" s="379"/>
      <c r="P697" s="376"/>
      <c r="Q697" s="381"/>
      <c r="R697" s="381"/>
      <c r="S697" s="376"/>
      <c r="T697" s="376"/>
      <c r="U697" s="382" t="s">
        <v>519</v>
      </c>
      <c r="V697" s="382">
        <v>15.0</v>
      </c>
      <c r="W697" s="382">
        <v>5.0</v>
      </c>
      <c r="X697" s="383">
        <v>0.7</v>
      </c>
      <c r="Y697" s="383">
        <v>0.7</v>
      </c>
      <c r="Z697" s="383">
        <v>0.7</v>
      </c>
      <c r="AA697" s="383">
        <v>1700.0</v>
      </c>
      <c r="AB697" s="383" t="s">
        <v>811</v>
      </c>
      <c r="AC697" s="383">
        <v>0.85</v>
      </c>
      <c r="AD697" s="171"/>
      <c r="AE697" s="384"/>
    </row>
    <row r="698" ht="15.0" customHeight="1">
      <c r="A698" s="379"/>
      <c r="B698" s="379"/>
      <c r="C698" s="379"/>
      <c r="D698" s="379"/>
      <c r="E698" s="379"/>
      <c r="F698" s="380"/>
      <c r="G698" s="379"/>
      <c r="H698" s="379"/>
      <c r="I698" s="379"/>
      <c r="J698" s="379"/>
      <c r="K698" s="379"/>
      <c r="L698" s="379"/>
      <c r="M698" s="379"/>
      <c r="N698" s="379"/>
      <c r="O698" s="379"/>
      <c r="P698" s="376"/>
      <c r="Q698" s="381"/>
      <c r="R698" s="381"/>
      <c r="S698" s="376"/>
      <c r="T698" s="376"/>
      <c r="U698" s="382" t="s">
        <v>509</v>
      </c>
      <c r="V698" s="382">
        <v>15.0</v>
      </c>
      <c r="W698" s="382">
        <v>5.0</v>
      </c>
      <c r="X698" s="383">
        <v>0.7</v>
      </c>
      <c r="Y698" s="383">
        <v>0.7</v>
      </c>
      <c r="Z698" s="383">
        <v>0.7</v>
      </c>
      <c r="AA698" s="383">
        <v>1700.0</v>
      </c>
      <c r="AB698" s="383" t="s">
        <v>811</v>
      </c>
      <c r="AC698" s="383">
        <v>0.85</v>
      </c>
      <c r="AD698" s="171"/>
      <c r="AE698" s="384"/>
    </row>
    <row r="699" ht="15.0" customHeight="1">
      <c r="A699" s="379"/>
      <c r="B699" s="379"/>
      <c r="C699" s="379"/>
      <c r="D699" s="379"/>
      <c r="E699" s="379"/>
      <c r="F699" s="380"/>
      <c r="G699" s="379"/>
      <c r="H699" s="379"/>
      <c r="I699" s="379"/>
      <c r="J699" s="379"/>
      <c r="K699" s="379"/>
      <c r="L699" s="379"/>
      <c r="M699" s="379"/>
      <c r="N699" s="379"/>
      <c r="O699" s="379"/>
      <c r="P699" s="376"/>
      <c r="Q699" s="381"/>
      <c r="R699" s="381"/>
      <c r="S699" s="376"/>
      <c r="T699" s="376"/>
      <c r="U699" s="382" t="s">
        <v>509</v>
      </c>
      <c r="V699" s="382">
        <v>15.0</v>
      </c>
      <c r="W699" s="382">
        <v>5.0</v>
      </c>
      <c r="X699" s="383">
        <v>0.7</v>
      </c>
      <c r="Y699" s="383">
        <v>0.7</v>
      </c>
      <c r="Z699" s="383">
        <v>0.7</v>
      </c>
      <c r="AA699" s="383">
        <v>1700.0</v>
      </c>
      <c r="AB699" s="383" t="s">
        <v>811</v>
      </c>
      <c r="AC699" s="383">
        <v>0.85</v>
      </c>
      <c r="AD699" s="171"/>
      <c r="AE699" s="384"/>
    </row>
    <row r="700" ht="15.0" customHeight="1">
      <c r="A700" s="379"/>
      <c r="B700" s="379"/>
      <c r="C700" s="379"/>
      <c r="D700" s="379"/>
      <c r="E700" s="379"/>
      <c r="F700" s="380"/>
      <c r="G700" s="379"/>
      <c r="H700" s="379"/>
      <c r="I700" s="379"/>
      <c r="J700" s="379"/>
      <c r="K700" s="379"/>
      <c r="L700" s="379"/>
      <c r="M700" s="379"/>
      <c r="N700" s="379"/>
      <c r="O700" s="379"/>
      <c r="P700" s="376"/>
      <c r="Q700" s="381"/>
      <c r="R700" s="381"/>
      <c r="S700" s="376"/>
      <c r="T700" s="376"/>
      <c r="U700" s="382" t="s">
        <v>509</v>
      </c>
      <c r="V700" s="382">
        <v>15.0</v>
      </c>
      <c r="W700" s="382">
        <v>5.0</v>
      </c>
      <c r="X700" s="383">
        <v>0.7</v>
      </c>
      <c r="Y700" s="383">
        <v>0.7</v>
      </c>
      <c r="Z700" s="383">
        <v>0.7</v>
      </c>
      <c r="AA700" s="383">
        <v>1700.0</v>
      </c>
      <c r="AB700" s="383" t="s">
        <v>811</v>
      </c>
      <c r="AC700" s="383">
        <v>0.85</v>
      </c>
      <c r="AD700" s="171"/>
      <c r="AE700" s="384"/>
    </row>
    <row r="701" ht="15.0" customHeight="1">
      <c r="A701" s="379"/>
      <c r="B701" s="379"/>
      <c r="C701" s="379"/>
      <c r="D701" s="379"/>
      <c r="E701" s="379"/>
      <c r="F701" s="380"/>
      <c r="G701" s="379"/>
      <c r="H701" s="379"/>
      <c r="I701" s="379"/>
      <c r="J701" s="379"/>
      <c r="K701" s="379"/>
      <c r="L701" s="379"/>
      <c r="M701" s="379"/>
      <c r="N701" s="379"/>
      <c r="O701" s="379"/>
      <c r="P701" s="376"/>
      <c r="Q701" s="381"/>
      <c r="R701" s="381"/>
      <c r="S701" s="376"/>
      <c r="T701" s="376"/>
      <c r="U701" s="382" t="s">
        <v>519</v>
      </c>
      <c r="V701" s="382">
        <v>15.0</v>
      </c>
      <c r="W701" s="382">
        <v>5.0</v>
      </c>
      <c r="X701" s="383">
        <v>0.7</v>
      </c>
      <c r="Y701" s="383">
        <v>0.7</v>
      </c>
      <c r="Z701" s="383">
        <v>0.7</v>
      </c>
      <c r="AA701" s="383">
        <v>1700.0</v>
      </c>
      <c r="AB701" s="383" t="s">
        <v>811</v>
      </c>
      <c r="AC701" s="383">
        <v>0.85</v>
      </c>
      <c r="AD701" s="171"/>
      <c r="AE701" s="384"/>
    </row>
    <row r="702" ht="15.0" customHeight="1">
      <c r="A702" s="379"/>
      <c r="B702" s="379"/>
      <c r="C702" s="379"/>
      <c r="D702" s="379"/>
      <c r="E702" s="379"/>
      <c r="F702" s="380"/>
      <c r="G702" s="379"/>
      <c r="H702" s="379"/>
      <c r="I702" s="379"/>
      <c r="J702" s="379"/>
      <c r="K702" s="379"/>
      <c r="L702" s="379"/>
      <c r="M702" s="379"/>
      <c r="N702" s="379"/>
      <c r="O702" s="379"/>
      <c r="P702" s="376"/>
      <c r="Q702" s="381"/>
      <c r="R702" s="381"/>
      <c r="S702" s="376"/>
      <c r="T702" s="376"/>
      <c r="U702" s="382" t="s">
        <v>509</v>
      </c>
      <c r="V702" s="382">
        <v>15.0</v>
      </c>
      <c r="W702" s="382">
        <v>5.0</v>
      </c>
      <c r="X702" s="383">
        <v>0.7</v>
      </c>
      <c r="Y702" s="383">
        <v>0.7</v>
      </c>
      <c r="Z702" s="383">
        <v>0.7</v>
      </c>
      <c r="AA702" s="383">
        <v>1700.0</v>
      </c>
      <c r="AB702" s="383" t="s">
        <v>811</v>
      </c>
      <c r="AC702" s="383">
        <v>0.85</v>
      </c>
      <c r="AD702" s="171"/>
      <c r="AE702" s="384"/>
    </row>
    <row r="703" ht="15.0" customHeight="1">
      <c r="A703" s="379"/>
      <c r="B703" s="379"/>
      <c r="C703" s="379"/>
      <c r="D703" s="379"/>
      <c r="E703" s="379"/>
      <c r="F703" s="380"/>
      <c r="G703" s="379"/>
      <c r="H703" s="379"/>
      <c r="I703" s="379"/>
      <c r="J703" s="379"/>
      <c r="K703" s="379"/>
      <c r="L703" s="379"/>
      <c r="M703" s="379"/>
      <c r="N703" s="379"/>
      <c r="O703" s="379"/>
      <c r="P703" s="376"/>
      <c r="Q703" s="381"/>
      <c r="R703" s="381"/>
      <c r="S703" s="376"/>
      <c r="T703" s="376"/>
      <c r="U703" s="382" t="s">
        <v>519</v>
      </c>
      <c r="V703" s="382">
        <v>15.0</v>
      </c>
      <c r="W703" s="382">
        <v>5.0</v>
      </c>
      <c r="X703" s="383">
        <v>0.7</v>
      </c>
      <c r="Y703" s="383">
        <v>0.7</v>
      </c>
      <c r="Z703" s="383">
        <v>0.7</v>
      </c>
      <c r="AA703" s="383">
        <v>1700.0</v>
      </c>
      <c r="AB703" s="383" t="s">
        <v>811</v>
      </c>
      <c r="AC703" s="383">
        <v>0.85</v>
      </c>
      <c r="AD703" s="171"/>
      <c r="AE703" s="384"/>
    </row>
    <row r="704" ht="15.0" customHeight="1">
      <c r="A704" s="379"/>
      <c r="B704" s="379"/>
      <c r="C704" s="379"/>
      <c r="D704" s="379"/>
      <c r="E704" s="379"/>
      <c r="F704" s="380"/>
      <c r="G704" s="379"/>
      <c r="H704" s="379"/>
      <c r="I704" s="379"/>
      <c r="J704" s="379"/>
      <c r="K704" s="379"/>
      <c r="L704" s="379"/>
      <c r="M704" s="379"/>
      <c r="N704" s="379"/>
      <c r="O704" s="379"/>
      <c r="P704" s="376"/>
      <c r="Q704" s="381"/>
      <c r="R704" s="381"/>
      <c r="S704" s="376"/>
      <c r="T704" s="376"/>
      <c r="U704" s="382" t="s">
        <v>509</v>
      </c>
      <c r="V704" s="382">
        <v>15.0</v>
      </c>
      <c r="W704" s="382">
        <v>5.0</v>
      </c>
      <c r="X704" s="383">
        <v>0.7</v>
      </c>
      <c r="Y704" s="383">
        <v>0.7</v>
      </c>
      <c r="Z704" s="383">
        <v>0.7</v>
      </c>
      <c r="AA704" s="383">
        <v>1700.0</v>
      </c>
      <c r="AB704" s="383" t="s">
        <v>811</v>
      </c>
      <c r="AC704" s="383">
        <v>0.85</v>
      </c>
      <c r="AD704" s="171"/>
      <c r="AE704" s="384"/>
    </row>
    <row r="705" ht="15.0" customHeight="1">
      <c r="A705" s="379"/>
      <c r="B705" s="379"/>
      <c r="C705" s="379"/>
      <c r="D705" s="379"/>
      <c r="E705" s="379"/>
      <c r="F705" s="380"/>
      <c r="G705" s="379"/>
      <c r="H705" s="379"/>
      <c r="I705" s="379"/>
      <c r="J705" s="379"/>
      <c r="K705" s="379"/>
      <c r="L705" s="379"/>
      <c r="M705" s="379"/>
      <c r="N705" s="379"/>
      <c r="O705" s="379"/>
      <c r="P705" s="376"/>
      <c r="Q705" s="381"/>
      <c r="R705" s="381"/>
      <c r="S705" s="376"/>
      <c r="T705" s="376"/>
      <c r="U705" s="382" t="s">
        <v>509</v>
      </c>
      <c r="V705" s="382">
        <v>15.0</v>
      </c>
      <c r="W705" s="382">
        <v>5.0</v>
      </c>
      <c r="X705" s="383">
        <v>0.7</v>
      </c>
      <c r="Y705" s="383">
        <v>0.7</v>
      </c>
      <c r="Z705" s="383">
        <v>0.7</v>
      </c>
      <c r="AA705" s="383">
        <v>1700.0</v>
      </c>
      <c r="AB705" s="383" t="s">
        <v>811</v>
      </c>
      <c r="AC705" s="383">
        <v>0.85</v>
      </c>
      <c r="AD705" s="171"/>
      <c r="AE705" s="384"/>
    </row>
    <row r="706" ht="15.0" customHeight="1">
      <c r="A706" s="379"/>
      <c r="B706" s="379"/>
      <c r="C706" s="379"/>
      <c r="D706" s="379"/>
      <c r="E706" s="379"/>
      <c r="F706" s="380"/>
      <c r="G706" s="379"/>
      <c r="H706" s="379"/>
      <c r="I706" s="379"/>
      <c r="J706" s="379"/>
      <c r="K706" s="379"/>
      <c r="L706" s="379"/>
      <c r="M706" s="379"/>
      <c r="N706" s="379"/>
      <c r="O706" s="379"/>
      <c r="P706" s="376"/>
      <c r="Q706" s="381"/>
      <c r="R706" s="381"/>
      <c r="S706" s="376"/>
      <c r="T706" s="376"/>
      <c r="U706" s="382" t="s">
        <v>509</v>
      </c>
      <c r="V706" s="382">
        <v>15.0</v>
      </c>
      <c r="W706" s="382">
        <v>5.0</v>
      </c>
      <c r="X706" s="383">
        <v>0.7</v>
      </c>
      <c r="Y706" s="383">
        <v>0.7</v>
      </c>
      <c r="Z706" s="383">
        <v>0.7</v>
      </c>
      <c r="AA706" s="383">
        <v>1700.0</v>
      </c>
      <c r="AB706" s="383" t="s">
        <v>811</v>
      </c>
      <c r="AC706" s="383">
        <v>0.85</v>
      </c>
      <c r="AD706" s="171"/>
      <c r="AE706" s="384"/>
    </row>
    <row r="707" ht="15.0" customHeight="1">
      <c r="A707" s="379"/>
      <c r="B707" s="379"/>
      <c r="C707" s="379"/>
      <c r="D707" s="379"/>
      <c r="E707" s="379"/>
      <c r="F707" s="380"/>
      <c r="G707" s="379"/>
      <c r="H707" s="379"/>
      <c r="I707" s="379"/>
      <c r="J707" s="379"/>
      <c r="K707" s="379"/>
      <c r="L707" s="379"/>
      <c r="M707" s="379"/>
      <c r="N707" s="379"/>
      <c r="O707" s="379"/>
      <c r="P707" s="376"/>
      <c r="Q707" s="381"/>
      <c r="R707" s="381"/>
      <c r="S707" s="376"/>
      <c r="T707" s="376"/>
      <c r="U707" s="382" t="s">
        <v>509</v>
      </c>
      <c r="V707" s="382">
        <v>15.0</v>
      </c>
      <c r="W707" s="382">
        <v>5.0</v>
      </c>
      <c r="X707" s="383">
        <v>0.7</v>
      </c>
      <c r="Y707" s="383">
        <v>0.7</v>
      </c>
      <c r="Z707" s="383">
        <v>0.7</v>
      </c>
      <c r="AA707" s="383">
        <v>1700.0</v>
      </c>
      <c r="AB707" s="383" t="s">
        <v>811</v>
      </c>
      <c r="AC707" s="383">
        <v>0.85</v>
      </c>
      <c r="AD707" s="171"/>
      <c r="AE707" s="384"/>
    </row>
    <row r="708" ht="15.0" customHeight="1">
      <c r="A708" s="379"/>
      <c r="B708" s="379"/>
      <c r="C708" s="379"/>
      <c r="D708" s="379"/>
      <c r="E708" s="379"/>
      <c r="F708" s="380"/>
      <c r="G708" s="379"/>
      <c r="H708" s="379"/>
      <c r="I708" s="379"/>
      <c r="J708" s="379"/>
      <c r="K708" s="379"/>
      <c r="L708" s="379"/>
      <c r="M708" s="379"/>
      <c r="N708" s="379"/>
      <c r="O708" s="379"/>
      <c r="P708" s="376"/>
      <c r="Q708" s="381"/>
      <c r="R708" s="381"/>
      <c r="S708" s="376"/>
      <c r="T708" s="376"/>
      <c r="U708" s="382" t="s">
        <v>509</v>
      </c>
      <c r="V708" s="382">
        <v>15.0</v>
      </c>
      <c r="W708" s="382">
        <v>5.0</v>
      </c>
      <c r="X708" s="383">
        <v>0.7</v>
      </c>
      <c r="Y708" s="383">
        <v>0.7</v>
      </c>
      <c r="Z708" s="383">
        <v>0.7</v>
      </c>
      <c r="AA708" s="383">
        <v>1700.0</v>
      </c>
      <c r="AB708" s="383" t="s">
        <v>811</v>
      </c>
      <c r="AC708" s="383">
        <v>0.85</v>
      </c>
      <c r="AD708" s="171"/>
      <c r="AE708" s="384"/>
    </row>
    <row r="709" ht="15.0" customHeight="1">
      <c r="A709" s="379"/>
      <c r="B709" s="379"/>
      <c r="C709" s="379"/>
      <c r="D709" s="379"/>
      <c r="E709" s="379"/>
      <c r="F709" s="380"/>
      <c r="G709" s="379"/>
      <c r="H709" s="379"/>
      <c r="I709" s="379"/>
      <c r="J709" s="379"/>
      <c r="K709" s="379"/>
      <c r="L709" s="379"/>
      <c r="M709" s="379"/>
      <c r="N709" s="379"/>
      <c r="O709" s="379"/>
      <c r="P709" s="376"/>
      <c r="Q709" s="381"/>
      <c r="R709" s="381"/>
      <c r="S709" s="376"/>
      <c r="T709" s="376"/>
      <c r="U709" s="382" t="s">
        <v>509</v>
      </c>
      <c r="V709" s="382">
        <v>15.0</v>
      </c>
      <c r="W709" s="382">
        <v>5.0</v>
      </c>
      <c r="X709" s="383">
        <v>0.7</v>
      </c>
      <c r="Y709" s="383">
        <v>0.7</v>
      </c>
      <c r="Z709" s="383">
        <v>0.7</v>
      </c>
      <c r="AA709" s="383">
        <v>1700.0</v>
      </c>
      <c r="AB709" s="383" t="s">
        <v>811</v>
      </c>
      <c r="AC709" s="383">
        <v>0.85</v>
      </c>
      <c r="AD709" s="171"/>
      <c r="AE709" s="384"/>
    </row>
    <row r="710" ht="15.0" customHeight="1">
      <c r="A710" s="379"/>
      <c r="B710" s="379"/>
      <c r="C710" s="379"/>
      <c r="D710" s="379"/>
      <c r="E710" s="379"/>
      <c r="F710" s="380"/>
      <c r="G710" s="379"/>
      <c r="H710" s="379"/>
      <c r="I710" s="379"/>
      <c r="J710" s="379"/>
      <c r="K710" s="379"/>
      <c r="L710" s="379"/>
      <c r="M710" s="379"/>
      <c r="N710" s="379"/>
      <c r="O710" s="379"/>
      <c r="P710" s="376"/>
      <c r="Q710" s="381"/>
      <c r="R710" s="381"/>
      <c r="S710" s="376"/>
      <c r="T710" s="376"/>
      <c r="U710" s="382" t="s">
        <v>509</v>
      </c>
      <c r="V710" s="382">
        <v>15.0</v>
      </c>
      <c r="W710" s="382">
        <v>5.0</v>
      </c>
      <c r="X710" s="383">
        <v>0.7</v>
      </c>
      <c r="Y710" s="383">
        <v>0.7</v>
      </c>
      <c r="Z710" s="383">
        <v>0.7</v>
      </c>
      <c r="AA710" s="383">
        <v>1700.0</v>
      </c>
      <c r="AB710" s="383" t="s">
        <v>811</v>
      </c>
      <c r="AC710" s="383">
        <v>0.85</v>
      </c>
      <c r="AD710" s="171"/>
      <c r="AE710" s="384"/>
    </row>
    <row r="711" ht="15.0" customHeight="1">
      <c r="A711" s="379"/>
      <c r="B711" s="379"/>
      <c r="C711" s="379"/>
      <c r="D711" s="379"/>
      <c r="E711" s="379"/>
      <c r="F711" s="380"/>
      <c r="G711" s="379"/>
      <c r="H711" s="379"/>
      <c r="I711" s="379"/>
      <c r="J711" s="379"/>
      <c r="K711" s="379"/>
      <c r="L711" s="379"/>
      <c r="M711" s="379"/>
      <c r="N711" s="379"/>
      <c r="O711" s="379"/>
      <c r="P711" s="376"/>
      <c r="Q711" s="381"/>
      <c r="R711" s="381"/>
      <c r="S711" s="376"/>
      <c r="T711" s="376"/>
      <c r="U711" s="382" t="s">
        <v>519</v>
      </c>
      <c r="V711" s="382">
        <v>15.0</v>
      </c>
      <c r="W711" s="382">
        <v>5.0</v>
      </c>
      <c r="X711" s="383">
        <v>0.7</v>
      </c>
      <c r="Y711" s="383">
        <v>0.7</v>
      </c>
      <c r="Z711" s="383">
        <v>0.7</v>
      </c>
      <c r="AA711" s="383">
        <v>1700.0</v>
      </c>
      <c r="AB711" s="383" t="s">
        <v>811</v>
      </c>
      <c r="AC711" s="383">
        <v>0.85</v>
      </c>
      <c r="AD711" s="171"/>
      <c r="AE711" s="384"/>
    </row>
    <row r="712" ht="15.0" customHeight="1">
      <c r="A712" s="379"/>
      <c r="B712" s="379"/>
      <c r="C712" s="379"/>
      <c r="D712" s="379"/>
      <c r="E712" s="379"/>
      <c r="F712" s="380"/>
      <c r="G712" s="379"/>
      <c r="H712" s="379"/>
      <c r="I712" s="379"/>
      <c r="J712" s="379"/>
      <c r="K712" s="379"/>
      <c r="L712" s="379"/>
      <c r="M712" s="379"/>
      <c r="N712" s="379"/>
      <c r="O712" s="379"/>
      <c r="P712" s="376"/>
      <c r="Q712" s="381"/>
      <c r="R712" s="381"/>
      <c r="S712" s="376"/>
      <c r="T712" s="376"/>
      <c r="U712" s="382" t="s">
        <v>509</v>
      </c>
      <c r="V712" s="382">
        <v>15.0</v>
      </c>
      <c r="W712" s="382">
        <v>5.0</v>
      </c>
      <c r="X712" s="383">
        <v>0.7</v>
      </c>
      <c r="Y712" s="383">
        <v>0.7</v>
      </c>
      <c r="Z712" s="383">
        <v>0.7</v>
      </c>
      <c r="AA712" s="383">
        <v>1700.0</v>
      </c>
      <c r="AB712" s="383" t="s">
        <v>811</v>
      </c>
      <c r="AC712" s="383">
        <v>0.85</v>
      </c>
      <c r="AD712" s="171"/>
      <c r="AE712" s="384"/>
    </row>
    <row r="713" ht="15.0" customHeight="1">
      <c r="A713" s="379"/>
      <c r="B713" s="379"/>
      <c r="C713" s="379"/>
      <c r="D713" s="379"/>
      <c r="E713" s="379"/>
      <c r="F713" s="380"/>
      <c r="G713" s="379"/>
      <c r="H713" s="379"/>
      <c r="I713" s="379"/>
      <c r="J713" s="379"/>
      <c r="K713" s="379"/>
      <c r="L713" s="379"/>
      <c r="M713" s="379"/>
      <c r="N713" s="379"/>
      <c r="O713" s="379"/>
      <c r="P713" s="376"/>
      <c r="Q713" s="381"/>
      <c r="R713" s="381"/>
      <c r="S713" s="376"/>
      <c r="T713" s="376"/>
      <c r="U713" s="382" t="s">
        <v>519</v>
      </c>
      <c r="V713" s="382">
        <v>15.0</v>
      </c>
      <c r="W713" s="382">
        <v>5.0</v>
      </c>
      <c r="X713" s="383">
        <v>0.7</v>
      </c>
      <c r="Y713" s="383">
        <v>0.7</v>
      </c>
      <c r="Z713" s="383">
        <v>0.7</v>
      </c>
      <c r="AA713" s="383">
        <v>1700.0</v>
      </c>
      <c r="AB713" s="383" t="s">
        <v>811</v>
      </c>
      <c r="AC713" s="383">
        <v>0.85</v>
      </c>
      <c r="AD713" s="171"/>
      <c r="AE713" s="384"/>
    </row>
    <row r="714" ht="15.0" customHeight="1">
      <c r="A714" s="379"/>
      <c r="B714" s="379"/>
      <c r="C714" s="379"/>
      <c r="D714" s="379"/>
      <c r="E714" s="379"/>
      <c r="F714" s="380"/>
      <c r="G714" s="379"/>
      <c r="H714" s="379"/>
      <c r="I714" s="379"/>
      <c r="J714" s="379"/>
      <c r="K714" s="379"/>
      <c r="L714" s="379"/>
      <c r="M714" s="379"/>
      <c r="N714" s="379"/>
      <c r="O714" s="379"/>
      <c r="P714" s="376"/>
      <c r="Q714" s="381"/>
      <c r="R714" s="381"/>
      <c r="S714" s="376"/>
      <c r="T714" s="376"/>
      <c r="U714" s="382" t="s">
        <v>509</v>
      </c>
      <c r="V714" s="382">
        <v>15.0</v>
      </c>
      <c r="W714" s="382">
        <v>5.0</v>
      </c>
      <c r="X714" s="383">
        <v>0.7</v>
      </c>
      <c r="Y714" s="383">
        <v>0.7</v>
      </c>
      <c r="Z714" s="383">
        <v>0.7</v>
      </c>
      <c r="AA714" s="383">
        <v>1700.0</v>
      </c>
      <c r="AB714" s="383" t="s">
        <v>811</v>
      </c>
      <c r="AC714" s="383">
        <v>0.85</v>
      </c>
      <c r="AD714" s="171"/>
      <c r="AE714" s="384"/>
    </row>
    <row r="715" ht="15.0" customHeight="1">
      <c r="A715" s="379"/>
      <c r="B715" s="379"/>
      <c r="C715" s="379"/>
      <c r="D715" s="379"/>
      <c r="E715" s="379"/>
      <c r="F715" s="380"/>
      <c r="G715" s="379"/>
      <c r="H715" s="379"/>
      <c r="I715" s="379"/>
      <c r="J715" s="379"/>
      <c r="K715" s="379"/>
      <c r="L715" s="379"/>
      <c r="M715" s="379"/>
      <c r="N715" s="379"/>
      <c r="O715" s="379"/>
      <c r="P715" s="376"/>
      <c r="Q715" s="381"/>
      <c r="R715" s="381"/>
      <c r="S715" s="376"/>
      <c r="T715" s="376"/>
      <c r="U715" s="382" t="s">
        <v>509</v>
      </c>
      <c r="V715" s="382">
        <v>15.0</v>
      </c>
      <c r="W715" s="382">
        <v>5.0</v>
      </c>
      <c r="X715" s="383">
        <v>0.7</v>
      </c>
      <c r="Y715" s="383">
        <v>0.7</v>
      </c>
      <c r="Z715" s="383">
        <v>0.7</v>
      </c>
      <c r="AA715" s="383">
        <v>1700.0</v>
      </c>
      <c r="AB715" s="383" t="s">
        <v>811</v>
      </c>
      <c r="AC715" s="383">
        <v>0.85</v>
      </c>
      <c r="AD715" s="171"/>
      <c r="AE715" s="384"/>
    </row>
    <row r="716" ht="15.0" customHeight="1">
      <c r="A716" s="379"/>
      <c r="B716" s="379"/>
      <c r="C716" s="379"/>
      <c r="D716" s="379"/>
      <c r="E716" s="379"/>
      <c r="F716" s="380"/>
      <c r="G716" s="379"/>
      <c r="H716" s="379"/>
      <c r="I716" s="379"/>
      <c r="J716" s="379"/>
      <c r="K716" s="379"/>
      <c r="L716" s="379"/>
      <c r="M716" s="379"/>
      <c r="N716" s="379"/>
      <c r="O716" s="379"/>
      <c r="P716" s="376"/>
      <c r="Q716" s="381"/>
      <c r="R716" s="381"/>
      <c r="S716" s="376"/>
      <c r="T716" s="376"/>
      <c r="U716" s="382" t="s">
        <v>519</v>
      </c>
      <c r="V716" s="382">
        <v>15.0</v>
      </c>
      <c r="W716" s="382">
        <v>5.0</v>
      </c>
      <c r="X716" s="383">
        <v>0.7</v>
      </c>
      <c r="Y716" s="383">
        <v>0.7</v>
      </c>
      <c r="Z716" s="383">
        <v>0.7</v>
      </c>
      <c r="AA716" s="383">
        <v>1700.0</v>
      </c>
      <c r="AB716" s="383" t="s">
        <v>811</v>
      </c>
      <c r="AC716" s="383">
        <v>0.85</v>
      </c>
      <c r="AD716" s="171"/>
      <c r="AE716" s="384"/>
    </row>
    <row r="717" ht="15.0" customHeight="1">
      <c r="A717" s="379"/>
      <c r="B717" s="379"/>
      <c r="C717" s="379"/>
      <c r="D717" s="379"/>
      <c r="E717" s="379"/>
      <c r="F717" s="380"/>
      <c r="G717" s="379"/>
      <c r="H717" s="379"/>
      <c r="I717" s="379"/>
      <c r="J717" s="379"/>
      <c r="K717" s="379"/>
      <c r="L717" s="379"/>
      <c r="M717" s="379"/>
      <c r="N717" s="379"/>
      <c r="O717" s="379"/>
      <c r="P717" s="376"/>
      <c r="Q717" s="381"/>
      <c r="R717" s="381"/>
      <c r="S717" s="376"/>
      <c r="T717" s="376"/>
      <c r="U717" s="382" t="s">
        <v>509</v>
      </c>
      <c r="V717" s="382">
        <v>15.0</v>
      </c>
      <c r="W717" s="382">
        <v>5.0</v>
      </c>
      <c r="X717" s="383">
        <v>0.7</v>
      </c>
      <c r="Y717" s="383">
        <v>0.7</v>
      </c>
      <c r="Z717" s="383">
        <v>0.7</v>
      </c>
      <c r="AA717" s="383">
        <v>1700.0</v>
      </c>
      <c r="AB717" s="383" t="s">
        <v>811</v>
      </c>
      <c r="AC717" s="383">
        <v>0.85</v>
      </c>
      <c r="AD717" s="171"/>
      <c r="AE717" s="384"/>
    </row>
    <row r="718" ht="15.0" customHeight="1">
      <c r="A718" s="379"/>
      <c r="B718" s="379"/>
      <c r="C718" s="379"/>
      <c r="D718" s="379"/>
      <c r="E718" s="379"/>
      <c r="F718" s="380"/>
      <c r="G718" s="379"/>
      <c r="H718" s="379"/>
      <c r="I718" s="379"/>
      <c r="J718" s="379"/>
      <c r="K718" s="379"/>
      <c r="L718" s="379"/>
      <c r="M718" s="379"/>
      <c r="N718" s="379"/>
      <c r="O718" s="379"/>
      <c r="P718" s="376"/>
      <c r="Q718" s="381"/>
      <c r="R718" s="381"/>
      <c r="S718" s="376"/>
      <c r="T718" s="376"/>
      <c r="U718" s="382" t="s">
        <v>509</v>
      </c>
      <c r="V718" s="382">
        <v>15.0</v>
      </c>
      <c r="W718" s="382">
        <v>5.0</v>
      </c>
      <c r="X718" s="383">
        <v>0.7</v>
      </c>
      <c r="Y718" s="383">
        <v>0.7</v>
      </c>
      <c r="Z718" s="383">
        <v>0.7</v>
      </c>
      <c r="AA718" s="383">
        <v>1700.0</v>
      </c>
      <c r="AB718" s="383" t="s">
        <v>811</v>
      </c>
      <c r="AC718" s="383">
        <v>0.85</v>
      </c>
      <c r="AD718" s="171"/>
      <c r="AE718" s="384"/>
    </row>
    <row r="719" ht="15.0" customHeight="1">
      <c r="A719" s="379"/>
      <c r="B719" s="379"/>
      <c r="C719" s="379"/>
      <c r="D719" s="379"/>
      <c r="E719" s="379"/>
      <c r="F719" s="380"/>
      <c r="G719" s="379"/>
      <c r="H719" s="379"/>
      <c r="I719" s="379"/>
      <c r="J719" s="379"/>
      <c r="K719" s="379"/>
      <c r="L719" s="379"/>
      <c r="M719" s="379"/>
      <c r="N719" s="379"/>
      <c r="O719" s="379"/>
      <c r="P719" s="376"/>
      <c r="Q719" s="381"/>
      <c r="R719" s="381"/>
      <c r="S719" s="376"/>
      <c r="T719" s="376"/>
      <c r="U719" s="382" t="s">
        <v>509</v>
      </c>
      <c r="V719" s="382">
        <v>15.0</v>
      </c>
      <c r="W719" s="382">
        <v>5.0</v>
      </c>
      <c r="X719" s="383">
        <v>0.7</v>
      </c>
      <c r="Y719" s="383">
        <v>0.7</v>
      </c>
      <c r="Z719" s="383">
        <v>0.7</v>
      </c>
      <c r="AA719" s="383">
        <v>1700.0</v>
      </c>
      <c r="AB719" s="383" t="s">
        <v>811</v>
      </c>
      <c r="AC719" s="383">
        <v>0.85</v>
      </c>
      <c r="AD719" s="171"/>
      <c r="AE719" s="384"/>
    </row>
    <row r="720" ht="15.0" customHeight="1">
      <c r="A720" s="379"/>
      <c r="B720" s="379"/>
      <c r="C720" s="379"/>
      <c r="D720" s="379"/>
      <c r="E720" s="379"/>
      <c r="F720" s="380"/>
      <c r="G720" s="379"/>
      <c r="H720" s="379"/>
      <c r="I720" s="379"/>
      <c r="J720" s="379"/>
      <c r="K720" s="379"/>
      <c r="L720" s="379"/>
      <c r="M720" s="379"/>
      <c r="N720" s="379"/>
      <c r="O720" s="379"/>
      <c r="P720" s="376"/>
      <c r="Q720" s="381"/>
      <c r="R720" s="381"/>
      <c r="S720" s="376"/>
      <c r="T720" s="376"/>
      <c r="U720" s="382" t="s">
        <v>519</v>
      </c>
      <c r="V720" s="382">
        <v>15.0</v>
      </c>
      <c r="W720" s="382">
        <v>5.0</v>
      </c>
      <c r="X720" s="383">
        <v>0.7</v>
      </c>
      <c r="Y720" s="383">
        <v>0.7</v>
      </c>
      <c r="Z720" s="383">
        <v>0.7</v>
      </c>
      <c r="AA720" s="383">
        <v>1700.0</v>
      </c>
      <c r="AB720" s="383" t="s">
        <v>811</v>
      </c>
      <c r="AC720" s="383">
        <v>0.85</v>
      </c>
      <c r="AD720" s="171"/>
      <c r="AE720" s="384"/>
    </row>
    <row r="721" ht="15.0" customHeight="1">
      <c r="A721" s="379"/>
      <c r="B721" s="379"/>
      <c r="C721" s="379"/>
      <c r="D721" s="379"/>
      <c r="E721" s="379"/>
      <c r="F721" s="380"/>
      <c r="G721" s="379"/>
      <c r="H721" s="379"/>
      <c r="I721" s="379"/>
      <c r="J721" s="379"/>
      <c r="K721" s="379"/>
      <c r="L721" s="379"/>
      <c r="M721" s="379"/>
      <c r="N721" s="379"/>
      <c r="O721" s="379"/>
      <c r="P721" s="376"/>
      <c r="Q721" s="381"/>
      <c r="R721" s="381"/>
      <c r="S721" s="376"/>
      <c r="T721" s="376"/>
      <c r="U721" s="382" t="s">
        <v>509</v>
      </c>
      <c r="V721" s="382">
        <v>15.0</v>
      </c>
      <c r="W721" s="382">
        <v>5.0</v>
      </c>
      <c r="X721" s="383">
        <v>0.7</v>
      </c>
      <c r="Y721" s="383">
        <v>0.7</v>
      </c>
      <c r="Z721" s="383">
        <v>0.7</v>
      </c>
      <c r="AA721" s="383">
        <v>1700.0</v>
      </c>
      <c r="AB721" s="383" t="s">
        <v>811</v>
      </c>
      <c r="AC721" s="383">
        <v>0.85</v>
      </c>
      <c r="AD721" s="171"/>
      <c r="AE721" s="384"/>
    </row>
    <row r="722" ht="15.0" customHeight="1">
      <c r="A722" s="379"/>
      <c r="B722" s="379"/>
      <c r="C722" s="379"/>
      <c r="D722" s="379"/>
      <c r="E722" s="379"/>
      <c r="F722" s="380"/>
      <c r="G722" s="379"/>
      <c r="H722" s="379"/>
      <c r="I722" s="379"/>
      <c r="J722" s="379"/>
      <c r="K722" s="379"/>
      <c r="L722" s="379"/>
      <c r="M722" s="379"/>
      <c r="N722" s="379"/>
      <c r="O722" s="379"/>
      <c r="P722" s="376"/>
      <c r="Q722" s="381"/>
      <c r="R722" s="381"/>
      <c r="S722" s="376"/>
      <c r="T722" s="376"/>
      <c r="U722" s="382" t="s">
        <v>509</v>
      </c>
      <c r="V722" s="382">
        <v>15.0</v>
      </c>
      <c r="W722" s="382">
        <v>5.0</v>
      </c>
      <c r="X722" s="383">
        <v>0.7</v>
      </c>
      <c r="Y722" s="383">
        <v>0.7</v>
      </c>
      <c r="Z722" s="383">
        <v>0.7</v>
      </c>
      <c r="AA722" s="383">
        <v>1700.0</v>
      </c>
      <c r="AB722" s="383" t="s">
        <v>811</v>
      </c>
      <c r="AC722" s="383">
        <v>0.85</v>
      </c>
      <c r="AD722" s="171"/>
      <c r="AE722" s="384"/>
    </row>
    <row r="723" ht="15.0" customHeight="1">
      <c r="A723" s="379"/>
      <c r="B723" s="379"/>
      <c r="C723" s="379"/>
      <c r="D723" s="379"/>
      <c r="E723" s="379"/>
      <c r="F723" s="380"/>
      <c r="G723" s="379"/>
      <c r="H723" s="379"/>
      <c r="I723" s="379"/>
      <c r="J723" s="379"/>
      <c r="K723" s="379"/>
      <c r="L723" s="379"/>
      <c r="M723" s="379"/>
      <c r="N723" s="379"/>
      <c r="O723" s="379"/>
      <c r="P723" s="376"/>
      <c r="Q723" s="381"/>
      <c r="R723" s="381"/>
      <c r="S723" s="376"/>
      <c r="T723" s="376"/>
      <c r="U723" s="382" t="s">
        <v>509</v>
      </c>
      <c r="V723" s="382">
        <v>15.0</v>
      </c>
      <c r="W723" s="382">
        <v>5.0</v>
      </c>
      <c r="X723" s="383">
        <v>0.7</v>
      </c>
      <c r="Y723" s="383">
        <v>0.7</v>
      </c>
      <c r="Z723" s="383">
        <v>0.7</v>
      </c>
      <c r="AA723" s="383">
        <v>1700.0</v>
      </c>
      <c r="AB723" s="383" t="s">
        <v>811</v>
      </c>
      <c r="AC723" s="383">
        <v>0.85</v>
      </c>
      <c r="AD723" s="171"/>
      <c r="AE723" s="384"/>
    </row>
    <row r="724" ht="15.0" customHeight="1">
      <c r="A724" s="379"/>
      <c r="B724" s="379"/>
      <c r="C724" s="379"/>
      <c r="D724" s="379"/>
      <c r="E724" s="379"/>
      <c r="F724" s="380"/>
      <c r="G724" s="379"/>
      <c r="H724" s="379"/>
      <c r="I724" s="379"/>
      <c r="J724" s="379"/>
      <c r="K724" s="379"/>
      <c r="L724" s="379"/>
      <c r="M724" s="379"/>
      <c r="N724" s="379"/>
      <c r="O724" s="379"/>
      <c r="P724" s="376"/>
      <c r="Q724" s="381"/>
      <c r="R724" s="381"/>
      <c r="S724" s="376"/>
      <c r="T724" s="376"/>
      <c r="U724" s="382" t="s">
        <v>509</v>
      </c>
      <c r="V724" s="382">
        <v>15.0</v>
      </c>
      <c r="W724" s="382">
        <v>5.0</v>
      </c>
      <c r="X724" s="383">
        <v>0.7</v>
      </c>
      <c r="Y724" s="383">
        <v>0.7</v>
      </c>
      <c r="Z724" s="383">
        <v>0.7</v>
      </c>
      <c r="AA724" s="383">
        <v>1700.0</v>
      </c>
      <c r="AB724" s="383" t="s">
        <v>811</v>
      </c>
      <c r="AC724" s="383">
        <v>0.85</v>
      </c>
      <c r="AD724" s="171"/>
      <c r="AE724" s="384"/>
    </row>
    <row r="725" ht="15.0" customHeight="1">
      <c r="A725" s="379"/>
      <c r="B725" s="379"/>
      <c r="C725" s="379"/>
      <c r="D725" s="379"/>
      <c r="E725" s="379"/>
      <c r="F725" s="380"/>
      <c r="G725" s="379"/>
      <c r="H725" s="379"/>
      <c r="I725" s="379"/>
      <c r="J725" s="379"/>
      <c r="K725" s="379"/>
      <c r="L725" s="379"/>
      <c r="M725" s="379"/>
      <c r="N725" s="379"/>
      <c r="O725" s="379"/>
      <c r="P725" s="376"/>
      <c r="Q725" s="381"/>
      <c r="R725" s="381"/>
      <c r="S725" s="376"/>
      <c r="T725" s="376"/>
      <c r="U725" s="382" t="s">
        <v>509</v>
      </c>
      <c r="V725" s="382">
        <v>15.0</v>
      </c>
      <c r="W725" s="382">
        <v>5.0</v>
      </c>
      <c r="X725" s="383">
        <v>0.7</v>
      </c>
      <c r="Y725" s="383">
        <v>0.7</v>
      </c>
      <c r="Z725" s="383">
        <v>0.7</v>
      </c>
      <c r="AA725" s="383">
        <v>1700.0</v>
      </c>
      <c r="AB725" s="383" t="s">
        <v>811</v>
      </c>
      <c r="AC725" s="383">
        <v>0.85</v>
      </c>
      <c r="AD725" s="171"/>
      <c r="AE725" s="384"/>
    </row>
    <row r="726" ht="15.0" customHeight="1">
      <c r="A726" s="379"/>
      <c r="B726" s="379"/>
      <c r="C726" s="379"/>
      <c r="D726" s="379"/>
      <c r="E726" s="379"/>
      <c r="F726" s="380"/>
      <c r="G726" s="379"/>
      <c r="H726" s="379"/>
      <c r="I726" s="379"/>
      <c r="J726" s="379"/>
      <c r="K726" s="379"/>
      <c r="L726" s="379"/>
      <c r="M726" s="379"/>
      <c r="N726" s="379"/>
      <c r="O726" s="379"/>
      <c r="P726" s="376"/>
      <c r="Q726" s="381"/>
      <c r="R726" s="381"/>
      <c r="S726" s="376"/>
      <c r="T726" s="376"/>
      <c r="U726" s="382" t="s">
        <v>509</v>
      </c>
      <c r="V726" s="382">
        <v>15.0</v>
      </c>
      <c r="W726" s="382">
        <v>5.0</v>
      </c>
      <c r="X726" s="383">
        <v>0.7</v>
      </c>
      <c r="Y726" s="383">
        <v>0.7</v>
      </c>
      <c r="Z726" s="383">
        <v>0.7</v>
      </c>
      <c r="AA726" s="383">
        <v>1700.0</v>
      </c>
      <c r="AB726" s="383" t="s">
        <v>811</v>
      </c>
      <c r="AC726" s="383">
        <v>0.85</v>
      </c>
      <c r="AD726" s="171"/>
      <c r="AE726" s="384"/>
    </row>
    <row r="727" ht="15.0" customHeight="1">
      <c r="A727" s="379"/>
      <c r="B727" s="379"/>
      <c r="C727" s="379"/>
      <c r="D727" s="379"/>
      <c r="E727" s="379"/>
      <c r="F727" s="380"/>
      <c r="G727" s="379"/>
      <c r="H727" s="379"/>
      <c r="I727" s="379"/>
      <c r="J727" s="379"/>
      <c r="K727" s="379"/>
      <c r="L727" s="379"/>
      <c r="M727" s="379"/>
      <c r="N727" s="379"/>
      <c r="O727" s="379"/>
      <c r="P727" s="376"/>
      <c r="Q727" s="381"/>
      <c r="R727" s="381"/>
      <c r="S727" s="376"/>
      <c r="T727" s="376"/>
      <c r="U727" s="382" t="s">
        <v>509</v>
      </c>
      <c r="V727" s="382">
        <v>15.0</v>
      </c>
      <c r="W727" s="382">
        <v>5.0</v>
      </c>
      <c r="X727" s="383">
        <v>0.7</v>
      </c>
      <c r="Y727" s="383">
        <v>0.7</v>
      </c>
      <c r="Z727" s="383">
        <v>0.7</v>
      </c>
      <c r="AA727" s="383">
        <v>1700.0</v>
      </c>
      <c r="AB727" s="383" t="s">
        <v>811</v>
      </c>
      <c r="AC727" s="383">
        <v>0.85</v>
      </c>
      <c r="AD727" s="171"/>
      <c r="AE727" s="384"/>
    </row>
    <row r="728" ht="15.0" customHeight="1">
      <c r="A728" s="379"/>
      <c r="B728" s="379"/>
      <c r="C728" s="379"/>
      <c r="D728" s="379"/>
      <c r="E728" s="379"/>
      <c r="F728" s="380"/>
      <c r="G728" s="379"/>
      <c r="H728" s="379"/>
      <c r="I728" s="379"/>
      <c r="J728" s="379"/>
      <c r="K728" s="379"/>
      <c r="L728" s="379"/>
      <c r="M728" s="379"/>
      <c r="N728" s="379"/>
      <c r="O728" s="379"/>
      <c r="P728" s="376"/>
      <c r="Q728" s="381"/>
      <c r="R728" s="381"/>
      <c r="S728" s="376"/>
      <c r="T728" s="376"/>
      <c r="U728" s="382" t="s">
        <v>509</v>
      </c>
      <c r="V728" s="382">
        <v>15.0</v>
      </c>
      <c r="W728" s="382">
        <v>5.0</v>
      </c>
      <c r="X728" s="383">
        <v>0.7</v>
      </c>
      <c r="Y728" s="383">
        <v>0.7</v>
      </c>
      <c r="Z728" s="383">
        <v>0.7</v>
      </c>
      <c r="AA728" s="383">
        <v>1700.0</v>
      </c>
      <c r="AB728" s="383" t="s">
        <v>811</v>
      </c>
      <c r="AC728" s="383">
        <v>0.85</v>
      </c>
      <c r="AD728" s="171"/>
      <c r="AE728" s="384"/>
    </row>
    <row r="729" ht="15.0" customHeight="1">
      <c r="A729" s="379"/>
      <c r="B729" s="379"/>
      <c r="C729" s="379"/>
      <c r="D729" s="379"/>
      <c r="E729" s="379"/>
      <c r="F729" s="380"/>
      <c r="G729" s="379"/>
      <c r="H729" s="379"/>
      <c r="I729" s="379"/>
      <c r="J729" s="379"/>
      <c r="K729" s="379"/>
      <c r="L729" s="379"/>
      <c r="M729" s="379"/>
      <c r="N729" s="379"/>
      <c r="O729" s="379"/>
      <c r="P729" s="376"/>
      <c r="Q729" s="381"/>
      <c r="R729" s="381"/>
      <c r="S729" s="376"/>
      <c r="T729" s="376"/>
      <c r="U729" s="382" t="s">
        <v>509</v>
      </c>
      <c r="V729" s="382">
        <v>15.0</v>
      </c>
      <c r="W729" s="382">
        <v>5.0</v>
      </c>
      <c r="X729" s="383">
        <v>0.7</v>
      </c>
      <c r="Y729" s="383">
        <v>0.7</v>
      </c>
      <c r="Z729" s="383">
        <v>0.7</v>
      </c>
      <c r="AA729" s="383">
        <v>1700.0</v>
      </c>
      <c r="AB729" s="383" t="s">
        <v>811</v>
      </c>
      <c r="AC729" s="383">
        <v>0.85</v>
      </c>
      <c r="AD729" s="171"/>
      <c r="AE729" s="384"/>
    </row>
    <row r="730" ht="15.0" customHeight="1">
      <c r="A730" s="379"/>
      <c r="B730" s="379"/>
      <c r="C730" s="379"/>
      <c r="D730" s="379"/>
      <c r="E730" s="379"/>
      <c r="F730" s="380"/>
      <c r="G730" s="379"/>
      <c r="H730" s="379"/>
      <c r="I730" s="379"/>
      <c r="J730" s="379"/>
      <c r="K730" s="379"/>
      <c r="L730" s="379"/>
      <c r="M730" s="379"/>
      <c r="N730" s="379"/>
      <c r="O730" s="379"/>
      <c r="P730" s="376"/>
      <c r="Q730" s="381"/>
      <c r="R730" s="381"/>
      <c r="S730" s="376"/>
      <c r="T730" s="376"/>
      <c r="U730" s="382" t="s">
        <v>509</v>
      </c>
      <c r="V730" s="382">
        <v>15.0</v>
      </c>
      <c r="W730" s="382">
        <v>5.0</v>
      </c>
      <c r="X730" s="383">
        <v>0.7</v>
      </c>
      <c r="Y730" s="383">
        <v>0.7</v>
      </c>
      <c r="Z730" s="383">
        <v>0.7</v>
      </c>
      <c r="AA730" s="383">
        <v>1700.0</v>
      </c>
      <c r="AB730" s="383" t="s">
        <v>811</v>
      </c>
      <c r="AC730" s="383">
        <v>0.85</v>
      </c>
      <c r="AD730" s="171"/>
      <c r="AE730" s="384"/>
    </row>
    <row r="731" ht="15.0" customHeight="1">
      <c r="A731" s="379"/>
      <c r="B731" s="379"/>
      <c r="C731" s="379"/>
      <c r="D731" s="379"/>
      <c r="E731" s="379"/>
      <c r="F731" s="380"/>
      <c r="G731" s="379"/>
      <c r="H731" s="379"/>
      <c r="I731" s="379"/>
      <c r="J731" s="379"/>
      <c r="K731" s="379"/>
      <c r="L731" s="379"/>
      <c r="M731" s="379"/>
      <c r="N731" s="379"/>
      <c r="O731" s="379"/>
      <c r="P731" s="376"/>
      <c r="Q731" s="381"/>
      <c r="R731" s="381"/>
      <c r="S731" s="376"/>
      <c r="T731" s="376"/>
      <c r="U731" s="382" t="s">
        <v>519</v>
      </c>
      <c r="V731" s="382">
        <v>15.0</v>
      </c>
      <c r="W731" s="382">
        <v>5.0</v>
      </c>
      <c r="X731" s="383">
        <v>0.7</v>
      </c>
      <c r="Y731" s="383">
        <v>0.7</v>
      </c>
      <c r="Z731" s="383">
        <v>0.7</v>
      </c>
      <c r="AA731" s="383">
        <v>1700.0</v>
      </c>
      <c r="AB731" s="383" t="s">
        <v>811</v>
      </c>
      <c r="AC731" s="383">
        <v>0.85</v>
      </c>
      <c r="AD731" s="171"/>
      <c r="AE731" s="384"/>
    </row>
    <row r="732" ht="15.0" customHeight="1">
      <c r="A732" s="379"/>
      <c r="B732" s="379"/>
      <c r="C732" s="379"/>
      <c r="D732" s="379"/>
      <c r="E732" s="379"/>
      <c r="F732" s="380"/>
      <c r="G732" s="379"/>
      <c r="H732" s="379"/>
      <c r="I732" s="379"/>
      <c r="J732" s="379"/>
      <c r="K732" s="379"/>
      <c r="L732" s="379"/>
      <c r="M732" s="379"/>
      <c r="N732" s="379"/>
      <c r="O732" s="379"/>
      <c r="P732" s="376"/>
      <c r="Q732" s="381"/>
      <c r="R732" s="381"/>
      <c r="S732" s="376"/>
      <c r="T732" s="376"/>
      <c r="U732" s="382" t="s">
        <v>509</v>
      </c>
      <c r="V732" s="382">
        <v>15.0</v>
      </c>
      <c r="W732" s="382">
        <v>5.0</v>
      </c>
      <c r="X732" s="383">
        <v>0.7</v>
      </c>
      <c r="Y732" s="383">
        <v>0.7</v>
      </c>
      <c r="Z732" s="383">
        <v>0.7</v>
      </c>
      <c r="AA732" s="383">
        <v>1700.0</v>
      </c>
      <c r="AB732" s="383" t="s">
        <v>811</v>
      </c>
      <c r="AC732" s="383">
        <v>0.85</v>
      </c>
      <c r="AD732" s="171"/>
      <c r="AE732" s="384"/>
    </row>
    <row r="733" ht="15.0" customHeight="1">
      <c r="A733" s="379"/>
      <c r="B733" s="379"/>
      <c r="C733" s="379"/>
      <c r="D733" s="379"/>
      <c r="E733" s="379"/>
      <c r="F733" s="380"/>
      <c r="G733" s="379"/>
      <c r="H733" s="379"/>
      <c r="I733" s="379"/>
      <c r="J733" s="379"/>
      <c r="K733" s="379"/>
      <c r="L733" s="379"/>
      <c r="M733" s="379"/>
      <c r="N733" s="379"/>
      <c r="O733" s="379"/>
      <c r="P733" s="376"/>
      <c r="Q733" s="381"/>
      <c r="R733" s="381"/>
      <c r="S733" s="376"/>
      <c r="T733" s="376"/>
      <c r="U733" s="382" t="s">
        <v>509</v>
      </c>
      <c r="V733" s="382">
        <v>15.0</v>
      </c>
      <c r="W733" s="382">
        <v>5.0</v>
      </c>
      <c r="X733" s="383">
        <v>0.7</v>
      </c>
      <c r="Y733" s="383">
        <v>0.7</v>
      </c>
      <c r="Z733" s="383">
        <v>0.7</v>
      </c>
      <c r="AA733" s="383">
        <v>1700.0</v>
      </c>
      <c r="AB733" s="383" t="s">
        <v>811</v>
      </c>
      <c r="AC733" s="383">
        <v>0.85</v>
      </c>
      <c r="AD733" s="171"/>
      <c r="AE733" s="384"/>
    </row>
    <row r="734" ht="15.0" customHeight="1">
      <c r="A734" s="379"/>
      <c r="B734" s="379"/>
      <c r="C734" s="379"/>
      <c r="D734" s="379"/>
      <c r="E734" s="379"/>
      <c r="F734" s="380"/>
      <c r="G734" s="379"/>
      <c r="H734" s="379"/>
      <c r="I734" s="379"/>
      <c r="J734" s="379"/>
      <c r="K734" s="379"/>
      <c r="L734" s="379"/>
      <c r="M734" s="379"/>
      <c r="N734" s="379"/>
      <c r="O734" s="379"/>
      <c r="P734" s="376"/>
      <c r="Q734" s="381"/>
      <c r="R734" s="381"/>
      <c r="S734" s="376"/>
      <c r="T734" s="376"/>
      <c r="U734" s="382" t="s">
        <v>509</v>
      </c>
      <c r="V734" s="382">
        <v>15.0</v>
      </c>
      <c r="W734" s="382">
        <v>5.0</v>
      </c>
      <c r="X734" s="383">
        <v>0.7</v>
      </c>
      <c r="Y734" s="383">
        <v>0.7</v>
      </c>
      <c r="Z734" s="383">
        <v>0.7</v>
      </c>
      <c r="AA734" s="383">
        <v>1700.0</v>
      </c>
      <c r="AB734" s="383" t="s">
        <v>811</v>
      </c>
      <c r="AC734" s="383">
        <v>0.85</v>
      </c>
      <c r="AD734" s="171"/>
      <c r="AE734" s="384"/>
    </row>
    <row r="735" ht="15.0" customHeight="1">
      <c r="A735" s="379"/>
      <c r="B735" s="379"/>
      <c r="C735" s="379"/>
      <c r="D735" s="379"/>
      <c r="E735" s="379"/>
      <c r="F735" s="380"/>
      <c r="G735" s="379"/>
      <c r="H735" s="379"/>
      <c r="I735" s="379"/>
      <c r="J735" s="379"/>
      <c r="K735" s="379"/>
      <c r="L735" s="379"/>
      <c r="M735" s="379"/>
      <c r="N735" s="379"/>
      <c r="O735" s="379"/>
      <c r="P735" s="376"/>
      <c r="Q735" s="381"/>
      <c r="R735" s="381"/>
      <c r="S735" s="376"/>
      <c r="T735" s="376"/>
      <c r="U735" s="382" t="s">
        <v>509</v>
      </c>
      <c r="V735" s="382">
        <v>15.0</v>
      </c>
      <c r="W735" s="382">
        <v>5.0</v>
      </c>
      <c r="X735" s="383">
        <v>0.7</v>
      </c>
      <c r="Y735" s="383">
        <v>0.7</v>
      </c>
      <c r="Z735" s="383">
        <v>0.7</v>
      </c>
      <c r="AA735" s="383">
        <v>1700.0</v>
      </c>
      <c r="AB735" s="383" t="s">
        <v>811</v>
      </c>
      <c r="AC735" s="383">
        <v>0.85</v>
      </c>
      <c r="AD735" s="171"/>
      <c r="AE735" s="384"/>
    </row>
    <row r="736" ht="15.0" customHeight="1">
      <c r="A736" s="379"/>
      <c r="B736" s="379"/>
      <c r="C736" s="379"/>
      <c r="D736" s="379"/>
      <c r="E736" s="379"/>
      <c r="F736" s="380"/>
      <c r="G736" s="379"/>
      <c r="H736" s="379"/>
      <c r="I736" s="379"/>
      <c r="J736" s="379"/>
      <c r="K736" s="379"/>
      <c r="L736" s="379"/>
      <c r="M736" s="379"/>
      <c r="N736" s="379"/>
      <c r="O736" s="379"/>
      <c r="P736" s="376"/>
      <c r="Q736" s="381"/>
      <c r="R736" s="381"/>
      <c r="S736" s="376"/>
      <c r="T736" s="376"/>
      <c r="U736" s="382" t="s">
        <v>509</v>
      </c>
      <c r="V736" s="382">
        <v>15.0</v>
      </c>
      <c r="W736" s="382">
        <v>5.0</v>
      </c>
      <c r="X736" s="383">
        <v>0.7</v>
      </c>
      <c r="Y736" s="383">
        <v>0.7</v>
      </c>
      <c r="Z736" s="383">
        <v>0.7</v>
      </c>
      <c r="AA736" s="383">
        <v>1700.0</v>
      </c>
      <c r="AB736" s="383" t="s">
        <v>811</v>
      </c>
      <c r="AC736" s="383">
        <v>0.85</v>
      </c>
      <c r="AD736" s="171"/>
      <c r="AE736" s="384"/>
    </row>
    <row r="737" ht="15.0" customHeight="1">
      <c r="A737" s="379"/>
      <c r="B737" s="379"/>
      <c r="C737" s="379"/>
      <c r="D737" s="379"/>
      <c r="E737" s="379"/>
      <c r="F737" s="380"/>
      <c r="G737" s="379"/>
      <c r="H737" s="379"/>
      <c r="I737" s="379"/>
      <c r="J737" s="379"/>
      <c r="K737" s="379"/>
      <c r="L737" s="379"/>
      <c r="M737" s="379"/>
      <c r="N737" s="379"/>
      <c r="O737" s="379"/>
      <c r="P737" s="376"/>
      <c r="Q737" s="381"/>
      <c r="R737" s="381"/>
      <c r="S737" s="376"/>
      <c r="T737" s="376"/>
      <c r="U737" s="382" t="s">
        <v>509</v>
      </c>
      <c r="V737" s="382">
        <v>15.0</v>
      </c>
      <c r="W737" s="382">
        <v>5.0</v>
      </c>
      <c r="X737" s="383">
        <v>0.7</v>
      </c>
      <c r="Y737" s="383">
        <v>0.7</v>
      </c>
      <c r="Z737" s="383">
        <v>0.7</v>
      </c>
      <c r="AA737" s="383">
        <v>1700.0</v>
      </c>
      <c r="AB737" s="383" t="s">
        <v>811</v>
      </c>
      <c r="AC737" s="383">
        <v>0.85</v>
      </c>
      <c r="AD737" s="171"/>
      <c r="AE737" s="384"/>
    </row>
    <row r="738" ht="15.0" customHeight="1">
      <c r="A738" s="379"/>
      <c r="B738" s="379"/>
      <c r="C738" s="379"/>
      <c r="D738" s="379"/>
      <c r="E738" s="379"/>
      <c r="F738" s="380"/>
      <c r="G738" s="379"/>
      <c r="H738" s="379"/>
      <c r="I738" s="379"/>
      <c r="J738" s="379"/>
      <c r="K738" s="379"/>
      <c r="L738" s="379"/>
      <c r="M738" s="379"/>
      <c r="N738" s="379"/>
      <c r="O738" s="379"/>
      <c r="P738" s="376"/>
      <c r="Q738" s="381"/>
      <c r="R738" s="381"/>
      <c r="S738" s="376"/>
      <c r="T738" s="376"/>
      <c r="U738" s="382" t="s">
        <v>519</v>
      </c>
      <c r="V738" s="382">
        <v>15.0</v>
      </c>
      <c r="W738" s="382">
        <v>5.0</v>
      </c>
      <c r="X738" s="383">
        <v>0.7</v>
      </c>
      <c r="Y738" s="383">
        <v>0.7</v>
      </c>
      <c r="Z738" s="383">
        <v>0.7</v>
      </c>
      <c r="AA738" s="383">
        <v>1700.0</v>
      </c>
      <c r="AB738" s="383" t="s">
        <v>811</v>
      </c>
      <c r="AC738" s="383">
        <v>0.85</v>
      </c>
      <c r="AD738" s="171"/>
      <c r="AE738" s="384"/>
    </row>
    <row r="739" ht="15.0" customHeight="1">
      <c r="A739" s="379"/>
      <c r="B739" s="379"/>
      <c r="C739" s="379"/>
      <c r="D739" s="379"/>
      <c r="E739" s="379"/>
      <c r="F739" s="380"/>
      <c r="G739" s="379"/>
      <c r="H739" s="379"/>
      <c r="I739" s="379"/>
      <c r="J739" s="379"/>
      <c r="K739" s="379"/>
      <c r="L739" s="379"/>
      <c r="M739" s="379"/>
      <c r="N739" s="379"/>
      <c r="O739" s="379"/>
      <c r="P739" s="376"/>
      <c r="Q739" s="381"/>
      <c r="R739" s="381"/>
      <c r="S739" s="376"/>
      <c r="T739" s="376"/>
      <c r="U739" s="382" t="s">
        <v>509</v>
      </c>
      <c r="V739" s="382">
        <v>15.0</v>
      </c>
      <c r="W739" s="382">
        <v>5.0</v>
      </c>
      <c r="X739" s="383">
        <v>0.7</v>
      </c>
      <c r="Y739" s="383">
        <v>0.7</v>
      </c>
      <c r="Z739" s="383">
        <v>0.7</v>
      </c>
      <c r="AA739" s="383">
        <v>1700.0</v>
      </c>
      <c r="AB739" s="383" t="s">
        <v>811</v>
      </c>
      <c r="AC739" s="383">
        <v>0.85</v>
      </c>
      <c r="AD739" s="171"/>
      <c r="AE739" s="384"/>
    </row>
    <row r="740" ht="15.0" customHeight="1">
      <c r="A740" s="379"/>
      <c r="B740" s="379"/>
      <c r="C740" s="379"/>
      <c r="D740" s="379"/>
      <c r="E740" s="379"/>
      <c r="F740" s="380"/>
      <c r="G740" s="379"/>
      <c r="H740" s="379"/>
      <c r="I740" s="379"/>
      <c r="J740" s="379"/>
      <c r="K740" s="379"/>
      <c r="L740" s="379"/>
      <c r="M740" s="379"/>
      <c r="N740" s="379"/>
      <c r="O740" s="379"/>
      <c r="P740" s="376"/>
      <c r="Q740" s="381"/>
      <c r="R740" s="381"/>
      <c r="S740" s="376"/>
      <c r="T740" s="376"/>
      <c r="U740" s="382" t="s">
        <v>509</v>
      </c>
      <c r="V740" s="382">
        <v>15.0</v>
      </c>
      <c r="W740" s="382">
        <v>5.0</v>
      </c>
      <c r="X740" s="383">
        <v>0.7</v>
      </c>
      <c r="Y740" s="383">
        <v>0.7</v>
      </c>
      <c r="Z740" s="383">
        <v>0.7</v>
      </c>
      <c r="AA740" s="383">
        <v>1700.0</v>
      </c>
      <c r="AB740" s="383" t="s">
        <v>811</v>
      </c>
      <c r="AC740" s="383">
        <v>0.85</v>
      </c>
      <c r="AD740" s="171"/>
      <c r="AE740" s="384"/>
    </row>
    <row r="741" ht="15.0" customHeight="1">
      <c r="A741" s="379"/>
      <c r="B741" s="379"/>
      <c r="C741" s="379"/>
      <c r="D741" s="379"/>
      <c r="E741" s="379"/>
      <c r="F741" s="380"/>
      <c r="G741" s="379"/>
      <c r="H741" s="379"/>
      <c r="I741" s="379"/>
      <c r="J741" s="379"/>
      <c r="K741" s="379"/>
      <c r="L741" s="379"/>
      <c r="M741" s="379"/>
      <c r="N741" s="379"/>
      <c r="O741" s="379"/>
      <c r="P741" s="376"/>
      <c r="Q741" s="381"/>
      <c r="R741" s="381"/>
      <c r="S741" s="376"/>
      <c r="T741" s="376"/>
      <c r="U741" s="382" t="s">
        <v>509</v>
      </c>
      <c r="V741" s="382">
        <v>15.0</v>
      </c>
      <c r="W741" s="382">
        <v>5.0</v>
      </c>
      <c r="X741" s="383">
        <v>0.7</v>
      </c>
      <c r="Y741" s="383">
        <v>0.7</v>
      </c>
      <c r="Z741" s="383">
        <v>0.7</v>
      </c>
      <c r="AA741" s="383">
        <v>1700.0</v>
      </c>
      <c r="AB741" s="383" t="s">
        <v>811</v>
      </c>
      <c r="AC741" s="383">
        <v>0.85</v>
      </c>
      <c r="AD741" s="171"/>
      <c r="AE741" s="384"/>
    </row>
    <row r="742" ht="15.0" customHeight="1">
      <c r="A742" s="379"/>
      <c r="B742" s="379"/>
      <c r="C742" s="379"/>
      <c r="D742" s="379"/>
      <c r="E742" s="379"/>
      <c r="F742" s="380"/>
      <c r="G742" s="379"/>
      <c r="H742" s="379"/>
      <c r="I742" s="379"/>
      <c r="J742" s="379"/>
      <c r="K742" s="379"/>
      <c r="L742" s="379"/>
      <c r="M742" s="379"/>
      <c r="N742" s="379"/>
      <c r="O742" s="379"/>
      <c r="P742" s="376"/>
      <c r="Q742" s="381"/>
      <c r="R742" s="381"/>
      <c r="S742" s="376"/>
      <c r="T742" s="376"/>
      <c r="U742" s="382" t="s">
        <v>509</v>
      </c>
      <c r="V742" s="382">
        <v>15.0</v>
      </c>
      <c r="W742" s="382">
        <v>5.0</v>
      </c>
      <c r="X742" s="383">
        <v>0.7</v>
      </c>
      <c r="Y742" s="383">
        <v>0.7</v>
      </c>
      <c r="Z742" s="383">
        <v>0.7</v>
      </c>
      <c r="AA742" s="383">
        <v>1700.0</v>
      </c>
      <c r="AB742" s="383" t="s">
        <v>811</v>
      </c>
      <c r="AC742" s="383">
        <v>0.85</v>
      </c>
      <c r="AD742" s="171"/>
      <c r="AE742" s="384"/>
    </row>
    <row r="743" ht="15.0" customHeight="1">
      <c r="A743" s="379"/>
      <c r="B743" s="379"/>
      <c r="C743" s="379"/>
      <c r="D743" s="379"/>
      <c r="E743" s="379"/>
      <c r="F743" s="380"/>
      <c r="G743" s="379"/>
      <c r="H743" s="379"/>
      <c r="I743" s="379"/>
      <c r="J743" s="379"/>
      <c r="K743" s="379"/>
      <c r="L743" s="379"/>
      <c r="M743" s="379"/>
      <c r="N743" s="379"/>
      <c r="O743" s="379"/>
      <c r="P743" s="376"/>
      <c r="Q743" s="381"/>
      <c r="R743" s="381"/>
      <c r="S743" s="376"/>
      <c r="T743" s="376"/>
      <c r="U743" s="382" t="s">
        <v>509</v>
      </c>
      <c r="V743" s="382">
        <v>15.0</v>
      </c>
      <c r="W743" s="382">
        <v>5.0</v>
      </c>
      <c r="X743" s="383">
        <v>0.7</v>
      </c>
      <c r="Y743" s="383">
        <v>0.7</v>
      </c>
      <c r="Z743" s="383">
        <v>0.7</v>
      </c>
      <c r="AA743" s="383">
        <v>1700.0</v>
      </c>
      <c r="AB743" s="383" t="s">
        <v>811</v>
      </c>
      <c r="AC743" s="383">
        <v>0.85</v>
      </c>
      <c r="AD743" s="171"/>
      <c r="AE743" s="384"/>
    </row>
    <row r="744" ht="15.0" customHeight="1">
      <c r="A744" s="379"/>
      <c r="B744" s="379"/>
      <c r="C744" s="379"/>
      <c r="D744" s="379"/>
      <c r="E744" s="379"/>
      <c r="F744" s="380"/>
      <c r="G744" s="379"/>
      <c r="H744" s="379"/>
      <c r="I744" s="379"/>
      <c r="J744" s="379"/>
      <c r="K744" s="379"/>
      <c r="L744" s="379"/>
      <c r="M744" s="379"/>
      <c r="N744" s="379"/>
      <c r="O744" s="379"/>
      <c r="P744" s="376"/>
      <c r="Q744" s="381"/>
      <c r="R744" s="381"/>
      <c r="S744" s="376"/>
      <c r="T744" s="376"/>
      <c r="U744" s="382" t="s">
        <v>509</v>
      </c>
      <c r="V744" s="382">
        <v>15.0</v>
      </c>
      <c r="W744" s="382">
        <v>5.0</v>
      </c>
      <c r="X744" s="383">
        <v>0.7</v>
      </c>
      <c r="Y744" s="383">
        <v>0.7</v>
      </c>
      <c r="Z744" s="383">
        <v>0.7</v>
      </c>
      <c r="AA744" s="383">
        <v>1700.0</v>
      </c>
      <c r="AB744" s="383" t="s">
        <v>811</v>
      </c>
      <c r="AC744" s="383">
        <v>0.85</v>
      </c>
      <c r="AD744" s="171"/>
      <c r="AE744" s="384"/>
    </row>
    <row r="745" ht="15.0" customHeight="1">
      <c r="A745" s="379"/>
      <c r="B745" s="379"/>
      <c r="C745" s="379"/>
      <c r="D745" s="379"/>
      <c r="E745" s="379"/>
      <c r="F745" s="380"/>
      <c r="G745" s="379"/>
      <c r="H745" s="379"/>
      <c r="I745" s="379"/>
      <c r="J745" s="379"/>
      <c r="K745" s="379"/>
      <c r="L745" s="379"/>
      <c r="M745" s="379"/>
      <c r="N745" s="379"/>
      <c r="O745" s="379"/>
      <c r="P745" s="376"/>
      <c r="Q745" s="381"/>
      <c r="R745" s="381"/>
      <c r="S745" s="376"/>
      <c r="T745" s="376"/>
      <c r="U745" s="382" t="s">
        <v>509</v>
      </c>
      <c r="V745" s="382">
        <v>15.0</v>
      </c>
      <c r="W745" s="382">
        <v>5.0</v>
      </c>
      <c r="X745" s="383">
        <v>0.7</v>
      </c>
      <c r="Y745" s="383">
        <v>0.7</v>
      </c>
      <c r="Z745" s="383">
        <v>0.7</v>
      </c>
      <c r="AA745" s="383">
        <v>1700.0</v>
      </c>
      <c r="AB745" s="383" t="s">
        <v>811</v>
      </c>
      <c r="AC745" s="383">
        <v>0.85</v>
      </c>
      <c r="AD745" s="171"/>
      <c r="AE745" s="384"/>
    </row>
    <row r="746" ht="15.0" customHeight="1">
      <c r="A746" s="379"/>
      <c r="B746" s="379"/>
      <c r="C746" s="379"/>
      <c r="D746" s="379"/>
      <c r="E746" s="379"/>
      <c r="F746" s="380"/>
      <c r="G746" s="379"/>
      <c r="H746" s="379"/>
      <c r="I746" s="379"/>
      <c r="J746" s="379"/>
      <c r="K746" s="379"/>
      <c r="L746" s="379"/>
      <c r="M746" s="379"/>
      <c r="N746" s="379"/>
      <c r="O746" s="379"/>
      <c r="P746" s="376"/>
      <c r="Q746" s="381"/>
      <c r="R746" s="381"/>
      <c r="S746" s="376"/>
      <c r="T746" s="376"/>
      <c r="U746" s="382" t="s">
        <v>509</v>
      </c>
      <c r="V746" s="382">
        <v>15.0</v>
      </c>
      <c r="W746" s="382">
        <v>5.0</v>
      </c>
      <c r="X746" s="383">
        <v>0.7</v>
      </c>
      <c r="Y746" s="383">
        <v>0.7</v>
      </c>
      <c r="Z746" s="383">
        <v>0.7</v>
      </c>
      <c r="AA746" s="383">
        <v>1700.0</v>
      </c>
      <c r="AB746" s="383" t="s">
        <v>811</v>
      </c>
      <c r="AC746" s="383">
        <v>0.85</v>
      </c>
      <c r="AD746" s="171"/>
      <c r="AE746" s="384"/>
    </row>
    <row r="747" ht="15.0" customHeight="1">
      <c r="A747" s="379"/>
      <c r="B747" s="379"/>
      <c r="C747" s="379"/>
      <c r="D747" s="379"/>
      <c r="E747" s="379"/>
      <c r="F747" s="380"/>
      <c r="G747" s="379"/>
      <c r="H747" s="379"/>
      <c r="I747" s="379"/>
      <c r="J747" s="379"/>
      <c r="K747" s="379"/>
      <c r="L747" s="379"/>
      <c r="M747" s="379"/>
      <c r="N747" s="379"/>
      <c r="O747" s="379"/>
      <c r="P747" s="376"/>
      <c r="Q747" s="381"/>
      <c r="R747" s="381"/>
      <c r="S747" s="376"/>
      <c r="T747" s="376"/>
      <c r="U747" s="382" t="s">
        <v>509</v>
      </c>
      <c r="V747" s="382">
        <v>15.0</v>
      </c>
      <c r="W747" s="382">
        <v>5.0</v>
      </c>
      <c r="X747" s="383">
        <v>0.7</v>
      </c>
      <c r="Y747" s="383">
        <v>0.7</v>
      </c>
      <c r="Z747" s="383">
        <v>0.7</v>
      </c>
      <c r="AA747" s="383">
        <v>1700.0</v>
      </c>
      <c r="AB747" s="383" t="s">
        <v>811</v>
      </c>
      <c r="AC747" s="383">
        <v>0.85</v>
      </c>
      <c r="AD747" s="171"/>
      <c r="AE747" s="384"/>
    </row>
    <row r="748" ht="15.0" customHeight="1">
      <c r="A748" s="379"/>
      <c r="B748" s="379"/>
      <c r="C748" s="379"/>
      <c r="D748" s="379"/>
      <c r="E748" s="379"/>
      <c r="F748" s="380"/>
      <c r="G748" s="379"/>
      <c r="H748" s="379"/>
      <c r="I748" s="379"/>
      <c r="J748" s="379"/>
      <c r="K748" s="379"/>
      <c r="L748" s="379"/>
      <c r="M748" s="379"/>
      <c r="N748" s="379"/>
      <c r="O748" s="379"/>
      <c r="P748" s="376"/>
      <c r="Q748" s="381"/>
      <c r="R748" s="381"/>
      <c r="S748" s="376"/>
      <c r="T748" s="376"/>
      <c r="U748" s="382" t="s">
        <v>509</v>
      </c>
      <c r="V748" s="382">
        <v>15.0</v>
      </c>
      <c r="W748" s="382">
        <v>5.0</v>
      </c>
      <c r="X748" s="383">
        <v>0.7</v>
      </c>
      <c r="Y748" s="383">
        <v>0.7</v>
      </c>
      <c r="Z748" s="383">
        <v>0.7</v>
      </c>
      <c r="AA748" s="383">
        <v>1700.0</v>
      </c>
      <c r="AB748" s="383" t="s">
        <v>811</v>
      </c>
      <c r="AC748" s="383">
        <v>0.85</v>
      </c>
      <c r="AD748" s="171"/>
      <c r="AE748" s="384"/>
    </row>
    <row r="749" ht="15.0" customHeight="1">
      <c r="A749" s="379"/>
      <c r="B749" s="379"/>
      <c r="C749" s="379"/>
      <c r="D749" s="379"/>
      <c r="E749" s="379"/>
      <c r="F749" s="380"/>
      <c r="G749" s="379"/>
      <c r="H749" s="379"/>
      <c r="I749" s="379"/>
      <c r="J749" s="379"/>
      <c r="K749" s="379"/>
      <c r="L749" s="379"/>
      <c r="M749" s="379"/>
      <c r="N749" s="379"/>
      <c r="O749" s="379"/>
      <c r="P749" s="376"/>
      <c r="Q749" s="381"/>
      <c r="R749" s="381"/>
      <c r="S749" s="376"/>
      <c r="T749" s="376"/>
      <c r="U749" s="382" t="s">
        <v>509</v>
      </c>
      <c r="V749" s="382">
        <v>15.0</v>
      </c>
      <c r="W749" s="382">
        <v>5.0</v>
      </c>
      <c r="X749" s="383">
        <v>0.7</v>
      </c>
      <c r="Y749" s="383">
        <v>0.7</v>
      </c>
      <c r="Z749" s="383">
        <v>0.7</v>
      </c>
      <c r="AA749" s="383">
        <v>1700.0</v>
      </c>
      <c r="AB749" s="383" t="s">
        <v>811</v>
      </c>
      <c r="AC749" s="383">
        <v>0.85</v>
      </c>
      <c r="AD749" s="171"/>
      <c r="AE749" s="384"/>
    </row>
    <row r="750" ht="15.0" customHeight="1">
      <c r="A750" s="379"/>
      <c r="B750" s="379"/>
      <c r="C750" s="379"/>
      <c r="D750" s="379"/>
      <c r="E750" s="379"/>
      <c r="F750" s="380"/>
      <c r="G750" s="379"/>
      <c r="H750" s="379"/>
      <c r="I750" s="379"/>
      <c r="J750" s="379"/>
      <c r="K750" s="379"/>
      <c r="L750" s="379"/>
      <c r="M750" s="379"/>
      <c r="N750" s="379"/>
      <c r="O750" s="379"/>
      <c r="P750" s="376"/>
      <c r="Q750" s="381"/>
      <c r="R750" s="381"/>
      <c r="S750" s="376"/>
      <c r="T750" s="376"/>
      <c r="U750" s="382" t="s">
        <v>509</v>
      </c>
      <c r="V750" s="382">
        <v>15.0</v>
      </c>
      <c r="W750" s="382">
        <v>5.0</v>
      </c>
      <c r="X750" s="383">
        <v>0.7</v>
      </c>
      <c r="Y750" s="383">
        <v>0.7</v>
      </c>
      <c r="Z750" s="383">
        <v>0.7</v>
      </c>
      <c r="AA750" s="383">
        <v>1700.0</v>
      </c>
      <c r="AB750" s="383" t="s">
        <v>811</v>
      </c>
      <c r="AC750" s="383">
        <v>0.85</v>
      </c>
      <c r="AD750" s="171"/>
      <c r="AE750" s="384"/>
    </row>
    <row r="751" ht="15.0" customHeight="1">
      <c r="A751" s="379"/>
      <c r="B751" s="379"/>
      <c r="C751" s="379"/>
      <c r="D751" s="379"/>
      <c r="E751" s="379"/>
      <c r="F751" s="380"/>
      <c r="G751" s="379"/>
      <c r="H751" s="379"/>
      <c r="I751" s="379"/>
      <c r="J751" s="379"/>
      <c r="K751" s="379"/>
      <c r="L751" s="379"/>
      <c r="M751" s="379"/>
      <c r="N751" s="379"/>
      <c r="O751" s="379"/>
      <c r="P751" s="376"/>
      <c r="Q751" s="381"/>
      <c r="R751" s="381"/>
      <c r="S751" s="376"/>
      <c r="T751" s="376"/>
      <c r="U751" s="382" t="s">
        <v>509</v>
      </c>
      <c r="V751" s="382">
        <v>15.0</v>
      </c>
      <c r="W751" s="382">
        <v>5.0</v>
      </c>
      <c r="X751" s="383">
        <v>0.7</v>
      </c>
      <c r="Y751" s="383">
        <v>0.7</v>
      </c>
      <c r="Z751" s="383">
        <v>0.7</v>
      </c>
      <c r="AA751" s="383">
        <v>1700.0</v>
      </c>
      <c r="AB751" s="383" t="s">
        <v>811</v>
      </c>
      <c r="AC751" s="383">
        <v>0.85</v>
      </c>
      <c r="AD751" s="171"/>
      <c r="AE751" s="384"/>
    </row>
    <row r="752" ht="15.0" customHeight="1">
      <c r="A752" s="379"/>
      <c r="B752" s="379"/>
      <c r="C752" s="379"/>
      <c r="D752" s="379"/>
      <c r="E752" s="379"/>
      <c r="F752" s="380"/>
      <c r="G752" s="379"/>
      <c r="H752" s="379"/>
      <c r="I752" s="379"/>
      <c r="J752" s="379"/>
      <c r="K752" s="379"/>
      <c r="L752" s="379"/>
      <c r="M752" s="379"/>
      <c r="N752" s="379"/>
      <c r="O752" s="379"/>
      <c r="P752" s="376"/>
      <c r="Q752" s="381"/>
      <c r="R752" s="381"/>
      <c r="S752" s="376"/>
      <c r="T752" s="376"/>
      <c r="U752" s="382" t="s">
        <v>509</v>
      </c>
      <c r="V752" s="382">
        <v>15.0</v>
      </c>
      <c r="W752" s="382">
        <v>5.0</v>
      </c>
      <c r="X752" s="383">
        <v>0.7</v>
      </c>
      <c r="Y752" s="383">
        <v>0.7</v>
      </c>
      <c r="Z752" s="383">
        <v>0.7</v>
      </c>
      <c r="AA752" s="383">
        <v>1700.0</v>
      </c>
      <c r="AB752" s="383" t="s">
        <v>811</v>
      </c>
      <c r="AC752" s="383">
        <v>0.85</v>
      </c>
      <c r="AD752" s="171"/>
      <c r="AE752" s="384"/>
    </row>
    <row r="753" ht="15.0" customHeight="1">
      <c r="A753" s="379"/>
      <c r="B753" s="379"/>
      <c r="C753" s="379"/>
      <c r="D753" s="379"/>
      <c r="E753" s="379"/>
      <c r="F753" s="380"/>
      <c r="G753" s="379"/>
      <c r="H753" s="379"/>
      <c r="I753" s="379"/>
      <c r="J753" s="379"/>
      <c r="K753" s="379"/>
      <c r="L753" s="379"/>
      <c r="M753" s="379"/>
      <c r="N753" s="379"/>
      <c r="O753" s="379"/>
      <c r="P753" s="376"/>
      <c r="Q753" s="381"/>
      <c r="R753" s="381"/>
      <c r="S753" s="376"/>
      <c r="T753" s="376"/>
      <c r="U753" s="382" t="s">
        <v>509</v>
      </c>
      <c r="V753" s="382">
        <v>15.0</v>
      </c>
      <c r="W753" s="382">
        <v>5.0</v>
      </c>
      <c r="X753" s="383">
        <v>0.7</v>
      </c>
      <c r="Y753" s="383">
        <v>0.7</v>
      </c>
      <c r="Z753" s="383">
        <v>0.7</v>
      </c>
      <c r="AA753" s="383">
        <v>1700.0</v>
      </c>
      <c r="AB753" s="383" t="s">
        <v>811</v>
      </c>
      <c r="AC753" s="383">
        <v>0.85</v>
      </c>
      <c r="AD753" s="171"/>
      <c r="AE753" s="384"/>
    </row>
    <row r="754" ht="15.0" customHeight="1">
      <c r="A754" s="379"/>
      <c r="B754" s="379"/>
      <c r="C754" s="379"/>
      <c r="D754" s="379"/>
      <c r="E754" s="379"/>
      <c r="F754" s="380"/>
      <c r="G754" s="379"/>
      <c r="H754" s="379"/>
      <c r="I754" s="379"/>
      <c r="J754" s="379"/>
      <c r="K754" s="379"/>
      <c r="L754" s="379"/>
      <c r="M754" s="379"/>
      <c r="N754" s="379"/>
      <c r="O754" s="379"/>
      <c r="P754" s="376"/>
      <c r="Q754" s="381"/>
      <c r="R754" s="381"/>
      <c r="S754" s="376"/>
      <c r="T754" s="376"/>
      <c r="U754" s="382" t="s">
        <v>509</v>
      </c>
      <c r="V754" s="382">
        <v>15.0</v>
      </c>
      <c r="W754" s="382">
        <v>5.0</v>
      </c>
      <c r="X754" s="383">
        <v>0.7</v>
      </c>
      <c r="Y754" s="383">
        <v>0.7</v>
      </c>
      <c r="Z754" s="383">
        <v>0.7</v>
      </c>
      <c r="AA754" s="383">
        <v>1700.0</v>
      </c>
      <c r="AB754" s="383" t="s">
        <v>811</v>
      </c>
      <c r="AC754" s="383">
        <v>0.85</v>
      </c>
      <c r="AD754" s="171"/>
      <c r="AE754" s="384"/>
    </row>
    <row r="755" ht="15.0" customHeight="1">
      <c r="A755" s="379"/>
      <c r="B755" s="379"/>
      <c r="C755" s="379"/>
      <c r="D755" s="379"/>
      <c r="E755" s="379"/>
      <c r="F755" s="380"/>
      <c r="G755" s="379"/>
      <c r="H755" s="379"/>
      <c r="I755" s="379"/>
      <c r="J755" s="379"/>
      <c r="K755" s="379"/>
      <c r="L755" s="379"/>
      <c r="M755" s="379"/>
      <c r="N755" s="379"/>
      <c r="O755" s="379"/>
      <c r="P755" s="376"/>
      <c r="Q755" s="381"/>
      <c r="R755" s="381"/>
      <c r="S755" s="376"/>
      <c r="T755" s="376"/>
      <c r="U755" s="382" t="s">
        <v>519</v>
      </c>
      <c r="V755" s="382">
        <v>15.0</v>
      </c>
      <c r="W755" s="382">
        <v>5.0</v>
      </c>
      <c r="X755" s="383">
        <v>0.7</v>
      </c>
      <c r="Y755" s="383">
        <v>0.7</v>
      </c>
      <c r="Z755" s="383">
        <v>0.7</v>
      </c>
      <c r="AA755" s="383">
        <v>1700.0</v>
      </c>
      <c r="AB755" s="383" t="s">
        <v>811</v>
      </c>
      <c r="AC755" s="383">
        <v>0.85</v>
      </c>
      <c r="AD755" s="171"/>
      <c r="AE755" s="384"/>
    </row>
    <row r="756" ht="15.0" customHeight="1">
      <c r="A756" s="379"/>
      <c r="B756" s="379"/>
      <c r="C756" s="379"/>
      <c r="D756" s="379"/>
      <c r="E756" s="379"/>
      <c r="F756" s="380"/>
      <c r="G756" s="379"/>
      <c r="H756" s="379"/>
      <c r="I756" s="379"/>
      <c r="J756" s="379"/>
      <c r="K756" s="379"/>
      <c r="L756" s="379"/>
      <c r="M756" s="379"/>
      <c r="N756" s="379"/>
      <c r="O756" s="379"/>
      <c r="P756" s="376"/>
      <c r="Q756" s="381"/>
      <c r="R756" s="381"/>
      <c r="S756" s="376"/>
      <c r="T756" s="376"/>
      <c r="U756" s="382" t="s">
        <v>509</v>
      </c>
      <c r="V756" s="382">
        <v>15.0</v>
      </c>
      <c r="W756" s="382">
        <v>5.0</v>
      </c>
      <c r="X756" s="383">
        <v>0.7</v>
      </c>
      <c r="Y756" s="383">
        <v>0.7</v>
      </c>
      <c r="Z756" s="383">
        <v>0.7</v>
      </c>
      <c r="AA756" s="383">
        <v>1700.0</v>
      </c>
      <c r="AB756" s="383" t="s">
        <v>811</v>
      </c>
      <c r="AC756" s="383">
        <v>0.85</v>
      </c>
      <c r="AD756" s="171"/>
      <c r="AE756" s="384"/>
    </row>
    <row r="757" ht="15.0" customHeight="1">
      <c r="A757" s="379"/>
      <c r="B757" s="379"/>
      <c r="C757" s="379"/>
      <c r="D757" s="379"/>
      <c r="E757" s="379"/>
      <c r="F757" s="380"/>
      <c r="G757" s="379"/>
      <c r="H757" s="379"/>
      <c r="I757" s="379"/>
      <c r="J757" s="379"/>
      <c r="K757" s="379"/>
      <c r="L757" s="379"/>
      <c r="M757" s="379"/>
      <c r="N757" s="379"/>
      <c r="O757" s="379"/>
      <c r="P757" s="376"/>
      <c r="Q757" s="381"/>
      <c r="R757" s="381"/>
      <c r="S757" s="376"/>
      <c r="T757" s="376"/>
      <c r="U757" s="382" t="s">
        <v>509</v>
      </c>
      <c r="V757" s="382">
        <v>15.0</v>
      </c>
      <c r="W757" s="382">
        <v>5.0</v>
      </c>
      <c r="X757" s="383">
        <v>0.7</v>
      </c>
      <c r="Y757" s="383">
        <v>0.7</v>
      </c>
      <c r="Z757" s="383">
        <v>0.7</v>
      </c>
      <c r="AA757" s="383">
        <v>1700.0</v>
      </c>
      <c r="AB757" s="383" t="s">
        <v>811</v>
      </c>
      <c r="AC757" s="383">
        <v>0.85</v>
      </c>
      <c r="AD757" s="171"/>
      <c r="AE757" s="384"/>
    </row>
    <row r="758" ht="15.0" customHeight="1">
      <c r="A758" s="379"/>
      <c r="B758" s="379"/>
      <c r="C758" s="379"/>
      <c r="D758" s="379"/>
      <c r="E758" s="379"/>
      <c r="F758" s="380"/>
      <c r="G758" s="379"/>
      <c r="H758" s="379"/>
      <c r="I758" s="379"/>
      <c r="J758" s="379"/>
      <c r="K758" s="379"/>
      <c r="L758" s="379"/>
      <c r="M758" s="379"/>
      <c r="N758" s="379"/>
      <c r="O758" s="379"/>
      <c r="P758" s="376"/>
      <c r="Q758" s="381"/>
      <c r="R758" s="381"/>
      <c r="S758" s="376"/>
      <c r="T758" s="376"/>
      <c r="U758" s="382" t="s">
        <v>509</v>
      </c>
      <c r="V758" s="382">
        <v>15.0</v>
      </c>
      <c r="W758" s="382">
        <v>5.0</v>
      </c>
      <c r="X758" s="383">
        <v>0.7</v>
      </c>
      <c r="Y758" s="383">
        <v>0.7</v>
      </c>
      <c r="Z758" s="383">
        <v>0.7</v>
      </c>
      <c r="AA758" s="383">
        <v>1700.0</v>
      </c>
      <c r="AB758" s="383" t="s">
        <v>811</v>
      </c>
      <c r="AC758" s="383">
        <v>0.85</v>
      </c>
      <c r="AD758" s="171"/>
      <c r="AE758" s="384"/>
    </row>
    <row r="759" ht="15.0" customHeight="1">
      <c r="A759" s="379"/>
      <c r="B759" s="379"/>
      <c r="C759" s="379"/>
      <c r="D759" s="379"/>
      <c r="E759" s="379"/>
      <c r="F759" s="380"/>
      <c r="G759" s="379"/>
      <c r="H759" s="379"/>
      <c r="I759" s="379"/>
      <c r="J759" s="379"/>
      <c r="K759" s="379"/>
      <c r="L759" s="379"/>
      <c r="M759" s="379"/>
      <c r="N759" s="379"/>
      <c r="O759" s="379"/>
      <c r="P759" s="376"/>
      <c r="Q759" s="381"/>
      <c r="R759" s="381"/>
      <c r="S759" s="376"/>
      <c r="T759" s="376"/>
      <c r="U759" s="382" t="s">
        <v>509</v>
      </c>
      <c r="V759" s="382">
        <v>15.0</v>
      </c>
      <c r="W759" s="382">
        <v>5.0</v>
      </c>
      <c r="X759" s="383">
        <v>0.7</v>
      </c>
      <c r="Y759" s="383">
        <v>0.7</v>
      </c>
      <c r="Z759" s="383">
        <v>0.7</v>
      </c>
      <c r="AA759" s="383">
        <v>1700.0</v>
      </c>
      <c r="AB759" s="383" t="s">
        <v>811</v>
      </c>
      <c r="AC759" s="383">
        <v>0.85</v>
      </c>
      <c r="AD759" s="171"/>
      <c r="AE759" s="384"/>
    </row>
    <row r="760" ht="15.0" customHeight="1">
      <c r="A760" s="379"/>
      <c r="B760" s="379"/>
      <c r="C760" s="379"/>
      <c r="D760" s="379"/>
      <c r="E760" s="379"/>
      <c r="F760" s="380"/>
      <c r="G760" s="379"/>
      <c r="H760" s="379"/>
      <c r="I760" s="379"/>
      <c r="J760" s="379"/>
      <c r="K760" s="379"/>
      <c r="L760" s="379"/>
      <c r="M760" s="379"/>
      <c r="N760" s="379"/>
      <c r="O760" s="379"/>
      <c r="P760" s="376"/>
      <c r="Q760" s="381"/>
      <c r="R760" s="381"/>
      <c r="S760" s="376"/>
      <c r="T760" s="376"/>
      <c r="U760" s="382" t="s">
        <v>509</v>
      </c>
      <c r="V760" s="382">
        <v>15.0</v>
      </c>
      <c r="W760" s="382">
        <v>5.0</v>
      </c>
      <c r="X760" s="383">
        <v>0.7</v>
      </c>
      <c r="Y760" s="383">
        <v>0.7</v>
      </c>
      <c r="Z760" s="383">
        <v>0.7</v>
      </c>
      <c r="AA760" s="383">
        <v>1700.0</v>
      </c>
      <c r="AB760" s="383" t="s">
        <v>811</v>
      </c>
      <c r="AC760" s="383">
        <v>0.85</v>
      </c>
      <c r="AD760" s="171"/>
      <c r="AE760" s="384"/>
    </row>
    <row r="761" ht="15.0" customHeight="1">
      <c r="A761" s="379"/>
      <c r="B761" s="379"/>
      <c r="C761" s="379"/>
      <c r="D761" s="379"/>
      <c r="E761" s="379"/>
      <c r="F761" s="380"/>
      <c r="G761" s="379"/>
      <c r="H761" s="379"/>
      <c r="I761" s="379"/>
      <c r="J761" s="379"/>
      <c r="K761" s="379"/>
      <c r="L761" s="379"/>
      <c r="M761" s="379"/>
      <c r="N761" s="379"/>
      <c r="O761" s="379"/>
      <c r="P761" s="376"/>
      <c r="Q761" s="381"/>
      <c r="R761" s="381"/>
      <c r="S761" s="376"/>
      <c r="T761" s="376"/>
      <c r="U761" s="382" t="s">
        <v>509</v>
      </c>
      <c r="V761" s="382">
        <v>15.0</v>
      </c>
      <c r="W761" s="382">
        <v>5.0</v>
      </c>
      <c r="X761" s="383">
        <v>0.7</v>
      </c>
      <c r="Y761" s="383">
        <v>0.7</v>
      </c>
      <c r="Z761" s="383">
        <v>0.7</v>
      </c>
      <c r="AA761" s="383">
        <v>1700.0</v>
      </c>
      <c r="AB761" s="383" t="s">
        <v>811</v>
      </c>
      <c r="AC761" s="383">
        <v>0.85</v>
      </c>
      <c r="AD761" s="171"/>
      <c r="AE761" s="384"/>
    </row>
    <row r="762" ht="15.0" customHeight="1">
      <c r="A762" s="379"/>
      <c r="B762" s="379"/>
      <c r="C762" s="379"/>
      <c r="D762" s="379"/>
      <c r="E762" s="379"/>
      <c r="F762" s="380"/>
      <c r="G762" s="379"/>
      <c r="H762" s="379"/>
      <c r="I762" s="379"/>
      <c r="J762" s="379"/>
      <c r="K762" s="379"/>
      <c r="L762" s="379"/>
      <c r="M762" s="379"/>
      <c r="N762" s="379"/>
      <c r="O762" s="379"/>
      <c r="P762" s="376"/>
      <c r="Q762" s="381"/>
      <c r="R762" s="381"/>
      <c r="S762" s="376"/>
      <c r="T762" s="376"/>
      <c r="U762" s="382" t="s">
        <v>509</v>
      </c>
      <c r="V762" s="382">
        <v>15.0</v>
      </c>
      <c r="W762" s="382">
        <v>5.0</v>
      </c>
      <c r="X762" s="383">
        <v>0.7</v>
      </c>
      <c r="Y762" s="383">
        <v>0.7</v>
      </c>
      <c r="Z762" s="383">
        <v>0.7</v>
      </c>
      <c r="AA762" s="383">
        <v>1700.0</v>
      </c>
      <c r="AB762" s="383" t="s">
        <v>811</v>
      </c>
      <c r="AC762" s="383">
        <v>0.85</v>
      </c>
      <c r="AD762" s="171"/>
      <c r="AE762" s="384"/>
    </row>
    <row r="763" ht="15.0" customHeight="1">
      <c r="A763" s="379"/>
      <c r="B763" s="379"/>
      <c r="C763" s="379"/>
      <c r="D763" s="379"/>
      <c r="E763" s="379"/>
      <c r="F763" s="380"/>
      <c r="G763" s="379"/>
      <c r="H763" s="379"/>
      <c r="I763" s="379"/>
      <c r="J763" s="379"/>
      <c r="K763" s="379"/>
      <c r="L763" s="379"/>
      <c r="M763" s="379"/>
      <c r="N763" s="379"/>
      <c r="O763" s="379"/>
      <c r="P763" s="376"/>
      <c r="Q763" s="381"/>
      <c r="R763" s="381"/>
      <c r="S763" s="376"/>
      <c r="T763" s="376"/>
      <c r="U763" s="382" t="s">
        <v>509</v>
      </c>
      <c r="V763" s="382">
        <v>15.0</v>
      </c>
      <c r="W763" s="382">
        <v>5.0</v>
      </c>
      <c r="X763" s="383">
        <v>0.7</v>
      </c>
      <c r="Y763" s="383">
        <v>0.7</v>
      </c>
      <c r="Z763" s="383">
        <v>0.7</v>
      </c>
      <c r="AA763" s="383">
        <v>1700.0</v>
      </c>
      <c r="AB763" s="383" t="s">
        <v>811</v>
      </c>
      <c r="AC763" s="383">
        <v>0.85</v>
      </c>
      <c r="AD763" s="171"/>
      <c r="AE763" s="384"/>
    </row>
    <row r="764" ht="15.0" customHeight="1">
      <c r="A764" s="379"/>
      <c r="B764" s="379"/>
      <c r="C764" s="379"/>
      <c r="D764" s="379"/>
      <c r="E764" s="379"/>
      <c r="F764" s="380"/>
      <c r="G764" s="379"/>
      <c r="H764" s="379"/>
      <c r="I764" s="379"/>
      <c r="J764" s="379"/>
      <c r="K764" s="379"/>
      <c r="L764" s="379"/>
      <c r="M764" s="379"/>
      <c r="N764" s="379"/>
      <c r="O764" s="379"/>
      <c r="P764" s="376"/>
      <c r="Q764" s="381"/>
      <c r="R764" s="381"/>
      <c r="S764" s="376"/>
      <c r="T764" s="376"/>
      <c r="U764" s="382" t="s">
        <v>509</v>
      </c>
      <c r="V764" s="382">
        <v>15.0</v>
      </c>
      <c r="W764" s="382">
        <v>5.0</v>
      </c>
      <c r="X764" s="383">
        <v>0.7</v>
      </c>
      <c r="Y764" s="383">
        <v>0.7</v>
      </c>
      <c r="Z764" s="383">
        <v>0.7</v>
      </c>
      <c r="AA764" s="383">
        <v>1700.0</v>
      </c>
      <c r="AB764" s="383" t="s">
        <v>811</v>
      </c>
      <c r="AC764" s="383">
        <v>0.85</v>
      </c>
      <c r="AD764" s="171"/>
      <c r="AE764" s="384"/>
    </row>
    <row r="765" ht="15.0" customHeight="1">
      <c r="A765" s="379"/>
      <c r="B765" s="379"/>
      <c r="C765" s="379"/>
      <c r="D765" s="379"/>
      <c r="E765" s="379"/>
      <c r="F765" s="380"/>
      <c r="G765" s="379"/>
      <c r="H765" s="379"/>
      <c r="I765" s="379"/>
      <c r="J765" s="379"/>
      <c r="K765" s="379"/>
      <c r="L765" s="379"/>
      <c r="M765" s="379"/>
      <c r="N765" s="379"/>
      <c r="O765" s="379"/>
      <c r="P765" s="376"/>
      <c r="Q765" s="381"/>
      <c r="R765" s="381"/>
      <c r="S765" s="376"/>
      <c r="T765" s="376"/>
      <c r="U765" s="382" t="s">
        <v>509</v>
      </c>
      <c r="V765" s="382">
        <v>15.0</v>
      </c>
      <c r="W765" s="382">
        <v>5.0</v>
      </c>
      <c r="X765" s="383">
        <v>0.7</v>
      </c>
      <c r="Y765" s="383">
        <v>0.7</v>
      </c>
      <c r="Z765" s="383">
        <v>0.7</v>
      </c>
      <c r="AA765" s="383">
        <v>1700.0</v>
      </c>
      <c r="AB765" s="383" t="s">
        <v>811</v>
      </c>
      <c r="AC765" s="383">
        <v>0.85</v>
      </c>
      <c r="AD765" s="171"/>
      <c r="AE765" s="384"/>
    </row>
    <row r="766" ht="15.0" customHeight="1">
      <c r="A766" s="379"/>
      <c r="B766" s="379"/>
      <c r="C766" s="379"/>
      <c r="D766" s="379"/>
      <c r="E766" s="379"/>
      <c r="F766" s="380"/>
      <c r="G766" s="379"/>
      <c r="H766" s="379"/>
      <c r="I766" s="379"/>
      <c r="J766" s="379"/>
      <c r="K766" s="379"/>
      <c r="L766" s="379"/>
      <c r="M766" s="379"/>
      <c r="N766" s="379"/>
      <c r="O766" s="379"/>
      <c r="P766" s="376"/>
      <c r="Q766" s="381"/>
      <c r="R766" s="381"/>
      <c r="S766" s="376"/>
      <c r="T766" s="376"/>
      <c r="U766" s="382" t="s">
        <v>509</v>
      </c>
      <c r="V766" s="382">
        <v>15.0</v>
      </c>
      <c r="W766" s="382">
        <v>5.0</v>
      </c>
      <c r="X766" s="383">
        <v>0.7</v>
      </c>
      <c r="Y766" s="383">
        <v>0.7</v>
      </c>
      <c r="Z766" s="383">
        <v>0.7</v>
      </c>
      <c r="AA766" s="383">
        <v>1700.0</v>
      </c>
      <c r="AB766" s="383" t="s">
        <v>811</v>
      </c>
      <c r="AC766" s="383">
        <v>0.85</v>
      </c>
      <c r="AD766" s="171"/>
      <c r="AE766" s="384"/>
    </row>
    <row r="767" ht="15.0" customHeight="1">
      <c r="A767" s="379"/>
      <c r="B767" s="379"/>
      <c r="C767" s="379"/>
      <c r="D767" s="379"/>
      <c r="E767" s="379"/>
      <c r="F767" s="380"/>
      <c r="G767" s="379"/>
      <c r="H767" s="379"/>
      <c r="I767" s="379"/>
      <c r="J767" s="379"/>
      <c r="K767" s="379"/>
      <c r="L767" s="379"/>
      <c r="M767" s="379"/>
      <c r="N767" s="379"/>
      <c r="O767" s="379"/>
      <c r="P767" s="376"/>
      <c r="Q767" s="381"/>
      <c r="R767" s="381"/>
      <c r="S767" s="376"/>
      <c r="T767" s="376"/>
      <c r="U767" s="382" t="s">
        <v>509</v>
      </c>
      <c r="V767" s="382">
        <v>15.0</v>
      </c>
      <c r="W767" s="382">
        <v>5.0</v>
      </c>
      <c r="X767" s="383">
        <v>0.7</v>
      </c>
      <c r="Y767" s="383">
        <v>0.7</v>
      </c>
      <c r="Z767" s="383">
        <v>0.7</v>
      </c>
      <c r="AA767" s="383">
        <v>1700.0</v>
      </c>
      <c r="AB767" s="383" t="s">
        <v>811</v>
      </c>
      <c r="AC767" s="383">
        <v>0.85</v>
      </c>
      <c r="AD767" s="171"/>
      <c r="AE767" s="384"/>
    </row>
    <row r="768" ht="15.0" customHeight="1">
      <c r="A768" s="379"/>
      <c r="B768" s="379"/>
      <c r="C768" s="379"/>
      <c r="D768" s="379"/>
      <c r="E768" s="379"/>
      <c r="F768" s="380"/>
      <c r="G768" s="379"/>
      <c r="H768" s="379"/>
      <c r="I768" s="379"/>
      <c r="J768" s="379"/>
      <c r="K768" s="379"/>
      <c r="L768" s="379"/>
      <c r="M768" s="379"/>
      <c r="N768" s="379"/>
      <c r="O768" s="379"/>
      <c r="P768" s="376"/>
      <c r="Q768" s="381"/>
      <c r="R768" s="381"/>
      <c r="S768" s="376"/>
      <c r="T768" s="376"/>
      <c r="U768" s="382" t="s">
        <v>509</v>
      </c>
      <c r="V768" s="382">
        <v>15.0</v>
      </c>
      <c r="W768" s="382">
        <v>5.0</v>
      </c>
      <c r="X768" s="383">
        <v>0.7</v>
      </c>
      <c r="Y768" s="383">
        <v>0.7</v>
      </c>
      <c r="Z768" s="383">
        <v>0.7</v>
      </c>
      <c r="AA768" s="383">
        <v>1700.0</v>
      </c>
      <c r="AB768" s="383" t="s">
        <v>811</v>
      </c>
      <c r="AC768" s="383">
        <v>0.85</v>
      </c>
      <c r="AD768" s="171"/>
      <c r="AE768" s="384"/>
    </row>
    <row r="769" ht="15.0" customHeight="1">
      <c r="A769" s="379"/>
      <c r="B769" s="379"/>
      <c r="C769" s="379"/>
      <c r="D769" s="379"/>
      <c r="E769" s="379"/>
      <c r="F769" s="380"/>
      <c r="G769" s="379"/>
      <c r="H769" s="379"/>
      <c r="I769" s="379"/>
      <c r="J769" s="379"/>
      <c r="K769" s="379"/>
      <c r="L769" s="379"/>
      <c r="M769" s="379"/>
      <c r="N769" s="379"/>
      <c r="O769" s="379"/>
      <c r="P769" s="376"/>
      <c r="Q769" s="381"/>
      <c r="R769" s="381"/>
      <c r="S769" s="376"/>
      <c r="T769" s="376"/>
      <c r="U769" s="382" t="s">
        <v>519</v>
      </c>
      <c r="V769" s="382">
        <v>15.0</v>
      </c>
      <c r="W769" s="382">
        <v>5.0</v>
      </c>
      <c r="X769" s="383">
        <v>0.7</v>
      </c>
      <c r="Y769" s="383">
        <v>0.7</v>
      </c>
      <c r="Z769" s="383">
        <v>0.7</v>
      </c>
      <c r="AA769" s="383">
        <v>1700.0</v>
      </c>
      <c r="AB769" s="383" t="s">
        <v>811</v>
      </c>
      <c r="AC769" s="383">
        <v>0.85</v>
      </c>
      <c r="AD769" s="171"/>
      <c r="AE769" s="384"/>
    </row>
    <row r="770" ht="15.0" customHeight="1">
      <c r="A770" s="379"/>
      <c r="B770" s="379"/>
      <c r="C770" s="379"/>
      <c r="D770" s="379"/>
      <c r="E770" s="379"/>
      <c r="F770" s="380"/>
      <c r="G770" s="379"/>
      <c r="H770" s="379"/>
      <c r="I770" s="379"/>
      <c r="J770" s="379"/>
      <c r="K770" s="379"/>
      <c r="L770" s="379"/>
      <c r="M770" s="379"/>
      <c r="N770" s="379"/>
      <c r="O770" s="379"/>
      <c r="P770" s="376"/>
      <c r="Q770" s="381"/>
      <c r="R770" s="381"/>
      <c r="S770" s="376"/>
      <c r="T770" s="376"/>
      <c r="U770" s="382" t="s">
        <v>509</v>
      </c>
      <c r="V770" s="382">
        <v>15.0</v>
      </c>
      <c r="W770" s="382">
        <v>5.0</v>
      </c>
      <c r="X770" s="383">
        <v>0.7</v>
      </c>
      <c r="Y770" s="383">
        <v>0.7</v>
      </c>
      <c r="Z770" s="383">
        <v>0.7</v>
      </c>
      <c r="AA770" s="383">
        <v>1700.0</v>
      </c>
      <c r="AB770" s="383" t="s">
        <v>811</v>
      </c>
      <c r="AC770" s="383">
        <v>0.85</v>
      </c>
      <c r="AD770" s="171"/>
      <c r="AE770" s="384"/>
    </row>
    <row r="771" ht="15.0" customHeight="1">
      <c r="A771" s="379"/>
      <c r="B771" s="379"/>
      <c r="C771" s="379"/>
      <c r="D771" s="379"/>
      <c r="E771" s="379"/>
      <c r="F771" s="380"/>
      <c r="G771" s="379"/>
      <c r="H771" s="379"/>
      <c r="I771" s="379"/>
      <c r="J771" s="379"/>
      <c r="K771" s="379"/>
      <c r="L771" s="379"/>
      <c r="M771" s="379"/>
      <c r="N771" s="379"/>
      <c r="O771" s="379"/>
      <c r="P771" s="376"/>
      <c r="Q771" s="381"/>
      <c r="R771" s="381"/>
      <c r="S771" s="376"/>
      <c r="T771" s="376"/>
      <c r="U771" s="382" t="s">
        <v>509</v>
      </c>
      <c r="V771" s="382">
        <v>15.0</v>
      </c>
      <c r="W771" s="382">
        <v>5.0</v>
      </c>
      <c r="X771" s="383">
        <v>0.7</v>
      </c>
      <c r="Y771" s="383">
        <v>0.7</v>
      </c>
      <c r="Z771" s="383">
        <v>0.7</v>
      </c>
      <c r="AA771" s="383">
        <v>1700.0</v>
      </c>
      <c r="AB771" s="383" t="s">
        <v>811</v>
      </c>
      <c r="AC771" s="383">
        <v>0.85</v>
      </c>
      <c r="AD771" s="171"/>
      <c r="AE771" s="384"/>
    </row>
    <row r="772" ht="15.0" customHeight="1">
      <c r="A772" s="379"/>
      <c r="B772" s="379"/>
      <c r="C772" s="379"/>
      <c r="D772" s="379"/>
      <c r="E772" s="379"/>
      <c r="F772" s="380"/>
      <c r="G772" s="379"/>
      <c r="H772" s="379"/>
      <c r="I772" s="379"/>
      <c r="J772" s="379"/>
      <c r="K772" s="379"/>
      <c r="L772" s="379"/>
      <c r="M772" s="379"/>
      <c r="N772" s="379"/>
      <c r="O772" s="379"/>
      <c r="P772" s="376"/>
      <c r="Q772" s="381"/>
      <c r="R772" s="381"/>
      <c r="S772" s="376"/>
      <c r="T772" s="376"/>
      <c r="U772" s="382" t="s">
        <v>509</v>
      </c>
      <c r="V772" s="382">
        <v>15.0</v>
      </c>
      <c r="W772" s="382">
        <v>5.0</v>
      </c>
      <c r="X772" s="383">
        <v>0.7</v>
      </c>
      <c r="Y772" s="383">
        <v>0.7</v>
      </c>
      <c r="Z772" s="383">
        <v>0.7</v>
      </c>
      <c r="AA772" s="383">
        <v>1700.0</v>
      </c>
      <c r="AB772" s="383" t="s">
        <v>811</v>
      </c>
      <c r="AC772" s="383">
        <v>0.85</v>
      </c>
      <c r="AD772" s="171"/>
      <c r="AE772" s="384"/>
    </row>
    <row r="773" ht="15.0" customHeight="1">
      <c r="A773" s="379"/>
      <c r="B773" s="379"/>
      <c r="C773" s="379"/>
      <c r="D773" s="379"/>
      <c r="E773" s="379"/>
      <c r="F773" s="380"/>
      <c r="G773" s="379"/>
      <c r="H773" s="379"/>
      <c r="I773" s="379"/>
      <c r="J773" s="379"/>
      <c r="K773" s="379"/>
      <c r="L773" s="379"/>
      <c r="M773" s="379"/>
      <c r="N773" s="379"/>
      <c r="O773" s="379"/>
      <c r="P773" s="376"/>
      <c r="Q773" s="381"/>
      <c r="R773" s="381"/>
      <c r="S773" s="376"/>
      <c r="T773" s="376"/>
      <c r="U773" s="382" t="s">
        <v>509</v>
      </c>
      <c r="V773" s="382">
        <v>15.0</v>
      </c>
      <c r="W773" s="382">
        <v>5.0</v>
      </c>
      <c r="X773" s="383">
        <v>0.7</v>
      </c>
      <c r="Y773" s="383">
        <v>0.7</v>
      </c>
      <c r="Z773" s="383">
        <v>0.7</v>
      </c>
      <c r="AA773" s="383">
        <v>1700.0</v>
      </c>
      <c r="AB773" s="383" t="s">
        <v>811</v>
      </c>
      <c r="AC773" s="383">
        <v>0.85</v>
      </c>
      <c r="AD773" s="171"/>
      <c r="AE773" s="384"/>
    </row>
    <row r="774" ht="15.0" customHeight="1">
      <c r="A774" s="379"/>
      <c r="B774" s="379"/>
      <c r="C774" s="379"/>
      <c r="D774" s="379"/>
      <c r="E774" s="379"/>
      <c r="F774" s="380"/>
      <c r="G774" s="379"/>
      <c r="H774" s="379"/>
      <c r="I774" s="379"/>
      <c r="J774" s="379"/>
      <c r="K774" s="379"/>
      <c r="L774" s="379"/>
      <c r="M774" s="379"/>
      <c r="N774" s="379"/>
      <c r="O774" s="379"/>
      <c r="P774" s="376"/>
      <c r="Q774" s="381"/>
      <c r="R774" s="381"/>
      <c r="S774" s="376"/>
      <c r="T774" s="376"/>
      <c r="U774" s="382" t="s">
        <v>509</v>
      </c>
      <c r="V774" s="382">
        <v>15.0</v>
      </c>
      <c r="W774" s="382">
        <v>5.0</v>
      </c>
      <c r="X774" s="383">
        <v>0.7</v>
      </c>
      <c r="Y774" s="383">
        <v>0.7</v>
      </c>
      <c r="Z774" s="383">
        <v>0.7</v>
      </c>
      <c r="AA774" s="383">
        <v>1700.0</v>
      </c>
      <c r="AB774" s="383" t="s">
        <v>811</v>
      </c>
      <c r="AC774" s="383">
        <v>0.85</v>
      </c>
      <c r="AD774" s="171"/>
      <c r="AE774" s="384"/>
    </row>
    <row r="775" ht="15.0" customHeight="1">
      <c r="A775" s="379"/>
      <c r="B775" s="379"/>
      <c r="C775" s="379"/>
      <c r="D775" s="379"/>
      <c r="E775" s="379"/>
      <c r="F775" s="380"/>
      <c r="G775" s="379"/>
      <c r="H775" s="379"/>
      <c r="I775" s="379"/>
      <c r="J775" s="379"/>
      <c r="K775" s="379"/>
      <c r="L775" s="379"/>
      <c r="M775" s="379"/>
      <c r="N775" s="379"/>
      <c r="O775" s="379"/>
      <c r="P775" s="376"/>
      <c r="Q775" s="381"/>
      <c r="R775" s="381"/>
      <c r="S775" s="376"/>
      <c r="T775" s="376"/>
      <c r="U775" s="382" t="s">
        <v>509</v>
      </c>
      <c r="V775" s="382">
        <v>15.0</v>
      </c>
      <c r="W775" s="382">
        <v>5.0</v>
      </c>
      <c r="X775" s="383">
        <v>0.7</v>
      </c>
      <c r="Y775" s="383">
        <v>0.7</v>
      </c>
      <c r="Z775" s="383">
        <v>0.7</v>
      </c>
      <c r="AA775" s="383">
        <v>1700.0</v>
      </c>
      <c r="AB775" s="383" t="s">
        <v>811</v>
      </c>
      <c r="AC775" s="383">
        <v>0.85</v>
      </c>
      <c r="AD775" s="171"/>
      <c r="AE775" s="384"/>
    </row>
    <row r="776" ht="15.0" customHeight="1">
      <c r="A776" s="379"/>
      <c r="B776" s="379"/>
      <c r="C776" s="379"/>
      <c r="D776" s="379"/>
      <c r="E776" s="379"/>
      <c r="F776" s="380"/>
      <c r="G776" s="379"/>
      <c r="H776" s="379"/>
      <c r="I776" s="379"/>
      <c r="J776" s="379"/>
      <c r="K776" s="379"/>
      <c r="L776" s="379"/>
      <c r="M776" s="379"/>
      <c r="N776" s="379"/>
      <c r="O776" s="379"/>
      <c r="P776" s="376"/>
      <c r="Q776" s="381"/>
      <c r="R776" s="381"/>
      <c r="S776" s="376"/>
      <c r="T776" s="376"/>
      <c r="U776" s="382" t="s">
        <v>509</v>
      </c>
      <c r="V776" s="382">
        <v>15.0</v>
      </c>
      <c r="W776" s="382">
        <v>5.0</v>
      </c>
      <c r="X776" s="383">
        <v>0.7</v>
      </c>
      <c r="Y776" s="383">
        <v>0.7</v>
      </c>
      <c r="Z776" s="383">
        <v>0.7</v>
      </c>
      <c r="AA776" s="383">
        <v>1700.0</v>
      </c>
      <c r="AB776" s="383" t="s">
        <v>811</v>
      </c>
      <c r="AC776" s="383">
        <v>0.85</v>
      </c>
      <c r="AD776" s="171"/>
      <c r="AE776" s="384"/>
    </row>
    <row r="777" ht="15.0" customHeight="1">
      <c r="A777" s="379"/>
      <c r="B777" s="379"/>
      <c r="C777" s="379"/>
      <c r="D777" s="379"/>
      <c r="E777" s="379"/>
      <c r="F777" s="380"/>
      <c r="G777" s="379"/>
      <c r="H777" s="379"/>
      <c r="I777" s="379"/>
      <c r="J777" s="379"/>
      <c r="K777" s="379"/>
      <c r="L777" s="379"/>
      <c r="M777" s="379"/>
      <c r="N777" s="379"/>
      <c r="O777" s="379"/>
      <c r="P777" s="376"/>
      <c r="Q777" s="381"/>
      <c r="R777" s="381"/>
      <c r="S777" s="376"/>
      <c r="T777" s="376"/>
      <c r="U777" s="382" t="s">
        <v>519</v>
      </c>
      <c r="V777" s="382">
        <v>15.0</v>
      </c>
      <c r="W777" s="382">
        <v>5.0</v>
      </c>
      <c r="X777" s="383">
        <v>0.7</v>
      </c>
      <c r="Y777" s="383">
        <v>0.7</v>
      </c>
      <c r="Z777" s="383">
        <v>0.7</v>
      </c>
      <c r="AA777" s="383">
        <v>1700.0</v>
      </c>
      <c r="AB777" s="383" t="s">
        <v>811</v>
      </c>
      <c r="AC777" s="383">
        <v>0.85</v>
      </c>
      <c r="AD777" s="171"/>
      <c r="AE777" s="384"/>
    </row>
    <row r="778" ht="15.0" customHeight="1">
      <c r="A778" s="379"/>
      <c r="B778" s="379"/>
      <c r="C778" s="379"/>
      <c r="D778" s="379"/>
      <c r="E778" s="379"/>
      <c r="F778" s="380"/>
      <c r="G778" s="379"/>
      <c r="H778" s="379"/>
      <c r="I778" s="379"/>
      <c r="J778" s="379"/>
      <c r="K778" s="379"/>
      <c r="L778" s="379"/>
      <c r="M778" s="379"/>
      <c r="N778" s="379"/>
      <c r="O778" s="379"/>
      <c r="P778" s="376"/>
      <c r="Q778" s="381"/>
      <c r="R778" s="381"/>
      <c r="S778" s="376"/>
      <c r="T778" s="376"/>
      <c r="U778" s="382" t="s">
        <v>509</v>
      </c>
      <c r="V778" s="382">
        <v>15.0</v>
      </c>
      <c r="W778" s="382">
        <v>5.0</v>
      </c>
      <c r="X778" s="383">
        <v>0.7</v>
      </c>
      <c r="Y778" s="383">
        <v>0.7</v>
      </c>
      <c r="Z778" s="383">
        <v>0.7</v>
      </c>
      <c r="AA778" s="383">
        <v>1700.0</v>
      </c>
      <c r="AB778" s="383" t="s">
        <v>811</v>
      </c>
      <c r="AC778" s="383">
        <v>0.85</v>
      </c>
      <c r="AD778" s="171"/>
      <c r="AE778" s="384"/>
    </row>
    <row r="779" ht="15.0" customHeight="1">
      <c r="A779" s="379"/>
      <c r="B779" s="379"/>
      <c r="C779" s="379"/>
      <c r="D779" s="379"/>
      <c r="E779" s="379"/>
      <c r="F779" s="380"/>
      <c r="G779" s="379"/>
      <c r="H779" s="379"/>
      <c r="I779" s="379"/>
      <c r="J779" s="379"/>
      <c r="K779" s="379"/>
      <c r="L779" s="379"/>
      <c r="M779" s="379"/>
      <c r="N779" s="379"/>
      <c r="O779" s="379"/>
      <c r="P779" s="376"/>
      <c r="Q779" s="381"/>
      <c r="R779" s="381"/>
      <c r="S779" s="376"/>
      <c r="T779" s="376"/>
      <c r="U779" s="382" t="s">
        <v>519</v>
      </c>
      <c r="V779" s="382">
        <v>15.0</v>
      </c>
      <c r="W779" s="382">
        <v>5.0</v>
      </c>
      <c r="X779" s="383">
        <v>0.7</v>
      </c>
      <c r="Y779" s="383">
        <v>0.7</v>
      </c>
      <c r="Z779" s="383">
        <v>0.7</v>
      </c>
      <c r="AA779" s="383">
        <v>1700.0</v>
      </c>
      <c r="AB779" s="383" t="s">
        <v>811</v>
      </c>
      <c r="AC779" s="383">
        <v>0.85</v>
      </c>
      <c r="AD779" s="171"/>
      <c r="AE779" s="384"/>
    </row>
    <row r="780" ht="15.0" customHeight="1">
      <c r="A780" s="379"/>
      <c r="B780" s="379"/>
      <c r="C780" s="379"/>
      <c r="D780" s="379"/>
      <c r="E780" s="379"/>
      <c r="F780" s="380"/>
      <c r="G780" s="379"/>
      <c r="H780" s="379"/>
      <c r="I780" s="379"/>
      <c r="J780" s="379"/>
      <c r="K780" s="379"/>
      <c r="L780" s="379"/>
      <c r="M780" s="379"/>
      <c r="N780" s="379"/>
      <c r="O780" s="379"/>
      <c r="P780" s="376"/>
      <c r="Q780" s="381"/>
      <c r="R780" s="381"/>
      <c r="S780" s="376"/>
      <c r="T780" s="376"/>
      <c r="U780" s="382" t="s">
        <v>509</v>
      </c>
      <c r="V780" s="382">
        <v>15.0</v>
      </c>
      <c r="W780" s="382">
        <v>5.0</v>
      </c>
      <c r="X780" s="383">
        <v>0.7</v>
      </c>
      <c r="Y780" s="383">
        <v>0.7</v>
      </c>
      <c r="Z780" s="383">
        <v>0.7</v>
      </c>
      <c r="AA780" s="383">
        <v>1700.0</v>
      </c>
      <c r="AB780" s="383" t="s">
        <v>811</v>
      </c>
      <c r="AC780" s="383">
        <v>0.85</v>
      </c>
      <c r="AD780" s="171"/>
      <c r="AE780" s="384"/>
    </row>
    <row r="781" ht="15.0" customHeight="1">
      <c r="A781" s="379"/>
      <c r="B781" s="379"/>
      <c r="C781" s="379"/>
      <c r="D781" s="379"/>
      <c r="E781" s="379"/>
      <c r="F781" s="380"/>
      <c r="G781" s="379"/>
      <c r="H781" s="379"/>
      <c r="I781" s="379"/>
      <c r="J781" s="379"/>
      <c r="K781" s="379"/>
      <c r="L781" s="379"/>
      <c r="M781" s="379"/>
      <c r="N781" s="379"/>
      <c r="O781" s="379"/>
      <c r="P781" s="376"/>
      <c r="Q781" s="381"/>
      <c r="R781" s="381"/>
      <c r="S781" s="376"/>
      <c r="T781" s="376"/>
      <c r="U781" s="382" t="s">
        <v>509</v>
      </c>
      <c r="V781" s="382">
        <v>15.0</v>
      </c>
      <c r="W781" s="382">
        <v>5.0</v>
      </c>
      <c r="X781" s="383">
        <v>0.7</v>
      </c>
      <c r="Y781" s="383">
        <v>0.7</v>
      </c>
      <c r="Z781" s="383">
        <v>0.7</v>
      </c>
      <c r="AA781" s="383">
        <v>1700.0</v>
      </c>
      <c r="AB781" s="383" t="s">
        <v>811</v>
      </c>
      <c r="AC781" s="383">
        <v>0.85</v>
      </c>
      <c r="AD781" s="171"/>
      <c r="AE781" s="384"/>
    </row>
    <row r="782" ht="15.0" customHeight="1">
      <c r="A782" s="379"/>
      <c r="B782" s="379"/>
      <c r="C782" s="379"/>
      <c r="D782" s="379"/>
      <c r="E782" s="379"/>
      <c r="F782" s="380"/>
      <c r="G782" s="379"/>
      <c r="H782" s="379"/>
      <c r="I782" s="379"/>
      <c r="J782" s="379"/>
      <c r="K782" s="379"/>
      <c r="L782" s="379"/>
      <c r="M782" s="379"/>
      <c r="N782" s="379"/>
      <c r="O782" s="379"/>
      <c r="P782" s="376"/>
      <c r="Q782" s="381"/>
      <c r="R782" s="381"/>
      <c r="S782" s="376"/>
      <c r="T782" s="376"/>
      <c r="U782" s="382" t="s">
        <v>509</v>
      </c>
      <c r="V782" s="382">
        <v>15.0</v>
      </c>
      <c r="W782" s="382">
        <v>5.0</v>
      </c>
      <c r="X782" s="383">
        <v>0.7</v>
      </c>
      <c r="Y782" s="383">
        <v>0.7</v>
      </c>
      <c r="Z782" s="383">
        <v>0.7</v>
      </c>
      <c r="AA782" s="383">
        <v>1700.0</v>
      </c>
      <c r="AB782" s="383" t="s">
        <v>811</v>
      </c>
      <c r="AC782" s="383">
        <v>0.85</v>
      </c>
      <c r="AD782" s="171"/>
      <c r="AE782" s="384"/>
    </row>
    <row r="783" ht="15.0" customHeight="1">
      <c r="A783" s="379"/>
      <c r="B783" s="379"/>
      <c r="C783" s="379"/>
      <c r="D783" s="379"/>
      <c r="E783" s="379"/>
      <c r="F783" s="380"/>
      <c r="G783" s="379"/>
      <c r="H783" s="379"/>
      <c r="I783" s="379"/>
      <c r="J783" s="379"/>
      <c r="K783" s="379"/>
      <c r="L783" s="379"/>
      <c r="M783" s="379"/>
      <c r="N783" s="379"/>
      <c r="O783" s="379"/>
      <c r="P783" s="376"/>
      <c r="Q783" s="381"/>
      <c r="R783" s="381"/>
      <c r="S783" s="376"/>
      <c r="T783" s="376"/>
      <c r="U783" s="382" t="s">
        <v>509</v>
      </c>
      <c r="V783" s="382">
        <v>15.0</v>
      </c>
      <c r="W783" s="382">
        <v>5.0</v>
      </c>
      <c r="X783" s="383">
        <v>0.7</v>
      </c>
      <c r="Y783" s="383">
        <v>0.7</v>
      </c>
      <c r="Z783" s="383">
        <v>0.7</v>
      </c>
      <c r="AA783" s="383">
        <v>1700.0</v>
      </c>
      <c r="AB783" s="383" t="s">
        <v>811</v>
      </c>
      <c r="AC783" s="383">
        <v>0.85</v>
      </c>
      <c r="AD783" s="171"/>
      <c r="AE783" s="384"/>
    </row>
    <row r="784" ht="15.0" customHeight="1">
      <c r="A784" s="379"/>
      <c r="B784" s="379"/>
      <c r="C784" s="379"/>
      <c r="D784" s="379"/>
      <c r="E784" s="379"/>
      <c r="F784" s="380"/>
      <c r="G784" s="379"/>
      <c r="H784" s="379"/>
      <c r="I784" s="379"/>
      <c r="J784" s="379"/>
      <c r="K784" s="379"/>
      <c r="L784" s="379"/>
      <c r="M784" s="379"/>
      <c r="N784" s="379"/>
      <c r="O784" s="379"/>
      <c r="P784" s="376"/>
      <c r="Q784" s="381"/>
      <c r="R784" s="381"/>
      <c r="S784" s="376"/>
      <c r="T784" s="376"/>
      <c r="U784" s="382" t="s">
        <v>519</v>
      </c>
      <c r="V784" s="382">
        <v>15.0</v>
      </c>
      <c r="W784" s="382">
        <v>5.0</v>
      </c>
      <c r="X784" s="383">
        <v>0.7</v>
      </c>
      <c r="Y784" s="383">
        <v>0.7</v>
      </c>
      <c r="Z784" s="383">
        <v>0.7</v>
      </c>
      <c r="AA784" s="383">
        <v>1700.0</v>
      </c>
      <c r="AB784" s="383" t="s">
        <v>811</v>
      </c>
      <c r="AC784" s="383">
        <v>0.85</v>
      </c>
      <c r="AD784" s="171"/>
      <c r="AE784" s="384"/>
    </row>
    <row r="785" ht="15.0" customHeight="1">
      <c r="A785" s="379"/>
      <c r="B785" s="379"/>
      <c r="C785" s="379"/>
      <c r="D785" s="379"/>
      <c r="E785" s="379"/>
      <c r="F785" s="380"/>
      <c r="G785" s="379"/>
      <c r="H785" s="379"/>
      <c r="I785" s="379"/>
      <c r="J785" s="379"/>
      <c r="K785" s="379"/>
      <c r="L785" s="379"/>
      <c r="M785" s="379"/>
      <c r="N785" s="379"/>
      <c r="O785" s="379"/>
      <c r="P785" s="376"/>
      <c r="Q785" s="381"/>
      <c r="R785" s="381"/>
      <c r="S785" s="376"/>
      <c r="T785" s="376"/>
      <c r="U785" s="382" t="s">
        <v>509</v>
      </c>
      <c r="V785" s="382">
        <v>15.0</v>
      </c>
      <c r="W785" s="382">
        <v>5.0</v>
      </c>
      <c r="X785" s="383">
        <v>0.7</v>
      </c>
      <c r="Y785" s="383">
        <v>0.7</v>
      </c>
      <c r="Z785" s="383">
        <v>0.7</v>
      </c>
      <c r="AA785" s="383">
        <v>1700.0</v>
      </c>
      <c r="AB785" s="383" t="s">
        <v>811</v>
      </c>
      <c r="AC785" s="383">
        <v>0.85</v>
      </c>
      <c r="AD785" s="171"/>
      <c r="AE785" s="384"/>
    </row>
    <row r="786" ht="15.0" customHeight="1">
      <c r="A786" s="379"/>
      <c r="B786" s="379"/>
      <c r="C786" s="379"/>
      <c r="D786" s="379"/>
      <c r="E786" s="379"/>
      <c r="F786" s="380"/>
      <c r="G786" s="379"/>
      <c r="H786" s="379"/>
      <c r="I786" s="379"/>
      <c r="J786" s="379"/>
      <c r="K786" s="379"/>
      <c r="L786" s="379"/>
      <c r="M786" s="379"/>
      <c r="N786" s="379"/>
      <c r="O786" s="379"/>
      <c r="P786" s="376"/>
      <c r="Q786" s="381"/>
      <c r="R786" s="381"/>
      <c r="S786" s="376"/>
      <c r="T786" s="376"/>
      <c r="U786" s="382" t="s">
        <v>509</v>
      </c>
      <c r="V786" s="382">
        <v>15.0</v>
      </c>
      <c r="W786" s="382">
        <v>5.0</v>
      </c>
      <c r="X786" s="383">
        <v>0.7</v>
      </c>
      <c r="Y786" s="383">
        <v>0.7</v>
      </c>
      <c r="Z786" s="383">
        <v>0.7</v>
      </c>
      <c r="AA786" s="383">
        <v>1700.0</v>
      </c>
      <c r="AB786" s="383" t="s">
        <v>811</v>
      </c>
      <c r="AC786" s="383">
        <v>0.85</v>
      </c>
      <c r="AD786" s="171"/>
      <c r="AE786" s="384"/>
    </row>
    <row r="787" ht="15.0" customHeight="1">
      <c r="A787" s="379"/>
      <c r="B787" s="379"/>
      <c r="C787" s="379"/>
      <c r="D787" s="379"/>
      <c r="E787" s="379"/>
      <c r="F787" s="380"/>
      <c r="G787" s="379"/>
      <c r="H787" s="379"/>
      <c r="I787" s="379"/>
      <c r="J787" s="379"/>
      <c r="K787" s="379"/>
      <c r="L787" s="379"/>
      <c r="M787" s="379"/>
      <c r="N787" s="379"/>
      <c r="O787" s="379"/>
      <c r="P787" s="376"/>
      <c r="Q787" s="381"/>
      <c r="R787" s="381"/>
      <c r="S787" s="376"/>
      <c r="T787" s="376"/>
      <c r="U787" s="382" t="s">
        <v>509</v>
      </c>
      <c r="V787" s="382">
        <v>15.0</v>
      </c>
      <c r="W787" s="382">
        <v>5.0</v>
      </c>
      <c r="X787" s="383">
        <v>0.7</v>
      </c>
      <c r="Y787" s="383">
        <v>0.7</v>
      </c>
      <c r="Z787" s="383">
        <v>0.7</v>
      </c>
      <c r="AA787" s="383">
        <v>1700.0</v>
      </c>
      <c r="AB787" s="383" t="s">
        <v>811</v>
      </c>
      <c r="AC787" s="383">
        <v>0.85</v>
      </c>
      <c r="AD787" s="171"/>
      <c r="AE787" s="384"/>
    </row>
    <row r="788" ht="15.0" customHeight="1">
      <c r="A788" s="379"/>
      <c r="B788" s="379"/>
      <c r="C788" s="379"/>
      <c r="D788" s="379"/>
      <c r="E788" s="379"/>
      <c r="F788" s="380"/>
      <c r="G788" s="379"/>
      <c r="H788" s="379"/>
      <c r="I788" s="379"/>
      <c r="J788" s="379"/>
      <c r="K788" s="379"/>
      <c r="L788" s="379"/>
      <c r="M788" s="379"/>
      <c r="N788" s="379"/>
      <c r="O788" s="379"/>
      <c r="P788" s="376"/>
      <c r="Q788" s="381"/>
      <c r="R788" s="381"/>
      <c r="S788" s="376"/>
      <c r="T788" s="376"/>
      <c r="U788" s="382" t="s">
        <v>519</v>
      </c>
      <c r="V788" s="382">
        <v>15.0</v>
      </c>
      <c r="W788" s="382">
        <v>5.0</v>
      </c>
      <c r="X788" s="383">
        <v>0.7</v>
      </c>
      <c r="Y788" s="383">
        <v>0.7</v>
      </c>
      <c r="Z788" s="383">
        <v>0.7</v>
      </c>
      <c r="AA788" s="383">
        <v>1700.0</v>
      </c>
      <c r="AB788" s="383" t="s">
        <v>811</v>
      </c>
      <c r="AC788" s="383">
        <v>0.85</v>
      </c>
      <c r="AD788" s="171"/>
      <c r="AE788" s="384"/>
    </row>
    <row r="789" ht="15.0" customHeight="1">
      <c r="A789" s="379"/>
      <c r="B789" s="379"/>
      <c r="C789" s="379"/>
      <c r="D789" s="379"/>
      <c r="E789" s="379"/>
      <c r="F789" s="380"/>
      <c r="G789" s="379"/>
      <c r="H789" s="379"/>
      <c r="I789" s="379"/>
      <c r="J789" s="379"/>
      <c r="K789" s="379"/>
      <c r="L789" s="379"/>
      <c r="M789" s="379"/>
      <c r="N789" s="379"/>
      <c r="O789" s="379"/>
      <c r="P789" s="376"/>
      <c r="Q789" s="381"/>
      <c r="R789" s="381"/>
      <c r="S789" s="376"/>
      <c r="T789" s="376"/>
      <c r="U789" s="382" t="s">
        <v>509</v>
      </c>
      <c r="V789" s="382">
        <v>15.0</v>
      </c>
      <c r="W789" s="382">
        <v>5.0</v>
      </c>
      <c r="X789" s="383">
        <v>0.7</v>
      </c>
      <c r="Y789" s="383">
        <v>0.7</v>
      </c>
      <c r="Z789" s="383">
        <v>0.7</v>
      </c>
      <c r="AA789" s="383">
        <v>1700.0</v>
      </c>
      <c r="AB789" s="383" t="s">
        <v>811</v>
      </c>
      <c r="AC789" s="383">
        <v>0.85</v>
      </c>
      <c r="AD789" s="171"/>
      <c r="AE789" s="384"/>
    </row>
    <row r="790" ht="15.0" customHeight="1">
      <c r="A790" s="379"/>
      <c r="B790" s="379"/>
      <c r="C790" s="379"/>
      <c r="D790" s="379"/>
      <c r="E790" s="379"/>
      <c r="F790" s="380"/>
      <c r="G790" s="379"/>
      <c r="H790" s="379"/>
      <c r="I790" s="379"/>
      <c r="J790" s="379"/>
      <c r="K790" s="379"/>
      <c r="L790" s="379"/>
      <c r="M790" s="379"/>
      <c r="N790" s="379"/>
      <c r="O790" s="379"/>
      <c r="P790" s="376"/>
      <c r="Q790" s="381"/>
      <c r="R790" s="381"/>
      <c r="S790" s="376"/>
      <c r="T790" s="376"/>
      <c r="U790" s="382" t="s">
        <v>519</v>
      </c>
      <c r="V790" s="382">
        <v>15.0</v>
      </c>
      <c r="W790" s="382">
        <v>5.0</v>
      </c>
      <c r="X790" s="383">
        <v>0.7</v>
      </c>
      <c r="Y790" s="383">
        <v>0.7</v>
      </c>
      <c r="Z790" s="383">
        <v>0.7</v>
      </c>
      <c r="AA790" s="383">
        <v>1700.0</v>
      </c>
      <c r="AB790" s="383" t="s">
        <v>811</v>
      </c>
      <c r="AC790" s="383">
        <v>0.85</v>
      </c>
      <c r="AD790" s="171"/>
      <c r="AE790" s="384"/>
    </row>
    <row r="791" ht="15.0" customHeight="1">
      <c r="A791" s="379"/>
      <c r="B791" s="379"/>
      <c r="C791" s="379"/>
      <c r="D791" s="379"/>
      <c r="E791" s="379"/>
      <c r="F791" s="380"/>
      <c r="G791" s="379"/>
      <c r="H791" s="379"/>
      <c r="I791" s="379"/>
      <c r="J791" s="379"/>
      <c r="K791" s="379"/>
      <c r="L791" s="379"/>
      <c r="M791" s="379"/>
      <c r="N791" s="379"/>
      <c r="O791" s="379"/>
      <c r="P791" s="376"/>
      <c r="Q791" s="381"/>
      <c r="R791" s="381"/>
      <c r="S791" s="376"/>
      <c r="T791" s="376"/>
      <c r="U791" s="382" t="s">
        <v>509</v>
      </c>
      <c r="V791" s="382">
        <v>15.0</v>
      </c>
      <c r="W791" s="382">
        <v>5.0</v>
      </c>
      <c r="X791" s="383">
        <v>0.7</v>
      </c>
      <c r="Y791" s="383">
        <v>0.7</v>
      </c>
      <c r="Z791" s="383">
        <v>0.7</v>
      </c>
      <c r="AA791" s="383">
        <v>1700.0</v>
      </c>
      <c r="AB791" s="383" t="s">
        <v>811</v>
      </c>
      <c r="AC791" s="383">
        <v>0.85</v>
      </c>
      <c r="AD791" s="171"/>
      <c r="AE791" s="384"/>
    </row>
    <row r="792" ht="15.0" customHeight="1">
      <c r="A792" s="379"/>
      <c r="B792" s="379"/>
      <c r="C792" s="379"/>
      <c r="D792" s="379"/>
      <c r="E792" s="379"/>
      <c r="F792" s="380"/>
      <c r="G792" s="379"/>
      <c r="H792" s="379"/>
      <c r="I792" s="379"/>
      <c r="J792" s="379"/>
      <c r="K792" s="379"/>
      <c r="L792" s="379"/>
      <c r="M792" s="379"/>
      <c r="N792" s="379"/>
      <c r="O792" s="379"/>
      <c r="P792" s="376"/>
      <c r="Q792" s="381"/>
      <c r="R792" s="381"/>
      <c r="S792" s="376"/>
      <c r="T792" s="376"/>
      <c r="U792" s="382" t="s">
        <v>588</v>
      </c>
      <c r="V792" s="382">
        <v>15.0</v>
      </c>
      <c r="W792" s="382">
        <v>5.0</v>
      </c>
      <c r="X792" s="383">
        <v>0.7</v>
      </c>
      <c r="Y792" s="383">
        <v>0.7</v>
      </c>
      <c r="Z792" s="383">
        <v>0.7</v>
      </c>
      <c r="AA792" s="383">
        <v>1700.0</v>
      </c>
      <c r="AB792" s="383" t="s">
        <v>811</v>
      </c>
      <c r="AC792" s="383">
        <v>0.85</v>
      </c>
      <c r="AD792" s="171"/>
      <c r="AE792" s="384"/>
    </row>
    <row r="793" ht="15.0" customHeight="1">
      <c r="A793" s="379"/>
      <c r="B793" s="379"/>
      <c r="C793" s="379"/>
      <c r="D793" s="379"/>
      <c r="E793" s="379"/>
      <c r="F793" s="380"/>
      <c r="G793" s="379"/>
      <c r="H793" s="379"/>
      <c r="I793" s="379"/>
      <c r="J793" s="379"/>
      <c r="K793" s="379"/>
      <c r="L793" s="379"/>
      <c r="M793" s="379"/>
      <c r="N793" s="379"/>
      <c r="O793" s="379"/>
      <c r="P793" s="376"/>
      <c r="Q793" s="381"/>
      <c r="R793" s="381"/>
      <c r="S793" s="376"/>
      <c r="T793" s="376"/>
      <c r="U793" s="382" t="s">
        <v>588</v>
      </c>
      <c r="V793" s="382">
        <v>15.0</v>
      </c>
      <c r="W793" s="382">
        <v>5.0</v>
      </c>
      <c r="X793" s="383">
        <v>0.7</v>
      </c>
      <c r="Y793" s="383">
        <v>0.7</v>
      </c>
      <c r="Z793" s="383">
        <v>0.7</v>
      </c>
      <c r="AA793" s="383">
        <v>1700.0</v>
      </c>
      <c r="AB793" s="383" t="s">
        <v>811</v>
      </c>
      <c r="AC793" s="383">
        <v>0.85</v>
      </c>
      <c r="AD793" s="171"/>
      <c r="AE793" s="384"/>
    </row>
    <row r="794" ht="15.0" customHeight="1">
      <c r="A794" s="379"/>
      <c r="B794" s="379"/>
      <c r="C794" s="379"/>
      <c r="D794" s="379"/>
      <c r="E794" s="379"/>
      <c r="F794" s="380"/>
      <c r="G794" s="379"/>
      <c r="H794" s="379"/>
      <c r="I794" s="379"/>
      <c r="J794" s="379"/>
      <c r="K794" s="379"/>
      <c r="L794" s="379"/>
      <c r="M794" s="379"/>
      <c r="N794" s="379"/>
      <c r="O794" s="379"/>
      <c r="P794" s="376"/>
      <c r="Q794" s="381"/>
      <c r="R794" s="381"/>
      <c r="S794" s="376"/>
      <c r="T794" s="376"/>
      <c r="U794" s="382" t="s">
        <v>588</v>
      </c>
      <c r="V794" s="382">
        <v>15.0</v>
      </c>
      <c r="W794" s="382">
        <v>5.0</v>
      </c>
      <c r="X794" s="383">
        <v>0.7</v>
      </c>
      <c r="Y794" s="383">
        <v>0.7</v>
      </c>
      <c r="Z794" s="383">
        <v>0.7</v>
      </c>
      <c r="AA794" s="383">
        <v>1700.0</v>
      </c>
      <c r="AB794" s="383" t="s">
        <v>811</v>
      </c>
      <c r="AC794" s="383">
        <v>0.85</v>
      </c>
      <c r="AD794" s="171"/>
      <c r="AE794" s="384"/>
    </row>
    <row r="795" ht="15.0" customHeight="1">
      <c r="A795" s="379"/>
      <c r="B795" s="379"/>
      <c r="C795" s="379"/>
      <c r="D795" s="379"/>
      <c r="E795" s="379"/>
      <c r="F795" s="380"/>
      <c r="G795" s="379"/>
      <c r="H795" s="379"/>
      <c r="I795" s="379"/>
      <c r="J795" s="379"/>
      <c r="K795" s="379"/>
      <c r="L795" s="379"/>
      <c r="M795" s="379"/>
      <c r="N795" s="379"/>
      <c r="O795" s="379"/>
      <c r="P795" s="376"/>
      <c r="Q795" s="381"/>
      <c r="R795" s="381"/>
      <c r="S795" s="376"/>
      <c r="T795" s="376"/>
      <c r="U795" s="382" t="s">
        <v>588</v>
      </c>
      <c r="V795" s="382">
        <v>15.0</v>
      </c>
      <c r="W795" s="382">
        <v>5.0</v>
      </c>
      <c r="X795" s="383">
        <v>0.7</v>
      </c>
      <c r="Y795" s="383">
        <v>0.7</v>
      </c>
      <c r="Z795" s="383">
        <v>0.7</v>
      </c>
      <c r="AA795" s="383">
        <v>1700.0</v>
      </c>
      <c r="AB795" s="383" t="s">
        <v>811</v>
      </c>
      <c r="AC795" s="383">
        <v>0.85</v>
      </c>
      <c r="AD795" s="171"/>
      <c r="AE795" s="384"/>
    </row>
    <row r="796" ht="15.0" customHeight="1">
      <c r="A796" s="379"/>
      <c r="B796" s="379"/>
      <c r="C796" s="379"/>
      <c r="D796" s="379"/>
      <c r="E796" s="379"/>
      <c r="F796" s="380"/>
      <c r="G796" s="379"/>
      <c r="H796" s="379"/>
      <c r="I796" s="379"/>
      <c r="J796" s="379"/>
      <c r="K796" s="379"/>
      <c r="L796" s="379"/>
      <c r="M796" s="379"/>
      <c r="N796" s="379"/>
      <c r="O796" s="379"/>
      <c r="P796" s="376"/>
      <c r="Q796" s="381"/>
      <c r="R796" s="381"/>
      <c r="S796" s="376"/>
      <c r="T796" s="376"/>
      <c r="U796" s="382" t="s">
        <v>588</v>
      </c>
      <c r="V796" s="382">
        <v>15.0</v>
      </c>
      <c r="W796" s="382">
        <v>5.0</v>
      </c>
      <c r="X796" s="383">
        <v>0.7</v>
      </c>
      <c r="Y796" s="383">
        <v>0.7</v>
      </c>
      <c r="Z796" s="383">
        <v>0.7</v>
      </c>
      <c r="AA796" s="383">
        <v>1700.0</v>
      </c>
      <c r="AB796" s="383" t="s">
        <v>811</v>
      </c>
      <c r="AC796" s="383">
        <v>0.85</v>
      </c>
      <c r="AD796" s="171"/>
      <c r="AE796" s="384"/>
    </row>
    <row r="797" ht="15.0" customHeight="1">
      <c r="A797" s="379"/>
      <c r="B797" s="379"/>
      <c r="C797" s="379"/>
      <c r="D797" s="379"/>
      <c r="E797" s="379"/>
      <c r="F797" s="380"/>
      <c r="G797" s="379"/>
      <c r="H797" s="379"/>
      <c r="I797" s="379"/>
      <c r="J797" s="379"/>
      <c r="K797" s="379"/>
      <c r="L797" s="379"/>
      <c r="M797" s="379"/>
      <c r="N797" s="379"/>
      <c r="O797" s="379"/>
      <c r="P797" s="376"/>
      <c r="Q797" s="381"/>
      <c r="R797" s="381"/>
      <c r="S797" s="376"/>
      <c r="T797" s="376"/>
      <c r="U797" s="382" t="s">
        <v>509</v>
      </c>
      <c r="V797" s="382">
        <v>15.0</v>
      </c>
      <c r="W797" s="382">
        <v>5.0</v>
      </c>
      <c r="X797" s="383">
        <v>0.7</v>
      </c>
      <c r="Y797" s="383">
        <v>0.7</v>
      </c>
      <c r="Z797" s="383">
        <v>0.7</v>
      </c>
      <c r="AA797" s="383">
        <v>1700.0</v>
      </c>
      <c r="AB797" s="383" t="s">
        <v>811</v>
      </c>
      <c r="AC797" s="383">
        <v>0.85</v>
      </c>
      <c r="AD797" s="171"/>
      <c r="AE797" s="384"/>
    </row>
    <row r="798" ht="15.0" customHeight="1">
      <c r="A798" s="379"/>
      <c r="B798" s="379"/>
      <c r="C798" s="379"/>
      <c r="D798" s="379"/>
      <c r="E798" s="379"/>
      <c r="F798" s="380"/>
      <c r="G798" s="379"/>
      <c r="H798" s="379"/>
      <c r="I798" s="379"/>
      <c r="J798" s="379"/>
      <c r="K798" s="379"/>
      <c r="L798" s="379"/>
      <c r="M798" s="379"/>
      <c r="N798" s="379"/>
      <c r="O798" s="379"/>
      <c r="P798" s="376"/>
      <c r="Q798" s="381"/>
      <c r="R798" s="381"/>
      <c r="S798" s="376"/>
      <c r="T798" s="376"/>
      <c r="U798" s="382" t="s">
        <v>509</v>
      </c>
      <c r="V798" s="382">
        <v>15.0</v>
      </c>
      <c r="W798" s="382">
        <v>5.0</v>
      </c>
      <c r="X798" s="383">
        <v>0.7</v>
      </c>
      <c r="Y798" s="383">
        <v>0.7</v>
      </c>
      <c r="Z798" s="383">
        <v>0.7</v>
      </c>
      <c r="AA798" s="383">
        <v>1700.0</v>
      </c>
      <c r="AB798" s="383" t="s">
        <v>811</v>
      </c>
      <c r="AC798" s="383">
        <v>0.85</v>
      </c>
      <c r="AD798" s="171"/>
      <c r="AE798" s="384"/>
    </row>
    <row r="799" ht="15.0" customHeight="1">
      <c r="A799" s="379"/>
      <c r="B799" s="379"/>
      <c r="C799" s="379"/>
      <c r="D799" s="379"/>
      <c r="E799" s="379"/>
      <c r="F799" s="380"/>
      <c r="G799" s="379"/>
      <c r="H799" s="379"/>
      <c r="I799" s="379"/>
      <c r="J799" s="379"/>
      <c r="K799" s="379"/>
      <c r="L799" s="379"/>
      <c r="M799" s="379"/>
      <c r="N799" s="379"/>
      <c r="O799" s="379"/>
      <c r="P799" s="376"/>
      <c r="Q799" s="381"/>
      <c r="R799" s="381"/>
      <c r="S799" s="376"/>
      <c r="T799" s="376"/>
      <c r="U799" s="382" t="s">
        <v>509</v>
      </c>
      <c r="V799" s="382">
        <v>15.0</v>
      </c>
      <c r="W799" s="382">
        <v>5.0</v>
      </c>
      <c r="X799" s="383">
        <v>0.7</v>
      </c>
      <c r="Y799" s="383">
        <v>0.7</v>
      </c>
      <c r="Z799" s="383">
        <v>0.7</v>
      </c>
      <c r="AA799" s="383">
        <v>1700.0</v>
      </c>
      <c r="AB799" s="383" t="s">
        <v>811</v>
      </c>
      <c r="AC799" s="383">
        <v>0.85</v>
      </c>
      <c r="AD799" s="171"/>
      <c r="AE799" s="384"/>
    </row>
    <row r="800" ht="15.0" customHeight="1">
      <c r="A800" s="379"/>
      <c r="B800" s="379"/>
      <c r="C800" s="379"/>
      <c r="D800" s="379"/>
      <c r="E800" s="379"/>
      <c r="F800" s="380"/>
      <c r="G800" s="379"/>
      <c r="H800" s="379"/>
      <c r="I800" s="379"/>
      <c r="J800" s="379"/>
      <c r="K800" s="379"/>
      <c r="L800" s="379"/>
      <c r="M800" s="379"/>
      <c r="N800" s="379"/>
      <c r="O800" s="379"/>
      <c r="P800" s="376"/>
      <c r="Q800" s="381"/>
      <c r="R800" s="381"/>
      <c r="S800" s="376"/>
      <c r="T800" s="376"/>
      <c r="U800" s="382" t="s">
        <v>519</v>
      </c>
      <c r="V800" s="382">
        <v>15.0</v>
      </c>
      <c r="W800" s="382">
        <v>5.0</v>
      </c>
      <c r="X800" s="383">
        <v>0.7</v>
      </c>
      <c r="Y800" s="383">
        <v>0.7</v>
      </c>
      <c r="Z800" s="383">
        <v>0.7</v>
      </c>
      <c r="AA800" s="383">
        <v>1700.0</v>
      </c>
      <c r="AB800" s="383" t="s">
        <v>811</v>
      </c>
      <c r="AC800" s="383">
        <v>0.85</v>
      </c>
      <c r="AD800" s="171"/>
      <c r="AE800" s="384"/>
    </row>
    <row r="801" ht="15.0" customHeight="1">
      <c r="A801" s="379"/>
      <c r="B801" s="379"/>
      <c r="C801" s="379"/>
      <c r="D801" s="379"/>
      <c r="E801" s="379"/>
      <c r="F801" s="380"/>
      <c r="G801" s="379"/>
      <c r="H801" s="379"/>
      <c r="I801" s="379"/>
      <c r="J801" s="379"/>
      <c r="K801" s="379"/>
      <c r="L801" s="379"/>
      <c r="M801" s="379"/>
      <c r="N801" s="379"/>
      <c r="O801" s="379"/>
      <c r="P801" s="376"/>
      <c r="Q801" s="381"/>
      <c r="R801" s="381"/>
      <c r="S801" s="376"/>
      <c r="T801" s="376"/>
      <c r="U801" s="382" t="s">
        <v>509</v>
      </c>
      <c r="V801" s="382">
        <v>15.0</v>
      </c>
      <c r="W801" s="382">
        <v>5.0</v>
      </c>
      <c r="X801" s="383">
        <v>0.7</v>
      </c>
      <c r="Y801" s="383">
        <v>0.7</v>
      </c>
      <c r="Z801" s="383">
        <v>0.7</v>
      </c>
      <c r="AA801" s="383">
        <v>1700.0</v>
      </c>
      <c r="AB801" s="383" t="s">
        <v>811</v>
      </c>
      <c r="AC801" s="383">
        <v>0.85</v>
      </c>
      <c r="AD801" s="171"/>
      <c r="AE801" s="384"/>
    </row>
    <row r="802" ht="15.0" customHeight="1">
      <c r="A802" s="379"/>
      <c r="B802" s="379"/>
      <c r="C802" s="379"/>
      <c r="D802" s="379"/>
      <c r="E802" s="379"/>
      <c r="F802" s="380"/>
      <c r="G802" s="379"/>
      <c r="H802" s="379"/>
      <c r="I802" s="379"/>
      <c r="J802" s="379"/>
      <c r="K802" s="379"/>
      <c r="L802" s="379"/>
      <c r="M802" s="379"/>
      <c r="N802" s="379"/>
      <c r="O802" s="379"/>
      <c r="P802" s="376"/>
      <c r="Q802" s="381"/>
      <c r="R802" s="381"/>
      <c r="S802" s="376"/>
      <c r="T802" s="376"/>
      <c r="U802" s="382" t="s">
        <v>509</v>
      </c>
      <c r="V802" s="382">
        <v>15.0</v>
      </c>
      <c r="W802" s="382">
        <v>5.0</v>
      </c>
      <c r="X802" s="383">
        <v>0.7</v>
      </c>
      <c r="Y802" s="383">
        <v>0.7</v>
      </c>
      <c r="Z802" s="383">
        <v>0.7</v>
      </c>
      <c r="AA802" s="383">
        <v>1700.0</v>
      </c>
      <c r="AB802" s="383" t="s">
        <v>811</v>
      </c>
      <c r="AC802" s="383">
        <v>0.85</v>
      </c>
      <c r="AD802" s="171"/>
      <c r="AE802" s="384"/>
    </row>
    <row r="803" ht="15.0" customHeight="1">
      <c r="A803" s="379"/>
      <c r="B803" s="379"/>
      <c r="C803" s="379"/>
      <c r="D803" s="379"/>
      <c r="E803" s="379"/>
      <c r="F803" s="380"/>
      <c r="G803" s="379"/>
      <c r="H803" s="379"/>
      <c r="I803" s="379"/>
      <c r="J803" s="379"/>
      <c r="K803" s="379"/>
      <c r="L803" s="379"/>
      <c r="M803" s="379"/>
      <c r="N803" s="379"/>
      <c r="O803" s="379"/>
      <c r="P803" s="376"/>
      <c r="Q803" s="381"/>
      <c r="R803" s="381"/>
      <c r="S803" s="376"/>
      <c r="T803" s="376"/>
      <c r="U803" s="382" t="s">
        <v>509</v>
      </c>
      <c r="V803" s="382">
        <v>15.0</v>
      </c>
      <c r="W803" s="382">
        <v>5.0</v>
      </c>
      <c r="X803" s="383">
        <v>0.7</v>
      </c>
      <c r="Y803" s="383">
        <v>0.7</v>
      </c>
      <c r="Z803" s="383">
        <v>0.7</v>
      </c>
      <c r="AA803" s="383">
        <v>1700.0</v>
      </c>
      <c r="AB803" s="383" t="s">
        <v>811</v>
      </c>
      <c r="AC803" s="383">
        <v>0.85</v>
      </c>
      <c r="AD803" s="171"/>
      <c r="AE803" s="384"/>
    </row>
    <row r="804" ht="15.0" customHeight="1">
      <c r="A804" s="379"/>
      <c r="B804" s="379"/>
      <c r="C804" s="379"/>
      <c r="D804" s="379"/>
      <c r="E804" s="379"/>
      <c r="F804" s="380"/>
      <c r="G804" s="379"/>
      <c r="H804" s="379"/>
      <c r="I804" s="379"/>
      <c r="J804" s="379"/>
      <c r="K804" s="379"/>
      <c r="L804" s="379"/>
      <c r="M804" s="379"/>
      <c r="N804" s="379"/>
      <c r="O804" s="379"/>
      <c r="P804" s="376"/>
      <c r="Q804" s="381"/>
      <c r="R804" s="381"/>
      <c r="S804" s="376"/>
      <c r="T804" s="376"/>
      <c r="U804" s="382" t="s">
        <v>509</v>
      </c>
      <c r="V804" s="382">
        <v>15.0</v>
      </c>
      <c r="W804" s="382">
        <v>5.0</v>
      </c>
      <c r="X804" s="383">
        <v>0.7</v>
      </c>
      <c r="Y804" s="383">
        <v>0.7</v>
      </c>
      <c r="Z804" s="383">
        <v>0.7</v>
      </c>
      <c r="AA804" s="383">
        <v>1700.0</v>
      </c>
      <c r="AB804" s="383" t="s">
        <v>811</v>
      </c>
      <c r="AC804" s="383">
        <v>0.85</v>
      </c>
      <c r="AD804" s="171"/>
      <c r="AE804" s="384"/>
    </row>
    <row r="805" ht="15.0" customHeight="1">
      <c r="A805" s="379"/>
      <c r="B805" s="379"/>
      <c r="C805" s="379"/>
      <c r="D805" s="379"/>
      <c r="E805" s="379"/>
      <c r="F805" s="380"/>
      <c r="G805" s="379"/>
      <c r="H805" s="379"/>
      <c r="I805" s="379"/>
      <c r="J805" s="379"/>
      <c r="K805" s="379"/>
      <c r="L805" s="379"/>
      <c r="M805" s="379"/>
      <c r="N805" s="379"/>
      <c r="O805" s="379"/>
      <c r="P805" s="376"/>
      <c r="Q805" s="381"/>
      <c r="R805" s="381"/>
      <c r="S805" s="376"/>
      <c r="T805" s="376"/>
      <c r="U805" s="382" t="s">
        <v>509</v>
      </c>
      <c r="V805" s="382">
        <v>15.0</v>
      </c>
      <c r="W805" s="382">
        <v>5.0</v>
      </c>
      <c r="X805" s="383">
        <v>0.7</v>
      </c>
      <c r="Y805" s="383">
        <v>0.7</v>
      </c>
      <c r="Z805" s="383">
        <v>0.7</v>
      </c>
      <c r="AA805" s="383">
        <v>1700.0</v>
      </c>
      <c r="AB805" s="383" t="s">
        <v>811</v>
      </c>
      <c r="AC805" s="383">
        <v>0.85</v>
      </c>
      <c r="AD805" s="171"/>
      <c r="AE805" s="384"/>
    </row>
    <row r="806" ht="15.0" customHeight="1">
      <c r="A806" s="379"/>
      <c r="B806" s="379"/>
      <c r="C806" s="379"/>
      <c r="D806" s="379"/>
      <c r="E806" s="379"/>
      <c r="F806" s="380"/>
      <c r="G806" s="379"/>
      <c r="H806" s="379"/>
      <c r="I806" s="379"/>
      <c r="J806" s="379"/>
      <c r="K806" s="379"/>
      <c r="L806" s="379"/>
      <c r="M806" s="379"/>
      <c r="N806" s="379"/>
      <c r="O806" s="379"/>
      <c r="P806" s="376"/>
      <c r="Q806" s="381"/>
      <c r="R806" s="381"/>
      <c r="S806" s="376"/>
      <c r="T806" s="376"/>
      <c r="U806" s="382" t="s">
        <v>509</v>
      </c>
      <c r="V806" s="382">
        <v>15.0</v>
      </c>
      <c r="W806" s="382">
        <v>5.0</v>
      </c>
      <c r="X806" s="383">
        <v>0.7</v>
      </c>
      <c r="Y806" s="383">
        <v>0.7</v>
      </c>
      <c r="Z806" s="383">
        <v>0.7</v>
      </c>
      <c r="AA806" s="383">
        <v>1700.0</v>
      </c>
      <c r="AB806" s="383" t="s">
        <v>811</v>
      </c>
      <c r="AC806" s="383">
        <v>0.85</v>
      </c>
      <c r="AD806" s="171"/>
      <c r="AE806" s="384"/>
    </row>
    <row r="807" ht="15.0" customHeight="1">
      <c r="A807" s="379"/>
      <c r="B807" s="379"/>
      <c r="C807" s="379"/>
      <c r="D807" s="379"/>
      <c r="E807" s="379"/>
      <c r="F807" s="380"/>
      <c r="G807" s="379"/>
      <c r="H807" s="379"/>
      <c r="I807" s="379"/>
      <c r="J807" s="379"/>
      <c r="K807" s="379"/>
      <c r="L807" s="379"/>
      <c r="M807" s="379"/>
      <c r="N807" s="379"/>
      <c r="O807" s="379"/>
      <c r="P807" s="376"/>
      <c r="Q807" s="381"/>
      <c r="R807" s="381"/>
      <c r="S807" s="376"/>
      <c r="T807" s="376"/>
      <c r="U807" s="382" t="s">
        <v>509</v>
      </c>
      <c r="V807" s="382">
        <v>15.0</v>
      </c>
      <c r="W807" s="382">
        <v>5.0</v>
      </c>
      <c r="X807" s="383">
        <v>0.7</v>
      </c>
      <c r="Y807" s="383">
        <v>0.7</v>
      </c>
      <c r="Z807" s="383">
        <v>0.7</v>
      </c>
      <c r="AA807" s="383">
        <v>1700.0</v>
      </c>
      <c r="AB807" s="383" t="s">
        <v>811</v>
      </c>
      <c r="AC807" s="383">
        <v>0.85</v>
      </c>
      <c r="AD807" s="171"/>
      <c r="AE807" s="384"/>
    </row>
    <row r="808" ht="15.0" customHeight="1">
      <c r="A808" s="379"/>
      <c r="B808" s="379"/>
      <c r="C808" s="379"/>
      <c r="D808" s="379"/>
      <c r="E808" s="379"/>
      <c r="F808" s="380"/>
      <c r="G808" s="379"/>
      <c r="H808" s="379"/>
      <c r="I808" s="379"/>
      <c r="J808" s="379"/>
      <c r="K808" s="379"/>
      <c r="L808" s="379"/>
      <c r="M808" s="379"/>
      <c r="N808" s="379"/>
      <c r="O808" s="379"/>
      <c r="P808" s="376"/>
      <c r="Q808" s="381"/>
      <c r="R808" s="381"/>
      <c r="S808" s="376"/>
      <c r="T808" s="376"/>
      <c r="U808" s="382" t="s">
        <v>519</v>
      </c>
      <c r="V808" s="382">
        <v>15.0</v>
      </c>
      <c r="W808" s="382">
        <v>5.0</v>
      </c>
      <c r="X808" s="383">
        <v>0.7</v>
      </c>
      <c r="Y808" s="383">
        <v>0.7</v>
      </c>
      <c r="Z808" s="383">
        <v>0.7</v>
      </c>
      <c r="AA808" s="383">
        <v>1700.0</v>
      </c>
      <c r="AB808" s="383" t="s">
        <v>811</v>
      </c>
      <c r="AC808" s="383">
        <v>0.85</v>
      </c>
      <c r="AD808" s="171"/>
      <c r="AE808" s="384"/>
    </row>
    <row r="809" ht="15.0" customHeight="1">
      <c r="A809" s="379"/>
      <c r="B809" s="379"/>
      <c r="C809" s="379"/>
      <c r="D809" s="379"/>
      <c r="E809" s="379"/>
      <c r="F809" s="380"/>
      <c r="G809" s="379"/>
      <c r="H809" s="379"/>
      <c r="I809" s="379"/>
      <c r="J809" s="379"/>
      <c r="K809" s="379"/>
      <c r="L809" s="379"/>
      <c r="M809" s="379"/>
      <c r="N809" s="379"/>
      <c r="O809" s="379"/>
      <c r="P809" s="376"/>
      <c r="Q809" s="381"/>
      <c r="R809" s="381"/>
      <c r="S809" s="376"/>
      <c r="T809" s="376"/>
      <c r="U809" s="382" t="s">
        <v>509</v>
      </c>
      <c r="V809" s="382">
        <v>15.0</v>
      </c>
      <c r="W809" s="382">
        <v>5.0</v>
      </c>
      <c r="X809" s="383">
        <v>0.7</v>
      </c>
      <c r="Y809" s="383">
        <v>0.7</v>
      </c>
      <c r="Z809" s="383">
        <v>0.7</v>
      </c>
      <c r="AA809" s="383">
        <v>1700.0</v>
      </c>
      <c r="AB809" s="383" t="s">
        <v>811</v>
      </c>
      <c r="AC809" s="383">
        <v>0.85</v>
      </c>
      <c r="AD809" s="171"/>
      <c r="AE809" s="384"/>
    </row>
    <row r="810" ht="15.0" customHeight="1">
      <c r="A810" s="379"/>
      <c r="B810" s="379"/>
      <c r="C810" s="379"/>
      <c r="D810" s="379"/>
      <c r="E810" s="379"/>
      <c r="F810" s="380"/>
      <c r="G810" s="379"/>
      <c r="H810" s="379"/>
      <c r="I810" s="379"/>
      <c r="J810" s="379"/>
      <c r="K810" s="379"/>
      <c r="L810" s="379"/>
      <c r="M810" s="379"/>
      <c r="N810" s="379"/>
      <c r="O810" s="379"/>
      <c r="P810" s="376"/>
      <c r="Q810" s="381"/>
      <c r="R810" s="381"/>
      <c r="S810" s="376"/>
      <c r="T810" s="376"/>
      <c r="U810" s="382" t="s">
        <v>509</v>
      </c>
      <c r="V810" s="382">
        <v>15.0</v>
      </c>
      <c r="W810" s="382">
        <v>5.0</v>
      </c>
      <c r="X810" s="383">
        <v>0.7</v>
      </c>
      <c r="Y810" s="383">
        <v>0.7</v>
      </c>
      <c r="Z810" s="383">
        <v>0.7</v>
      </c>
      <c r="AA810" s="383">
        <v>1700.0</v>
      </c>
      <c r="AB810" s="383" t="s">
        <v>811</v>
      </c>
      <c r="AC810" s="383">
        <v>0.85</v>
      </c>
      <c r="AD810" s="171"/>
      <c r="AE810" s="384"/>
    </row>
    <row r="811" ht="15.0" customHeight="1">
      <c r="A811" s="379"/>
      <c r="B811" s="379"/>
      <c r="C811" s="379"/>
      <c r="D811" s="379"/>
      <c r="E811" s="379"/>
      <c r="F811" s="380"/>
      <c r="G811" s="379"/>
      <c r="H811" s="379"/>
      <c r="I811" s="379"/>
      <c r="J811" s="379"/>
      <c r="K811" s="379"/>
      <c r="L811" s="379"/>
      <c r="M811" s="379"/>
      <c r="N811" s="379"/>
      <c r="O811" s="379"/>
      <c r="P811" s="376"/>
      <c r="Q811" s="381"/>
      <c r="R811" s="381"/>
      <c r="S811" s="376"/>
      <c r="T811" s="376"/>
      <c r="U811" s="382" t="s">
        <v>509</v>
      </c>
      <c r="V811" s="382">
        <v>15.0</v>
      </c>
      <c r="W811" s="382">
        <v>5.0</v>
      </c>
      <c r="X811" s="383">
        <v>0.7</v>
      </c>
      <c r="Y811" s="383">
        <v>0.7</v>
      </c>
      <c r="Z811" s="383">
        <v>0.7</v>
      </c>
      <c r="AA811" s="383">
        <v>1700.0</v>
      </c>
      <c r="AB811" s="383" t="s">
        <v>811</v>
      </c>
      <c r="AC811" s="383">
        <v>0.85</v>
      </c>
      <c r="AD811" s="171"/>
      <c r="AE811" s="384"/>
    </row>
    <row r="812" ht="15.0" customHeight="1">
      <c r="A812" s="379"/>
      <c r="B812" s="379"/>
      <c r="C812" s="379"/>
      <c r="D812" s="379"/>
      <c r="E812" s="379"/>
      <c r="F812" s="380"/>
      <c r="G812" s="379"/>
      <c r="H812" s="379"/>
      <c r="I812" s="379"/>
      <c r="J812" s="379"/>
      <c r="K812" s="379"/>
      <c r="L812" s="379"/>
      <c r="M812" s="379"/>
      <c r="N812" s="379"/>
      <c r="O812" s="379"/>
      <c r="P812" s="376"/>
      <c r="Q812" s="381"/>
      <c r="R812" s="381"/>
      <c r="S812" s="376"/>
      <c r="T812" s="376"/>
      <c r="U812" s="382" t="s">
        <v>509</v>
      </c>
      <c r="V812" s="382">
        <v>15.0</v>
      </c>
      <c r="W812" s="382">
        <v>5.0</v>
      </c>
      <c r="X812" s="383">
        <v>0.7</v>
      </c>
      <c r="Y812" s="383">
        <v>0.7</v>
      </c>
      <c r="Z812" s="383">
        <v>0.7</v>
      </c>
      <c r="AA812" s="383">
        <v>1700.0</v>
      </c>
      <c r="AB812" s="383" t="s">
        <v>811</v>
      </c>
      <c r="AC812" s="383">
        <v>0.85</v>
      </c>
      <c r="AD812" s="171"/>
      <c r="AE812" s="384"/>
    </row>
    <row r="813" ht="15.0" customHeight="1">
      <c r="A813" s="379"/>
      <c r="B813" s="379"/>
      <c r="C813" s="379"/>
      <c r="D813" s="379"/>
      <c r="E813" s="379"/>
      <c r="F813" s="380"/>
      <c r="G813" s="379"/>
      <c r="H813" s="379"/>
      <c r="I813" s="379"/>
      <c r="J813" s="379"/>
      <c r="K813" s="379"/>
      <c r="L813" s="379"/>
      <c r="M813" s="379"/>
      <c r="N813" s="379"/>
      <c r="O813" s="379"/>
      <c r="P813" s="376"/>
      <c r="Q813" s="381"/>
      <c r="R813" s="381"/>
      <c r="S813" s="376"/>
      <c r="T813" s="376"/>
      <c r="U813" s="382" t="s">
        <v>509</v>
      </c>
      <c r="V813" s="382">
        <v>15.0</v>
      </c>
      <c r="W813" s="382">
        <v>5.0</v>
      </c>
      <c r="X813" s="383">
        <v>0.7</v>
      </c>
      <c r="Y813" s="383">
        <v>0.7</v>
      </c>
      <c r="Z813" s="383">
        <v>0.7</v>
      </c>
      <c r="AA813" s="383">
        <v>1700.0</v>
      </c>
      <c r="AB813" s="383" t="s">
        <v>811</v>
      </c>
      <c r="AC813" s="383">
        <v>0.85</v>
      </c>
      <c r="AD813" s="171"/>
      <c r="AE813" s="384"/>
    </row>
    <row r="814" ht="15.0" customHeight="1">
      <c r="A814" s="379"/>
      <c r="B814" s="379"/>
      <c r="C814" s="379"/>
      <c r="D814" s="379"/>
      <c r="E814" s="379"/>
      <c r="F814" s="380"/>
      <c r="G814" s="379"/>
      <c r="H814" s="379"/>
      <c r="I814" s="379"/>
      <c r="J814" s="379"/>
      <c r="K814" s="379"/>
      <c r="L814" s="379"/>
      <c r="M814" s="379"/>
      <c r="N814" s="379"/>
      <c r="O814" s="379"/>
      <c r="P814" s="376"/>
      <c r="Q814" s="381"/>
      <c r="R814" s="381"/>
      <c r="S814" s="376"/>
      <c r="T814" s="376"/>
      <c r="U814" s="382" t="s">
        <v>588</v>
      </c>
      <c r="V814" s="382">
        <v>15.0</v>
      </c>
      <c r="W814" s="382">
        <v>5.0</v>
      </c>
      <c r="X814" s="383">
        <v>0.7</v>
      </c>
      <c r="Y814" s="383">
        <v>0.7</v>
      </c>
      <c r="Z814" s="383">
        <v>0.7</v>
      </c>
      <c r="AA814" s="383">
        <v>1700.0</v>
      </c>
      <c r="AB814" s="383" t="s">
        <v>811</v>
      </c>
      <c r="AC814" s="383">
        <v>0.85</v>
      </c>
      <c r="AD814" s="171"/>
      <c r="AE814" s="384"/>
    </row>
    <row r="815" ht="15.0" customHeight="1">
      <c r="A815" s="379"/>
      <c r="B815" s="379"/>
      <c r="C815" s="379"/>
      <c r="D815" s="379"/>
      <c r="E815" s="379"/>
      <c r="F815" s="380"/>
      <c r="G815" s="379"/>
      <c r="H815" s="379"/>
      <c r="I815" s="379"/>
      <c r="J815" s="379"/>
      <c r="K815" s="379"/>
      <c r="L815" s="379"/>
      <c r="M815" s="379"/>
      <c r="N815" s="379"/>
      <c r="O815" s="379"/>
      <c r="P815" s="376"/>
      <c r="Q815" s="381"/>
      <c r="R815" s="381"/>
      <c r="S815" s="376"/>
      <c r="T815" s="376"/>
      <c r="U815" s="382" t="s">
        <v>588</v>
      </c>
      <c r="V815" s="382">
        <v>15.0</v>
      </c>
      <c r="W815" s="382">
        <v>5.0</v>
      </c>
      <c r="X815" s="383">
        <v>0.7</v>
      </c>
      <c r="Y815" s="383">
        <v>0.7</v>
      </c>
      <c r="Z815" s="383">
        <v>0.7</v>
      </c>
      <c r="AA815" s="383">
        <v>1700.0</v>
      </c>
      <c r="AB815" s="383" t="s">
        <v>811</v>
      </c>
      <c r="AC815" s="383">
        <v>0.85</v>
      </c>
      <c r="AD815" s="171"/>
      <c r="AE815" s="384"/>
    </row>
    <row r="816" ht="15.0" customHeight="1">
      <c r="A816" s="379"/>
      <c r="B816" s="379"/>
      <c r="C816" s="379"/>
      <c r="D816" s="379"/>
      <c r="E816" s="379"/>
      <c r="F816" s="380"/>
      <c r="G816" s="379"/>
      <c r="H816" s="379"/>
      <c r="I816" s="379"/>
      <c r="J816" s="379"/>
      <c r="K816" s="379"/>
      <c r="L816" s="379"/>
      <c r="M816" s="379"/>
      <c r="N816" s="379"/>
      <c r="O816" s="379"/>
      <c r="P816" s="376"/>
      <c r="Q816" s="381"/>
      <c r="R816" s="381"/>
      <c r="S816" s="376"/>
      <c r="T816" s="376"/>
      <c r="U816" s="382" t="s">
        <v>588</v>
      </c>
      <c r="V816" s="382">
        <v>15.0</v>
      </c>
      <c r="W816" s="382">
        <v>5.0</v>
      </c>
      <c r="X816" s="383">
        <v>0.7</v>
      </c>
      <c r="Y816" s="383">
        <v>0.7</v>
      </c>
      <c r="Z816" s="383">
        <v>0.7</v>
      </c>
      <c r="AA816" s="383">
        <v>1700.0</v>
      </c>
      <c r="AB816" s="383" t="s">
        <v>811</v>
      </c>
      <c r="AC816" s="383">
        <v>0.85</v>
      </c>
      <c r="AD816" s="171"/>
      <c r="AE816" s="384"/>
    </row>
    <row r="817" ht="15.0" customHeight="1">
      <c r="A817" s="379"/>
      <c r="B817" s="379"/>
      <c r="C817" s="379"/>
      <c r="D817" s="379"/>
      <c r="E817" s="379"/>
      <c r="F817" s="380"/>
      <c r="G817" s="379"/>
      <c r="H817" s="379"/>
      <c r="I817" s="379"/>
      <c r="J817" s="379"/>
      <c r="K817" s="379"/>
      <c r="L817" s="379"/>
      <c r="M817" s="379"/>
      <c r="N817" s="379"/>
      <c r="O817" s="379"/>
      <c r="P817" s="376"/>
      <c r="Q817" s="381"/>
      <c r="R817" s="381"/>
      <c r="S817" s="376"/>
      <c r="T817" s="376"/>
      <c r="U817" s="382" t="s">
        <v>588</v>
      </c>
      <c r="V817" s="382">
        <v>15.0</v>
      </c>
      <c r="W817" s="382">
        <v>5.0</v>
      </c>
      <c r="X817" s="383">
        <v>0.7</v>
      </c>
      <c r="Y817" s="383">
        <v>0.7</v>
      </c>
      <c r="Z817" s="383">
        <v>0.7</v>
      </c>
      <c r="AA817" s="383">
        <v>1700.0</v>
      </c>
      <c r="AB817" s="383" t="s">
        <v>811</v>
      </c>
      <c r="AC817" s="383">
        <v>0.85</v>
      </c>
      <c r="AD817" s="171"/>
      <c r="AE817" s="384"/>
    </row>
    <row r="818" ht="15.0" customHeight="1">
      <c r="A818" s="379"/>
      <c r="B818" s="379"/>
      <c r="C818" s="379"/>
      <c r="D818" s="379"/>
      <c r="E818" s="379"/>
      <c r="F818" s="380"/>
      <c r="G818" s="379"/>
      <c r="H818" s="379"/>
      <c r="I818" s="379"/>
      <c r="J818" s="379"/>
      <c r="K818" s="379"/>
      <c r="L818" s="379"/>
      <c r="M818" s="379"/>
      <c r="N818" s="379"/>
      <c r="O818" s="379"/>
      <c r="P818" s="376"/>
      <c r="Q818" s="381"/>
      <c r="R818" s="381"/>
      <c r="S818" s="376"/>
      <c r="T818" s="376"/>
      <c r="U818" s="382" t="s">
        <v>588</v>
      </c>
      <c r="V818" s="382">
        <v>15.0</v>
      </c>
      <c r="W818" s="382">
        <v>5.0</v>
      </c>
      <c r="X818" s="383">
        <v>0.7</v>
      </c>
      <c r="Y818" s="383">
        <v>0.7</v>
      </c>
      <c r="Z818" s="383">
        <v>0.7</v>
      </c>
      <c r="AA818" s="383">
        <v>1700.0</v>
      </c>
      <c r="AB818" s="383" t="s">
        <v>811</v>
      </c>
      <c r="AC818" s="383">
        <v>0.85</v>
      </c>
      <c r="AD818" s="171"/>
      <c r="AE818" s="384"/>
    </row>
    <row r="819" ht="15.0" customHeight="1">
      <c r="A819" s="379"/>
      <c r="B819" s="379"/>
      <c r="C819" s="379"/>
      <c r="D819" s="379"/>
      <c r="E819" s="379"/>
      <c r="F819" s="380"/>
      <c r="G819" s="379"/>
      <c r="H819" s="379"/>
      <c r="I819" s="379"/>
      <c r="J819" s="379"/>
      <c r="K819" s="379"/>
      <c r="L819" s="379"/>
      <c r="M819" s="379"/>
      <c r="N819" s="379"/>
      <c r="O819" s="379"/>
      <c r="P819" s="376"/>
      <c r="Q819" s="381"/>
      <c r="R819" s="381"/>
      <c r="S819" s="376"/>
      <c r="T819" s="376"/>
      <c r="U819" s="382" t="s">
        <v>509</v>
      </c>
      <c r="V819" s="382">
        <v>15.0</v>
      </c>
      <c r="W819" s="382">
        <v>5.0</v>
      </c>
      <c r="X819" s="383">
        <v>0.7</v>
      </c>
      <c r="Y819" s="383">
        <v>0.7</v>
      </c>
      <c r="Z819" s="383">
        <v>0.7</v>
      </c>
      <c r="AA819" s="383">
        <v>1700.0</v>
      </c>
      <c r="AB819" s="383" t="s">
        <v>811</v>
      </c>
      <c r="AC819" s="383">
        <v>0.85</v>
      </c>
      <c r="AD819" s="171"/>
      <c r="AE819" s="384"/>
    </row>
    <row r="820" ht="15.0" customHeight="1">
      <c r="A820" s="379"/>
      <c r="B820" s="379"/>
      <c r="C820" s="379"/>
      <c r="D820" s="379"/>
      <c r="E820" s="379"/>
      <c r="F820" s="380"/>
      <c r="G820" s="379"/>
      <c r="H820" s="379"/>
      <c r="I820" s="379"/>
      <c r="J820" s="379"/>
      <c r="K820" s="379"/>
      <c r="L820" s="379"/>
      <c r="M820" s="379"/>
      <c r="N820" s="379"/>
      <c r="O820" s="379"/>
      <c r="P820" s="376"/>
      <c r="Q820" s="381"/>
      <c r="R820" s="381"/>
      <c r="S820" s="376"/>
      <c r="T820" s="376"/>
      <c r="U820" s="382" t="s">
        <v>509</v>
      </c>
      <c r="V820" s="382">
        <v>15.0</v>
      </c>
      <c r="W820" s="382">
        <v>5.0</v>
      </c>
      <c r="X820" s="383">
        <v>0.7</v>
      </c>
      <c r="Y820" s="383">
        <v>0.7</v>
      </c>
      <c r="Z820" s="383">
        <v>0.7</v>
      </c>
      <c r="AA820" s="383">
        <v>1700.0</v>
      </c>
      <c r="AB820" s="383" t="s">
        <v>811</v>
      </c>
      <c r="AC820" s="383">
        <v>0.85</v>
      </c>
      <c r="AD820" s="171"/>
      <c r="AE820" s="384"/>
    </row>
    <row r="821" ht="15.0" customHeight="1">
      <c r="A821" s="379"/>
      <c r="B821" s="379"/>
      <c r="C821" s="379"/>
      <c r="D821" s="379"/>
      <c r="E821" s="379"/>
      <c r="F821" s="380"/>
      <c r="G821" s="379"/>
      <c r="H821" s="379"/>
      <c r="I821" s="379"/>
      <c r="J821" s="379"/>
      <c r="K821" s="379"/>
      <c r="L821" s="379"/>
      <c r="M821" s="379"/>
      <c r="N821" s="379"/>
      <c r="O821" s="379"/>
      <c r="P821" s="376"/>
      <c r="Q821" s="381"/>
      <c r="R821" s="381"/>
      <c r="S821" s="376"/>
      <c r="T821" s="376"/>
      <c r="U821" s="382" t="s">
        <v>519</v>
      </c>
      <c r="V821" s="382">
        <v>15.0</v>
      </c>
      <c r="W821" s="382">
        <v>5.0</v>
      </c>
      <c r="X821" s="383">
        <v>0.7</v>
      </c>
      <c r="Y821" s="383">
        <v>0.7</v>
      </c>
      <c r="Z821" s="383">
        <v>0.7</v>
      </c>
      <c r="AA821" s="383">
        <v>1700.0</v>
      </c>
      <c r="AB821" s="383" t="s">
        <v>811</v>
      </c>
      <c r="AC821" s="383">
        <v>0.85</v>
      </c>
      <c r="AD821" s="171"/>
      <c r="AE821" s="384"/>
    </row>
    <row r="822" ht="15.0" customHeight="1">
      <c r="A822" s="379"/>
      <c r="B822" s="379"/>
      <c r="C822" s="379"/>
      <c r="D822" s="379"/>
      <c r="E822" s="379"/>
      <c r="F822" s="380"/>
      <c r="G822" s="379"/>
      <c r="H822" s="379"/>
      <c r="I822" s="379"/>
      <c r="J822" s="379"/>
      <c r="K822" s="379"/>
      <c r="L822" s="379"/>
      <c r="M822" s="379"/>
      <c r="N822" s="379"/>
      <c r="O822" s="379"/>
      <c r="P822" s="376"/>
      <c r="Q822" s="381"/>
      <c r="R822" s="381"/>
      <c r="S822" s="376"/>
      <c r="T822" s="376"/>
      <c r="U822" s="382" t="s">
        <v>509</v>
      </c>
      <c r="V822" s="382">
        <v>15.0</v>
      </c>
      <c r="W822" s="382">
        <v>5.0</v>
      </c>
      <c r="X822" s="383">
        <v>0.7</v>
      </c>
      <c r="Y822" s="383">
        <v>0.7</v>
      </c>
      <c r="Z822" s="383">
        <v>0.7</v>
      </c>
      <c r="AA822" s="383">
        <v>1700.0</v>
      </c>
      <c r="AB822" s="383" t="s">
        <v>811</v>
      </c>
      <c r="AC822" s="383">
        <v>0.85</v>
      </c>
      <c r="AD822" s="171"/>
      <c r="AE822" s="384"/>
    </row>
    <row r="823" ht="15.0" customHeight="1">
      <c r="A823" s="379"/>
      <c r="B823" s="379"/>
      <c r="C823" s="379"/>
      <c r="D823" s="379"/>
      <c r="E823" s="379"/>
      <c r="F823" s="380"/>
      <c r="G823" s="379"/>
      <c r="H823" s="379"/>
      <c r="I823" s="379"/>
      <c r="J823" s="379"/>
      <c r="K823" s="379"/>
      <c r="L823" s="379"/>
      <c r="M823" s="379"/>
      <c r="N823" s="379"/>
      <c r="O823" s="379"/>
      <c r="P823" s="376"/>
      <c r="Q823" s="381"/>
      <c r="R823" s="381"/>
      <c r="S823" s="376"/>
      <c r="T823" s="376"/>
      <c r="U823" s="382" t="s">
        <v>509</v>
      </c>
      <c r="V823" s="382">
        <v>15.0</v>
      </c>
      <c r="W823" s="382">
        <v>5.0</v>
      </c>
      <c r="X823" s="383">
        <v>0.7</v>
      </c>
      <c r="Y823" s="383">
        <v>0.7</v>
      </c>
      <c r="Z823" s="383">
        <v>0.7</v>
      </c>
      <c r="AA823" s="383">
        <v>1700.0</v>
      </c>
      <c r="AB823" s="383" t="s">
        <v>811</v>
      </c>
      <c r="AC823" s="383">
        <v>0.85</v>
      </c>
      <c r="AD823" s="171"/>
      <c r="AE823" s="384"/>
    </row>
    <row r="824" ht="15.0" customHeight="1">
      <c r="A824" s="379"/>
      <c r="B824" s="379"/>
      <c r="C824" s="379"/>
      <c r="D824" s="379"/>
      <c r="E824" s="379"/>
      <c r="F824" s="380"/>
      <c r="G824" s="379"/>
      <c r="H824" s="379"/>
      <c r="I824" s="379"/>
      <c r="J824" s="379"/>
      <c r="K824" s="379"/>
      <c r="L824" s="379"/>
      <c r="M824" s="379"/>
      <c r="N824" s="379"/>
      <c r="O824" s="379"/>
      <c r="P824" s="376"/>
      <c r="Q824" s="381"/>
      <c r="R824" s="381"/>
      <c r="S824" s="376"/>
      <c r="T824" s="376"/>
      <c r="U824" s="382" t="s">
        <v>509</v>
      </c>
      <c r="V824" s="382">
        <v>15.0</v>
      </c>
      <c r="W824" s="382">
        <v>5.0</v>
      </c>
      <c r="X824" s="383">
        <v>0.7</v>
      </c>
      <c r="Y824" s="383">
        <v>0.7</v>
      </c>
      <c r="Z824" s="383">
        <v>0.7</v>
      </c>
      <c r="AA824" s="383">
        <v>1700.0</v>
      </c>
      <c r="AB824" s="383" t="s">
        <v>811</v>
      </c>
      <c r="AC824" s="383">
        <v>0.85</v>
      </c>
      <c r="AD824" s="171"/>
      <c r="AE824" s="384"/>
    </row>
    <row r="825" ht="15.0" customHeight="1">
      <c r="A825" s="379"/>
      <c r="B825" s="379"/>
      <c r="C825" s="379"/>
      <c r="D825" s="379"/>
      <c r="E825" s="379"/>
      <c r="F825" s="380"/>
      <c r="G825" s="379"/>
      <c r="H825" s="379"/>
      <c r="I825" s="379"/>
      <c r="J825" s="379"/>
      <c r="K825" s="379"/>
      <c r="L825" s="379"/>
      <c r="M825" s="379"/>
      <c r="N825" s="379"/>
      <c r="O825" s="379"/>
      <c r="P825" s="376"/>
      <c r="Q825" s="381"/>
      <c r="R825" s="381"/>
      <c r="S825" s="376"/>
      <c r="T825" s="376"/>
      <c r="U825" s="382" t="s">
        <v>509</v>
      </c>
      <c r="V825" s="382">
        <v>15.0</v>
      </c>
      <c r="W825" s="382">
        <v>5.0</v>
      </c>
      <c r="X825" s="383">
        <v>0.7</v>
      </c>
      <c r="Y825" s="383">
        <v>0.7</v>
      </c>
      <c r="Z825" s="383">
        <v>0.7</v>
      </c>
      <c r="AA825" s="383">
        <v>1700.0</v>
      </c>
      <c r="AB825" s="383" t="s">
        <v>811</v>
      </c>
      <c r="AC825" s="383">
        <v>0.85</v>
      </c>
      <c r="AD825" s="171"/>
      <c r="AE825" s="384"/>
    </row>
    <row r="826" ht="15.0" customHeight="1">
      <c r="A826" s="379"/>
      <c r="B826" s="379"/>
      <c r="C826" s="379"/>
      <c r="D826" s="379"/>
      <c r="E826" s="379"/>
      <c r="F826" s="380"/>
      <c r="G826" s="379"/>
      <c r="H826" s="379"/>
      <c r="I826" s="379"/>
      <c r="J826" s="379"/>
      <c r="K826" s="379"/>
      <c r="L826" s="379"/>
      <c r="M826" s="379"/>
      <c r="N826" s="379"/>
      <c r="O826" s="379"/>
      <c r="P826" s="376"/>
      <c r="Q826" s="381"/>
      <c r="R826" s="381"/>
      <c r="S826" s="376"/>
      <c r="T826" s="376"/>
      <c r="U826" s="382" t="s">
        <v>509</v>
      </c>
      <c r="V826" s="382">
        <v>15.0</v>
      </c>
      <c r="W826" s="382">
        <v>5.0</v>
      </c>
      <c r="X826" s="383">
        <v>0.7</v>
      </c>
      <c r="Y826" s="383">
        <v>0.7</v>
      </c>
      <c r="Z826" s="383">
        <v>0.7</v>
      </c>
      <c r="AA826" s="383">
        <v>1700.0</v>
      </c>
      <c r="AB826" s="383" t="s">
        <v>811</v>
      </c>
      <c r="AC826" s="383">
        <v>0.85</v>
      </c>
      <c r="AD826" s="171"/>
      <c r="AE826" s="384"/>
    </row>
    <row r="827" ht="15.0" customHeight="1">
      <c r="A827" s="379"/>
      <c r="B827" s="379"/>
      <c r="C827" s="379"/>
      <c r="D827" s="379"/>
      <c r="E827" s="379"/>
      <c r="F827" s="380"/>
      <c r="G827" s="379"/>
      <c r="H827" s="379"/>
      <c r="I827" s="379"/>
      <c r="J827" s="379"/>
      <c r="K827" s="379"/>
      <c r="L827" s="379"/>
      <c r="M827" s="379"/>
      <c r="N827" s="379"/>
      <c r="O827" s="379"/>
      <c r="P827" s="376"/>
      <c r="Q827" s="381"/>
      <c r="R827" s="381"/>
      <c r="S827" s="376"/>
      <c r="T827" s="376"/>
      <c r="U827" s="382" t="s">
        <v>509</v>
      </c>
      <c r="V827" s="382">
        <v>15.0</v>
      </c>
      <c r="W827" s="382">
        <v>5.0</v>
      </c>
      <c r="X827" s="383">
        <v>0.7</v>
      </c>
      <c r="Y827" s="383">
        <v>0.7</v>
      </c>
      <c r="Z827" s="383">
        <v>0.7</v>
      </c>
      <c r="AA827" s="383">
        <v>1700.0</v>
      </c>
      <c r="AB827" s="383" t="s">
        <v>811</v>
      </c>
      <c r="AC827" s="383">
        <v>0.85</v>
      </c>
      <c r="AD827" s="171"/>
      <c r="AE827" s="384"/>
    </row>
    <row r="828" ht="15.0" customHeight="1">
      <c r="A828" s="379"/>
      <c r="B828" s="379"/>
      <c r="C828" s="379"/>
      <c r="D828" s="379"/>
      <c r="E828" s="379"/>
      <c r="F828" s="380"/>
      <c r="G828" s="379"/>
      <c r="H828" s="379"/>
      <c r="I828" s="379"/>
      <c r="J828" s="379"/>
      <c r="K828" s="379"/>
      <c r="L828" s="379"/>
      <c r="M828" s="379"/>
      <c r="N828" s="379"/>
      <c r="O828" s="379"/>
      <c r="P828" s="376"/>
      <c r="Q828" s="381"/>
      <c r="R828" s="381"/>
      <c r="S828" s="376"/>
      <c r="T828" s="376"/>
      <c r="U828" s="382" t="s">
        <v>519</v>
      </c>
      <c r="V828" s="382">
        <v>15.0</v>
      </c>
      <c r="W828" s="382">
        <v>5.0</v>
      </c>
      <c r="X828" s="383">
        <v>0.7</v>
      </c>
      <c r="Y828" s="383">
        <v>0.7</v>
      </c>
      <c r="Z828" s="383">
        <v>0.7</v>
      </c>
      <c r="AA828" s="383">
        <v>1700.0</v>
      </c>
      <c r="AB828" s="383" t="s">
        <v>811</v>
      </c>
      <c r="AC828" s="383">
        <v>0.85</v>
      </c>
      <c r="AD828" s="171"/>
      <c r="AE828" s="384"/>
    </row>
    <row r="829" ht="15.0" customHeight="1">
      <c r="A829" s="379"/>
      <c r="B829" s="379"/>
      <c r="C829" s="379"/>
      <c r="D829" s="379"/>
      <c r="E829" s="379"/>
      <c r="F829" s="380"/>
      <c r="G829" s="379"/>
      <c r="H829" s="379"/>
      <c r="I829" s="379"/>
      <c r="J829" s="379"/>
      <c r="K829" s="379"/>
      <c r="L829" s="379"/>
      <c r="M829" s="379"/>
      <c r="N829" s="379"/>
      <c r="O829" s="379"/>
      <c r="P829" s="376"/>
      <c r="Q829" s="381"/>
      <c r="R829" s="381"/>
      <c r="S829" s="376"/>
      <c r="T829" s="376"/>
      <c r="U829" s="382" t="s">
        <v>509</v>
      </c>
      <c r="V829" s="382">
        <v>15.0</v>
      </c>
      <c r="W829" s="382">
        <v>5.0</v>
      </c>
      <c r="X829" s="383">
        <v>0.7</v>
      </c>
      <c r="Y829" s="383">
        <v>0.7</v>
      </c>
      <c r="Z829" s="383">
        <v>0.7</v>
      </c>
      <c r="AA829" s="383">
        <v>1700.0</v>
      </c>
      <c r="AB829" s="383" t="s">
        <v>811</v>
      </c>
      <c r="AC829" s="383">
        <v>0.85</v>
      </c>
      <c r="AD829" s="171"/>
      <c r="AE829" s="384"/>
    </row>
    <row r="830" ht="15.0" customHeight="1">
      <c r="A830" s="379"/>
      <c r="B830" s="379"/>
      <c r="C830" s="379"/>
      <c r="D830" s="379"/>
      <c r="E830" s="379"/>
      <c r="F830" s="380"/>
      <c r="G830" s="379"/>
      <c r="H830" s="379"/>
      <c r="I830" s="379"/>
      <c r="J830" s="379"/>
      <c r="K830" s="379"/>
      <c r="L830" s="379"/>
      <c r="M830" s="379"/>
      <c r="N830" s="379"/>
      <c r="O830" s="379"/>
      <c r="P830" s="376"/>
      <c r="Q830" s="381"/>
      <c r="R830" s="381"/>
      <c r="S830" s="376"/>
      <c r="T830" s="376"/>
      <c r="U830" s="382" t="s">
        <v>509</v>
      </c>
      <c r="V830" s="382">
        <v>15.0</v>
      </c>
      <c r="W830" s="382">
        <v>5.0</v>
      </c>
      <c r="X830" s="383">
        <v>0.7</v>
      </c>
      <c r="Y830" s="383">
        <v>0.7</v>
      </c>
      <c r="Z830" s="383">
        <v>0.7</v>
      </c>
      <c r="AA830" s="383">
        <v>1700.0</v>
      </c>
      <c r="AB830" s="383" t="s">
        <v>811</v>
      </c>
      <c r="AC830" s="383">
        <v>0.85</v>
      </c>
      <c r="AD830" s="171"/>
      <c r="AE830" s="384"/>
    </row>
    <row r="831" ht="15.0" customHeight="1">
      <c r="A831" s="379"/>
      <c r="B831" s="379"/>
      <c r="C831" s="379"/>
      <c r="D831" s="379"/>
      <c r="E831" s="379"/>
      <c r="F831" s="380"/>
      <c r="G831" s="379"/>
      <c r="H831" s="379"/>
      <c r="I831" s="379"/>
      <c r="J831" s="379"/>
      <c r="K831" s="379"/>
      <c r="L831" s="379"/>
      <c r="M831" s="379"/>
      <c r="N831" s="379"/>
      <c r="O831" s="379"/>
      <c r="P831" s="376"/>
      <c r="Q831" s="381"/>
      <c r="R831" s="381"/>
      <c r="S831" s="376"/>
      <c r="T831" s="376"/>
      <c r="U831" s="382" t="s">
        <v>509</v>
      </c>
      <c r="V831" s="382">
        <v>15.0</v>
      </c>
      <c r="W831" s="382">
        <v>5.0</v>
      </c>
      <c r="X831" s="383">
        <v>0.7</v>
      </c>
      <c r="Y831" s="383">
        <v>0.7</v>
      </c>
      <c r="Z831" s="383">
        <v>0.7</v>
      </c>
      <c r="AA831" s="383">
        <v>1700.0</v>
      </c>
      <c r="AB831" s="383" t="s">
        <v>811</v>
      </c>
      <c r="AC831" s="383">
        <v>0.85</v>
      </c>
      <c r="AD831" s="171"/>
      <c r="AE831" s="384"/>
    </row>
    <row r="832" ht="15.0" customHeight="1">
      <c r="A832" s="379"/>
      <c r="B832" s="379"/>
      <c r="C832" s="379"/>
      <c r="D832" s="379"/>
      <c r="E832" s="379"/>
      <c r="F832" s="380"/>
      <c r="G832" s="379"/>
      <c r="H832" s="379"/>
      <c r="I832" s="379"/>
      <c r="J832" s="379"/>
      <c r="K832" s="379"/>
      <c r="L832" s="379"/>
      <c r="M832" s="379"/>
      <c r="N832" s="379"/>
      <c r="O832" s="379"/>
      <c r="P832" s="376"/>
      <c r="Q832" s="381"/>
      <c r="R832" s="381"/>
      <c r="S832" s="376"/>
      <c r="T832" s="376"/>
      <c r="U832" s="382" t="s">
        <v>509</v>
      </c>
      <c r="V832" s="382">
        <v>15.0</v>
      </c>
      <c r="W832" s="382">
        <v>5.0</v>
      </c>
      <c r="X832" s="383">
        <v>0.7</v>
      </c>
      <c r="Y832" s="383">
        <v>0.7</v>
      </c>
      <c r="Z832" s="383">
        <v>0.7</v>
      </c>
      <c r="AA832" s="383">
        <v>1700.0</v>
      </c>
      <c r="AB832" s="383" t="s">
        <v>811</v>
      </c>
      <c r="AC832" s="383">
        <v>0.85</v>
      </c>
      <c r="AD832" s="171"/>
      <c r="AE832" s="384"/>
    </row>
  </sheetData>
  <mergeCells count="1">
    <mergeCell ref="AD48:AD60"/>
  </mergeCells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1.22" defaultRowHeight="15.0"/>
  <cols>
    <col customWidth="1" min="2" max="2" width="12.44"/>
    <col customWidth="1" min="3" max="3" width="13.44"/>
  </cols>
  <sheetData>
    <row r="1">
      <c r="A1" s="305" t="s">
        <v>812</v>
      </c>
      <c r="B1" s="305" t="s">
        <v>813</v>
      </c>
      <c r="C1" s="385" t="s">
        <v>814</v>
      </c>
      <c r="D1" s="305" t="s">
        <v>8</v>
      </c>
      <c r="E1" s="305" t="s">
        <v>7</v>
      </c>
    </row>
    <row r="2">
      <c r="A2" s="386">
        <v>45539.0</v>
      </c>
      <c r="B2" s="313" t="s">
        <v>518</v>
      </c>
      <c r="C2" s="311">
        <v>23.45</v>
      </c>
      <c r="D2" s="313" t="s">
        <v>282</v>
      </c>
      <c r="E2" s="313" t="s">
        <v>12</v>
      </c>
    </row>
    <row r="3">
      <c r="A3" s="386">
        <v>45539.0</v>
      </c>
      <c r="B3" s="387">
        <v>145.0</v>
      </c>
      <c r="C3" s="311">
        <v>22.97</v>
      </c>
      <c r="D3" s="313" t="s">
        <v>282</v>
      </c>
      <c r="E3" s="313" t="s">
        <v>12</v>
      </c>
    </row>
    <row r="4">
      <c r="A4" s="386">
        <v>45539.0</v>
      </c>
      <c r="B4" s="387">
        <v>144.0</v>
      </c>
      <c r="C4" s="311">
        <v>23.03</v>
      </c>
      <c r="D4" s="313" t="s">
        <v>282</v>
      </c>
      <c r="E4" s="313" t="s">
        <v>12</v>
      </c>
    </row>
    <row r="5">
      <c r="A5" s="386">
        <v>45539.0</v>
      </c>
      <c r="B5" s="387">
        <v>118.0</v>
      </c>
      <c r="C5" s="311">
        <v>23.03</v>
      </c>
      <c r="D5" s="313" t="s">
        <v>282</v>
      </c>
      <c r="E5" s="313" t="s">
        <v>12</v>
      </c>
    </row>
    <row r="6">
      <c r="A6" s="386">
        <v>45539.0</v>
      </c>
      <c r="B6" s="387">
        <v>119.0</v>
      </c>
      <c r="C6" s="311">
        <v>22.97</v>
      </c>
      <c r="D6" s="313" t="s">
        <v>282</v>
      </c>
      <c r="E6" s="313" t="s">
        <v>12</v>
      </c>
    </row>
    <row r="7">
      <c r="A7" s="386">
        <v>45539.0</v>
      </c>
      <c r="B7" s="387">
        <v>105.0</v>
      </c>
      <c r="C7" s="311">
        <v>22.93</v>
      </c>
      <c r="D7" s="313" t="s">
        <v>282</v>
      </c>
      <c r="E7" s="313" t="s">
        <v>12</v>
      </c>
    </row>
    <row r="8">
      <c r="A8" s="386">
        <v>45539.0</v>
      </c>
      <c r="B8" s="387">
        <v>106.0</v>
      </c>
      <c r="C8" s="311">
        <v>23.06</v>
      </c>
      <c r="D8" s="313" t="s">
        <v>282</v>
      </c>
      <c r="E8" s="313" t="s">
        <v>12</v>
      </c>
    </row>
    <row r="9">
      <c r="A9" s="386">
        <v>45539.0</v>
      </c>
      <c r="B9" s="387">
        <v>131.0</v>
      </c>
      <c r="C9" s="311">
        <v>22.07</v>
      </c>
      <c r="D9" s="313" t="s">
        <v>282</v>
      </c>
      <c r="E9" s="313" t="s">
        <v>12</v>
      </c>
    </row>
    <row r="10">
      <c r="A10" s="386">
        <v>45539.0</v>
      </c>
      <c r="B10" s="387">
        <v>132.0</v>
      </c>
      <c r="C10" s="311">
        <v>23.63</v>
      </c>
      <c r="D10" s="313" t="s">
        <v>282</v>
      </c>
      <c r="E10" s="313" t="s">
        <v>12</v>
      </c>
    </row>
    <row r="11">
      <c r="A11" s="386">
        <v>45539.0</v>
      </c>
      <c r="B11" s="313" t="s">
        <v>518</v>
      </c>
      <c r="C11" s="311">
        <v>23.83</v>
      </c>
      <c r="D11" s="313" t="s">
        <v>282</v>
      </c>
      <c r="E11" s="313" t="s">
        <v>12</v>
      </c>
    </row>
    <row r="12">
      <c r="A12" s="386">
        <v>45539.0</v>
      </c>
      <c r="B12" s="387">
        <v>66.0</v>
      </c>
      <c r="C12" s="311">
        <v>23.55</v>
      </c>
      <c r="D12" s="313" t="s">
        <v>282</v>
      </c>
      <c r="E12" s="313" t="s">
        <v>12</v>
      </c>
    </row>
    <row r="13">
      <c r="A13" s="386">
        <v>45539.0</v>
      </c>
      <c r="B13" s="387">
        <v>67.0</v>
      </c>
      <c r="C13" s="311">
        <v>23.6</v>
      </c>
      <c r="D13" s="313" t="s">
        <v>282</v>
      </c>
      <c r="E13" s="313" t="s">
        <v>12</v>
      </c>
    </row>
    <row r="14">
      <c r="A14" s="386">
        <v>45539.0</v>
      </c>
      <c r="B14" s="387">
        <v>92.0</v>
      </c>
      <c r="C14" s="311">
        <v>23.7</v>
      </c>
      <c r="D14" s="313" t="s">
        <v>282</v>
      </c>
      <c r="E14" s="313" t="s">
        <v>12</v>
      </c>
    </row>
    <row r="15">
      <c r="A15" s="386">
        <v>45539.0</v>
      </c>
      <c r="B15" s="387">
        <v>93.0</v>
      </c>
      <c r="C15" s="311">
        <v>23.46</v>
      </c>
      <c r="D15" s="313" t="s">
        <v>282</v>
      </c>
      <c r="E15" s="313" t="s">
        <v>12</v>
      </c>
    </row>
    <row r="16">
      <c r="A16" s="386">
        <v>45539.0</v>
      </c>
      <c r="B16" s="387">
        <v>183.0</v>
      </c>
      <c r="C16" s="311">
        <v>24.34</v>
      </c>
      <c r="D16" s="313" t="s">
        <v>282</v>
      </c>
      <c r="E16" s="313" t="s">
        <v>12</v>
      </c>
    </row>
    <row r="17">
      <c r="A17" s="386">
        <v>45539.0</v>
      </c>
      <c r="B17" s="387">
        <v>184.0</v>
      </c>
      <c r="C17" s="311">
        <v>25.06</v>
      </c>
      <c r="D17" s="313" t="s">
        <v>282</v>
      </c>
      <c r="E17" s="313" t="s">
        <v>12</v>
      </c>
    </row>
    <row r="18">
      <c r="A18" s="386">
        <v>45539.0</v>
      </c>
      <c r="B18" s="387">
        <v>170.0</v>
      </c>
      <c r="C18" s="311">
        <v>24.67</v>
      </c>
      <c r="D18" s="313" t="s">
        <v>282</v>
      </c>
      <c r="E18" s="313" t="s">
        <v>12</v>
      </c>
    </row>
    <row r="19">
      <c r="A19" s="386">
        <v>45539.0</v>
      </c>
      <c r="B19" s="387">
        <v>171.0</v>
      </c>
      <c r="C19" s="311">
        <v>24.93</v>
      </c>
      <c r="D19" s="313" t="s">
        <v>282</v>
      </c>
      <c r="E19" s="313" t="s">
        <v>12</v>
      </c>
    </row>
    <row r="20">
      <c r="A20" s="386">
        <v>45539.0</v>
      </c>
      <c r="B20" s="313" t="s">
        <v>518</v>
      </c>
      <c r="C20" s="311">
        <v>25.06</v>
      </c>
      <c r="D20" s="313" t="s">
        <v>282</v>
      </c>
      <c r="E20" s="313" t="s">
        <v>12</v>
      </c>
    </row>
    <row r="21">
      <c r="A21" s="386">
        <v>45541.0</v>
      </c>
      <c r="B21" s="388" t="s">
        <v>639</v>
      </c>
      <c r="C21" s="311">
        <v>25.32</v>
      </c>
      <c r="D21" s="313" t="s">
        <v>13</v>
      </c>
      <c r="E21" s="313" t="s">
        <v>12</v>
      </c>
    </row>
    <row r="22">
      <c r="A22" s="386">
        <v>45541.0</v>
      </c>
      <c r="B22" s="387">
        <v>1.0</v>
      </c>
      <c r="C22" s="311">
        <v>24.77</v>
      </c>
      <c r="D22" s="313" t="s">
        <v>13</v>
      </c>
      <c r="E22" s="313" t="s">
        <v>12</v>
      </c>
    </row>
    <row r="23">
      <c r="A23" s="386">
        <v>45541.0</v>
      </c>
      <c r="B23" s="387">
        <v>2.0</v>
      </c>
      <c r="C23" s="311">
        <v>24.54</v>
      </c>
      <c r="D23" s="313" t="s">
        <v>13</v>
      </c>
      <c r="E23" s="313" t="s">
        <v>12</v>
      </c>
    </row>
    <row r="24">
      <c r="A24" s="386">
        <v>45541.0</v>
      </c>
      <c r="B24" s="387">
        <v>14.0</v>
      </c>
      <c r="C24" s="311">
        <v>24.67</v>
      </c>
      <c r="D24" s="313" t="s">
        <v>13</v>
      </c>
      <c r="E24" s="313" t="s">
        <v>12</v>
      </c>
    </row>
    <row r="25">
      <c r="A25" s="386">
        <v>45541.0</v>
      </c>
      <c r="B25" s="387">
        <v>15.0</v>
      </c>
      <c r="C25" s="311">
        <v>24.85</v>
      </c>
      <c r="D25" s="313" t="s">
        <v>13</v>
      </c>
      <c r="E25" s="313" t="s">
        <v>12</v>
      </c>
    </row>
    <row r="26">
      <c r="A26" s="386">
        <v>45541.0</v>
      </c>
      <c r="B26" s="387">
        <v>27.0</v>
      </c>
      <c r="C26" s="311">
        <v>25.02</v>
      </c>
      <c r="D26" s="313" t="s">
        <v>13</v>
      </c>
      <c r="E26" s="313" t="s">
        <v>12</v>
      </c>
    </row>
    <row r="27">
      <c r="A27" s="386">
        <v>45541.0</v>
      </c>
      <c r="B27" s="387">
        <v>28.0</v>
      </c>
      <c r="C27" s="311">
        <v>24.95</v>
      </c>
      <c r="D27" s="313" t="s">
        <v>13</v>
      </c>
      <c r="E27" s="313" t="s">
        <v>12</v>
      </c>
    </row>
    <row r="28">
      <c r="A28" s="386">
        <v>45541.0</v>
      </c>
      <c r="B28" s="387">
        <v>40.0</v>
      </c>
      <c r="C28" s="311">
        <v>25.33</v>
      </c>
      <c r="D28" s="313" t="s">
        <v>13</v>
      </c>
      <c r="E28" s="313" t="s">
        <v>12</v>
      </c>
    </row>
    <row r="29">
      <c r="A29" s="386">
        <v>45541.0</v>
      </c>
      <c r="B29" s="387">
        <v>41.0</v>
      </c>
      <c r="C29" s="311">
        <v>25.44</v>
      </c>
      <c r="D29" s="313" t="s">
        <v>13</v>
      </c>
      <c r="E29" s="313" t="s">
        <v>12</v>
      </c>
    </row>
    <row r="30">
      <c r="A30" s="386">
        <v>45541.0</v>
      </c>
      <c r="B30" s="388" t="s">
        <v>639</v>
      </c>
      <c r="C30" s="311">
        <v>25.45</v>
      </c>
      <c r="D30" s="313" t="s">
        <v>13</v>
      </c>
      <c r="E30" s="313" t="s">
        <v>12</v>
      </c>
    </row>
    <row r="31">
      <c r="A31" s="386">
        <v>45541.0</v>
      </c>
      <c r="B31" s="387">
        <v>79.0</v>
      </c>
      <c r="C31" s="311">
        <v>24.86</v>
      </c>
      <c r="D31" s="313" t="s">
        <v>13</v>
      </c>
      <c r="E31" s="313" t="s">
        <v>12</v>
      </c>
    </row>
    <row r="32">
      <c r="A32" s="386">
        <v>45541.0</v>
      </c>
      <c r="B32" s="387">
        <v>80.0</v>
      </c>
      <c r="C32" s="311">
        <v>24.81</v>
      </c>
      <c r="D32" s="313" t="s">
        <v>13</v>
      </c>
      <c r="E32" s="313" t="s">
        <v>12</v>
      </c>
    </row>
    <row r="33">
      <c r="A33" s="386">
        <v>45541.0</v>
      </c>
      <c r="B33" s="387">
        <v>196.0</v>
      </c>
      <c r="C33" s="311">
        <v>24.98</v>
      </c>
      <c r="D33" s="313" t="s">
        <v>13</v>
      </c>
      <c r="E33" s="313" t="s">
        <v>12</v>
      </c>
    </row>
    <row r="34">
      <c r="A34" s="386">
        <v>45541.0</v>
      </c>
      <c r="B34" s="387">
        <v>157.0</v>
      </c>
      <c r="C34" s="311">
        <v>24.94</v>
      </c>
      <c r="D34" s="313" t="s">
        <v>13</v>
      </c>
      <c r="E34" s="313" t="s">
        <v>12</v>
      </c>
    </row>
    <row r="35">
      <c r="A35" s="386">
        <v>45541.0</v>
      </c>
      <c r="B35" s="387">
        <v>197.0</v>
      </c>
      <c r="C35" s="311">
        <v>25.1</v>
      </c>
      <c r="D35" s="313" t="s">
        <v>13</v>
      </c>
      <c r="E35" s="313" t="s">
        <v>12</v>
      </c>
    </row>
    <row r="36">
      <c r="A36" s="386">
        <v>45541.0</v>
      </c>
      <c r="B36" s="387">
        <v>158.0</v>
      </c>
      <c r="C36" s="311">
        <v>25.16</v>
      </c>
      <c r="D36" s="313" t="s">
        <v>13</v>
      </c>
      <c r="E36" s="313" t="s">
        <v>12</v>
      </c>
    </row>
    <row r="37">
      <c r="A37" s="386">
        <v>45541.0</v>
      </c>
      <c r="B37" s="387">
        <v>53.0</v>
      </c>
      <c r="C37" s="311">
        <v>25.06</v>
      </c>
      <c r="D37" s="313" t="s">
        <v>13</v>
      </c>
      <c r="E37" s="313" t="s">
        <v>12</v>
      </c>
    </row>
    <row r="38">
      <c r="A38" s="386">
        <v>45541.0</v>
      </c>
      <c r="B38" s="387">
        <v>54.0</v>
      </c>
      <c r="C38" s="311">
        <v>25.22</v>
      </c>
      <c r="D38" s="313" t="s">
        <v>13</v>
      </c>
      <c r="E38" s="313" t="s">
        <v>12</v>
      </c>
    </row>
    <row r="39">
      <c r="A39" s="386">
        <v>45541.0</v>
      </c>
      <c r="B39" s="388" t="s">
        <v>639</v>
      </c>
      <c r="C39" s="311">
        <v>25.44</v>
      </c>
      <c r="D39" s="313" t="s">
        <v>13</v>
      </c>
      <c r="E39" s="313" t="s">
        <v>12</v>
      </c>
    </row>
    <row r="40">
      <c r="A40" s="386">
        <v>45544.0</v>
      </c>
      <c r="B40" s="388" t="s">
        <v>703</v>
      </c>
      <c r="C40" s="311">
        <v>20.9</v>
      </c>
      <c r="D40" s="313" t="s">
        <v>282</v>
      </c>
      <c r="E40" s="313" t="s">
        <v>12</v>
      </c>
    </row>
    <row r="41">
      <c r="A41" s="386">
        <v>45544.0</v>
      </c>
      <c r="B41" s="387">
        <v>209.0</v>
      </c>
      <c r="C41" s="311">
        <v>20.9</v>
      </c>
      <c r="D41" s="313" t="s">
        <v>282</v>
      </c>
      <c r="E41" s="313" t="s">
        <v>12</v>
      </c>
    </row>
    <row r="42">
      <c r="A42" s="386">
        <v>45544.0</v>
      </c>
      <c r="B42" s="387">
        <v>210.0</v>
      </c>
      <c r="C42" s="311">
        <v>22.65</v>
      </c>
      <c r="D42" s="313" t="s">
        <v>282</v>
      </c>
      <c r="E42" s="313" t="s">
        <v>12</v>
      </c>
    </row>
    <row r="43">
      <c r="A43" s="386">
        <v>45544.0</v>
      </c>
      <c r="B43" s="387">
        <v>313.0</v>
      </c>
      <c r="C43" s="311">
        <v>22.4</v>
      </c>
      <c r="D43" s="313" t="s">
        <v>282</v>
      </c>
      <c r="E43" s="313" t="s">
        <v>12</v>
      </c>
    </row>
    <row r="44">
      <c r="A44" s="386">
        <v>45544.0</v>
      </c>
      <c r="B44" s="387">
        <v>314.0</v>
      </c>
      <c r="C44" s="311">
        <v>22.39</v>
      </c>
      <c r="D44" s="313" t="s">
        <v>282</v>
      </c>
      <c r="E44" s="313" t="s">
        <v>12</v>
      </c>
    </row>
    <row r="45">
      <c r="A45" s="386">
        <v>45544.0</v>
      </c>
      <c r="B45" s="387">
        <v>235.0</v>
      </c>
      <c r="C45" s="311">
        <v>22.11</v>
      </c>
      <c r="D45" s="313" t="s">
        <v>282</v>
      </c>
      <c r="E45" s="313" t="s">
        <v>12</v>
      </c>
    </row>
    <row r="46">
      <c r="A46" s="386">
        <v>45544.0</v>
      </c>
      <c r="B46" s="387">
        <v>236.0</v>
      </c>
      <c r="C46" s="311">
        <v>22.97</v>
      </c>
      <c r="D46" s="313" t="s">
        <v>282</v>
      </c>
      <c r="E46" s="313" t="s">
        <v>12</v>
      </c>
    </row>
    <row r="47">
      <c r="A47" s="386">
        <v>45544.0</v>
      </c>
      <c r="B47" s="387">
        <v>300.0</v>
      </c>
      <c r="C47" s="311">
        <v>23.26</v>
      </c>
      <c r="D47" s="313" t="s">
        <v>282</v>
      </c>
      <c r="E47" s="313" t="s">
        <v>12</v>
      </c>
    </row>
    <row r="48">
      <c r="A48" s="386">
        <v>45544.0</v>
      </c>
      <c r="B48" s="387">
        <v>301.0</v>
      </c>
      <c r="C48" s="311">
        <v>23.76</v>
      </c>
      <c r="D48" s="313" t="s">
        <v>282</v>
      </c>
      <c r="E48" s="313" t="s">
        <v>12</v>
      </c>
    </row>
    <row r="49">
      <c r="A49" s="386">
        <v>45544.0</v>
      </c>
      <c r="B49" s="388" t="s">
        <v>703</v>
      </c>
      <c r="C49" s="311">
        <v>24.3</v>
      </c>
      <c r="D49" s="313" t="s">
        <v>282</v>
      </c>
      <c r="E49" s="313" t="s">
        <v>12</v>
      </c>
    </row>
    <row r="50">
      <c r="A50" s="386">
        <v>45544.0</v>
      </c>
      <c r="B50" s="387">
        <v>222.0</v>
      </c>
      <c r="C50" s="311">
        <v>24.3</v>
      </c>
      <c r="D50" s="313" t="s">
        <v>282</v>
      </c>
      <c r="E50" s="313" t="s">
        <v>12</v>
      </c>
    </row>
    <row r="51">
      <c r="A51" s="386">
        <v>45544.0</v>
      </c>
      <c r="B51" s="387">
        <v>223.0</v>
      </c>
      <c r="C51" s="311">
        <v>24.08</v>
      </c>
      <c r="D51" s="313" t="s">
        <v>282</v>
      </c>
      <c r="E51" s="313" t="s">
        <v>12</v>
      </c>
    </row>
    <row r="52">
      <c r="A52" s="386">
        <v>45544.0</v>
      </c>
      <c r="B52" s="387">
        <v>326.0</v>
      </c>
      <c r="C52" s="311">
        <v>23.53</v>
      </c>
      <c r="D52" s="313" t="s">
        <v>282</v>
      </c>
      <c r="E52" s="313" t="s">
        <v>12</v>
      </c>
    </row>
    <row r="53">
      <c r="A53" s="386">
        <v>45544.0</v>
      </c>
      <c r="B53" s="387">
        <v>327.0</v>
      </c>
      <c r="C53" s="311">
        <v>24.0</v>
      </c>
      <c r="D53" s="313" t="s">
        <v>282</v>
      </c>
      <c r="E53" s="313" t="s">
        <v>12</v>
      </c>
    </row>
    <row r="54">
      <c r="A54" s="386">
        <v>45544.0</v>
      </c>
      <c r="B54" s="387">
        <v>274.0</v>
      </c>
      <c r="C54" s="311">
        <v>23.91</v>
      </c>
      <c r="D54" s="313" t="s">
        <v>282</v>
      </c>
      <c r="E54" s="313" t="s">
        <v>12</v>
      </c>
    </row>
    <row r="55">
      <c r="A55" s="386">
        <v>45544.0</v>
      </c>
      <c r="B55" s="387">
        <v>275.0</v>
      </c>
      <c r="C55" s="311">
        <v>24.08</v>
      </c>
      <c r="D55" s="313" t="s">
        <v>282</v>
      </c>
      <c r="E55" s="313" t="s">
        <v>12</v>
      </c>
    </row>
    <row r="56">
      <c r="A56" s="386">
        <v>45544.0</v>
      </c>
      <c r="B56" s="387">
        <v>287.0</v>
      </c>
      <c r="C56" s="311">
        <v>24.49</v>
      </c>
      <c r="D56" s="313" t="s">
        <v>282</v>
      </c>
      <c r="E56" s="313" t="s">
        <v>12</v>
      </c>
    </row>
    <row r="57">
      <c r="A57" s="386">
        <v>45544.0</v>
      </c>
      <c r="B57" s="387">
        <v>288.0</v>
      </c>
      <c r="C57" s="311">
        <v>24.71</v>
      </c>
      <c r="D57" s="313" t="s">
        <v>282</v>
      </c>
      <c r="E57" s="313" t="s">
        <v>12</v>
      </c>
    </row>
    <row r="58">
      <c r="A58" s="386">
        <v>45544.0</v>
      </c>
      <c r="B58" s="388" t="s">
        <v>703</v>
      </c>
      <c r="C58" s="311">
        <v>24.62</v>
      </c>
      <c r="D58" s="313" t="s">
        <v>282</v>
      </c>
      <c r="E58" s="313" t="s">
        <v>12</v>
      </c>
    </row>
    <row r="59">
      <c r="A59" s="386">
        <v>45544.0</v>
      </c>
      <c r="B59" s="387">
        <v>261.0</v>
      </c>
      <c r="C59" s="311">
        <v>24.62</v>
      </c>
      <c r="D59" s="313" t="s">
        <v>282</v>
      </c>
      <c r="E59" s="313" t="s">
        <v>12</v>
      </c>
    </row>
    <row r="60">
      <c r="A60" s="386">
        <v>45544.0</v>
      </c>
      <c r="B60" s="387">
        <v>262.0</v>
      </c>
      <c r="C60" s="311">
        <v>24.79</v>
      </c>
      <c r="D60" s="313" t="s">
        <v>282</v>
      </c>
      <c r="E60" s="313" t="s">
        <v>12</v>
      </c>
    </row>
    <row r="61">
      <c r="A61" s="386">
        <v>45544.0</v>
      </c>
      <c r="B61" s="388" t="s">
        <v>703</v>
      </c>
      <c r="C61" s="311">
        <v>24.95</v>
      </c>
      <c r="D61" s="313" t="s">
        <v>282</v>
      </c>
      <c r="E61" s="313" t="s">
        <v>12</v>
      </c>
    </row>
    <row r="62">
      <c r="A62" s="386">
        <v>45545.0</v>
      </c>
      <c r="B62" s="388" t="s">
        <v>744</v>
      </c>
      <c r="C62" s="389">
        <v>24.3</v>
      </c>
      <c r="D62" s="313" t="s">
        <v>282</v>
      </c>
      <c r="E62" s="313" t="s">
        <v>12</v>
      </c>
    </row>
    <row r="63">
      <c r="A63" s="386">
        <v>45545.0</v>
      </c>
      <c r="B63" s="387">
        <v>456.0</v>
      </c>
      <c r="C63" s="311">
        <v>18.62</v>
      </c>
      <c r="D63" s="313" t="s">
        <v>282</v>
      </c>
      <c r="E63" s="313" t="s">
        <v>12</v>
      </c>
    </row>
    <row r="64">
      <c r="A64" s="386">
        <v>45545.0</v>
      </c>
      <c r="B64" s="387">
        <v>457.0</v>
      </c>
      <c r="C64" s="311">
        <v>18.77</v>
      </c>
      <c r="D64" s="313" t="s">
        <v>282</v>
      </c>
      <c r="E64" s="313" t="s">
        <v>12</v>
      </c>
    </row>
    <row r="65">
      <c r="A65" s="386">
        <v>45545.0</v>
      </c>
      <c r="B65" s="387">
        <v>352.0</v>
      </c>
      <c r="C65" s="311">
        <v>18.69</v>
      </c>
      <c r="D65" s="313" t="s">
        <v>282</v>
      </c>
      <c r="E65" s="313" t="s">
        <v>12</v>
      </c>
    </row>
    <row r="66">
      <c r="A66" s="386">
        <v>45545.0</v>
      </c>
      <c r="B66" s="387">
        <v>353.0</v>
      </c>
      <c r="C66" s="311">
        <v>23.83</v>
      </c>
      <c r="D66" s="313" t="s">
        <v>282</v>
      </c>
      <c r="E66" s="313" t="s">
        <v>534</v>
      </c>
    </row>
    <row r="67">
      <c r="A67" s="386">
        <v>45545.0</v>
      </c>
      <c r="B67" s="387">
        <v>469.0</v>
      </c>
      <c r="C67" s="311">
        <v>22.6</v>
      </c>
      <c r="D67" s="313" t="s">
        <v>282</v>
      </c>
      <c r="E67" s="313" t="s">
        <v>12</v>
      </c>
    </row>
    <row r="68">
      <c r="A68" s="386">
        <v>45545.0</v>
      </c>
      <c r="B68" s="387">
        <v>470.0</v>
      </c>
      <c r="C68" s="311">
        <v>22.14</v>
      </c>
      <c r="D68" s="313" t="s">
        <v>282</v>
      </c>
      <c r="E68" s="313" t="s">
        <v>12</v>
      </c>
    </row>
    <row r="69">
      <c r="A69" s="386">
        <v>45545.0</v>
      </c>
      <c r="B69" s="387">
        <v>404.0</v>
      </c>
      <c r="C69" s="311">
        <v>22.09</v>
      </c>
      <c r="D69" s="313" t="s">
        <v>282</v>
      </c>
      <c r="E69" s="313" t="s">
        <v>12</v>
      </c>
    </row>
    <row r="70">
      <c r="A70" s="386">
        <v>45545.0</v>
      </c>
      <c r="B70" s="387">
        <v>405.0</v>
      </c>
      <c r="C70" s="311">
        <v>23.11</v>
      </c>
      <c r="D70" s="313" t="s">
        <v>282</v>
      </c>
      <c r="E70" s="313" t="s">
        <v>12</v>
      </c>
    </row>
    <row r="71">
      <c r="A71" s="386">
        <v>45545.0</v>
      </c>
      <c r="B71" s="388" t="s">
        <v>744</v>
      </c>
      <c r="C71" s="311">
        <v>24.95</v>
      </c>
      <c r="D71" s="313" t="s">
        <v>77</v>
      </c>
      <c r="E71" s="313" t="s">
        <v>12</v>
      </c>
    </row>
    <row r="72">
      <c r="A72" s="386">
        <v>45545.0</v>
      </c>
      <c r="B72" s="387">
        <v>353.0</v>
      </c>
      <c r="C72" s="311">
        <v>23.83</v>
      </c>
      <c r="D72" s="313" t="s">
        <v>77</v>
      </c>
      <c r="E72" s="313" t="s">
        <v>12</v>
      </c>
    </row>
    <row r="73">
      <c r="A73" s="386">
        <v>45545.0</v>
      </c>
      <c r="B73" s="387">
        <v>365.0</v>
      </c>
      <c r="C73" s="311">
        <v>23.79</v>
      </c>
      <c r="D73" s="313" t="s">
        <v>77</v>
      </c>
      <c r="E73" s="313" t="s">
        <v>12</v>
      </c>
    </row>
    <row r="74">
      <c r="A74" s="386">
        <v>45545.0</v>
      </c>
      <c r="B74" s="387">
        <v>366.0</v>
      </c>
      <c r="C74" s="311">
        <v>23.42</v>
      </c>
      <c r="D74" s="313" t="s">
        <v>77</v>
      </c>
      <c r="E74" s="313" t="s">
        <v>12</v>
      </c>
    </row>
    <row r="75">
      <c r="A75" s="386">
        <v>45545.0</v>
      </c>
      <c r="B75" s="387">
        <v>339.0</v>
      </c>
      <c r="C75" s="311">
        <v>23.84</v>
      </c>
      <c r="D75" s="313" t="s">
        <v>77</v>
      </c>
      <c r="E75" s="313" t="s">
        <v>12</v>
      </c>
    </row>
    <row r="76">
      <c r="A76" s="386">
        <v>45545.0</v>
      </c>
      <c r="B76" s="387">
        <v>340.0</v>
      </c>
      <c r="C76" s="311">
        <v>24.44</v>
      </c>
      <c r="D76" s="313" t="s">
        <v>77</v>
      </c>
      <c r="E76" s="313" t="s">
        <v>12</v>
      </c>
    </row>
    <row r="77">
      <c r="A77" s="386">
        <v>45545.0</v>
      </c>
      <c r="B77" s="387">
        <v>431.0</v>
      </c>
      <c r="C77" s="311">
        <v>24.35</v>
      </c>
      <c r="D77" s="313" t="s">
        <v>77</v>
      </c>
      <c r="E77" s="313" t="s">
        <v>12</v>
      </c>
    </row>
    <row r="78">
      <c r="A78" s="386">
        <v>45545.0</v>
      </c>
      <c r="B78" s="388" t="s">
        <v>744</v>
      </c>
      <c r="C78" s="311">
        <v>24.95</v>
      </c>
      <c r="D78" s="313" t="s">
        <v>77</v>
      </c>
      <c r="E78" s="313" t="s">
        <v>12</v>
      </c>
    </row>
    <row r="79">
      <c r="A79" s="386">
        <v>45545.0</v>
      </c>
      <c r="B79" s="388" t="s">
        <v>784</v>
      </c>
      <c r="C79" s="311">
        <v>25.6</v>
      </c>
      <c r="D79" s="313" t="s">
        <v>77</v>
      </c>
      <c r="E79" s="313" t="s">
        <v>12</v>
      </c>
    </row>
    <row r="80">
      <c r="A80" s="386">
        <v>45548.0</v>
      </c>
      <c r="B80" s="387">
        <v>378.0</v>
      </c>
      <c r="C80" s="311">
        <v>21.61</v>
      </c>
      <c r="D80" s="313" t="s">
        <v>13</v>
      </c>
      <c r="E80" s="313" t="s">
        <v>12</v>
      </c>
    </row>
    <row r="81">
      <c r="A81" s="386">
        <v>45548.0</v>
      </c>
      <c r="B81" s="387">
        <v>379.0</v>
      </c>
      <c r="C81" s="311">
        <v>21.44</v>
      </c>
      <c r="D81" s="313" t="s">
        <v>13</v>
      </c>
      <c r="E81" s="313" t="s">
        <v>12</v>
      </c>
    </row>
    <row r="82">
      <c r="A82" s="386">
        <v>45548.0</v>
      </c>
      <c r="B82" s="387">
        <v>417.0</v>
      </c>
      <c r="C82" s="311">
        <v>21.98</v>
      </c>
      <c r="D82" s="313" t="s">
        <v>13</v>
      </c>
      <c r="E82" s="313" t="s">
        <v>12</v>
      </c>
    </row>
    <row r="83">
      <c r="A83" s="386">
        <v>45548.0</v>
      </c>
      <c r="B83" s="387">
        <v>418.0</v>
      </c>
      <c r="C83" s="311">
        <v>23.25</v>
      </c>
      <c r="D83" s="313" t="s">
        <v>13</v>
      </c>
      <c r="E83" s="313" t="s">
        <v>12</v>
      </c>
    </row>
    <row r="84">
      <c r="A84" s="386">
        <v>45548.0</v>
      </c>
      <c r="B84" s="387">
        <v>430.0</v>
      </c>
      <c r="C84" s="311">
        <v>21.34</v>
      </c>
      <c r="D84" s="313" t="s">
        <v>13</v>
      </c>
      <c r="E84" s="313" t="s">
        <v>12</v>
      </c>
    </row>
    <row r="85">
      <c r="A85" s="386">
        <v>45548.0</v>
      </c>
      <c r="B85" s="387">
        <v>521.0</v>
      </c>
      <c r="C85" s="311">
        <v>21.55</v>
      </c>
      <c r="D85" s="313" t="s">
        <v>13</v>
      </c>
      <c r="E85" s="313" t="s">
        <v>12</v>
      </c>
    </row>
    <row r="86">
      <c r="A86" s="386">
        <v>45548.0</v>
      </c>
      <c r="B86" s="387">
        <v>522.0</v>
      </c>
      <c r="C86" s="311">
        <v>22.56</v>
      </c>
      <c r="D86" s="313" t="s">
        <v>13</v>
      </c>
      <c r="E86" s="313" t="s">
        <v>12</v>
      </c>
    </row>
    <row r="87">
      <c r="A87" s="386">
        <v>45548.0</v>
      </c>
      <c r="B87" s="387">
        <v>508.0</v>
      </c>
      <c r="C87" s="311">
        <v>22.7</v>
      </c>
      <c r="D87" s="313" t="s">
        <v>13</v>
      </c>
      <c r="E87" s="313" t="s">
        <v>12</v>
      </c>
    </row>
    <row r="88">
      <c r="A88" s="386">
        <v>45548.0</v>
      </c>
      <c r="B88" s="388" t="s">
        <v>784</v>
      </c>
      <c r="C88" s="311">
        <v>26.26</v>
      </c>
      <c r="D88" s="313" t="s">
        <v>13</v>
      </c>
      <c r="E88" s="313" t="s">
        <v>12</v>
      </c>
    </row>
    <row r="89">
      <c r="A89" s="386">
        <v>45548.0</v>
      </c>
      <c r="B89" s="387">
        <v>509.0</v>
      </c>
      <c r="C89" s="311">
        <v>22.68</v>
      </c>
      <c r="D89" s="313" t="s">
        <v>13</v>
      </c>
      <c r="E89" s="313" t="s">
        <v>12</v>
      </c>
    </row>
    <row r="90">
      <c r="A90" s="386">
        <v>45548.0</v>
      </c>
      <c r="B90" s="387">
        <v>443.0</v>
      </c>
      <c r="C90" s="311">
        <v>21.67</v>
      </c>
      <c r="D90" s="313" t="s">
        <v>13</v>
      </c>
      <c r="E90" s="313" t="s">
        <v>12</v>
      </c>
    </row>
    <row r="91">
      <c r="A91" s="386">
        <v>45548.0</v>
      </c>
      <c r="B91" s="387">
        <v>444.0</v>
      </c>
      <c r="C91" s="311">
        <v>22.07</v>
      </c>
      <c r="D91" s="313" t="s">
        <v>13</v>
      </c>
      <c r="E91" s="313" t="s">
        <v>12</v>
      </c>
    </row>
    <row r="92">
      <c r="A92" s="386">
        <v>45548.0</v>
      </c>
      <c r="B92" s="387">
        <v>495.0</v>
      </c>
      <c r="C92" s="311">
        <v>22.76</v>
      </c>
      <c r="D92" s="313" t="s">
        <v>13</v>
      </c>
      <c r="E92" s="313" t="s">
        <v>12</v>
      </c>
    </row>
    <row r="93">
      <c r="A93" s="386">
        <v>45548.0</v>
      </c>
      <c r="B93" s="387">
        <v>496.0</v>
      </c>
      <c r="C93" s="311">
        <v>23.33</v>
      </c>
      <c r="D93" s="313" t="s">
        <v>13</v>
      </c>
      <c r="E93" s="313" t="s">
        <v>12</v>
      </c>
    </row>
    <row r="94">
      <c r="A94" s="386">
        <v>45548.0</v>
      </c>
      <c r="B94" s="387">
        <v>482.0</v>
      </c>
      <c r="C94" s="311">
        <v>22.97</v>
      </c>
      <c r="D94" s="313" t="s">
        <v>13</v>
      </c>
      <c r="E94" s="313" t="s">
        <v>12</v>
      </c>
    </row>
    <row r="95">
      <c r="A95" s="386">
        <v>45548.0</v>
      </c>
      <c r="B95" s="387">
        <v>483.0</v>
      </c>
      <c r="C95" s="311">
        <v>23.6</v>
      </c>
      <c r="D95" s="313" t="s">
        <v>13</v>
      </c>
      <c r="E95" s="313" t="s">
        <v>12</v>
      </c>
    </row>
    <row r="96">
      <c r="A96" s="386">
        <v>45548.0</v>
      </c>
      <c r="B96" s="387">
        <v>391.0</v>
      </c>
      <c r="C96" s="311">
        <v>23.96</v>
      </c>
      <c r="D96" s="313" t="s">
        <v>13</v>
      </c>
      <c r="E96" s="313" t="s">
        <v>12</v>
      </c>
    </row>
    <row r="97">
      <c r="A97" s="386">
        <v>45548.0</v>
      </c>
      <c r="B97" s="388" t="s">
        <v>784</v>
      </c>
      <c r="C97" s="311">
        <v>25.6</v>
      </c>
      <c r="D97" s="313" t="s">
        <v>13</v>
      </c>
      <c r="E97" s="313" t="s">
        <v>12</v>
      </c>
    </row>
    <row r="98">
      <c r="A98" s="386">
        <v>45552.0</v>
      </c>
      <c r="B98" s="390" t="s">
        <v>802</v>
      </c>
      <c r="C98" s="311">
        <v>24.6</v>
      </c>
      <c r="D98" s="313" t="s">
        <v>282</v>
      </c>
      <c r="E98" s="313" t="s">
        <v>12</v>
      </c>
    </row>
    <row r="99">
      <c r="A99" s="386">
        <v>45552.0</v>
      </c>
      <c r="B99" s="391">
        <v>392.0</v>
      </c>
      <c r="C99" s="311">
        <v>24.6</v>
      </c>
      <c r="D99" s="313" t="s">
        <v>282</v>
      </c>
      <c r="E99" s="313" t="s">
        <v>12</v>
      </c>
    </row>
    <row r="100">
      <c r="A100" s="386">
        <v>45552.0</v>
      </c>
      <c r="B100" s="387">
        <v>534.0</v>
      </c>
      <c r="C100" s="311">
        <v>24.12</v>
      </c>
      <c r="D100" s="313" t="s">
        <v>282</v>
      </c>
      <c r="E100" s="313" t="s">
        <v>12</v>
      </c>
    </row>
    <row r="101">
      <c r="A101" s="386">
        <v>45552.0</v>
      </c>
      <c r="B101" s="387">
        <v>535.0</v>
      </c>
      <c r="C101" s="311">
        <v>24.28</v>
      </c>
      <c r="D101" s="313" t="s">
        <v>282</v>
      </c>
      <c r="E101" s="313" t="s">
        <v>12</v>
      </c>
    </row>
    <row r="102">
      <c r="A102" s="386">
        <v>45552.0</v>
      </c>
      <c r="B102" s="387">
        <v>547.0</v>
      </c>
      <c r="C102" s="311">
        <v>24.43</v>
      </c>
      <c r="D102" s="313" t="s">
        <v>282</v>
      </c>
      <c r="E102" s="313" t="s">
        <v>12</v>
      </c>
    </row>
    <row r="103">
      <c r="A103" s="386">
        <v>45552.0</v>
      </c>
      <c r="B103" s="387">
        <v>548.0</v>
      </c>
      <c r="C103" s="311">
        <v>24.59</v>
      </c>
      <c r="D103" s="313" t="s">
        <v>282</v>
      </c>
      <c r="E103" s="313" t="s">
        <v>12</v>
      </c>
    </row>
    <row r="104">
      <c r="A104" s="386">
        <v>45552.0</v>
      </c>
      <c r="B104" s="387">
        <v>560.0</v>
      </c>
      <c r="C104" s="311">
        <v>24.87</v>
      </c>
      <c r="D104" s="313" t="s">
        <v>282</v>
      </c>
      <c r="E104" s="313" t="s">
        <v>12</v>
      </c>
    </row>
    <row r="105">
      <c r="A105" s="386">
        <v>45552.0</v>
      </c>
      <c r="B105" s="387">
        <v>561.0</v>
      </c>
      <c r="C105" s="311">
        <v>24.74</v>
      </c>
      <c r="D105" s="313" t="s">
        <v>282</v>
      </c>
      <c r="E105" s="313" t="s">
        <v>12</v>
      </c>
    </row>
    <row r="106">
      <c r="A106" s="386">
        <v>45552.0</v>
      </c>
      <c r="B106" s="387">
        <v>573.0</v>
      </c>
      <c r="C106" s="311">
        <v>25.06</v>
      </c>
      <c r="D106" s="313" t="s">
        <v>282</v>
      </c>
      <c r="E106" s="313" t="s">
        <v>12</v>
      </c>
    </row>
    <row r="107">
      <c r="A107" s="386">
        <v>45552.0</v>
      </c>
      <c r="B107" s="387">
        <v>574.0</v>
      </c>
      <c r="C107" s="311">
        <v>25.12</v>
      </c>
      <c r="D107" s="313" t="s">
        <v>282</v>
      </c>
      <c r="E107" s="313" t="s">
        <v>12</v>
      </c>
    </row>
    <row r="108">
      <c r="A108" s="386">
        <v>45552.0</v>
      </c>
      <c r="B108" s="387">
        <v>586.0</v>
      </c>
      <c r="C108" s="311">
        <v>24.6</v>
      </c>
      <c r="D108" s="313" t="s">
        <v>282</v>
      </c>
      <c r="E108" s="313" t="s">
        <v>12</v>
      </c>
    </row>
    <row r="109">
      <c r="A109" s="386">
        <v>45552.0</v>
      </c>
      <c r="B109" s="390" t="s">
        <v>802</v>
      </c>
      <c r="C109" s="311">
        <v>24.6</v>
      </c>
      <c r="D109" s="313" t="s">
        <v>282</v>
      </c>
      <c r="E109" s="313" t="s">
        <v>12</v>
      </c>
    </row>
    <row r="110">
      <c r="A110" s="386">
        <v>45552.0</v>
      </c>
      <c r="B110" s="387">
        <v>587.0</v>
      </c>
      <c r="C110" s="311">
        <v>25.12</v>
      </c>
      <c r="D110" s="313" t="s">
        <v>282</v>
      </c>
      <c r="E110" s="313" t="s">
        <v>12</v>
      </c>
    </row>
    <row r="111">
      <c r="A111" s="386">
        <v>45552.0</v>
      </c>
      <c r="B111" s="387">
        <v>599.0</v>
      </c>
      <c r="C111" s="311">
        <v>25.0</v>
      </c>
      <c r="D111" s="313" t="s">
        <v>282</v>
      </c>
      <c r="E111" s="313" t="s">
        <v>12</v>
      </c>
    </row>
    <row r="112">
      <c r="A112" s="386">
        <v>45552.0</v>
      </c>
      <c r="B112" s="387">
        <v>600.0</v>
      </c>
      <c r="C112" s="311">
        <v>25.01</v>
      </c>
      <c r="D112" s="313" t="s">
        <v>282</v>
      </c>
      <c r="E112" s="313" t="s">
        <v>12</v>
      </c>
    </row>
    <row r="113">
      <c r="A113" s="386">
        <v>45552.0</v>
      </c>
      <c r="B113" s="390" t="s">
        <v>802</v>
      </c>
      <c r="C113" s="311">
        <v>25.0</v>
      </c>
      <c r="D113" s="313" t="s">
        <v>282</v>
      </c>
      <c r="E113" s="313" t="s">
        <v>12</v>
      </c>
    </row>
    <row r="114">
      <c r="A114" s="392"/>
      <c r="B114" s="326"/>
      <c r="C114" s="393"/>
      <c r="D114" s="1"/>
      <c r="E114" s="1"/>
    </row>
    <row r="115">
      <c r="A115" s="392"/>
      <c r="B115" s="326"/>
      <c r="C115" s="393"/>
      <c r="D115" s="1"/>
      <c r="E115" s="1"/>
    </row>
    <row r="116">
      <c r="A116" s="392"/>
      <c r="B116" s="326"/>
      <c r="C116" s="393"/>
      <c r="D116" s="1"/>
      <c r="E116" s="1"/>
    </row>
    <row r="117">
      <c r="A117" s="392"/>
      <c r="B117" s="326"/>
      <c r="C117" s="393"/>
      <c r="D117" s="1"/>
      <c r="E117" s="1"/>
    </row>
    <row r="118">
      <c r="A118" s="326"/>
      <c r="B118" s="326"/>
      <c r="C118" s="393"/>
      <c r="D118" s="1"/>
      <c r="E118" s="1"/>
    </row>
    <row r="119">
      <c r="A119" s="326"/>
      <c r="B119" s="326"/>
      <c r="C119" s="393"/>
      <c r="D119" s="1"/>
      <c r="E119" s="1"/>
    </row>
    <row r="120">
      <c r="A120" s="326"/>
      <c r="B120" s="326"/>
      <c r="C120" s="393"/>
      <c r="D120" s="1"/>
      <c r="E120" s="1"/>
    </row>
    <row r="121">
      <c r="A121" s="326"/>
      <c r="B121" s="326"/>
      <c r="C121" s="393"/>
      <c r="D121" s="1"/>
      <c r="E121" s="1"/>
    </row>
    <row r="122">
      <c r="A122" s="326"/>
      <c r="B122" s="326"/>
      <c r="C122" s="393"/>
      <c r="D122" s="1"/>
      <c r="E122" s="1"/>
    </row>
    <row r="123">
      <c r="A123" s="326"/>
      <c r="B123" s="326"/>
      <c r="C123" s="393"/>
      <c r="D123" s="1"/>
      <c r="E123" s="1"/>
    </row>
    <row r="124">
      <c r="A124" s="326"/>
      <c r="B124" s="326"/>
      <c r="C124" s="393"/>
      <c r="D124" s="1"/>
      <c r="E124" s="1"/>
    </row>
    <row r="125">
      <c r="A125" s="326"/>
      <c r="B125" s="326"/>
      <c r="C125" s="393"/>
      <c r="D125" s="1"/>
      <c r="E125" s="1"/>
    </row>
    <row r="126">
      <c r="A126" s="326"/>
      <c r="B126" s="326"/>
      <c r="C126" s="393"/>
      <c r="D126" s="1"/>
      <c r="E126" s="1"/>
    </row>
    <row r="127">
      <c r="A127" s="326"/>
      <c r="B127" s="326"/>
      <c r="C127" s="393"/>
      <c r="D127" s="1"/>
      <c r="E127" s="1"/>
    </row>
    <row r="128">
      <c r="A128" s="326"/>
      <c r="B128" s="326"/>
      <c r="C128" s="393"/>
      <c r="D128" s="1"/>
      <c r="E128" s="1"/>
    </row>
    <row r="129">
      <c r="A129" s="326"/>
      <c r="B129" s="326"/>
      <c r="C129" s="393"/>
      <c r="D129" s="1"/>
      <c r="E129" s="1"/>
    </row>
    <row r="130">
      <c r="A130" s="326"/>
      <c r="B130" s="326"/>
      <c r="C130" s="393"/>
      <c r="D130" s="1"/>
      <c r="E130" s="1"/>
    </row>
    <row r="131">
      <c r="A131" s="326"/>
      <c r="B131" s="326"/>
      <c r="C131" s="393"/>
      <c r="D131" s="1"/>
      <c r="E131" s="1"/>
    </row>
    <row r="132">
      <c r="A132" s="326"/>
      <c r="B132" s="326"/>
      <c r="C132" s="393"/>
      <c r="D132" s="1"/>
      <c r="E132" s="1"/>
    </row>
    <row r="133">
      <c r="A133" s="326"/>
      <c r="B133" s="326"/>
      <c r="C133" s="393"/>
      <c r="D133" s="1"/>
      <c r="E133" s="1"/>
    </row>
    <row r="134">
      <c r="A134" s="326"/>
      <c r="B134" s="326"/>
      <c r="C134" s="393"/>
      <c r="D134" s="1"/>
      <c r="E134" s="1"/>
    </row>
    <row r="135">
      <c r="A135" s="326"/>
      <c r="B135" s="326"/>
      <c r="C135" s="393"/>
      <c r="D135" s="1"/>
      <c r="E135" s="1"/>
    </row>
    <row r="136">
      <c r="A136" s="326"/>
      <c r="B136" s="326"/>
      <c r="C136" s="393"/>
      <c r="D136" s="1"/>
      <c r="E136" s="1"/>
    </row>
    <row r="137">
      <c r="A137" s="326"/>
      <c r="B137" s="326"/>
      <c r="C137" s="393"/>
      <c r="D137" s="1"/>
      <c r="E137" s="1"/>
    </row>
    <row r="138">
      <c r="A138" s="326"/>
      <c r="B138" s="326"/>
      <c r="C138" s="393"/>
      <c r="D138" s="1"/>
      <c r="E138" s="1"/>
    </row>
    <row r="139">
      <c r="A139" s="326"/>
      <c r="B139" s="326"/>
      <c r="C139" s="393"/>
      <c r="D139" s="1"/>
      <c r="E139" s="1"/>
    </row>
    <row r="140">
      <c r="A140" s="326"/>
      <c r="B140" s="326"/>
      <c r="C140" s="393"/>
      <c r="D140" s="1"/>
      <c r="E140" s="1"/>
    </row>
    <row r="141">
      <c r="A141" s="326"/>
      <c r="B141" s="326"/>
      <c r="C141" s="393"/>
      <c r="D141" s="1"/>
      <c r="E141" s="1"/>
    </row>
    <row r="142">
      <c r="A142" s="326"/>
      <c r="B142" s="326"/>
      <c r="C142" s="393"/>
      <c r="D142" s="1"/>
      <c r="E142" s="1"/>
    </row>
    <row r="143">
      <c r="A143" s="326"/>
      <c r="B143" s="326"/>
      <c r="C143" s="393"/>
      <c r="D143" s="1"/>
      <c r="E143" s="1"/>
    </row>
    <row r="144">
      <c r="A144" s="326"/>
      <c r="B144" s="326"/>
      <c r="C144" s="393"/>
      <c r="D144" s="1"/>
      <c r="E144" s="1"/>
    </row>
    <row r="145">
      <c r="A145" s="326"/>
      <c r="B145" s="326"/>
      <c r="C145" s="393"/>
      <c r="D145" s="1"/>
      <c r="E145" s="1"/>
    </row>
    <row r="146">
      <c r="A146" s="326"/>
      <c r="B146" s="326"/>
      <c r="C146" s="393"/>
      <c r="D146" s="1"/>
      <c r="E146" s="1"/>
    </row>
    <row r="147">
      <c r="A147" s="326"/>
      <c r="B147" s="326"/>
      <c r="C147" s="393"/>
      <c r="D147" s="1"/>
      <c r="E147" s="1"/>
    </row>
    <row r="148">
      <c r="A148" s="326"/>
      <c r="B148" s="326"/>
      <c r="C148" s="393"/>
      <c r="D148" s="1"/>
      <c r="E148" s="1"/>
    </row>
    <row r="149">
      <c r="A149" s="326"/>
      <c r="B149" s="326"/>
      <c r="C149" s="393"/>
      <c r="D149" s="1"/>
      <c r="E149" s="1"/>
    </row>
    <row r="150">
      <c r="A150" s="326"/>
      <c r="B150" s="326"/>
      <c r="C150" s="393"/>
      <c r="D150" s="1"/>
      <c r="E150" s="1"/>
    </row>
    <row r="151">
      <c r="A151" s="326"/>
      <c r="B151" s="326"/>
      <c r="C151" s="393"/>
      <c r="D151" s="1"/>
      <c r="E151" s="1"/>
    </row>
    <row r="152">
      <c r="A152" s="326"/>
      <c r="B152" s="326"/>
      <c r="C152" s="393"/>
      <c r="D152" s="1"/>
      <c r="E152" s="1"/>
    </row>
    <row r="153">
      <c r="A153" s="326"/>
      <c r="B153" s="326"/>
      <c r="C153" s="393"/>
      <c r="D153" s="1"/>
      <c r="E153" s="1"/>
    </row>
    <row r="154">
      <c r="A154" s="326"/>
      <c r="B154" s="326"/>
      <c r="C154" s="393"/>
      <c r="D154" s="1"/>
      <c r="E154" s="1"/>
    </row>
    <row r="155">
      <c r="A155" s="326"/>
      <c r="B155" s="326"/>
      <c r="C155" s="393"/>
      <c r="D155" s="1"/>
      <c r="E155" s="1"/>
    </row>
    <row r="156">
      <c r="A156" s="326"/>
      <c r="B156" s="326"/>
      <c r="C156" s="393"/>
      <c r="D156" s="1"/>
      <c r="E156" s="1"/>
    </row>
    <row r="157">
      <c r="A157" s="326"/>
      <c r="B157" s="326"/>
      <c r="C157" s="393"/>
      <c r="D157" s="1"/>
      <c r="E157" s="1"/>
    </row>
    <row r="158">
      <c r="A158" s="326"/>
      <c r="B158" s="326"/>
      <c r="C158" s="393"/>
      <c r="D158" s="1"/>
      <c r="E158" s="1"/>
    </row>
    <row r="159">
      <c r="A159" s="326"/>
      <c r="B159" s="326"/>
      <c r="C159" s="393"/>
      <c r="D159" s="1"/>
      <c r="E159" s="1"/>
    </row>
    <row r="160">
      <c r="A160" s="326"/>
      <c r="B160" s="326"/>
      <c r="C160" s="393"/>
      <c r="D160" s="1"/>
      <c r="E160" s="1"/>
    </row>
    <row r="161">
      <c r="A161" s="326"/>
      <c r="B161" s="326"/>
      <c r="C161" s="393"/>
      <c r="D161" s="1"/>
      <c r="E161" s="1"/>
    </row>
    <row r="162">
      <c r="A162" s="326"/>
      <c r="B162" s="326"/>
      <c r="C162" s="393"/>
      <c r="D162" s="1"/>
      <c r="E162" s="1"/>
    </row>
    <row r="163">
      <c r="A163" s="326"/>
      <c r="B163" s="326"/>
      <c r="C163" s="393"/>
      <c r="D163" s="1"/>
      <c r="E163" s="1"/>
    </row>
    <row r="164">
      <c r="A164" s="326"/>
      <c r="B164" s="326"/>
      <c r="C164" s="393"/>
      <c r="D164" s="1"/>
      <c r="E164" s="1"/>
    </row>
    <row r="165">
      <c r="A165" s="326"/>
      <c r="B165" s="326"/>
      <c r="C165" s="393"/>
      <c r="D165" s="1"/>
      <c r="E165" s="1"/>
    </row>
    <row r="166">
      <c r="A166" s="326"/>
      <c r="B166" s="326"/>
      <c r="C166" s="393"/>
      <c r="D166" s="1"/>
      <c r="E166" s="1"/>
    </row>
    <row r="167">
      <c r="A167" s="326"/>
      <c r="B167" s="326"/>
      <c r="C167" s="393"/>
      <c r="D167" s="1"/>
      <c r="E167" s="1"/>
    </row>
    <row r="168">
      <c r="A168" s="326"/>
      <c r="B168" s="326"/>
      <c r="C168" s="393"/>
      <c r="D168" s="1"/>
      <c r="E168" s="1"/>
    </row>
    <row r="169">
      <c r="A169" s="326"/>
      <c r="B169" s="326"/>
      <c r="C169" s="393"/>
      <c r="D169" s="1"/>
      <c r="E169" s="1"/>
    </row>
    <row r="170">
      <c r="A170" s="326"/>
      <c r="B170" s="326"/>
      <c r="C170" s="393"/>
      <c r="D170" s="1"/>
      <c r="E170" s="1"/>
    </row>
    <row r="171">
      <c r="A171" s="326"/>
      <c r="B171" s="326"/>
      <c r="C171" s="393"/>
      <c r="D171" s="1"/>
      <c r="E171" s="1"/>
    </row>
    <row r="172">
      <c r="A172" s="326"/>
      <c r="B172" s="326"/>
      <c r="C172" s="393"/>
      <c r="D172" s="1"/>
      <c r="E172" s="1"/>
    </row>
    <row r="173">
      <c r="A173" s="326"/>
      <c r="B173" s="326"/>
      <c r="C173" s="393"/>
      <c r="D173" s="1"/>
      <c r="E173" s="1"/>
    </row>
    <row r="174">
      <c r="A174" s="326"/>
      <c r="B174" s="326"/>
      <c r="C174" s="393"/>
      <c r="D174" s="1"/>
      <c r="E174" s="1"/>
    </row>
    <row r="175">
      <c r="A175" s="326"/>
      <c r="B175" s="326"/>
      <c r="C175" s="393"/>
      <c r="D175" s="1"/>
      <c r="E175" s="1"/>
    </row>
    <row r="176">
      <c r="A176" s="326"/>
      <c r="B176" s="326"/>
      <c r="C176" s="393"/>
      <c r="D176" s="1"/>
      <c r="E176" s="1"/>
    </row>
    <row r="177">
      <c r="A177" s="326"/>
      <c r="B177" s="326"/>
      <c r="C177" s="393"/>
      <c r="D177" s="1"/>
      <c r="E177" s="1"/>
    </row>
    <row r="178">
      <c r="A178" s="326"/>
      <c r="B178" s="326"/>
      <c r="C178" s="393"/>
      <c r="D178" s="1"/>
      <c r="E178" s="1"/>
    </row>
    <row r="179">
      <c r="A179" s="326"/>
      <c r="B179" s="326"/>
      <c r="C179" s="393"/>
      <c r="D179" s="1"/>
      <c r="E179" s="1"/>
    </row>
    <row r="180">
      <c r="A180" s="326"/>
      <c r="B180" s="326"/>
      <c r="C180" s="393"/>
      <c r="D180" s="1"/>
      <c r="E180" s="1"/>
    </row>
    <row r="181">
      <c r="A181" s="326"/>
      <c r="B181" s="326"/>
      <c r="C181" s="393"/>
      <c r="D181" s="1"/>
      <c r="E181" s="1"/>
    </row>
    <row r="182">
      <c r="A182" s="326"/>
      <c r="B182" s="326"/>
      <c r="C182" s="393"/>
      <c r="D182" s="1"/>
      <c r="E182" s="1"/>
    </row>
    <row r="183">
      <c r="A183" s="326"/>
      <c r="B183" s="326"/>
      <c r="C183" s="393"/>
      <c r="D183" s="1"/>
      <c r="E183" s="1"/>
    </row>
    <row r="184">
      <c r="A184" s="326"/>
      <c r="B184" s="326"/>
      <c r="C184" s="393"/>
      <c r="D184" s="1"/>
      <c r="E184" s="1"/>
    </row>
    <row r="185">
      <c r="A185" s="326"/>
      <c r="B185" s="326"/>
      <c r="C185" s="393"/>
      <c r="D185" s="1"/>
      <c r="E185" s="1"/>
    </row>
    <row r="186">
      <c r="A186" s="326"/>
      <c r="B186" s="326"/>
      <c r="C186" s="393"/>
      <c r="D186" s="1"/>
      <c r="E186" s="1"/>
    </row>
    <row r="187">
      <c r="A187" s="326"/>
      <c r="B187" s="326"/>
      <c r="C187" s="393"/>
      <c r="D187" s="1"/>
      <c r="E187" s="1"/>
    </row>
    <row r="188">
      <c r="A188" s="326"/>
      <c r="B188" s="326"/>
      <c r="C188" s="393"/>
      <c r="D188" s="1"/>
      <c r="E188" s="1"/>
    </row>
    <row r="189">
      <c r="A189" s="326"/>
      <c r="B189" s="326"/>
      <c r="C189" s="393"/>
      <c r="D189" s="1"/>
      <c r="E189" s="1"/>
    </row>
    <row r="190">
      <c r="A190" s="326"/>
      <c r="B190" s="326"/>
      <c r="C190" s="393"/>
      <c r="D190" s="1"/>
      <c r="E190" s="1"/>
    </row>
    <row r="191">
      <c r="A191" s="326"/>
      <c r="B191" s="326"/>
      <c r="C191" s="393"/>
      <c r="D191" s="1"/>
      <c r="E191" s="1"/>
    </row>
    <row r="192">
      <c r="A192" s="326"/>
      <c r="B192" s="326"/>
      <c r="C192" s="393"/>
      <c r="D192" s="1"/>
      <c r="E192" s="1"/>
    </row>
    <row r="193">
      <c r="A193" s="326"/>
      <c r="B193" s="326"/>
      <c r="C193" s="393"/>
      <c r="D193" s="1"/>
      <c r="E193" s="1"/>
    </row>
    <row r="194">
      <c r="A194" s="326"/>
      <c r="B194" s="326"/>
      <c r="C194" s="393"/>
      <c r="D194" s="1"/>
      <c r="E194" s="1"/>
    </row>
    <row r="195">
      <c r="A195" s="326"/>
      <c r="B195" s="326"/>
      <c r="C195" s="393"/>
      <c r="D195" s="1"/>
      <c r="E195" s="1"/>
    </row>
    <row r="196">
      <c r="A196" s="326"/>
      <c r="B196" s="326"/>
      <c r="C196" s="393"/>
      <c r="D196" s="1"/>
      <c r="E196" s="1"/>
    </row>
    <row r="197">
      <c r="A197" s="326"/>
      <c r="B197" s="326"/>
      <c r="C197" s="393"/>
      <c r="D197" s="1"/>
      <c r="E197" s="1"/>
    </row>
    <row r="198">
      <c r="A198" s="326"/>
      <c r="B198" s="326"/>
      <c r="C198" s="393"/>
      <c r="D198" s="1"/>
      <c r="E198" s="1"/>
    </row>
    <row r="199">
      <c r="A199" s="326"/>
      <c r="B199" s="326"/>
      <c r="C199" s="393"/>
      <c r="D199" s="1"/>
      <c r="E199" s="1"/>
    </row>
    <row r="200">
      <c r="A200" s="326"/>
      <c r="B200" s="326"/>
      <c r="C200" s="393"/>
      <c r="D200" s="1"/>
      <c r="E200" s="1"/>
    </row>
    <row r="201">
      <c r="A201" s="326"/>
      <c r="B201" s="326"/>
      <c r="C201" s="393"/>
      <c r="D201" s="1"/>
      <c r="E201" s="1"/>
    </row>
    <row r="202">
      <c r="A202" s="326"/>
      <c r="B202" s="326"/>
      <c r="C202" s="393"/>
      <c r="D202" s="1"/>
      <c r="E202" s="1"/>
    </row>
    <row r="203">
      <c r="A203" s="326"/>
      <c r="B203" s="326"/>
      <c r="C203" s="393"/>
      <c r="D203" s="1"/>
      <c r="E203" s="1"/>
    </row>
    <row r="204">
      <c r="A204" s="326"/>
      <c r="B204" s="326"/>
      <c r="C204" s="393"/>
      <c r="D204" s="1"/>
      <c r="E204" s="1"/>
    </row>
    <row r="205">
      <c r="A205" s="326"/>
      <c r="B205" s="326"/>
      <c r="C205" s="393"/>
      <c r="D205" s="1"/>
      <c r="E205" s="1"/>
    </row>
    <row r="206">
      <c r="A206" s="326"/>
      <c r="B206" s="326"/>
      <c r="C206" s="393"/>
      <c r="D206" s="1"/>
      <c r="E206" s="1"/>
    </row>
    <row r="207">
      <c r="A207" s="326"/>
      <c r="B207" s="326"/>
      <c r="C207" s="393"/>
      <c r="D207" s="1"/>
      <c r="E207" s="1"/>
    </row>
    <row r="208">
      <c r="A208" s="326"/>
      <c r="B208" s="326"/>
      <c r="C208" s="393"/>
      <c r="D208" s="1"/>
      <c r="E208" s="1"/>
    </row>
    <row r="209">
      <c r="A209" s="326"/>
      <c r="B209" s="326"/>
      <c r="C209" s="393"/>
      <c r="D209" s="1"/>
      <c r="E209" s="1"/>
    </row>
    <row r="210">
      <c r="A210" s="326"/>
      <c r="B210" s="326"/>
      <c r="C210" s="393"/>
      <c r="D210" s="1"/>
      <c r="E210" s="1"/>
    </row>
    <row r="211">
      <c r="A211" s="326"/>
      <c r="B211" s="326"/>
      <c r="C211" s="393"/>
      <c r="D211" s="1"/>
      <c r="E211" s="1"/>
    </row>
    <row r="212">
      <c r="A212" s="326"/>
      <c r="B212" s="326"/>
      <c r="C212" s="393"/>
      <c r="D212" s="1"/>
      <c r="E212" s="1"/>
    </row>
    <row r="213">
      <c r="A213" s="326"/>
      <c r="B213" s="326"/>
      <c r="C213" s="393"/>
      <c r="D213" s="1"/>
      <c r="E213" s="1"/>
    </row>
    <row r="214">
      <c r="A214" s="326"/>
      <c r="B214" s="326"/>
      <c r="C214" s="393"/>
      <c r="D214" s="1"/>
      <c r="E214" s="1"/>
    </row>
    <row r="215">
      <c r="A215" s="326"/>
      <c r="B215" s="326"/>
      <c r="C215" s="393"/>
      <c r="D215" s="1"/>
      <c r="E215" s="1"/>
    </row>
    <row r="216">
      <c r="A216" s="326"/>
      <c r="B216" s="326"/>
      <c r="C216" s="393"/>
      <c r="D216" s="1"/>
      <c r="E216" s="1"/>
    </row>
    <row r="217">
      <c r="A217" s="326"/>
      <c r="B217" s="326"/>
      <c r="C217" s="393"/>
      <c r="D217" s="1"/>
      <c r="E217" s="1"/>
    </row>
    <row r="218">
      <c r="A218" s="326"/>
      <c r="B218" s="326"/>
      <c r="C218" s="393"/>
      <c r="D218" s="1"/>
      <c r="E218" s="1"/>
    </row>
    <row r="219">
      <c r="A219" s="326"/>
      <c r="B219" s="326"/>
      <c r="C219" s="393"/>
      <c r="D219" s="1"/>
      <c r="E219" s="1"/>
    </row>
    <row r="220">
      <c r="A220" s="326"/>
      <c r="B220" s="326"/>
      <c r="C220" s="393"/>
      <c r="D220" s="1"/>
      <c r="E220" s="1"/>
    </row>
    <row r="221">
      <c r="A221" s="326"/>
      <c r="B221" s="326"/>
      <c r="C221" s="393"/>
      <c r="D221" s="1"/>
      <c r="E221" s="1"/>
    </row>
    <row r="222">
      <c r="A222" s="326"/>
      <c r="B222" s="326"/>
      <c r="C222" s="393"/>
      <c r="D222" s="1"/>
      <c r="E222" s="1"/>
    </row>
    <row r="223">
      <c r="A223" s="326"/>
      <c r="B223" s="326"/>
      <c r="C223" s="393"/>
      <c r="D223" s="1"/>
      <c r="E223" s="1"/>
    </row>
    <row r="224">
      <c r="A224" s="326"/>
      <c r="B224" s="326"/>
      <c r="C224" s="393"/>
      <c r="D224" s="1"/>
      <c r="E224" s="1"/>
    </row>
    <row r="225">
      <c r="A225" s="326"/>
      <c r="B225" s="326"/>
      <c r="C225" s="393"/>
      <c r="D225" s="1"/>
      <c r="E225" s="1"/>
    </row>
    <row r="226">
      <c r="A226" s="326"/>
      <c r="B226" s="326"/>
      <c r="C226" s="393"/>
      <c r="D226" s="1"/>
      <c r="E226" s="1"/>
    </row>
    <row r="227">
      <c r="A227" s="326"/>
      <c r="B227" s="326"/>
      <c r="C227" s="393"/>
      <c r="D227" s="1"/>
      <c r="E227" s="1"/>
    </row>
    <row r="228">
      <c r="A228" s="326"/>
      <c r="B228" s="326"/>
      <c r="C228" s="393"/>
      <c r="D228" s="1"/>
      <c r="E228" s="1"/>
    </row>
    <row r="229">
      <c r="A229" s="326"/>
      <c r="B229" s="326"/>
      <c r="C229" s="393"/>
      <c r="D229" s="1"/>
      <c r="E229" s="1"/>
    </row>
    <row r="230">
      <c r="A230" s="326"/>
      <c r="B230" s="326"/>
      <c r="C230" s="393"/>
      <c r="D230" s="1"/>
      <c r="E230" s="1"/>
    </row>
    <row r="231">
      <c r="A231" s="326"/>
      <c r="B231" s="326"/>
      <c r="C231" s="393"/>
      <c r="D231" s="1"/>
      <c r="E231" s="1"/>
    </row>
    <row r="232">
      <c r="A232" s="326"/>
      <c r="B232" s="326"/>
      <c r="C232" s="393"/>
      <c r="D232" s="1"/>
      <c r="E232" s="1"/>
    </row>
    <row r="233">
      <c r="A233" s="326"/>
      <c r="B233" s="326"/>
      <c r="C233" s="393"/>
      <c r="D233" s="1"/>
      <c r="E233" s="1"/>
    </row>
    <row r="234">
      <c r="A234" s="326"/>
      <c r="B234" s="326"/>
      <c r="C234" s="393"/>
      <c r="D234" s="1"/>
      <c r="E234" s="1"/>
    </row>
    <row r="235">
      <c r="A235" s="326"/>
      <c r="B235" s="326"/>
      <c r="C235" s="393"/>
      <c r="D235" s="1"/>
      <c r="E235" s="1"/>
    </row>
    <row r="236">
      <c r="A236" s="326"/>
      <c r="B236" s="326"/>
      <c r="C236" s="393"/>
      <c r="D236" s="1"/>
      <c r="E236" s="1"/>
    </row>
    <row r="237">
      <c r="A237" s="326"/>
      <c r="B237" s="326"/>
      <c r="C237" s="393"/>
      <c r="D237" s="1"/>
      <c r="E237" s="1"/>
    </row>
    <row r="238">
      <c r="A238" s="326"/>
      <c r="B238" s="326"/>
      <c r="C238" s="393"/>
      <c r="D238" s="1"/>
      <c r="E238" s="1"/>
    </row>
    <row r="239">
      <c r="A239" s="326"/>
      <c r="B239" s="326"/>
      <c r="C239" s="393"/>
      <c r="D239" s="1"/>
      <c r="E239" s="1"/>
    </row>
    <row r="240">
      <c r="A240" s="326"/>
      <c r="B240" s="326"/>
      <c r="C240" s="393"/>
      <c r="D240" s="1"/>
      <c r="E240" s="1"/>
    </row>
    <row r="241">
      <c r="A241" s="326"/>
      <c r="B241" s="326"/>
      <c r="C241" s="393"/>
      <c r="D241" s="1"/>
      <c r="E241" s="1"/>
    </row>
    <row r="242">
      <c r="A242" s="326"/>
      <c r="B242" s="326"/>
      <c r="C242" s="393"/>
      <c r="D242" s="1"/>
      <c r="E242" s="1"/>
    </row>
    <row r="243">
      <c r="A243" s="326"/>
      <c r="B243" s="326"/>
      <c r="C243" s="393"/>
      <c r="D243" s="1"/>
      <c r="E243" s="1"/>
    </row>
    <row r="244">
      <c r="A244" s="326"/>
      <c r="B244" s="326"/>
      <c r="C244" s="393"/>
      <c r="D244" s="1"/>
      <c r="E244" s="1"/>
    </row>
    <row r="245">
      <c r="A245" s="326"/>
      <c r="B245" s="326"/>
      <c r="C245" s="393"/>
      <c r="D245" s="1"/>
      <c r="E245" s="1"/>
    </row>
    <row r="246">
      <c r="A246" s="326"/>
      <c r="B246" s="326"/>
      <c r="C246" s="393"/>
      <c r="D246" s="1"/>
      <c r="E246" s="1"/>
    </row>
    <row r="247">
      <c r="A247" s="326"/>
      <c r="B247" s="326"/>
      <c r="C247" s="393"/>
      <c r="D247" s="1"/>
      <c r="E247" s="1"/>
    </row>
    <row r="248">
      <c r="A248" s="326"/>
      <c r="B248" s="326"/>
      <c r="C248" s="393"/>
      <c r="D248" s="1"/>
      <c r="E248" s="1"/>
    </row>
    <row r="249">
      <c r="A249" s="326"/>
      <c r="B249" s="326"/>
      <c r="C249" s="393"/>
      <c r="D249" s="1"/>
      <c r="E249" s="1"/>
    </row>
    <row r="250">
      <c r="A250" s="326"/>
      <c r="B250" s="326"/>
      <c r="C250" s="393"/>
      <c r="D250" s="1"/>
      <c r="E250" s="1"/>
    </row>
    <row r="251">
      <c r="A251" s="326"/>
      <c r="B251" s="326"/>
      <c r="C251" s="393"/>
      <c r="D251" s="1"/>
      <c r="E251" s="1"/>
    </row>
    <row r="252">
      <c r="A252" s="326"/>
      <c r="B252" s="326"/>
      <c r="C252" s="393"/>
      <c r="D252" s="1"/>
      <c r="E252" s="1"/>
    </row>
    <row r="253">
      <c r="A253" s="326"/>
      <c r="B253" s="326"/>
      <c r="C253" s="393"/>
      <c r="D253" s="1"/>
      <c r="E253" s="1"/>
    </row>
    <row r="254">
      <c r="A254" s="326"/>
      <c r="B254" s="326"/>
      <c r="C254" s="393"/>
      <c r="D254" s="1"/>
      <c r="E254" s="1"/>
    </row>
    <row r="255">
      <c r="A255" s="326"/>
      <c r="B255" s="326"/>
      <c r="C255" s="393"/>
      <c r="D255" s="1"/>
      <c r="E255" s="1"/>
    </row>
    <row r="256">
      <c r="A256" s="326"/>
      <c r="B256" s="326"/>
      <c r="C256" s="393"/>
      <c r="D256" s="1"/>
      <c r="E256" s="1"/>
    </row>
    <row r="257">
      <c r="A257" s="326"/>
      <c r="B257" s="326"/>
      <c r="C257" s="393"/>
      <c r="D257" s="1"/>
      <c r="E257" s="1"/>
    </row>
    <row r="258">
      <c r="A258" s="326"/>
      <c r="B258" s="326"/>
      <c r="C258" s="393"/>
      <c r="D258" s="1"/>
      <c r="E258" s="1"/>
    </row>
    <row r="259">
      <c r="A259" s="326"/>
      <c r="B259" s="326"/>
      <c r="C259" s="393"/>
      <c r="D259" s="1"/>
      <c r="E259" s="1"/>
    </row>
    <row r="260">
      <c r="A260" s="326"/>
      <c r="B260" s="326"/>
      <c r="C260" s="393"/>
      <c r="D260" s="1"/>
      <c r="E260" s="1"/>
    </row>
    <row r="261">
      <c r="A261" s="326"/>
      <c r="B261" s="326"/>
      <c r="C261" s="393"/>
      <c r="D261" s="1"/>
      <c r="E261" s="1"/>
    </row>
    <row r="262">
      <c r="A262" s="326"/>
      <c r="B262" s="326"/>
      <c r="C262" s="393"/>
      <c r="D262" s="1"/>
      <c r="E262" s="1"/>
    </row>
    <row r="263">
      <c r="A263" s="326"/>
      <c r="B263" s="326"/>
      <c r="C263" s="393"/>
      <c r="D263" s="1"/>
      <c r="E263" s="1"/>
    </row>
    <row r="264">
      <c r="A264" s="326"/>
      <c r="B264" s="326"/>
      <c r="C264" s="393"/>
      <c r="D264" s="1"/>
      <c r="E264" s="1"/>
    </row>
    <row r="265">
      <c r="A265" s="326"/>
      <c r="B265" s="326"/>
      <c r="C265" s="393"/>
      <c r="D265" s="1"/>
      <c r="E265" s="1"/>
    </row>
    <row r="266">
      <c r="A266" s="326"/>
      <c r="B266" s="326"/>
      <c r="C266" s="393"/>
      <c r="D266" s="1"/>
      <c r="E266" s="1"/>
    </row>
    <row r="267">
      <c r="A267" s="326"/>
      <c r="B267" s="326"/>
      <c r="C267" s="393"/>
      <c r="D267" s="1"/>
      <c r="E267" s="1"/>
    </row>
    <row r="268">
      <c r="A268" s="326"/>
      <c r="B268" s="326"/>
      <c r="C268" s="393"/>
      <c r="D268" s="1"/>
      <c r="E268" s="1"/>
    </row>
    <row r="269">
      <c r="A269" s="326"/>
      <c r="B269" s="326"/>
      <c r="C269" s="393"/>
      <c r="D269" s="1"/>
      <c r="E269" s="1"/>
    </row>
    <row r="270">
      <c r="A270" s="326"/>
      <c r="B270" s="326"/>
      <c r="C270" s="393"/>
      <c r="D270" s="1"/>
      <c r="E270" s="1"/>
    </row>
    <row r="271">
      <c r="A271" s="326"/>
      <c r="B271" s="326"/>
      <c r="C271" s="393"/>
      <c r="D271" s="1"/>
      <c r="E271" s="1"/>
    </row>
    <row r="272">
      <c r="A272" s="326"/>
      <c r="B272" s="326"/>
      <c r="C272" s="393"/>
      <c r="D272" s="1"/>
      <c r="E272" s="1"/>
    </row>
    <row r="273">
      <c r="A273" s="326"/>
      <c r="B273" s="326"/>
      <c r="C273" s="393"/>
      <c r="D273" s="1"/>
      <c r="E273" s="1"/>
    </row>
    <row r="274">
      <c r="A274" s="326"/>
      <c r="B274" s="326"/>
      <c r="C274" s="393"/>
      <c r="D274" s="1"/>
      <c r="E274" s="1"/>
    </row>
    <row r="275">
      <c r="A275" s="326"/>
      <c r="B275" s="326"/>
      <c r="C275" s="393"/>
      <c r="D275" s="1"/>
      <c r="E275" s="1"/>
    </row>
    <row r="276">
      <c r="A276" s="326"/>
      <c r="B276" s="326"/>
      <c r="C276" s="393"/>
      <c r="D276" s="1"/>
      <c r="E276" s="1"/>
    </row>
    <row r="277">
      <c r="A277" s="326"/>
      <c r="B277" s="326"/>
      <c r="C277" s="393"/>
      <c r="D277" s="1"/>
      <c r="E277" s="1"/>
    </row>
    <row r="278">
      <c r="A278" s="326"/>
      <c r="B278" s="326"/>
      <c r="C278" s="393"/>
      <c r="D278" s="1"/>
      <c r="E278" s="1"/>
    </row>
    <row r="279">
      <c r="A279" s="326"/>
      <c r="B279" s="326"/>
      <c r="C279" s="393"/>
      <c r="D279" s="1"/>
      <c r="E279" s="1"/>
    </row>
    <row r="280">
      <c r="A280" s="326"/>
      <c r="B280" s="326"/>
      <c r="C280" s="393"/>
      <c r="D280" s="1"/>
      <c r="E280" s="1"/>
    </row>
    <row r="281">
      <c r="A281" s="326"/>
      <c r="B281" s="326"/>
      <c r="C281" s="393"/>
      <c r="D281" s="1"/>
      <c r="E281" s="1"/>
    </row>
    <row r="282">
      <c r="A282" s="326"/>
      <c r="B282" s="326"/>
      <c r="C282" s="393"/>
      <c r="D282" s="1"/>
      <c r="E282" s="1"/>
    </row>
    <row r="283">
      <c r="A283" s="326"/>
      <c r="B283" s="326"/>
      <c r="C283" s="393"/>
      <c r="D283" s="1"/>
      <c r="E283" s="1"/>
    </row>
    <row r="284">
      <c r="A284" s="326"/>
      <c r="B284" s="326"/>
      <c r="C284" s="393"/>
      <c r="D284" s="1"/>
      <c r="E284" s="1"/>
    </row>
    <row r="285">
      <c r="A285" s="326"/>
      <c r="B285" s="326"/>
      <c r="C285" s="393"/>
      <c r="D285" s="1"/>
      <c r="E285" s="1"/>
    </row>
    <row r="286">
      <c r="A286" s="326"/>
      <c r="B286" s="326"/>
      <c r="C286" s="393"/>
      <c r="D286" s="1"/>
      <c r="E286" s="1"/>
    </row>
    <row r="287">
      <c r="A287" s="326"/>
      <c r="B287" s="326"/>
      <c r="C287" s="393"/>
      <c r="D287" s="1"/>
      <c r="E287" s="1"/>
    </row>
    <row r="288">
      <c r="A288" s="326"/>
      <c r="B288" s="326"/>
      <c r="C288" s="393"/>
      <c r="D288" s="1"/>
      <c r="E288" s="1"/>
    </row>
    <row r="289">
      <c r="A289" s="326"/>
      <c r="B289" s="326"/>
      <c r="C289" s="393"/>
      <c r="D289" s="1"/>
      <c r="E289" s="1"/>
    </row>
    <row r="290">
      <c r="A290" s="326"/>
      <c r="B290" s="326"/>
      <c r="C290" s="393"/>
      <c r="D290" s="1"/>
      <c r="E290" s="1"/>
    </row>
    <row r="291">
      <c r="A291" s="326"/>
      <c r="B291" s="326"/>
      <c r="C291" s="393"/>
      <c r="D291" s="1"/>
      <c r="E291" s="1"/>
    </row>
    <row r="292">
      <c r="A292" s="326"/>
      <c r="B292" s="326"/>
      <c r="C292" s="393"/>
      <c r="D292" s="1"/>
      <c r="E292" s="1"/>
    </row>
    <row r="293">
      <c r="A293" s="326"/>
      <c r="B293" s="326"/>
      <c r="C293" s="393"/>
      <c r="D293" s="1"/>
      <c r="E293" s="1"/>
    </row>
    <row r="294">
      <c r="A294" s="326"/>
      <c r="B294" s="326"/>
      <c r="C294" s="393"/>
      <c r="D294" s="1"/>
      <c r="E294" s="1"/>
    </row>
    <row r="295">
      <c r="A295" s="326"/>
      <c r="B295" s="326"/>
      <c r="C295" s="393"/>
      <c r="D295" s="1"/>
      <c r="E295" s="1"/>
    </row>
    <row r="296">
      <c r="A296" s="326"/>
      <c r="B296" s="326"/>
      <c r="C296" s="393"/>
      <c r="D296" s="1"/>
      <c r="E296" s="1"/>
    </row>
    <row r="297">
      <c r="A297" s="326"/>
      <c r="B297" s="326"/>
      <c r="C297" s="393"/>
      <c r="D297" s="1"/>
      <c r="E297" s="1"/>
    </row>
    <row r="298">
      <c r="A298" s="326"/>
      <c r="B298" s="326"/>
      <c r="C298" s="393"/>
      <c r="D298" s="1"/>
      <c r="E298" s="1"/>
    </row>
    <row r="299">
      <c r="A299" s="326"/>
      <c r="B299" s="326"/>
      <c r="C299" s="393"/>
      <c r="D299" s="1"/>
      <c r="E299" s="1"/>
    </row>
    <row r="300">
      <c r="A300" s="326"/>
      <c r="B300" s="326"/>
      <c r="C300" s="393"/>
      <c r="D300" s="1"/>
      <c r="E300" s="1"/>
    </row>
    <row r="301">
      <c r="A301" s="326"/>
      <c r="B301" s="326"/>
      <c r="C301" s="393"/>
      <c r="D301" s="1"/>
      <c r="E301" s="1"/>
    </row>
    <row r="302">
      <c r="A302" s="326"/>
      <c r="B302" s="326"/>
      <c r="C302" s="393"/>
      <c r="D302" s="1"/>
      <c r="E302" s="1"/>
    </row>
    <row r="303">
      <c r="A303" s="326"/>
      <c r="B303" s="326"/>
      <c r="C303" s="393"/>
      <c r="D303" s="1"/>
      <c r="E303" s="1"/>
    </row>
    <row r="304">
      <c r="A304" s="326"/>
      <c r="B304" s="326"/>
      <c r="C304" s="393"/>
      <c r="D304" s="1"/>
      <c r="E304" s="1"/>
    </row>
    <row r="305">
      <c r="A305" s="326"/>
      <c r="B305" s="326"/>
      <c r="C305" s="393"/>
      <c r="D305" s="1"/>
      <c r="E305" s="1"/>
    </row>
    <row r="306">
      <c r="A306" s="326"/>
      <c r="B306" s="326"/>
      <c r="C306" s="393"/>
      <c r="D306" s="1"/>
      <c r="E306" s="1"/>
    </row>
    <row r="307">
      <c r="A307" s="326"/>
      <c r="B307" s="326"/>
      <c r="C307" s="393"/>
      <c r="D307" s="1"/>
      <c r="E307" s="1"/>
    </row>
    <row r="308">
      <c r="A308" s="326"/>
      <c r="B308" s="326"/>
      <c r="C308" s="393"/>
      <c r="D308" s="1"/>
      <c r="E308" s="1"/>
    </row>
    <row r="309">
      <c r="A309" s="326"/>
      <c r="B309" s="326"/>
      <c r="C309" s="393"/>
      <c r="D309" s="1"/>
      <c r="E309" s="1"/>
    </row>
    <row r="310">
      <c r="A310" s="326"/>
      <c r="B310" s="326"/>
      <c r="C310" s="393"/>
      <c r="D310" s="1"/>
      <c r="E310" s="1"/>
    </row>
    <row r="311">
      <c r="A311" s="326"/>
      <c r="B311" s="326"/>
      <c r="C311" s="393"/>
      <c r="D311" s="1"/>
      <c r="E311" s="1"/>
    </row>
    <row r="312">
      <c r="A312" s="326"/>
      <c r="B312" s="326"/>
      <c r="C312" s="393"/>
      <c r="D312" s="1"/>
      <c r="E312" s="1"/>
    </row>
    <row r="313">
      <c r="A313" s="326"/>
      <c r="B313" s="326"/>
      <c r="C313" s="393"/>
      <c r="D313" s="1"/>
      <c r="E313" s="1"/>
    </row>
    <row r="314">
      <c r="A314" s="326"/>
      <c r="B314" s="326"/>
      <c r="C314" s="393"/>
      <c r="D314" s="1"/>
      <c r="E314" s="1"/>
    </row>
    <row r="315">
      <c r="A315" s="326"/>
      <c r="B315" s="326"/>
      <c r="C315" s="393"/>
      <c r="D315" s="1"/>
      <c r="E315" s="1"/>
    </row>
    <row r="316">
      <c r="A316" s="326"/>
      <c r="B316" s="326"/>
      <c r="C316" s="393"/>
      <c r="D316" s="1"/>
      <c r="E316" s="1"/>
    </row>
    <row r="317">
      <c r="A317" s="326"/>
      <c r="B317" s="326"/>
      <c r="C317" s="393"/>
      <c r="D317" s="1"/>
      <c r="E317" s="1"/>
    </row>
    <row r="318">
      <c r="A318" s="326"/>
      <c r="B318" s="326"/>
      <c r="C318" s="393"/>
      <c r="D318" s="1"/>
      <c r="E318" s="1"/>
    </row>
    <row r="319">
      <c r="A319" s="326"/>
      <c r="B319" s="326"/>
      <c r="C319" s="393"/>
      <c r="D319" s="1"/>
      <c r="E319" s="1"/>
    </row>
    <row r="320">
      <c r="A320" s="326"/>
      <c r="B320" s="326"/>
      <c r="C320" s="393"/>
      <c r="D320" s="1"/>
      <c r="E320" s="1"/>
    </row>
    <row r="321">
      <c r="A321" s="326"/>
      <c r="B321" s="326"/>
      <c r="C321" s="393"/>
      <c r="D321" s="1"/>
      <c r="E321" s="1"/>
    </row>
    <row r="322">
      <c r="A322" s="326"/>
      <c r="B322" s="326"/>
      <c r="C322" s="393"/>
      <c r="D322" s="1"/>
      <c r="E322" s="1"/>
    </row>
    <row r="323">
      <c r="A323" s="326"/>
      <c r="B323" s="326"/>
      <c r="C323" s="393"/>
      <c r="D323" s="1"/>
      <c r="E323" s="1"/>
    </row>
    <row r="324">
      <c r="A324" s="326"/>
      <c r="B324" s="326"/>
      <c r="C324" s="393"/>
      <c r="D324" s="1"/>
      <c r="E324" s="1"/>
    </row>
    <row r="325">
      <c r="A325" s="326"/>
      <c r="B325" s="326"/>
      <c r="C325" s="393"/>
      <c r="D325" s="1"/>
      <c r="E325" s="1"/>
    </row>
    <row r="326">
      <c r="A326" s="326"/>
      <c r="B326" s="326"/>
      <c r="C326" s="393"/>
      <c r="D326" s="1"/>
      <c r="E326" s="1"/>
    </row>
    <row r="327">
      <c r="A327" s="326"/>
      <c r="B327" s="326"/>
      <c r="C327" s="393"/>
      <c r="D327" s="1"/>
      <c r="E327" s="1"/>
    </row>
    <row r="328">
      <c r="A328" s="326"/>
      <c r="B328" s="326"/>
      <c r="C328" s="393"/>
      <c r="D328" s="1"/>
      <c r="E328" s="1"/>
    </row>
    <row r="329">
      <c r="A329" s="326"/>
      <c r="B329" s="326"/>
      <c r="C329" s="393"/>
      <c r="D329" s="1"/>
      <c r="E329" s="1"/>
    </row>
    <row r="330">
      <c r="A330" s="326"/>
      <c r="B330" s="326"/>
      <c r="C330" s="393"/>
      <c r="D330" s="1"/>
      <c r="E330" s="1"/>
    </row>
    <row r="331">
      <c r="A331" s="326"/>
      <c r="B331" s="326"/>
      <c r="C331" s="393"/>
      <c r="D331" s="1"/>
      <c r="E331" s="1"/>
    </row>
    <row r="332">
      <c r="A332" s="326"/>
      <c r="B332" s="326"/>
      <c r="C332" s="393"/>
      <c r="D332" s="1"/>
      <c r="E332" s="1"/>
    </row>
    <row r="333">
      <c r="A333" s="326"/>
      <c r="B333" s="326"/>
      <c r="C333" s="393"/>
      <c r="D333" s="1"/>
      <c r="E333" s="1"/>
    </row>
    <row r="334">
      <c r="A334" s="326"/>
      <c r="B334" s="326"/>
      <c r="C334" s="393"/>
      <c r="D334" s="1"/>
      <c r="E334" s="1"/>
    </row>
    <row r="335">
      <c r="A335" s="326"/>
      <c r="B335" s="326"/>
      <c r="C335" s="393"/>
      <c r="D335" s="1"/>
      <c r="E335" s="1"/>
    </row>
    <row r="336">
      <c r="A336" s="326"/>
      <c r="B336" s="326"/>
      <c r="C336" s="393"/>
      <c r="D336" s="1"/>
      <c r="E336" s="1"/>
    </row>
    <row r="337">
      <c r="A337" s="326"/>
      <c r="B337" s="326"/>
      <c r="C337" s="393"/>
      <c r="D337" s="1"/>
      <c r="E337" s="1"/>
    </row>
    <row r="338">
      <c r="A338" s="326"/>
      <c r="B338" s="326"/>
      <c r="C338" s="393"/>
      <c r="D338" s="1"/>
      <c r="E338" s="1"/>
    </row>
    <row r="339">
      <c r="A339" s="326"/>
      <c r="B339" s="326"/>
      <c r="C339" s="393"/>
      <c r="D339" s="1"/>
      <c r="E339" s="1"/>
    </row>
    <row r="340">
      <c r="A340" s="326"/>
      <c r="B340" s="326"/>
      <c r="C340" s="393"/>
      <c r="D340" s="1"/>
      <c r="E340" s="1"/>
    </row>
    <row r="341">
      <c r="A341" s="326"/>
      <c r="B341" s="326"/>
      <c r="C341" s="393"/>
      <c r="D341" s="1"/>
      <c r="E341" s="1"/>
    </row>
    <row r="342">
      <c r="A342" s="326"/>
      <c r="B342" s="326"/>
      <c r="C342" s="393"/>
      <c r="D342" s="1"/>
      <c r="E342" s="1"/>
    </row>
    <row r="343">
      <c r="A343" s="326"/>
      <c r="B343" s="326"/>
      <c r="C343" s="393"/>
      <c r="D343" s="1"/>
      <c r="E343" s="1"/>
    </row>
    <row r="344">
      <c r="A344" s="326"/>
      <c r="B344" s="326"/>
      <c r="C344" s="393"/>
      <c r="D344" s="1"/>
      <c r="E344" s="1"/>
    </row>
    <row r="345">
      <c r="A345" s="326"/>
      <c r="B345" s="326"/>
      <c r="C345" s="393"/>
      <c r="D345" s="1"/>
      <c r="E345" s="1"/>
    </row>
    <row r="346">
      <c r="A346" s="326"/>
      <c r="B346" s="326"/>
      <c r="C346" s="393"/>
      <c r="D346" s="1"/>
      <c r="E346" s="1"/>
    </row>
    <row r="347">
      <c r="A347" s="326"/>
      <c r="B347" s="326"/>
      <c r="C347" s="393"/>
      <c r="D347" s="1"/>
      <c r="E347" s="1"/>
    </row>
    <row r="348">
      <c r="A348" s="326"/>
      <c r="B348" s="326"/>
      <c r="C348" s="393"/>
      <c r="D348" s="1"/>
      <c r="E348" s="1"/>
    </row>
    <row r="349">
      <c r="A349" s="326"/>
      <c r="B349" s="326"/>
      <c r="C349" s="393"/>
      <c r="D349" s="1"/>
      <c r="E349" s="1"/>
    </row>
    <row r="350">
      <c r="A350" s="326"/>
      <c r="B350" s="326"/>
      <c r="C350" s="393"/>
      <c r="D350" s="1"/>
      <c r="E350" s="1"/>
    </row>
    <row r="351">
      <c r="A351" s="326"/>
      <c r="B351" s="326"/>
      <c r="C351" s="393"/>
      <c r="D351" s="1"/>
      <c r="E351" s="1"/>
    </row>
    <row r="352">
      <c r="A352" s="326"/>
      <c r="B352" s="326"/>
      <c r="C352" s="393"/>
      <c r="D352" s="1"/>
      <c r="E352" s="1"/>
    </row>
    <row r="353">
      <c r="A353" s="326"/>
      <c r="B353" s="326"/>
      <c r="C353" s="393"/>
      <c r="D353" s="1"/>
      <c r="E353" s="1"/>
    </row>
    <row r="354">
      <c r="A354" s="326"/>
      <c r="B354" s="326"/>
      <c r="C354" s="393"/>
      <c r="D354" s="1"/>
      <c r="E354" s="1"/>
    </row>
    <row r="355">
      <c r="A355" s="326"/>
      <c r="B355" s="326"/>
      <c r="C355" s="393"/>
      <c r="D355" s="1"/>
      <c r="E355" s="1"/>
    </row>
    <row r="356">
      <c r="A356" s="326"/>
      <c r="B356" s="326"/>
      <c r="C356" s="393"/>
      <c r="D356" s="1"/>
      <c r="E356" s="1"/>
    </row>
    <row r="357">
      <c r="A357" s="326"/>
      <c r="B357" s="326"/>
      <c r="C357" s="393"/>
      <c r="D357" s="1"/>
      <c r="E357" s="1"/>
    </row>
    <row r="358">
      <c r="A358" s="326"/>
      <c r="B358" s="326"/>
      <c r="C358" s="393"/>
      <c r="D358" s="1"/>
      <c r="E358" s="1"/>
    </row>
    <row r="359">
      <c r="A359" s="326"/>
      <c r="B359" s="326"/>
      <c r="C359" s="393"/>
      <c r="D359" s="1"/>
      <c r="E359" s="1"/>
    </row>
    <row r="360">
      <c r="A360" s="326"/>
      <c r="B360" s="326"/>
      <c r="C360" s="393"/>
      <c r="D360" s="1"/>
      <c r="E360" s="1"/>
    </row>
    <row r="361">
      <c r="A361" s="326"/>
      <c r="B361" s="326"/>
      <c r="C361" s="393"/>
      <c r="D361" s="1"/>
      <c r="E361" s="1"/>
    </row>
    <row r="362">
      <c r="A362" s="326"/>
      <c r="B362" s="326"/>
      <c r="C362" s="393"/>
      <c r="D362" s="1"/>
      <c r="E362" s="1"/>
    </row>
    <row r="363">
      <c r="A363" s="326"/>
      <c r="B363" s="326"/>
      <c r="C363" s="393"/>
      <c r="D363" s="1"/>
      <c r="E363" s="1"/>
    </row>
    <row r="364">
      <c r="A364" s="326"/>
      <c r="B364" s="326"/>
      <c r="C364" s="393"/>
      <c r="D364" s="1"/>
      <c r="E364" s="1"/>
    </row>
    <row r="365">
      <c r="A365" s="326"/>
      <c r="B365" s="326"/>
      <c r="C365" s="393"/>
      <c r="D365" s="1"/>
      <c r="E365" s="1"/>
    </row>
    <row r="366">
      <c r="A366" s="326"/>
      <c r="B366" s="326"/>
      <c r="C366" s="393"/>
      <c r="D366" s="1"/>
      <c r="E366" s="1"/>
    </row>
    <row r="367">
      <c r="A367" s="326"/>
      <c r="B367" s="326"/>
      <c r="C367" s="393"/>
      <c r="D367" s="1"/>
      <c r="E367" s="1"/>
    </row>
    <row r="368">
      <c r="A368" s="326"/>
      <c r="B368" s="326"/>
      <c r="C368" s="393"/>
      <c r="D368" s="1"/>
      <c r="E368" s="1"/>
    </row>
    <row r="369">
      <c r="A369" s="326"/>
      <c r="B369" s="326"/>
      <c r="C369" s="393"/>
      <c r="D369" s="1"/>
      <c r="E369" s="1"/>
    </row>
    <row r="370">
      <c r="A370" s="326"/>
      <c r="B370" s="326"/>
      <c r="C370" s="393"/>
      <c r="D370" s="1"/>
      <c r="E370" s="1"/>
    </row>
    <row r="371">
      <c r="A371" s="326"/>
      <c r="B371" s="326"/>
      <c r="C371" s="393"/>
      <c r="D371" s="1"/>
      <c r="E371" s="1"/>
    </row>
    <row r="372">
      <c r="A372" s="326"/>
      <c r="B372" s="326"/>
      <c r="C372" s="393"/>
      <c r="D372" s="1"/>
      <c r="E372" s="1"/>
    </row>
    <row r="373">
      <c r="A373" s="326"/>
      <c r="B373" s="326"/>
      <c r="C373" s="393"/>
      <c r="D373" s="1"/>
      <c r="E373" s="1"/>
    </row>
    <row r="374">
      <c r="A374" s="326"/>
      <c r="B374" s="326"/>
      <c r="C374" s="393"/>
      <c r="D374" s="1"/>
      <c r="E374" s="1"/>
    </row>
    <row r="375">
      <c r="A375" s="326"/>
      <c r="B375" s="326"/>
      <c r="C375" s="393"/>
      <c r="D375" s="1"/>
      <c r="E375" s="1"/>
    </row>
    <row r="376">
      <c r="A376" s="326"/>
      <c r="B376" s="326"/>
      <c r="C376" s="393"/>
      <c r="D376" s="1"/>
      <c r="E376" s="1"/>
    </row>
    <row r="377">
      <c r="A377" s="326"/>
      <c r="B377" s="326"/>
      <c r="C377" s="393"/>
      <c r="D377" s="1"/>
      <c r="E377" s="1"/>
    </row>
    <row r="378">
      <c r="A378" s="326"/>
      <c r="B378" s="326"/>
      <c r="C378" s="393"/>
      <c r="D378" s="1"/>
      <c r="E378" s="1"/>
    </row>
    <row r="379">
      <c r="A379" s="326"/>
      <c r="B379" s="326"/>
      <c r="C379" s="393"/>
      <c r="D379" s="1"/>
      <c r="E379" s="1"/>
    </row>
    <row r="380">
      <c r="A380" s="326"/>
      <c r="B380" s="326"/>
      <c r="C380" s="393"/>
      <c r="D380" s="1"/>
      <c r="E380" s="1"/>
    </row>
    <row r="381">
      <c r="A381" s="326"/>
      <c r="B381" s="326"/>
      <c r="C381" s="393"/>
      <c r="D381" s="1"/>
      <c r="E381" s="1"/>
    </row>
    <row r="382">
      <c r="A382" s="326"/>
      <c r="B382" s="326"/>
      <c r="C382" s="393"/>
      <c r="D382" s="1"/>
      <c r="E382" s="1"/>
    </row>
    <row r="383">
      <c r="A383" s="326"/>
      <c r="B383" s="326"/>
      <c r="C383" s="393"/>
      <c r="D383" s="1"/>
      <c r="E383" s="1"/>
    </row>
    <row r="384">
      <c r="A384" s="326"/>
      <c r="B384" s="326"/>
      <c r="C384" s="393"/>
      <c r="D384" s="1"/>
      <c r="E384" s="1"/>
    </row>
    <row r="385">
      <c r="A385" s="326"/>
      <c r="B385" s="326"/>
      <c r="C385" s="393"/>
      <c r="D385" s="1"/>
      <c r="E385" s="1"/>
    </row>
    <row r="386">
      <c r="A386" s="326"/>
      <c r="B386" s="326"/>
      <c r="C386" s="393"/>
      <c r="D386" s="1"/>
      <c r="E386" s="1"/>
    </row>
    <row r="387">
      <c r="A387" s="326"/>
      <c r="B387" s="326"/>
      <c r="C387" s="393"/>
      <c r="D387" s="1"/>
      <c r="E387" s="1"/>
    </row>
    <row r="388">
      <c r="A388" s="326"/>
      <c r="B388" s="326"/>
      <c r="C388" s="393"/>
      <c r="D388" s="1"/>
      <c r="E388" s="1"/>
    </row>
    <row r="389">
      <c r="A389" s="326"/>
      <c r="B389" s="326"/>
      <c r="C389" s="393"/>
      <c r="D389" s="1"/>
      <c r="E389" s="1"/>
    </row>
    <row r="390">
      <c r="A390" s="326"/>
      <c r="B390" s="326"/>
      <c r="C390" s="393"/>
      <c r="D390" s="1"/>
      <c r="E390" s="1"/>
    </row>
    <row r="391">
      <c r="A391" s="326"/>
      <c r="B391" s="326"/>
      <c r="C391" s="393"/>
      <c r="D391" s="1"/>
      <c r="E391" s="1"/>
    </row>
    <row r="392">
      <c r="A392" s="326"/>
      <c r="B392" s="326"/>
      <c r="C392" s="393"/>
      <c r="D392" s="1"/>
      <c r="E392" s="1"/>
    </row>
    <row r="393">
      <c r="A393" s="326"/>
      <c r="B393" s="326"/>
      <c r="C393" s="393"/>
      <c r="D393" s="1"/>
      <c r="E393" s="1"/>
    </row>
    <row r="394">
      <c r="A394" s="326"/>
      <c r="B394" s="326"/>
      <c r="C394" s="393"/>
      <c r="D394" s="1"/>
      <c r="E394" s="1"/>
    </row>
    <row r="395">
      <c r="A395" s="326"/>
      <c r="B395" s="326"/>
      <c r="C395" s="393"/>
      <c r="D395" s="1"/>
      <c r="E395" s="1"/>
    </row>
    <row r="396">
      <c r="A396" s="326"/>
      <c r="B396" s="326"/>
      <c r="C396" s="393"/>
      <c r="D396" s="1"/>
      <c r="E396" s="1"/>
    </row>
    <row r="397">
      <c r="A397" s="326"/>
      <c r="B397" s="326"/>
      <c r="C397" s="393"/>
      <c r="D397" s="1"/>
      <c r="E397" s="1"/>
    </row>
    <row r="398">
      <c r="A398" s="326"/>
      <c r="B398" s="326"/>
      <c r="C398" s="393"/>
      <c r="D398" s="1"/>
      <c r="E398" s="1"/>
    </row>
    <row r="399">
      <c r="A399" s="326"/>
      <c r="B399" s="326"/>
      <c r="C399" s="393"/>
      <c r="D399" s="1"/>
      <c r="E399" s="1"/>
    </row>
    <row r="400">
      <c r="A400" s="326"/>
      <c r="B400" s="326"/>
      <c r="C400" s="393"/>
      <c r="D400" s="1"/>
      <c r="E400" s="1"/>
    </row>
    <row r="401">
      <c r="A401" s="326"/>
      <c r="B401" s="326"/>
      <c r="C401" s="393"/>
      <c r="D401" s="1"/>
      <c r="E401" s="1"/>
    </row>
    <row r="402">
      <c r="A402" s="326"/>
      <c r="B402" s="326"/>
      <c r="C402" s="393"/>
      <c r="D402" s="1"/>
      <c r="E402" s="1"/>
    </row>
    <row r="403">
      <c r="A403" s="326"/>
      <c r="B403" s="326"/>
      <c r="C403" s="393"/>
      <c r="D403" s="1"/>
      <c r="E403" s="1"/>
    </row>
    <row r="404">
      <c r="A404" s="326"/>
      <c r="B404" s="326"/>
      <c r="C404" s="393"/>
      <c r="D404" s="1"/>
      <c r="E404" s="1"/>
    </row>
    <row r="405">
      <c r="A405" s="326"/>
      <c r="B405" s="326"/>
      <c r="C405" s="393"/>
      <c r="D405" s="1"/>
      <c r="E405" s="1"/>
    </row>
    <row r="406">
      <c r="A406" s="326"/>
      <c r="B406" s="326"/>
      <c r="C406" s="393"/>
      <c r="D406" s="1"/>
      <c r="E406" s="1"/>
    </row>
    <row r="407">
      <c r="A407" s="326"/>
      <c r="B407" s="326"/>
      <c r="C407" s="393"/>
      <c r="D407" s="1"/>
      <c r="E407" s="1"/>
    </row>
    <row r="408">
      <c r="A408" s="326"/>
      <c r="B408" s="326"/>
      <c r="C408" s="393"/>
      <c r="D408" s="1"/>
      <c r="E408" s="1"/>
    </row>
    <row r="409">
      <c r="A409" s="326"/>
      <c r="B409" s="326"/>
      <c r="C409" s="393"/>
      <c r="D409" s="1"/>
      <c r="E409" s="1"/>
    </row>
    <row r="410">
      <c r="A410" s="326"/>
      <c r="B410" s="326"/>
      <c r="C410" s="393"/>
      <c r="D410" s="1"/>
      <c r="E410" s="1"/>
    </row>
    <row r="411">
      <c r="A411" s="326"/>
      <c r="B411" s="326"/>
      <c r="C411" s="393"/>
      <c r="D411" s="1"/>
      <c r="E411" s="1"/>
    </row>
    <row r="412">
      <c r="A412" s="326"/>
      <c r="B412" s="326"/>
      <c r="C412" s="393"/>
      <c r="D412" s="1"/>
      <c r="E412" s="1"/>
    </row>
    <row r="413">
      <c r="A413" s="326"/>
      <c r="B413" s="326"/>
      <c r="C413" s="393"/>
      <c r="D413" s="1"/>
      <c r="E413" s="1"/>
    </row>
    <row r="414">
      <c r="A414" s="326"/>
      <c r="B414" s="326"/>
      <c r="C414" s="393"/>
      <c r="D414" s="1"/>
      <c r="E414" s="1"/>
    </row>
    <row r="415">
      <c r="A415" s="326"/>
      <c r="B415" s="326"/>
      <c r="C415" s="393"/>
      <c r="D415" s="1"/>
      <c r="E415" s="1"/>
    </row>
    <row r="416">
      <c r="A416" s="326"/>
      <c r="B416" s="326"/>
      <c r="C416" s="393"/>
      <c r="D416" s="1"/>
      <c r="E416" s="1"/>
    </row>
    <row r="417">
      <c r="A417" s="326"/>
      <c r="B417" s="326"/>
      <c r="C417" s="393"/>
      <c r="D417" s="1"/>
      <c r="E417" s="1"/>
    </row>
    <row r="418">
      <c r="A418" s="326"/>
      <c r="B418" s="326"/>
      <c r="C418" s="393"/>
      <c r="D418" s="1"/>
      <c r="E418" s="1"/>
    </row>
    <row r="419">
      <c r="A419" s="326"/>
      <c r="B419" s="326"/>
      <c r="C419" s="393"/>
      <c r="D419" s="1"/>
      <c r="E419" s="1"/>
    </row>
    <row r="420">
      <c r="A420" s="326"/>
      <c r="B420" s="326"/>
      <c r="C420" s="393"/>
      <c r="D420" s="1"/>
      <c r="E420" s="1"/>
    </row>
    <row r="421">
      <c r="A421" s="326"/>
      <c r="B421" s="326"/>
      <c r="C421" s="393"/>
      <c r="D421" s="1"/>
      <c r="E421" s="1"/>
    </row>
    <row r="422">
      <c r="A422" s="326"/>
      <c r="B422" s="326"/>
      <c r="C422" s="393"/>
      <c r="D422" s="1"/>
      <c r="E422" s="1"/>
    </row>
    <row r="423">
      <c r="A423" s="326"/>
      <c r="B423" s="326"/>
      <c r="C423" s="393"/>
      <c r="D423" s="1"/>
      <c r="E423" s="1"/>
    </row>
    <row r="424">
      <c r="A424" s="326"/>
      <c r="B424" s="326"/>
      <c r="C424" s="393"/>
      <c r="D424" s="1"/>
      <c r="E424" s="1"/>
    </row>
    <row r="425">
      <c r="A425" s="326"/>
      <c r="B425" s="326"/>
      <c r="C425" s="393"/>
      <c r="D425" s="1"/>
      <c r="E425" s="1"/>
    </row>
    <row r="426">
      <c r="A426" s="326"/>
      <c r="B426" s="326"/>
      <c r="C426" s="393"/>
      <c r="D426" s="1"/>
      <c r="E426" s="1"/>
    </row>
    <row r="427">
      <c r="A427" s="326"/>
      <c r="B427" s="326"/>
      <c r="C427" s="393"/>
      <c r="D427" s="1"/>
      <c r="E427" s="1"/>
    </row>
    <row r="428">
      <c r="A428" s="326"/>
      <c r="B428" s="326"/>
      <c r="C428" s="393"/>
      <c r="D428" s="1"/>
      <c r="E428" s="1"/>
    </row>
    <row r="429">
      <c r="A429" s="326"/>
      <c r="B429" s="326"/>
      <c r="C429" s="393"/>
      <c r="D429" s="1"/>
      <c r="E429" s="1"/>
    </row>
    <row r="430">
      <c r="A430" s="326"/>
      <c r="B430" s="326"/>
      <c r="C430" s="393"/>
      <c r="D430" s="1"/>
      <c r="E430" s="1"/>
    </row>
    <row r="431">
      <c r="A431" s="326"/>
      <c r="B431" s="326"/>
      <c r="C431" s="393"/>
      <c r="D431" s="1"/>
      <c r="E431" s="1"/>
    </row>
    <row r="432">
      <c r="A432" s="326"/>
      <c r="B432" s="326"/>
      <c r="C432" s="393"/>
      <c r="D432" s="1"/>
      <c r="E432" s="1"/>
    </row>
    <row r="433">
      <c r="A433" s="326"/>
      <c r="B433" s="326"/>
      <c r="C433" s="393"/>
      <c r="D433" s="1"/>
      <c r="E433" s="1"/>
    </row>
    <row r="434">
      <c r="A434" s="326"/>
      <c r="B434" s="326"/>
      <c r="C434" s="393"/>
      <c r="D434" s="1"/>
      <c r="E434" s="1"/>
    </row>
    <row r="435">
      <c r="A435" s="326"/>
      <c r="B435" s="326"/>
      <c r="C435" s="393"/>
      <c r="D435" s="1"/>
      <c r="E435" s="1"/>
    </row>
    <row r="436">
      <c r="A436" s="326"/>
      <c r="B436" s="326"/>
      <c r="C436" s="393"/>
      <c r="D436" s="1"/>
      <c r="E436" s="1"/>
    </row>
    <row r="437">
      <c r="A437" s="326"/>
      <c r="B437" s="326"/>
      <c r="C437" s="393"/>
      <c r="D437" s="1"/>
      <c r="E437" s="1"/>
    </row>
    <row r="438">
      <c r="A438" s="326"/>
      <c r="B438" s="326"/>
      <c r="C438" s="393"/>
      <c r="D438" s="1"/>
      <c r="E438" s="1"/>
    </row>
    <row r="439">
      <c r="A439" s="326"/>
      <c r="B439" s="326"/>
      <c r="C439" s="393"/>
      <c r="D439" s="1"/>
      <c r="E439" s="1"/>
    </row>
    <row r="440">
      <c r="A440" s="326"/>
      <c r="B440" s="326"/>
      <c r="C440" s="393"/>
      <c r="D440" s="1"/>
      <c r="E440" s="1"/>
    </row>
    <row r="441">
      <c r="A441" s="326"/>
      <c r="B441" s="326"/>
      <c r="C441" s="393"/>
      <c r="D441" s="1"/>
      <c r="E441" s="1"/>
    </row>
    <row r="442">
      <c r="A442" s="326"/>
      <c r="B442" s="326"/>
      <c r="C442" s="393"/>
      <c r="D442" s="1"/>
      <c r="E442" s="1"/>
    </row>
    <row r="443">
      <c r="A443" s="326"/>
      <c r="B443" s="326"/>
      <c r="C443" s="393"/>
      <c r="D443" s="1"/>
      <c r="E443" s="1"/>
    </row>
    <row r="444">
      <c r="A444" s="326"/>
      <c r="B444" s="326"/>
      <c r="C444" s="393"/>
      <c r="D444" s="1"/>
      <c r="E444" s="1"/>
    </row>
    <row r="445">
      <c r="A445" s="326"/>
      <c r="B445" s="326"/>
      <c r="C445" s="393"/>
      <c r="D445" s="1"/>
      <c r="E445" s="1"/>
    </row>
    <row r="446">
      <c r="A446" s="326"/>
      <c r="B446" s="326"/>
      <c r="C446" s="393"/>
      <c r="D446" s="1"/>
      <c r="E446" s="1"/>
    </row>
    <row r="447">
      <c r="A447" s="326"/>
      <c r="B447" s="326"/>
      <c r="C447" s="393"/>
      <c r="D447" s="1"/>
      <c r="E447" s="1"/>
    </row>
    <row r="448">
      <c r="A448" s="326"/>
      <c r="B448" s="326"/>
      <c r="C448" s="393"/>
      <c r="D448" s="1"/>
      <c r="E448" s="1"/>
    </row>
    <row r="449">
      <c r="A449" s="326"/>
      <c r="B449" s="326"/>
      <c r="C449" s="393"/>
      <c r="D449" s="1"/>
      <c r="E449" s="1"/>
    </row>
    <row r="450">
      <c r="A450" s="326"/>
      <c r="B450" s="326"/>
      <c r="C450" s="393"/>
      <c r="D450" s="1"/>
      <c r="E450" s="1"/>
    </row>
    <row r="451">
      <c r="A451" s="326"/>
      <c r="B451" s="326"/>
      <c r="C451" s="393"/>
      <c r="D451" s="1"/>
      <c r="E451" s="1"/>
    </row>
    <row r="452">
      <c r="A452" s="326"/>
      <c r="B452" s="326"/>
      <c r="C452" s="393"/>
      <c r="D452" s="1"/>
      <c r="E452" s="1"/>
    </row>
    <row r="453">
      <c r="A453" s="326"/>
      <c r="B453" s="326"/>
      <c r="C453" s="393"/>
      <c r="D453" s="1"/>
      <c r="E453" s="1"/>
    </row>
    <row r="454">
      <c r="A454" s="326"/>
      <c r="B454" s="326"/>
      <c r="C454" s="393"/>
      <c r="D454" s="1"/>
      <c r="E454" s="1"/>
    </row>
    <row r="455">
      <c r="A455" s="326"/>
      <c r="B455" s="326"/>
      <c r="C455" s="393"/>
      <c r="D455" s="1"/>
      <c r="E455" s="1"/>
    </row>
    <row r="456">
      <c r="A456" s="326"/>
      <c r="B456" s="326"/>
      <c r="C456" s="393"/>
      <c r="D456" s="1"/>
      <c r="E456" s="1"/>
    </row>
    <row r="457">
      <c r="A457" s="326"/>
      <c r="B457" s="326"/>
      <c r="C457" s="393"/>
      <c r="D457" s="1"/>
      <c r="E457" s="1"/>
    </row>
    <row r="458">
      <c r="A458" s="326"/>
      <c r="B458" s="326"/>
      <c r="C458" s="393"/>
      <c r="D458" s="1"/>
      <c r="E458" s="1"/>
    </row>
    <row r="459">
      <c r="A459" s="326"/>
      <c r="B459" s="326"/>
      <c r="C459" s="393"/>
      <c r="D459" s="1"/>
      <c r="E459" s="1"/>
    </row>
    <row r="460">
      <c r="A460" s="326"/>
      <c r="B460" s="326"/>
      <c r="C460" s="393"/>
      <c r="D460" s="1"/>
      <c r="E460" s="1"/>
    </row>
    <row r="461">
      <c r="A461" s="326"/>
      <c r="B461" s="326"/>
      <c r="C461" s="393"/>
      <c r="D461" s="1"/>
      <c r="E461" s="1"/>
    </row>
    <row r="462">
      <c r="A462" s="326"/>
      <c r="B462" s="326"/>
      <c r="C462" s="393"/>
      <c r="D462" s="1"/>
      <c r="E462" s="1"/>
    </row>
    <row r="463">
      <c r="A463" s="326"/>
      <c r="B463" s="326"/>
      <c r="C463" s="393"/>
      <c r="D463" s="1"/>
      <c r="E463" s="1"/>
    </row>
    <row r="464">
      <c r="A464" s="326"/>
      <c r="B464" s="326"/>
      <c r="C464" s="393"/>
      <c r="D464" s="1"/>
      <c r="E464" s="1"/>
    </row>
    <row r="465">
      <c r="A465" s="326"/>
      <c r="B465" s="326"/>
      <c r="C465" s="393"/>
      <c r="D465" s="1"/>
      <c r="E465" s="1"/>
    </row>
    <row r="466">
      <c r="A466" s="326"/>
      <c r="B466" s="326"/>
      <c r="C466" s="393"/>
      <c r="D466" s="1"/>
      <c r="E466" s="1"/>
    </row>
    <row r="467">
      <c r="A467" s="326"/>
      <c r="B467" s="326"/>
      <c r="C467" s="393"/>
      <c r="D467" s="1"/>
      <c r="E467" s="1"/>
    </row>
    <row r="468">
      <c r="A468" s="326"/>
      <c r="B468" s="326"/>
      <c r="C468" s="393"/>
      <c r="D468" s="1"/>
      <c r="E468" s="1"/>
    </row>
    <row r="469">
      <c r="A469" s="326"/>
      <c r="B469" s="326"/>
      <c r="C469" s="393"/>
      <c r="D469" s="1"/>
      <c r="E469" s="1"/>
    </row>
    <row r="470">
      <c r="A470" s="326"/>
      <c r="B470" s="326"/>
      <c r="C470" s="393"/>
      <c r="D470" s="1"/>
      <c r="E470" s="1"/>
    </row>
    <row r="471">
      <c r="A471" s="326"/>
      <c r="B471" s="326"/>
      <c r="C471" s="393"/>
      <c r="D471" s="1"/>
      <c r="E471" s="1"/>
    </row>
    <row r="472">
      <c r="A472" s="326"/>
      <c r="B472" s="326"/>
      <c r="C472" s="393"/>
      <c r="D472" s="1"/>
      <c r="E472" s="1"/>
    </row>
    <row r="473">
      <c r="A473" s="326"/>
      <c r="B473" s="326"/>
      <c r="C473" s="393"/>
      <c r="D473" s="1"/>
      <c r="E473" s="1"/>
    </row>
    <row r="474">
      <c r="A474" s="326"/>
      <c r="B474" s="326"/>
      <c r="C474" s="393"/>
      <c r="D474" s="1"/>
      <c r="E474" s="1"/>
    </row>
    <row r="475">
      <c r="A475" s="326"/>
      <c r="B475" s="326"/>
      <c r="C475" s="393"/>
      <c r="D475" s="1"/>
      <c r="E475" s="1"/>
    </row>
    <row r="476">
      <c r="A476" s="326"/>
      <c r="B476" s="326"/>
      <c r="C476" s="393"/>
      <c r="D476" s="1"/>
      <c r="E476" s="1"/>
    </row>
    <row r="477">
      <c r="A477" s="326"/>
      <c r="B477" s="326"/>
      <c r="C477" s="393"/>
      <c r="D477" s="1"/>
      <c r="E477" s="1"/>
    </row>
    <row r="478">
      <c r="A478" s="326"/>
      <c r="B478" s="326"/>
      <c r="C478" s="393"/>
      <c r="D478" s="1"/>
      <c r="E478" s="1"/>
    </row>
    <row r="479">
      <c r="A479" s="326"/>
      <c r="B479" s="326"/>
      <c r="C479" s="393"/>
      <c r="D479" s="1"/>
      <c r="E479" s="1"/>
    </row>
    <row r="480">
      <c r="A480" s="326"/>
      <c r="B480" s="326"/>
      <c r="C480" s="393"/>
      <c r="D480" s="1"/>
      <c r="E480" s="1"/>
    </row>
    <row r="481">
      <c r="A481" s="326"/>
      <c r="B481" s="326"/>
      <c r="C481" s="393"/>
      <c r="D481" s="1"/>
      <c r="E481" s="1"/>
    </row>
    <row r="482">
      <c r="A482" s="326"/>
      <c r="B482" s="326"/>
      <c r="C482" s="393"/>
      <c r="D482" s="1"/>
      <c r="E482" s="1"/>
    </row>
    <row r="483">
      <c r="A483" s="326"/>
      <c r="B483" s="326"/>
      <c r="C483" s="393"/>
      <c r="D483" s="1"/>
      <c r="E483" s="1"/>
    </row>
    <row r="484">
      <c r="A484" s="326"/>
      <c r="B484" s="326"/>
      <c r="C484" s="393"/>
      <c r="D484" s="1"/>
      <c r="E484" s="1"/>
    </row>
    <row r="485">
      <c r="A485" s="326"/>
      <c r="B485" s="326"/>
      <c r="C485" s="393"/>
      <c r="D485" s="1"/>
      <c r="E485" s="1"/>
    </row>
    <row r="486">
      <c r="A486" s="326"/>
      <c r="B486" s="326"/>
      <c r="C486" s="393"/>
      <c r="D486" s="1"/>
      <c r="E486" s="1"/>
    </row>
    <row r="487">
      <c r="A487" s="326"/>
      <c r="B487" s="326"/>
      <c r="C487" s="393"/>
      <c r="D487" s="1"/>
      <c r="E487" s="1"/>
    </row>
    <row r="488">
      <c r="A488" s="326"/>
      <c r="B488" s="326"/>
      <c r="C488" s="393"/>
      <c r="D488" s="1"/>
      <c r="E488" s="1"/>
    </row>
    <row r="489">
      <c r="A489" s="326"/>
      <c r="B489" s="326"/>
      <c r="C489" s="393"/>
      <c r="D489" s="1"/>
      <c r="E489" s="1"/>
    </row>
    <row r="490">
      <c r="A490" s="326"/>
      <c r="B490" s="326"/>
      <c r="C490" s="393"/>
      <c r="D490" s="1"/>
      <c r="E490" s="1"/>
    </row>
    <row r="491">
      <c r="A491" s="326"/>
      <c r="B491" s="326"/>
      <c r="C491" s="393"/>
      <c r="D491" s="1"/>
      <c r="E491" s="1"/>
    </row>
    <row r="492">
      <c r="A492" s="326"/>
      <c r="B492" s="326"/>
      <c r="C492" s="393"/>
      <c r="D492" s="1"/>
      <c r="E492" s="1"/>
    </row>
    <row r="493">
      <c r="A493" s="326"/>
      <c r="B493" s="326"/>
      <c r="C493" s="393"/>
      <c r="D493" s="1"/>
      <c r="E493" s="1"/>
    </row>
    <row r="494">
      <c r="A494" s="326"/>
      <c r="B494" s="326"/>
      <c r="C494" s="393"/>
      <c r="D494" s="1"/>
      <c r="E494" s="1"/>
    </row>
    <row r="495">
      <c r="A495" s="326"/>
      <c r="B495" s="326"/>
      <c r="C495" s="393"/>
      <c r="D495" s="1"/>
      <c r="E495" s="1"/>
    </row>
    <row r="496">
      <c r="A496" s="326"/>
      <c r="B496" s="326"/>
      <c r="C496" s="393"/>
      <c r="D496" s="1"/>
      <c r="E496" s="1"/>
    </row>
    <row r="497">
      <c r="A497" s="326"/>
      <c r="B497" s="326"/>
      <c r="C497" s="393"/>
      <c r="D497" s="1"/>
      <c r="E497" s="1"/>
    </row>
    <row r="498">
      <c r="A498" s="326"/>
      <c r="B498" s="326"/>
      <c r="C498" s="393"/>
      <c r="D498" s="1"/>
      <c r="E498" s="1"/>
    </row>
    <row r="499">
      <c r="A499" s="326"/>
      <c r="B499" s="326"/>
      <c r="C499" s="393"/>
      <c r="D499" s="1"/>
      <c r="E499" s="1"/>
    </row>
    <row r="500">
      <c r="A500" s="326"/>
      <c r="B500" s="326"/>
      <c r="C500" s="393"/>
      <c r="D500" s="1"/>
      <c r="E500" s="1"/>
    </row>
    <row r="501">
      <c r="A501" s="326"/>
      <c r="B501" s="326"/>
      <c r="C501" s="393"/>
      <c r="D501" s="1"/>
      <c r="E501" s="1"/>
    </row>
    <row r="502">
      <c r="A502" s="326"/>
      <c r="B502" s="326"/>
      <c r="C502" s="393"/>
      <c r="D502" s="1"/>
      <c r="E502" s="1"/>
    </row>
    <row r="503">
      <c r="A503" s="326"/>
      <c r="B503" s="326"/>
      <c r="C503" s="393"/>
      <c r="D503" s="1"/>
      <c r="E503" s="1"/>
    </row>
    <row r="504">
      <c r="A504" s="326"/>
      <c r="B504" s="326"/>
      <c r="C504" s="393"/>
      <c r="D504" s="1"/>
      <c r="E504" s="1"/>
    </row>
    <row r="505">
      <c r="A505" s="326"/>
      <c r="B505" s="326"/>
      <c r="C505" s="393"/>
      <c r="D505" s="1"/>
      <c r="E505" s="1"/>
    </row>
    <row r="506">
      <c r="A506" s="326"/>
      <c r="B506" s="326"/>
      <c r="C506" s="393"/>
      <c r="D506" s="1"/>
      <c r="E506" s="1"/>
    </row>
    <row r="507">
      <c r="A507" s="326"/>
      <c r="B507" s="326"/>
      <c r="C507" s="393"/>
      <c r="D507" s="1"/>
      <c r="E507" s="1"/>
    </row>
    <row r="508">
      <c r="A508" s="326"/>
      <c r="B508" s="326"/>
      <c r="C508" s="393"/>
      <c r="D508" s="1"/>
      <c r="E508" s="1"/>
    </row>
    <row r="509">
      <c r="A509" s="326"/>
      <c r="B509" s="326"/>
      <c r="C509" s="393"/>
      <c r="D509" s="1"/>
      <c r="E509" s="1"/>
    </row>
    <row r="510">
      <c r="A510" s="326"/>
      <c r="B510" s="326"/>
      <c r="C510" s="393"/>
      <c r="D510" s="1"/>
      <c r="E510" s="1"/>
    </row>
    <row r="511">
      <c r="A511" s="326"/>
      <c r="B511" s="326"/>
      <c r="C511" s="393"/>
      <c r="D511" s="1"/>
      <c r="E511" s="1"/>
    </row>
    <row r="512">
      <c r="A512" s="326"/>
      <c r="B512" s="326"/>
      <c r="C512" s="393"/>
      <c r="D512" s="1"/>
      <c r="E512" s="1"/>
    </row>
    <row r="513">
      <c r="A513" s="326"/>
      <c r="B513" s="326"/>
      <c r="C513" s="393"/>
      <c r="D513" s="1"/>
      <c r="E513" s="1"/>
    </row>
    <row r="514">
      <c r="A514" s="326"/>
      <c r="B514" s="326"/>
      <c r="C514" s="393"/>
      <c r="D514" s="1"/>
      <c r="E514" s="1"/>
    </row>
    <row r="515">
      <c r="A515" s="326"/>
      <c r="B515" s="326"/>
      <c r="C515" s="393"/>
      <c r="D515" s="1"/>
      <c r="E515" s="1"/>
    </row>
    <row r="516">
      <c r="A516" s="326"/>
      <c r="B516" s="326"/>
      <c r="C516" s="393"/>
      <c r="D516" s="1"/>
      <c r="E516" s="1"/>
    </row>
    <row r="517">
      <c r="A517" s="326"/>
      <c r="B517" s="326"/>
      <c r="C517" s="393"/>
      <c r="D517" s="1"/>
      <c r="E517" s="1"/>
    </row>
    <row r="518">
      <c r="A518" s="326"/>
      <c r="B518" s="326"/>
      <c r="C518" s="393"/>
      <c r="D518" s="1"/>
      <c r="E518" s="1"/>
    </row>
    <row r="519">
      <c r="A519" s="326"/>
      <c r="B519" s="326"/>
      <c r="C519" s="393"/>
      <c r="D519" s="1"/>
      <c r="E519" s="1"/>
    </row>
    <row r="520">
      <c r="A520" s="326"/>
      <c r="B520" s="326"/>
      <c r="C520" s="393"/>
      <c r="D520" s="1"/>
      <c r="E520" s="1"/>
    </row>
    <row r="521">
      <c r="A521" s="326"/>
      <c r="B521" s="326"/>
      <c r="C521" s="393"/>
      <c r="D521" s="1"/>
      <c r="E521" s="1"/>
    </row>
    <row r="522">
      <c r="A522" s="326"/>
      <c r="B522" s="326"/>
      <c r="C522" s="393"/>
      <c r="D522" s="1"/>
      <c r="E522" s="1"/>
    </row>
    <row r="523">
      <c r="A523" s="326"/>
      <c r="B523" s="326"/>
      <c r="C523" s="393"/>
      <c r="D523" s="1"/>
      <c r="E523" s="1"/>
    </row>
    <row r="524">
      <c r="A524" s="326"/>
      <c r="B524" s="326"/>
      <c r="C524" s="393"/>
      <c r="D524" s="1"/>
      <c r="E524" s="1"/>
    </row>
    <row r="525">
      <c r="A525" s="326"/>
      <c r="B525" s="326"/>
      <c r="C525" s="393"/>
      <c r="D525" s="1"/>
      <c r="E525" s="1"/>
    </row>
    <row r="526">
      <c r="A526" s="326"/>
      <c r="B526" s="326"/>
      <c r="C526" s="393"/>
      <c r="D526" s="1"/>
      <c r="E526" s="1"/>
    </row>
    <row r="527">
      <c r="A527" s="326"/>
      <c r="B527" s="326"/>
      <c r="C527" s="393"/>
      <c r="D527" s="1"/>
      <c r="E527" s="1"/>
    </row>
    <row r="528">
      <c r="A528" s="326"/>
      <c r="B528" s="326"/>
      <c r="C528" s="393"/>
      <c r="D528" s="1"/>
      <c r="E528" s="1"/>
    </row>
    <row r="529">
      <c r="A529" s="326"/>
      <c r="B529" s="326"/>
      <c r="C529" s="393"/>
      <c r="D529" s="1"/>
      <c r="E529" s="1"/>
    </row>
    <row r="530">
      <c r="A530" s="326"/>
      <c r="B530" s="326"/>
      <c r="C530" s="393"/>
      <c r="D530" s="1"/>
      <c r="E530" s="1"/>
    </row>
    <row r="531">
      <c r="A531" s="326"/>
      <c r="B531" s="326"/>
      <c r="C531" s="393"/>
      <c r="D531" s="1"/>
      <c r="E531" s="1"/>
    </row>
    <row r="532">
      <c r="A532" s="326"/>
      <c r="B532" s="326"/>
      <c r="C532" s="393"/>
      <c r="D532" s="1"/>
      <c r="E532" s="1"/>
    </row>
    <row r="533">
      <c r="A533" s="326"/>
      <c r="B533" s="326"/>
      <c r="C533" s="393"/>
      <c r="D533" s="1"/>
      <c r="E533" s="1"/>
    </row>
    <row r="534">
      <c r="A534" s="326"/>
      <c r="B534" s="326"/>
      <c r="C534" s="393"/>
      <c r="D534" s="1"/>
      <c r="E534" s="1"/>
    </row>
    <row r="535">
      <c r="A535" s="326"/>
      <c r="B535" s="326"/>
      <c r="C535" s="393"/>
      <c r="D535" s="1"/>
      <c r="E535" s="1"/>
    </row>
    <row r="536">
      <c r="A536" s="326"/>
      <c r="B536" s="326"/>
      <c r="C536" s="393"/>
      <c r="D536" s="1"/>
      <c r="E536" s="1"/>
    </row>
    <row r="537">
      <c r="A537" s="326"/>
      <c r="B537" s="326"/>
      <c r="C537" s="393"/>
      <c r="D537" s="1"/>
      <c r="E537" s="1"/>
    </row>
    <row r="538">
      <c r="A538" s="326"/>
      <c r="B538" s="326"/>
      <c r="C538" s="393"/>
      <c r="D538" s="1"/>
      <c r="E538" s="1"/>
    </row>
    <row r="539">
      <c r="A539" s="326"/>
      <c r="B539" s="326"/>
      <c r="C539" s="393"/>
      <c r="D539" s="1"/>
      <c r="E539" s="1"/>
    </row>
    <row r="540">
      <c r="A540" s="326"/>
      <c r="B540" s="326"/>
      <c r="C540" s="393"/>
      <c r="D540" s="1"/>
      <c r="E540" s="1"/>
    </row>
    <row r="541">
      <c r="A541" s="326"/>
      <c r="B541" s="326"/>
      <c r="C541" s="393"/>
      <c r="D541" s="1"/>
      <c r="E541" s="1"/>
    </row>
    <row r="542">
      <c r="A542" s="326"/>
      <c r="B542" s="326"/>
      <c r="C542" s="393"/>
      <c r="D542" s="1"/>
      <c r="E542" s="1"/>
    </row>
    <row r="543">
      <c r="A543" s="326"/>
      <c r="B543" s="326"/>
      <c r="C543" s="393"/>
      <c r="D543" s="1"/>
      <c r="E543" s="1"/>
    </row>
    <row r="544">
      <c r="A544" s="326"/>
      <c r="B544" s="326"/>
      <c r="C544" s="393"/>
      <c r="D544" s="1"/>
      <c r="E544" s="1"/>
    </row>
    <row r="545">
      <c r="A545" s="326"/>
      <c r="B545" s="326"/>
      <c r="C545" s="393"/>
      <c r="D545" s="1"/>
      <c r="E545" s="1"/>
    </row>
    <row r="546">
      <c r="A546" s="326"/>
      <c r="B546" s="326"/>
      <c r="C546" s="393"/>
      <c r="D546" s="1"/>
      <c r="E546" s="1"/>
    </row>
    <row r="547">
      <c r="A547" s="326"/>
      <c r="B547" s="326"/>
      <c r="C547" s="393"/>
      <c r="D547" s="1"/>
      <c r="E547" s="1"/>
    </row>
    <row r="548">
      <c r="A548" s="326"/>
      <c r="B548" s="326"/>
      <c r="C548" s="393"/>
      <c r="D548" s="1"/>
      <c r="E548" s="1"/>
    </row>
    <row r="549">
      <c r="A549" s="326"/>
      <c r="B549" s="326"/>
      <c r="C549" s="393"/>
      <c r="D549" s="1"/>
      <c r="E549" s="1"/>
    </row>
    <row r="550">
      <c r="A550" s="326"/>
      <c r="B550" s="326"/>
      <c r="C550" s="393"/>
      <c r="D550" s="1"/>
      <c r="E550" s="1"/>
    </row>
    <row r="551">
      <c r="A551" s="326"/>
      <c r="B551" s="326"/>
      <c r="C551" s="393"/>
      <c r="D551" s="1"/>
      <c r="E551" s="1"/>
    </row>
    <row r="552">
      <c r="A552" s="326"/>
      <c r="B552" s="326"/>
      <c r="C552" s="393"/>
      <c r="D552" s="1"/>
      <c r="E552" s="1"/>
    </row>
    <row r="553">
      <c r="A553" s="326"/>
      <c r="B553" s="326"/>
      <c r="C553" s="393"/>
      <c r="D553" s="1"/>
      <c r="E553" s="1"/>
    </row>
    <row r="554">
      <c r="A554" s="326"/>
      <c r="B554" s="326"/>
      <c r="C554" s="393"/>
      <c r="D554" s="1"/>
      <c r="E554" s="1"/>
    </row>
    <row r="555">
      <c r="A555" s="326"/>
      <c r="B555" s="326"/>
      <c r="C555" s="393"/>
      <c r="D555" s="1"/>
      <c r="E555" s="1"/>
    </row>
    <row r="556">
      <c r="A556" s="326"/>
      <c r="B556" s="326"/>
      <c r="C556" s="393"/>
      <c r="D556" s="1"/>
      <c r="E556" s="1"/>
    </row>
    <row r="557">
      <c r="A557" s="326"/>
      <c r="B557" s="326"/>
      <c r="C557" s="393"/>
      <c r="D557" s="1"/>
      <c r="E557" s="1"/>
    </row>
    <row r="558">
      <c r="A558" s="326"/>
      <c r="B558" s="326"/>
      <c r="C558" s="393"/>
      <c r="D558" s="1"/>
      <c r="E558" s="1"/>
    </row>
    <row r="559">
      <c r="A559" s="326"/>
      <c r="B559" s="326"/>
      <c r="C559" s="393"/>
      <c r="D559" s="1"/>
      <c r="E559" s="1"/>
    </row>
    <row r="560">
      <c r="A560" s="326"/>
      <c r="B560" s="326"/>
      <c r="C560" s="393"/>
      <c r="D560" s="1"/>
      <c r="E560" s="1"/>
    </row>
    <row r="561">
      <c r="A561" s="326"/>
      <c r="B561" s="326"/>
      <c r="C561" s="393"/>
      <c r="D561" s="1"/>
      <c r="E561" s="1"/>
    </row>
    <row r="562">
      <c r="A562" s="326"/>
      <c r="B562" s="326"/>
      <c r="C562" s="393"/>
      <c r="D562" s="1"/>
      <c r="E562" s="1"/>
    </row>
    <row r="563">
      <c r="A563" s="326"/>
      <c r="B563" s="326"/>
      <c r="C563" s="393"/>
      <c r="D563" s="1"/>
      <c r="E563" s="1"/>
    </row>
    <row r="564">
      <c r="A564" s="326"/>
      <c r="B564" s="326"/>
      <c r="C564" s="393"/>
      <c r="D564" s="1"/>
      <c r="E564" s="1"/>
    </row>
    <row r="565">
      <c r="A565" s="326"/>
      <c r="B565" s="326"/>
      <c r="C565" s="393"/>
      <c r="D565" s="1"/>
      <c r="E565" s="1"/>
    </row>
    <row r="566">
      <c r="A566" s="326"/>
      <c r="B566" s="326"/>
      <c r="C566" s="393"/>
      <c r="D566" s="1"/>
      <c r="E566" s="1"/>
    </row>
    <row r="567">
      <c r="A567" s="326"/>
      <c r="B567" s="326"/>
      <c r="C567" s="393"/>
      <c r="D567" s="1"/>
      <c r="E567" s="1"/>
    </row>
    <row r="568">
      <c r="A568" s="326"/>
      <c r="B568" s="326"/>
      <c r="C568" s="393"/>
      <c r="D568" s="1"/>
      <c r="E568" s="1"/>
    </row>
    <row r="569">
      <c r="A569" s="326"/>
      <c r="B569" s="326"/>
      <c r="C569" s="393"/>
      <c r="D569" s="1"/>
      <c r="E569" s="1"/>
    </row>
    <row r="570">
      <c r="A570" s="326"/>
      <c r="B570" s="326"/>
      <c r="C570" s="393"/>
      <c r="D570" s="1"/>
      <c r="E570" s="1"/>
    </row>
    <row r="571">
      <c r="A571" s="326"/>
      <c r="B571" s="326"/>
      <c r="C571" s="393"/>
      <c r="D571" s="1"/>
      <c r="E571" s="1"/>
    </row>
    <row r="572">
      <c r="A572" s="326"/>
      <c r="B572" s="326"/>
      <c r="C572" s="393"/>
      <c r="D572" s="1"/>
      <c r="E572" s="1"/>
    </row>
    <row r="573">
      <c r="A573" s="326"/>
      <c r="B573" s="326"/>
      <c r="C573" s="393"/>
      <c r="D573" s="1"/>
      <c r="E573" s="1"/>
    </row>
    <row r="574">
      <c r="A574" s="326"/>
      <c r="B574" s="326"/>
      <c r="C574" s="393"/>
      <c r="D574" s="1"/>
      <c r="E574" s="1"/>
    </row>
    <row r="575">
      <c r="A575" s="326"/>
      <c r="B575" s="326"/>
      <c r="C575" s="393"/>
      <c r="D575" s="1"/>
      <c r="E575" s="1"/>
    </row>
    <row r="576">
      <c r="A576" s="326"/>
      <c r="B576" s="326"/>
      <c r="C576" s="393"/>
      <c r="D576" s="1"/>
      <c r="E576" s="1"/>
    </row>
    <row r="577">
      <c r="A577" s="326"/>
      <c r="B577" s="326"/>
      <c r="C577" s="393"/>
      <c r="D577" s="1"/>
      <c r="E577" s="1"/>
    </row>
    <row r="578">
      <c r="A578" s="326"/>
      <c r="B578" s="326"/>
      <c r="C578" s="393"/>
      <c r="D578" s="1"/>
      <c r="E578" s="1"/>
    </row>
    <row r="579">
      <c r="A579" s="326"/>
      <c r="B579" s="326"/>
      <c r="C579" s="393"/>
      <c r="D579" s="1"/>
      <c r="E579" s="1"/>
    </row>
    <row r="580">
      <c r="A580" s="326"/>
      <c r="B580" s="326"/>
      <c r="C580" s="393"/>
      <c r="D580" s="1"/>
      <c r="E580" s="1"/>
    </row>
    <row r="581">
      <c r="A581" s="326"/>
      <c r="B581" s="326"/>
      <c r="C581" s="393"/>
      <c r="D581" s="1"/>
      <c r="E581" s="1"/>
    </row>
    <row r="582">
      <c r="A582" s="326"/>
      <c r="B582" s="326"/>
      <c r="C582" s="393"/>
      <c r="D582" s="1"/>
      <c r="E582" s="1"/>
    </row>
    <row r="583">
      <c r="A583" s="326"/>
      <c r="B583" s="326"/>
      <c r="C583" s="393"/>
      <c r="D583" s="1"/>
      <c r="E583" s="1"/>
    </row>
    <row r="584">
      <c r="A584" s="326"/>
      <c r="B584" s="326"/>
      <c r="C584" s="393"/>
      <c r="D584" s="1"/>
      <c r="E584" s="1"/>
    </row>
    <row r="585">
      <c r="A585" s="326"/>
      <c r="B585" s="326"/>
      <c r="C585" s="393"/>
      <c r="D585" s="1"/>
      <c r="E585" s="1"/>
    </row>
    <row r="586">
      <c r="A586" s="326"/>
      <c r="B586" s="326"/>
      <c r="C586" s="393"/>
      <c r="D586" s="1"/>
      <c r="E586" s="1"/>
    </row>
    <row r="587">
      <c r="A587" s="326"/>
      <c r="B587" s="326"/>
      <c r="C587" s="393"/>
      <c r="D587" s="1"/>
      <c r="E587" s="1"/>
    </row>
    <row r="588">
      <c r="A588" s="326"/>
      <c r="B588" s="326"/>
      <c r="C588" s="393"/>
      <c r="D588" s="1"/>
      <c r="E588" s="1"/>
    </row>
    <row r="589">
      <c r="A589" s="326"/>
      <c r="B589" s="326"/>
      <c r="C589" s="393"/>
      <c r="D589" s="1"/>
      <c r="E589" s="1"/>
    </row>
    <row r="590">
      <c r="A590" s="326"/>
      <c r="B590" s="326"/>
      <c r="C590" s="393"/>
      <c r="D590" s="1"/>
      <c r="E590" s="1"/>
    </row>
    <row r="591">
      <c r="A591" s="326"/>
      <c r="B591" s="326"/>
      <c r="C591" s="393"/>
      <c r="D591" s="1"/>
      <c r="E591" s="1"/>
    </row>
    <row r="592">
      <c r="A592" s="326"/>
      <c r="B592" s="326"/>
      <c r="C592" s="393"/>
      <c r="D592" s="1"/>
      <c r="E592" s="1"/>
    </row>
    <row r="593">
      <c r="A593" s="326"/>
      <c r="B593" s="326"/>
      <c r="C593" s="393"/>
      <c r="D593" s="1"/>
      <c r="E593" s="1"/>
    </row>
    <row r="594">
      <c r="A594" s="326"/>
      <c r="B594" s="326"/>
      <c r="C594" s="393"/>
      <c r="D594" s="1"/>
      <c r="E594" s="1"/>
    </row>
    <row r="595">
      <c r="A595" s="326"/>
      <c r="B595" s="326"/>
      <c r="C595" s="393"/>
      <c r="D595" s="1"/>
      <c r="E595" s="1"/>
    </row>
    <row r="596">
      <c r="A596" s="326"/>
      <c r="B596" s="326"/>
      <c r="C596" s="393"/>
      <c r="D596" s="1"/>
      <c r="E596" s="1"/>
    </row>
    <row r="597">
      <c r="A597" s="326"/>
      <c r="B597" s="326"/>
      <c r="C597" s="393"/>
      <c r="D597" s="1"/>
      <c r="E597" s="1"/>
    </row>
    <row r="598">
      <c r="A598" s="326"/>
      <c r="B598" s="326"/>
      <c r="C598" s="393"/>
      <c r="D598" s="1"/>
      <c r="E598" s="1"/>
    </row>
    <row r="599">
      <c r="A599" s="326"/>
      <c r="B599" s="326"/>
      <c r="C599" s="393"/>
      <c r="D599" s="1"/>
      <c r="E599" s="1"/>
    </row>
    <row r="600">
      <c r="A600" s="326"/>
      <c r="B600" s="326"/>
      <c r="C600" s="393"/>
      <c r="D600" s="1"/>
      <c r="E600" s="1"/>
    </row>
    <row r="601">
      <c r="A601" s="326"/>
      <c r="B601" s="326"/>
      <c r="C601" s="393"/>
      <c r="D601" s="1"/>
      <c r="E601" s="1"/>
    </row>
    <row r="602">
      <c r="A602" s="326"/>
      <c r="B602" s="326"/>
      <c r="C602" s="393"/>
      <c r="D602" s="1"/>
      <c r="E602" s="1"/>
    </row>
    <row r="603">
      <c r="A603" s="326"/>
      <c r="B603" s="326"/>
      <c r="C603" s="393"/>
      <c r="D603" s="1"/>
      <c r="E603" s="1"/>
    </row>
    <row r="604">
      <c r="A604" s="326"/>
      <c r="B604" s="326"/>
      <c r="C604" s="393"/>
      <c r="D604" s="1"/>
      <c r="E604" s="1"/>
    </row>
    <row r="605">
      <c r="A605" s="326"/>
      <c r="B605" s="326"/>
      <c r="C605" s="393"/>
      <c r="D605" s="1"/>
      <c r="E605" s="1"/>
    </row>
    <row r="606">
      <c r="A606" s="326"/>
      <c r="B606" s="326"/>
      <c r="C606" s="393"/>
      <c r="D606" s="1"/>
      <c r="E606" s="1"/>
    </row>
    <row r="607">
      <c r="A607" s="326"/>
      <c r="B607" s="326"/>
      <c r="C607" s="393"/>
      <c r="D607" s="1"/>
      <c r="E607" s="1"/>
    </row>
    <row r="608">
      <c r="A608" s="326"/>
      <c r="B608" s="326"/>
      <c r="C608" s="393"/>
      <c r="D608" s="1"/>
      <c r="E608" s="1"/>
    </row>
    <row r="609">
      <c r="A609" s="326"/>
      <c r="B609" s="326"/>
      <c r="C609" s="393"/>
      <c r="D609" s="1"/>
      <c r="E609" s="1"/>
    </row>
    <row r="610">
      <c r="A610" s="326"/>
      <c r="B610" s="326"/>
      <c r="C610" s="393"/>
      <c r="D610" s="1"/>
      <c r="E610" s="1"/>
    </row>
    <row r="611">
      <c r="A611" s="326"/>
      <c r="B611" s="326"/>
      <c r="C611" s="393"/>
      <c r="D611" s="1"/>
      <c r="E611" s="1"/>
    </row>
    <row r="612">
      <c r="A612" s="326"/>
      <c r="B612" s="326"/>
      <c r="C612" s="393"/>
      <c r="D612" s="1"/>
      <c r="E612" s="1"/>
    </row>
    <row r="613">
      <c r="A613" s="326"/>
      <c r="B613" s="326"/>
      <c r="C613" s="393"/>
      <c r="D613" s="1"/>
      <c r="E613" s="1"/>
    </row>
    <row r="614">
      <c r="A614" s="326"/>
      <c r="B614" s="326"/>
      <c r="C614" s="393"/>
      <c r="D614" s="1"/>
      <c r="E614" s="1"/>
    </row>
    <row r="615">
      <c r="A615" s="326"/>
      <c r="B615" s="326"/>
      <c r="C615" s="393"/>
      <c r="D615" s="1"/>
      <c r="E615" s="1"/>
    </row>
    <row r="616">
      <c r="A616" s="326"/>
      <c r="B616" s="326"/>
      <c r="C616" s="393"/>
      <c r="D616" s="1"/>
      <c r="E616" s="1"/>
    </row>
    <row r="617">
      <c r="A617" s="326"/>
      <c r="B617" s="326"/>
      <c r="C617" s="393"/>
      <c r="D617" s="1"/>
      <c r="E617" s="1"/>
    </row>
    <row r="618">
      <c r="A618" s="326"/>
      <c r="B618" s="326"/>
      <c r="C618" s="393"/>
      <c r="D618" s="1"/>
      <c r="E618" s="1"/>
    </row>
    <row r="619">
      <c r="A619" s="326"/>
      <c r="B619" s="326"/>
      <c r="C619" s="393"/>
      <c r="D619" s="1"/>
      <c r="E619" s="1"/>
    </row>
    <row r="620">
      <c r="A620" s="326"/>
      <c r="B620" s="326"/>
      <c r="C620" s="393"/>
      <c r="D620" s="1"/>
      <c r="E620" s="1"/>
    </row>
    <row r="621">
      <c r="A621" s="326"/>
      <c r="B621" s="326"/>
      <c r="C621" s="393"/>
      <c r="D621" s="1"/>
      <c r="E621" s="1"/>
    </row>
    <row r="622">
      <c r="A622" s="326"/>
      <c r="B622" s="326"/>
      <c r="C622" s="393"/>
      <c r="D622" s="1"/>
      <c r="E622" s="1"/>
    </row>
    <row r="623">
      <c r="A623" s="326"/>
      <c r="B623" s="326"/>
      <c r="C623" s="393"/>
      <c r="D623" s="1"/>
      <c r="E623" s="1"/>
    </row>
    <row r="624">
      <c r="A624" s="326"/>
      <c r="B624" s="326"/>
      <c r="C624" s="393"/>
      <c r="D624" s="1"/>
      <c r="E624" s="1"/>
    </row>
    <row r="625">
      <c r="A625" s="326"/>
      <c r="B625" s="326"/>
      <c r="C625" s="393"/>
      <c r="D625" s="1"/>
      <c r="E625" s="1"/>
    </row>
    <row r="626">
      <c r="A626" s="326"/>
      <c r="B626" s="326"/>
      <c r="C626" s="393"/>
      <c r="D626" s="1"/>
      <c r="E626" s="1"/>
    </row>
    <row r="627">
      <c r="A627" s="326"/>
      <c r="B627" s="326"/>
      <c r="C627" s="393"/>
      <c r="D627" s="1"/>
      <c r="E627" s="1"/>
    </row>
    <row r="628">
      <c r="A628" s="326"/>
      <c r="B628" s="326"/>
      <c r="C628" s="393"/>
      <c r="D628" s="1"/>
      <c r="E628" s="1"/>
    </row>
    <row r="629">
      <c r="A629" s="326"/>
      <c r="B629" s="326"/>
      <c r="C629" s="393"/>
      <c r="D629" s="1"/>
      <c r="E629" s="1"/>
    </row>
    <row r="630">
      <c r="A630" s="326"/>
      <c r="B630" s="326"/>
      <c r="C630" s="393"/>
      <c r="D630" s="1"/>
      <c r="E630" s="1"/>
    </row>
    <row r="631">
      <c r="A631" s="326"/>
      <c r="B631" s="326"/>
      <c r="C631" s="393"/>
      <c r="D631" s="1"/>
      <c r="E631" s="1"/>
    </row>
    <row r="632">
      <c r="A632" s="326"/>
      <c r="B632" s="326"/>
      <c r="C632" s="393"/>
      <c r="D632" s="1"/>
      <c r="E632" s="1"/>
    </row>
    <row r="633">
      <c r="A633" s="326"/>
      <c r="B633" s="326"/>
      <c r="C633" s="393"/>
      <c r="D633" s="1"/>
      <c r="E633" s="1"/>
    </row>
    <row r="634">
      <c r="A634" s="326"/>
      <c r="B634" s="326"/>
      <c r="C634" s="393"/>
      <c r="D634" s="1"/>
      <c r="E634" s="1"/>
    </row>
    <row r="635">
      <c r="A635" s="326"/>
      <c r="B635" s="326"/>
      <c r="C635" s="393"/>
      <c r="D635" s="1"/>
      <c r="E635" s="1"/>
    </row>
    <row r="636">
      <c r="A636" s="326"/>
      <c r="B636" s="326"/>
      <c r="C636" s="393"/>
      <c r="D636" s="1"/>
      <c r="E636" s="1"/>
    </row>
    <row r="637">
      <c r="A637" s="326"/>
      <c r="B637" s="326"/>
      <c r="C637" s="393"/>
      <c r="D637" s="1"/>
      <c r="E637" s="1"/>
    </row>
    <row r="638">
      <c r="A638" s="326"/>
      <c r="B638" s="326"/>
      <c r="C638" s="393"/>
      <c r="D638" s="1"/>
      <c r="E638" s="1"/>
    </row>
    <row r="639">
      <c r="A639" s="326"/>
      <c r="B639" s="326"/>
      <c r="C639" s="393"/>
      <c r="D639" s="1"/>
      <c r="E639" s="1"/>
    </row>
    <row r="640">
      <c r="A640" s="326"/>
      <c r="B640" s="326"/>
      <c r="C640" s="393"/>
      <c r="D640" s="1"/>
      <c r="E640" s="1"/>
    </row>
    <row r="641">
      <c r="A641" s="326"/>
      <c r="B641" s="326"/>
      <c r="C641" s="393"/>
      <c r="D641" s="1"/>
      <c r="E641" s="1"/>
    </row>
    <row r="642">
      <c r="A642" s="326"/>
      <c r="B642" s="326"/>
      <c r="C642" s="393"/>
      <c r="D642" s="1"/>
      <c r="E642" s="1"/>
    </row>
    <row r="643">
      <c r="A643" s="326"/>
      <c r="B643" s="326"/>
      <c r="C643" s="393"/>
      <c r="D643" s="1"/>
      <c r="E643" s="1"/>
    </row>
    <row r="644">
      <c r="A644" s="326"/>
      <c r="B644" s="326"/>
      <c r="C644" s="393"/>
      <c r="D644" s="1"/>
      <c r="E644" s="1"/>
    </row>
    <row r="645">
      <c r="A645" s="326"/>
      <c r="B645" s="326"/>
      <c r="C645" s="393"/>
      <c r="D645" s="1"/>
      <c r="E645" s="1"/>
    </row>
    <row r="646">
      <c r="A646" s="326"/>
      <c r="B646" s="326"/>
      <c r="C646" s="393"/>
      <c r="D646" s="1"/>
      <c r="E646" s="1"/>
    </row>
    <row r="647">
      <c r="A647" s="326"/>
      <c r="B647" s="326"/>
      <c r="C647" s="393"/>
      <c r="D647" s="1"/>
      <c r="E647" s="1"/>
    </row>
    <row r="648">
      <c r="A648" s="326"/>
      <c r="B648" s="326"/>
      <c r="C648" s="393"/>
      <c r="D648" s="1"/>
      <c r="E648" s="1"/>
    </row>
    <row r="649">
      <c r="A649" s="326"/>
      <c r="B649" s="326"/>
      <c r="C649" s="393"/>
      <c r="D649" s="1"/>
      <c r="E649" s="1"/>
    </row>
    <row r="650">
      <c r="A650" s="326"/>
      <c r="B650" s="326"/>
      <c r="C650" s="393"/>
      <c r="D650" s="1"/>
      <c r="E650" s="1"/>
    </row>
    <row r="651">
      <c r="A651" s="326"/>
      <c r="B651" s="326"/>
      <c r="C651" s="393"/>
      <c r="D651" s="1"/>
      <c r="E651" s="1"/>
    </row>
    <row r="652">
      <c r="A652" s="326"/>
      <c r="B652" s="326"/>
      <c r="C652" s="393"/>
      <c r="D652" s="1"/>
      <c r="E652" s="1"/>
    </row>
    <row r="653">
      <c r="A653" s="326"/>
      <c r="B653" s="326"/>
      <c r="C653" s="393"/>
      <c r="D653" s="1"/>
      <c r="E653" s="1"/>
    </row>
    <row r="654">
      <c r="A654" s="326"/>
      <c r="B654" s="326"/>
      <c r="C654" s="393"/>
      <c r="D654" s="1"/>
      <c r="E654" s="1"/>
    </row>
    <row r="655">
      <c r="A655" s="326"/>
      <c r="B655" s="326"/>
      <c r="C655" s="393"/>
      <c r="D655" s="1"/>
      <c r="E655" s="1"/>
    </row>
    <row r="656">
      <c r="A656" s="326"/>
      <c r="B656" s="326"/>
      <c r="C656" s="393"/>
      <c r="D656" s="1"/>
      <c r="E656" s="1"/>
    </row>
    <row r="657">
      <c r="A657" s="326"/>
      <c r="B657" s="326"/>
      <c r="C657" s="393"/>
      <c r="D657" s="1"/>
      <c r="E657" s="1"/>
    </row>
    <row r="658">
      <c r="A658" s="326"/>
      <c r="B658" s="326"/>
      <c r="C658" s="393"/>
      <c r="D658" s="1"/>
      <c r="E658" s="1"/>
    </row>
    <row r="659">
      <c r="A659" s="326"/>
      <c r="B659" s="326"/>
      <c r="C659" s="393"/>
      <c r="D659" s="1"/>
      <c r="E659" s="1"/>
    </row>
    <row r="660">
      <c r="A660" s="326"/>
      <c r="B660" s="326"/>
      <c r="C660" s="393"/>
      <c r="D660" s="1"/>
      <c r="E660" s="1"/>
    </row>
    <row r="661">
      <c r="A661" s="326"/>
      <c r="B661" s="326"/>
      <c r="C661" s="393"/>
      <c r="D661" s="1"/>
      <c r="E661" s="1"/>
    </row>
    <row r="662">
      <c r="A662" s="326"/>
      <c r="B662" s="326"/>
      <c r="C662" s="393"/>
      <c r="D662" s="1"/>
      <c r="E662" s="1"/>
    </row>
    <row r="663">
      <c r="A663" s="326"/>
      <c r="B663" s="326"/>
      <c r="C663" s="393"/>
      <c r="D663" s="1"/>
      <c r="E663" s="1"/>
    </row>
    <row r="664">
      <c r="A664" s="326"/>
      <c r="B664" s="326"/>
      <c r="C664" s="393"/>
      <c r="D664" s="1"/>
      <c r="E664" s="1"/>
    </row>
    <row r="665">
      <c r="A665" s="326"/>
      <c r="B665" s="326"/>
      <c r="C665" s="393"/>
      <c r="D665" s="1"/>
      <c r="E665" s="1"/>
    </row>
    <row r="666">
      <c r="A666" s="326"/>
      <c r="B666" s="326"/>
      <c r="C666" s="393"/>
      <c r="D666" s="1"/>
      <c r="E666" s="1"/>
    </row>
    <row r="667">
      <c r="A667" s="326"/>
      <c r="B667" s="326"/>
      <c r="C667" s="393"/>
      <c r="D667" s="1"/>
      <c r="E667" s="1"/>
    </row>
    <row r="668">
      <c r="A668" s="326"/>
      <c r="B668" s="326"/>
      <c r="C668" s="393"/>
      <c r="D668" s="1"/>
      <c r="E668" s="1"/>
    </row>
    <row r="669">
      <c r="A669" s="326"/>
      <c r="B669" s="326"/>
      <c r="C669" s="393"/>
      <c r="D669" s="1"/>
      <c r="E669" s="1"/>
    </row>
    <row r="670">
      <c r="A670" s="326"/>
      <c r="B670" s="326"/>
      <c r="C670" s="393"/>
      <c r="D670" s="1"/>
      <c r="E670" s="1"/>
    </row>
    <row r="671">
      <c r="A671" s="326"/>
      <c r="B671" s="326"/>
      <c r="C671" s="393"/>
      <c r="D671" s="1"/>
      <c r="E671" s="1"/>
    </row>
    <row r="672">
      <c r="A672" s="326"/>
      <c r="B672" s="326"/>
      <c r="C672" s="393"/>
      <c r="D672" s="1"/>
      <c r="E672" s="1"/>
    </row>
    <row r="673">
      <c r="A673" s="326"/>
      <c r="B673" s="326"/>
      <c r="C673" s="393"/>
      <c r="D673" s="1"/>
      <c r="E673" s="1"/>
    </row>
    <row r="674">
      <c r="A674" s="326"/>
      <c r="B674" s="326"/>
      <c r="C674" s="393"/>
      <c r="D674" s="1"/>
      <c r="E674" s="1"/>
    </row>
    <row r="675">
      <c r="A675" s="326"/>
      <c r="B675" s="326"/>
      <c r="C675" s="393"/>
      <c r="D675" s="1"/>
      <c r="E675" s="1"/>
    </row>
    <row r="676">
      <c r="A676" s="326"/>
      <c r="B676" s="326"/>
      <c r="C676" s="393"/>
      <c r="D676" s="1"/>
      <c r="E676" s="1"/>
    </row>
    <row r="677">
      <c r="A677" s="326"/>
      <c r="B677" s="326"/>
      <c r="C677" s="393"/>
      <c r="D677" s="1"/>
      <c r="E677" s="1"/>
    </row>
    <row r="678">
      <c r="A678" s="326"/>
      <c r="B678" s="326"/>
      <c r="C678" s="393"/>
      <c r="D678" s="1"/>
      <c r="E678" s="1"/>
    </row>
    <row r="679">
      <c r="A679" s="326"/>
      <c r="B679" s="326"/>
      <c r="C679" s="393"/>
      <c r="D679" s="1"/>
      <c r="E679" s="1"/>
    </row>
    <row r="680">
      <c r="A680" s="326"/>
      <c r="B680" s="326"/>
      <c r="C680" s="393"/>
      <c r="D680" s="1"/>
      <c r="E680" s="1"/>
    </row>
    <row r="681">
      <c r="A681" s="326"/>
      <c r="B681" s="326"/>
      <c r="C681" s="393"/>
      <c r="D681" s="1"/>
      <c r="E681" s="1"/>
    </row>
    <row r="682">
      <c r="A682" s="326"/>
      <c r="B682" s="326"/>
      <c r="C682" s="393"/>
      <c r="D682" s="1"/>
      <c r="E682" s="1"/>
    </row>
    <row r="683">
      <c r="A683" s="326"/>
      <c r="B683" s="326"/>
      <c r="C683" s="393"/>
      <c r="D683" s="1"/>
      <c r="E683" s="1"/>
    </row>
    <row r="684">
      <c r="A684" s="326"/>
      <c r="B684" s="326"/>
      <c r="C684" s="393"/>
      <c r="D684" s="1"/>
      <c r="E684" s="1"/>
    </row>
    <row r="685">
      <c r="A685" s="326"/>
      <c r="B685" s="326"/>
      <c r="C685" s="393"/>
      <c r="D685" s="1"/>
      <c r="E685" s="1"/>
    </row>
    <row r="686">
      <c r="A686" s="326"/>
      <c r="B686" s="326"/>
      <c r="C686" s="393"/>
      <c r="D686" s="1"/>
      <c r="E686" s="1"/>
    </row>
    <row r="687">
      <c r="A687" s="326"/>
      <c r="B687" s="326"/>
      <c r="C687" s="393"/>
      <c r="D687" s="1"/>
      <c r="E687" s="1"/>
    </row>
    <row r="688">
      <c r="A688" s="326"/>
      <c r="B688" s="326"/>
      <c r="C688" s="393"/>
      <c r="D688" s="1"/>
      <c r="E688" s="1"/>
    </row>
    <row r="689">
      <c r="A689" s="326"/>
      <c r="B689" s="326"/>
      <c r="C689" s="393"/>
      <c r="D689" s="1"/>
      <c r="E689" s="1"/>
    </row>
    <row r="690">
      <c r="A690" s="326"/>
      <c r="B690" s="326"/>
      <c r="C690" s="393"/>
      <c r="D690" s="1"/>
      <c r="E690" s="1"/>
    </row>
    <row r="691">
      <c r="A691" s="326"/>
      <c r="B691" s="326"/>
      <c r="C691" s="393"/>
      <c r="D691" s="1"/>
      <c r="E691" s="1"/>
    </row>
    <row r="692">
      <c r="A692" s="326"/>
      <c r="B692" s="326"/>
      <c r="C692" s="393"/>
      <c r="D692" s="1"/>
      <c r="E692" s="1"/>
    </row>
    <row r="693">
      <c r="A693" s="326"/>
      <c r="B693" s="326"/>
      <c r="C693" s="393"/>
      <c r="D693" s="1"/>
      <c r="E693" s="1"/>
    </row>
    <row r="694">
      <c r="A694" s="326"/>
      <c r="B694" s="326"/>
      <c r="C694" s="393"/>
      <c r="D694" s="1"/>
      <c r="E694" s="1"/>
    </row>
    <row r="695">
      <c r="A695" s="326"/>
      <c r="B695" s="326"/>
      <c r="C695" s="393"/>
      <c r="D695" s="1"/>
      <c r="E695" s="1"/>
    </row>
    <row r="696">
      <c r="A696" s="326"/>
      <c r="B696" s="326"/>
      <c r="C696" s="393"/>
      <c r="D696" s="1"/>
      <c r="E696" s="1"/>
    </row>
    <row r="697">
      <c r="A697" s="326"/>
      <c r="B697" s="326"/>
      <c r="C697" s="393"/>
      <c r="D697" s="1"/>
      <c r="E697" s="1"/>
    </row>
    <row r="698">
      <c r="A698" s="326"/>
      <c r="B698" s="326"/>
      <c r="C698" s="393"/>
      <c r="D698" s="1"/>
      <c r="E698" s="1"/>
    </row>
    <row r="699">
      <c r="A699" s="326"/>
      <c r="B699" s="326"/>
      <c r="C699" s="393"/>
      <c r="D699" s="1"/>
      <c r="E699" s="1"/>
    </row>
    <row r="700">
      <c r="A700" s="326"/>
      <c r="B700" s="326"/>
      <c r="C700" s="393"/>
      <c r="D700" s="1"/>
      <c r="E700" s="1"/>
    </row>
    <row r="701">
      <c r="A701" s="326"/>
      <c r="B701" s="326"/>
      <c r="C701" s="393"/>
      <c r="D701" s="1"/>
      <c r="E701" s="1"/>
    </row>
    <row r="702">
      <c r="A702" s="326"/>
      <c r="B702" s="326"/>
      <c r="C702" s="393"/>
      <c r="D702" s="1"/>
      <c r="E702" s="1"/>
    </row>
    <row r="703">
      <c r="A703" s="326"/>
      <c r="B703" s="326"/>
      <c r="C703" s="393"/>
      <c r="D703" s="1"/>
      <c r="E703" s="1"/>
    </row>
    <row r="704">
      <c r="A704" s="326"/>
      <c r="B704" s="326"/>
      <c r="C704" s="393"/>
      <c r="D704" s="1"/>
      <c r="E704" s="1"/>
    </row>
    <row r="705">
      <c r="A705" s="326"/>
      <c r="B705" s="326"/>
      <c r="C705" s="393"/>
      <c r="D705" s="1"/>
      <c r="E705" s="1"/>
    </row>
    <row r="706">
      <c r="A706" s="326"/>
      <c r="B706" s="326"/>
      <c r="C706" s="393"/>
      <c r="D706" s="1"/>
      <c r="E706" s="1"/>
    </row>
    <row r="707">
      <c r="A707" s="326"/>
      <c r="B707" s="326"/>
      <c r="C707" s="393"/>
      <c r="D707" s="1"/>
      <c r="E707" s="1"/>
    </row>
    <row r="708">
      <c r="A708" s="326"/>
      <c r="B708" s="326"/>
      <c r="C708" s="393"/>
      <c r="D708" s="1"/>
      <c r="E708" s="1"/>
    </row>
    <row r="709">
      <c r="A709" s="326"/>
      <c r="B709" s="326"/>
      <c r="C709" s="393"/>
      <c r="D709" s="1"/>
      <c r="E709" s="1"/>
    </row>
    <row r="710">
      <c r="A710" s="326"/>
      <c r="B710" s="326"/>
      <c r="C710" s="393"/>
      <c r="D710" s="1"/>
      <c r="E710" s="1"/>
    </row>
    <row r="711">
      <c r="A711" s="326"/>
      <c r="B711" s="326"/>
      <c r="C711" s="393"/>
      <c r="D711" s="1"/>
      <c r="E711" s="1"/>
    </row>
    <row r="712">
      <c r="A712" s="326"/>
      <c r="B712" s="326"/>
      <c r="C712" s="393"/>
      <c r="D712" s="1"/>
      <c r="E712" s="1"/>
    </row>
    <row r="713">
      <c r="A713" s="326"/>
      <c r="B713" s="326"/>
      <c r="C713" s="393"/>
      <c r="D713" s="1"/>
      <c r="E713" s="1"/>
    </row>
    <row r="714">
      <c r="A714" s="326"/>
      <c r="B714" s="326"/>
      <c r="C714" s="393"/>
      <c r="D714" s="1"/>
      <c r="E714" s="1"/>
    </row>
    <row r="715">
      <c r="A715" s="326"/>
      <c r="B715" s="326"/>
      <c r="C715" s="393"/>
      <c r="D715" s="1"/>
      <c r="E715" s="1"/>
    </row>
    <row r="716">
      <c r="A716" s="326"/>
      <c r="B716" s="326"/>
      <c r="C716" s="393"/>
      <c r="D716" s="1"/>
      <c r="E716" s="1"/>
    </row>
    <row r="717">
      <c r="A717" s="326"/>
      <c r="B717" s="326"/>
      <c r="C717" s="393"/>
      <c r="D717" s="1"/>
      <c r="E717" s="1"/>
    </row>
    <row r="718">
      <c r="A718" s="326"/>
      <c r="B718" s="326"/>
      <c r="C718" s="393"/>
      <c r="D718" s="1"/>
      <c r="E718" s="1"/>
    </row>
    <row r="719">
      <c r="A719" s="326"/>
      <c r="B719" s="326"/>
      <c r="C719" s="393"/>
      <c r="D719" s="1"/>
      <c r="E719" s="1"/>
    </row>
    <row r="720">
      <c r="A720" s="326"/>
      <c r="B720" s="326"/>
      <c r="C720" s="393"/>
      <c r="D720" s="1"/>
      <c r="E720" s="1"/>
    </row>
    <row r="721">
      <c r="A721" s="326"/>
      <c r="B721" s="326"/>
      <c r="C721" s="393"/>
      <c r="D721" s="1"/>
      <c r="E721" s="1"/>
    </row>
    <row r="722">
      <c r="A722" s="326"/>
      <c r="B722" s="326"/>
      <c r="C722" s="393"/>
      <c r="D722" s="1"/>
      <c r="E722" s="1"/>
    </row>
    <row r="723">
      <c r="A723" s="326"/>
      <c r="B723" s="326"/>
      <c r="C723" s="393"/>
      <c r="D723" s="1"/>
      <c r="E723" s="1"/>
    </row>
    <row r="724">
      <c r="A724" s="326"/>
      <c r="B724" s="326"/>
      <c r="C724" s="393"/>
      <c r="D724" s="1"/>
      <c r="E724" s="1"/>
    </row>
    <row r="725">
      <c r="A725" s="326"/>
      <c r="B725" s="326"/>
      <c r="C725" s="393"/>
      <c r="D725" s="1"/>
      <c r="E725" s="1"/>
    </row>
    <row r="726">
      <c r="A726" s="326"/>
      <c r="B726" s="326"/>
      <c r="C726" s="393"/>
      <c r="D726" s="1"/>
      <c r="E726" s="1"/>
    </row>
    <row r="727">
      <c r="A727" s="326"/>
      <c r="B727" s="326"/>
      <c r="C727" s="393"/>
      <c r="D727" s="1"/>
      <c r="E727" s="1"/>
    </row>
    <row r="728">
      <c r="A728" s="326"/>
      <c r="B728" s="326"/>
      <c r="C728" s="393"/>
      <c r="D728" s="1"/>
      <c r="E728" s="1"/>
    </row>
    <row r="729">
      <c r="A729" s="326"/>
      <c r="B729" s="326"/>
      <c r="C729" s="393"/>
      <c r="D729" s="1"/>
      <c r="E729" s="1"/>
    </row>
    <row r="730">
      <c r="A730" s="326"/>
      <c r="B730" s="326"/>
      <c r="C730" s="393"/>
      <c r="D730" s="1"/>
      <c r="E730" s="1"/>
    </row>
    <row r="731">
      <c r="A731" s="326"/>
      <c r="B731" s="326"/>
      <c r="C731" s="393"/>
      <c r="D731" s="1"/>
      <c r="E731" s="1"/>
    </row>
    <row r="732">
      <c r="A732" s="326"/>
      <c r="B732" s="326"/>
      <c r="C732" s="393"/>
      <c r="D732" s="1"/>
      <c r="E732" s="1"/>
    </row>
    <row r="733">
      <c r="A733" s="326"/>
      <c r="B733" s="326"/>
      <c r="C733" s="393"/>
      <c r="D733" s="1"/>
      <c r="E733" s="1"/>
    </row>
    <row r="734">
      <c r="A734" s="326"/>
      <c r="B734" s="326"/>
      <c r="C734" s="393"/>
      <c r="D734" s="1"/>
      <c r="E734" s="1"/>
    </row>
    <row r="735">
      <c r="A735" s="326"/>
      <c r="B735" s="326"/>
      <c r="C735" s="393"/>
      <c r="D735" s="1"/>
      <c r="E735" s="1"/>
    </row>
    <row r="736">
      <c r="A736" s="326"/>
      <c r="B736" s="326"/>
      <c r="C736" s="393"/>
      <c r="D736" s="1"/>
      <c r="E736" s="1"/>
    </row>
    <row r="737">
      <c r="A737" s="326"/>
      <c r="B737" s="326"/>
      <c r="C737" s="393"/>
      <c r="D737" s="1"/>
      <c r="E737" s="1"/>
    </row>
    <row r="738">
      <c r="A738" s="326"/>
      <c r="B738" s="326"/>
      <c r="C738" s="393"/>
      <c r="D738" s="1"/>
      <c r="E738" s="1"/>
    </row>
    <row r="739">
      <c r="A739" s="326"/>
      <c r="B739" s="326"/>
      <c r="C739" s="393"/>
      <c r="D739" s="1"/>
      <c r="E739" s="1"/>
    </row>
    <row r="740">
      <c r="A740" s="326"/>
      <c r="B740" s="326"/>
      <c r="C740" s="393"/>
      <c r="D740" s="1"/>
      <c r="E740" s="1"/>
    </row>
    <row r="741">
      <c r="A741" s="326"/>
      <c r="B741" s="326"/>
      <c r="C741" s="393"/>
      <c r="D741" s="1"/>
      <c r="E741" s="1"/>
    </row>
    <row r="742">
      <c r="A742" s="326"/>
      <c r="B742" s="326"/>
      <c r="C742" s="393"/>
      <c r="D742" s="1"/>
      <c r="E742" s="1"/>
    </row>
    <row r="743">
      <c r="A743" s="326"/>
      <c r="B743" s="326"/>
      <c r="C743" s="393"/>
      <c r="D743" s="1"/>
      <c r="E743" s="1"/>
    </row>
    <row r="744">
      <c r="A744" s="326"/>
      <c r="B744" s="326"/>
      <c r="C744" s="393"/>
      <c r="D744" s="1"/>
      <c r="E744" s="1"/>
    </row>
    <row r="745">
      <c r="A745" s="326"/>
      <c r="B745" s="326"/>
      <c r="C745" s="393"/>
      <c r="D745" s="1"/>
      <c r="E745" s="1"/>
    </row>
    <row r="746">
      <c r="A746" s="326"/>
      <c r="B746" s="326"/>
      <c r="C746" s="393"/>
      <c r="D746" s="1"/>
      <c r="E746" s="1"/>
    </row>
    <row r="747">
      <c r="A747" s="326"/>
      <c r="B747" s="326"/>
      <c r="C747" s="393"/>
      <c r="D747" s="1"/>
      <c r="E747" s="1"/>
    </row>
    <row r="748">
      <c r="A748" s="326"/>
      <c r="B748" s="326"/>
      <c r="C748" s="393"/>
      <c r="D748" s="1"/>
      <c r="E748" s="1"/>
    </row>
    <row r="749">
      <c r="A749" s="326"/>
      <c r="B749" s="326"/>
      <c r="C749" s="393"/>
      <c r="D749" s="1"/>
      <c r="E749" s="1"/>
    </row>
    <row r="750">
      <c r="A750" s="326"/>
      <c r="B750" s="326"/>
      <c r="C750" s="393"/>
      <c r="D750" s="1"/>
      <c r="E750" s="1"/>
    </row>
    <row r="751">
      <c r="A751" s="326"/>
      <c r="B751" s="326"/>
      <c r="C751" s="393"/>
      <c r="D751" s="1"/>
      <c r="E751" s="1"/>
    </row>
    <row r="752">
      <c r="A752" s="326"/>
      <c r="B752" s="326"/>
      <c r="C752" s="393"/>
      <c r="D752" s="1"/>
      <c r="E752" s="1"/>
    </row>
    <row r="753">
      <c r="A753" s="326"/>
      <c r="B753" s="326"/>
      <c r="C753" s="393"/>
      <c r="D753" s="1"/>
      <c r="E753" s="1"/>
    </row>
    <row r="754">
      <c r="A754" s="326"/>
      <c r="B754" s="326"/>
      <c r="C754" s="393"/>
      <c r="D754" s="1"/>
      <c r="E754" s="1"/>
    </row>
    <row r="755">
      <c r="A755" s="326"/>
      <c r="B755" s="326"/>
      <c r="C755" s="393"/>
      <c r="D755" s="1"/>
      <c r="E755" s="1"/>
    </row>
    <row r="756">
      <c r="A756" s="326"/>
      <c r="B756" s="326"/>
      <c r="C756" s="393"/>
      <c r="D756" s="1"/>
      <c r="E756" s="1"/>
    </row>
    <row r="757">
      <c r="A757" s="326"/>
      <c r="B757" s="326"/>
      <c r="C757" s="393"/>
      <c r="D757" s="1"/>
      <c r="E757" s="1"/>
    </row>
    <row r="758">
      <c r="A758" s="326"/>
      <c r="B758" s="326"/>
      <c r="C758" s="393"/>
      <c r="D758" s="1"/>
      <c r="E758" s="1"/>
    </row>
    <row r="759">
      <c r="A759" s="326"/>
      <c r="B759" s="326"/>
      <c r="C759" s="393"/>
      <c r="D759" s="1"/>
      <c r="E759" s="1"/>
    </row>
    <row r="760">
      <c r="A760" s="326"/>
      <c r="B760" s="326"/>
      <c r="C760" s="393"/>
      <c r="D760" s="1"/>
      <c r="E760" s="1"/>
    </row>
    <row r="761">
      <c r="A761" s="326"/>
      <c r="B761" s="326"/>
      <c r="C761" s="393"/>
      <c r="D761" s="1"/>
      <c r="E761" s="1"/>
    </row>
    <row r="762">
      <c r="A762" s="326"/>
      <c r="B762" s="326"/>
      <c r="C762" s="393"/>
      <c r="D762" s="1"/>
      <c r="E762" s="1"/>
    </row>
    <row r="763">
      <c r="A763" s="326"/>
      <c r="B763" s="326"/>
      <c r="C763" s="393"/>
      <c r="D763" s="1"/>
      <c r="E763" s="1"/>
    </row>
    <row r="764">
      <c r="A764" s="326"/>
      <c r="B764" s="326"/>
      <c r="C764" s="393"/>
      <c r="D764" s="1"/>
      <c r="E764" s="1"/>
    </row>
    <row r="765">
      <c r="A765" s="326"/>
      <c r="B765" s="326"/>
      <c r="C765" s="393"/>
      <c r="D765" s="1"/>
      <c r="E765" s="1"/>
    </row>
    <row r="766">
      <c r="A766" s="326"/>
      <c r="B766" s="326"/>
      <c r="C766" s="393"/>
      <c r="D766" s="1"/>
      <c r="E766" s="1"/>
    </row>
    <row r="767">
      <c r="A767" s="326"/>
      <c r="B767" s="326"/>
      <c r="C767" s="393"/>
      <c r="D767" s="1"/>
      <c r="E767" s="1"/>
    </row>
    <row r="768">
      <c r="A768" s="326"/>
      <c r="B768" s="326"/>
      <c r="C768" s="393"/>
      <c r="D768" s="1"/>
      <c r="E768" s="1"/>
    </row>
    <row r="769">
      <c r="A769" s="326"/>
      <c r="B769" s="326"/>
      <c r="C769" s="393"/>
      <c r="D769" s="1"/>
      <c r="E769" s="1"/>
    </row>
    <row r="770">
      <c r="A770" s="326"/>
      <c r="B770" s="326"/>
      <c r="C770" s="393"/>
      <c r="D770" s="1"/>
      <c r="E770" s="1"/>
    </row>
    <row r="771">
      <c r="A771" s="326"/>
      <c r="B771" s="326"/>
      <c r="C771" s="393"/>
      <c r="D771" s="1"/>
      <c r="E771" s="1"/>
    </row>
    <row r="772">
      <c r="A772" s="326"/>
      <c r="B772" s="326"/>
      <c r="C772" s="393"/>
      <c r="D772" s="1"/>
      <c r="E772" s="1"/>
    </row>
    <row r="773">
      <c r="A773" s="326"/>
      <c r="B773" s="326"/>
      <c r="C773" s="393"/>
      <c r="D773" s="1"/>
      <c r="E773" s="1"/>
    </row>
    <row r="774">
      <c r="A774" s="326"/>
      <c r="B774" s="326"/>
      <c r="C774" s="393"/>
      <c r="D774" s="1"/>
      <c r="E774" s="1"/>
    </row>
    <row r="775">
      <c r="A775" s="326"/>
      <c r="B775" s="326"/>
      <c r="C775" s="393"/>
      <c r="D775" s="1"/>
      <c r="E775" s="1"/>
    </row>
    <row r="776">
      <c r="A776" s="326"/>
      <c r="B776" s="326"/>
      <c r="C776" s="393"/>
      <c r="D776" s="1"/>
      <c r="E776" s="1"/>
    </row>
    <row r="777">
      <c r="A777" s="326"/>
      <c r="B777" s="326"/>
      <c r="C777" s="393"/>
      <c r="D777" s="1"/>
      <c r="E777" s="1"/>
    </row>
    <row r="778">
      <c r="A778" s="326"/>
      <c r="B778" s="326"/>
      <c r="C778" s="393"/>
      <c r="D778" s="1"/>
      <c r="E778" s="1"/>
    </row>
    <row r="779">
      <c r="A779" s="326"/>
      <c r="B779" s="326"/>
      <c r="C779" s="393"/>
      <c r="D779" s="1"/>
      <c r="E779" s="1"/>
    </row>
    <row r="780">
      <c r="A780" s="326"/>
      <c r="B780" s="326"/>
      <c r="C780" s="393"/>
      <c r="D780" s="1"/>
      <c r="E780" s="1"/>
    </row>
    <row r="781">
      <c r="A781" s="326"/>
      <c r="B781" s="326"/>
      <c r="C781" s="393"/>
      <c r="D781" s="1"/>
      <c r="E781" s="1"/>
    </row>
    <row r="782">
      <c r="A782" s="326"/>
      <c r="B782" s="326"/>
      <c r="C782" s="393"/>
      <c r="D782" s="1"/>
      <c r="E782" s="1"/>
    </row>
    <row r="783">
      <c r="A783" s="326"/>
      <c r="B783" s="326"/>
      <c r="C783" s="393"/>
      <c r="D783" s="1"/>
      <c r="E783" s="1"/>
    </row>
    <row r="784">
      <c r="A784" s="326"/>
      <c r="B784" s="326"/>
      <c r="C784" s="393"/>
      <c r="D784" s="1"/>
      <c r="E784" s="1"/>
    </row>
    <row r="785">
      <c r="A785" s="326"/>
      <c r="B785" s="326"/>
      <c r="C785" s="393"/>
      <c r="D785" s="1"/>
      <c r="E785" s="1"/>
    </row>
    <row r="786">
      <c r="A786" s="326"/>
      <c r="B786" s="326"/>
      <c r="C786" s="393"/>
      <c r="D786" s="1"/>
      <c r="E786" s="1"/>
    </row>
    <row r="787">
      <c r="A787" s="326"/>
      <c r="B787" s="326"/>
      <c r="C787" s="393"/>
      <c r="D787" s="1"/>
      <c r="E787" s="1"/>
    </row>
    <row r="788">
      <c r="A788" s="326"/>
      <c r="B788" s="326"/>
      <c r="C788" s="393"/>
      <c r="D788" s="1"/>
      <c r="E788" s="1"/>
    </row>
    <row r="789">
      <c r="A789" s="326"/>
      <c r="B789" s="326"/>
      <c r="C789" s="393"/>
      <c r="D789" s="1"/>
      <c r="E789" s="1"/>
    </row>
    <row r="790">
      <c r="A790" s="326"/>
      <c r="B790" s="326"/>
      <c r="C790" s="393"/>
      <c r="D790" s="1"/>
      <c r="E790" s="1"/>
    </row>
    <row r="791">
      <c r="A791" s="326"/>
      <c r="B791" s="326"/>
      <c r="C791" s="393"/>
      <c r="D791" s="1"/>
      <c r="E791" s="1"/>
    </row>
    <row r="792">
      <c r="A792" s="326"/>
      <c r="B792" s="326"/>
      <c r="C792" s="393"/>
      <c r="D792" s="1"/>
      <c r="E792" s="1"/>
    </row>
    <row r="793">
      <c r="A793" s="326"/>
      <c r="B793" s="326"/>
      <c r="C793" s="393"/>
      <c r="D793" s="1"/>
      <c r="E793" s="1"/>
    </row>
    <row r="794">
      <c r="A794" s="326"/>
      <c r="B794" s="326"/>
      <c r="C794" s="393"/>
      <c r="D794" s="1"/>
      <c r="E794" s="1"/>
    </row>
    <row r="795">
      <c r="A795" s="326"/>
      <c r="B795" s="326"/>
      <c r="C795" s="393"/>
      <c r="D795" s="1"/>
      <c r="E795" s="1"/>
    </row>
    <row r="796">
      <c r="A796" s="326"/>
      <c r="B796" s="326"/>
      <c r="C796" s="393"/>
      <c r="D796" s="1"/>
      <c r="E796" s="1"/>
    </row>
    <row r="797">
      <c r="A797" s="326"/>
      <c r="B797" s="326"/>
      <c r="C797" s="393"/>
      <c r="D797" s="1"/>
      <c r="E797" s="1"/>
    </row>
    <row r="798">
      <c r="A798" s="326"/>
      <c r="B798" s="326"/>
      <c r="C798" s="393"/>
      <c r="D798" s="1"/>
      <c r="E798" s="1"/>
    </row>
    <row r="799">
      <c r="A799" s="326"/>
      <c r="B799" s="326"/>
      <c r="C799" s="393"/>
      <c r="D799" s="1"/>
      <c r="E799" s="1"/>
    </row>
    <row r="800">
      <c r="A800" s="326"/>
      <c r="B800" s="326"/>
      <c r="C800" s="393"/>
      <c r="D800" s="1"/>
      <c r="E800" s="1"/>
    </row>
    <row r="801">
      <c r="A801" s="326"/>
      <c r="B801" s="326"/>
      <c r="C801" s="393"/>
      <c r="D801" s="1"/>
      <c r="E801" s="1"/>
    </row>
    <row r="802">
      <c r="A802" s="326"/>
      <c r="B802" s="326"/>
      <c r="C802" s="393"/>
      <c r="D802" s="1"/>
      <c r="E802" s="1"/>
    </row>
    <row r="803">
      <c r="A803" s="326"/>
      <c r="B803" s="326"/>
      <c r="C803" s="393"/>
      <c r="D803" s="1"/>
      <c r="E803" s="1"/>
    </row>
    <row r="804">
      <c r="A804" s="326"/>
      <c r="B804" s="326"/>
      <c r="C804" s="393"/>
      <c r="D804" s="1"/>
      <c r="E804" s="1"/>
    </row>
    <row r="805">
      <c r="A805" s="326"/>
      <c r="B805" s="326"/>
      <c r="C805" s="393"/>
      <c r="D805" s="1"/>
      <c r="E805" s="1"/>
    </row>
    <row r="806">
      <c r="A806" s="326"/>
      <c r="B806" s="326"/>
      <c r="C806" s="393"/>
      <c r="D806" s="1"/>
      <c r="E806" s="1"/>
    </row>
    <row r="807">
      <c r="A807" s="326"/>
      <c r="B807" s="326"/>
      <c r="C807" s="393"/>
      <c r="D807" s="1"/>
      <c r="E807" s="1"/>
    </row>
    <row r="808">
      <c r="A808" s="326"/>
      <c r="B808" s="326"/>
      <c r="C808" s="393"/>
      <c r="D808" s="1"/>
      <c r="E808" s="1"/>
    </row>
    <row r="809">
      <c r="A809" s="326"/>
      <c r="B809" s="326"/>
      <c r="C809" s="393"/>
      <c r="D809" s="1"/>
      <c r="E809" s="1"/>
    </row>
    <row r="810">
      <c r="A810" s="326"/>
      <c r="B810" s="326"/>
      <c r="C810" s="393"/>
      <c r="D810" s="1"/>
      <c r="E810" s="1"/>
    </row>
    <row r="811">
      <c r="A811" s="326"/>
      <c r="B811" s="326"/>
      <c r="C811" s="393"/>
      <c r="D811" s="1"/>
      <c r="E811" s="1"/>
    </row>
    <row r="812">
      <c r="A812" s="326"/>
      <c r="B812" s="326"/>
      <c r="C812" s="393"/>
      <c r="D812" s="1"/>
      <c r="E812" s="1"/>
    </row>
    <row r="813">
      <c r="A813" s="326"/>
      <c r="B813" s="326"/>
      <c r="C813" s="393"/>
      <c r="D813" s="1"/>
      <c r="E813" s="1"/>
    </row>
    <row r="814">
      <c r="A814" s="326"/>
      <c r="B814" s="326"/>
      <c r="C814" s="393"/>
      <c r="D814" s="1"/>
      <c r="E814" s="1"/>
    </row>
    <row r="815">
      <c r="A815" s="326"/>
      <c r="B815" s="326"/>
      <c r="C815" s="393"/>
      <c r="D815" s="1"/>
      <c r="E815" s="1"/>
    </row>
    <row r="816">
      <c r="A816" s="326"/>
      <c r="B816" s="326"/>
      <c r="C816" s="393"/>
      <c r="D816" s="1"/>
      <c r="E816" s="1"/>
    </row>
    <row r="817">
      <c r="A817" s="326"/>
      <c r="B817" s="326"/>
      <c r="C817" s="393"/>
      <c r="D817" s="1"/>
      <c r="E817" s="1"/>
    </row>
    <row r="818">
      <c r="A818" s="326"/>
      <c r="B818" s="326"/>
      <c r="C818" s="393"/>
      <c r="D818" s="1"/>
      <c r="E818" s="1"/>
    </row>
    <row r="819">
      <c r="A819" s="326"/>
      <c r="B819" s="326"/>
      <c r="C819" s="393"/>
      <c r="D819" s="1"/>
      <c r="E819" s="1"/>
    </row>
    <row r="820">
      <c r="A820" s="326"/>
      <c r="B820" s="326"/>
      <c r="C820" s="393"/>
      <c r="D820" s="1"/>
      <c r="E820" s="1"/>
    </row>
    <row r="821">
      <c r="A821" s="326"/>
      <c r="B821" s="326"/>
      <c r="C821" s="393"/>
      <c r="D821" s="1"/>
      <c r="E821" s="1"/>
    </row>
    <row r="822">
      <c r="A822" s="326"/>
      <c r="B822" s="326"/>
      <c r="C822" s="393"/>
      <c r="D822" s="1"/>
      <c r="E822" s="1"/>
    </row>
    <row r="823">
      <c r="A823" s="326"/>
      <c r="B823" s="326"/>
      <c r="C823" s="393"/>
      <c r="D823" s="1"/>
      <c r="E823" s="1"/>
    </row>
    <row r="824">
      <c r="A824" s="326"/>
      <c r="B824" s="326"/>
      <c r="C824" s="393"/>
      <c r="D824" s="1"/>
      <c r="E824" s="1"/>
    </row>
    <row r="825">
      <c r="A825" s="326"/>
      <c r="B825" s="326"/>
      <c r="C825" s="393"/>
      <c r="D825" s="1"/>
      <c r="E825" s="1"/>
    </row>
    <row r="826">
      <c r="A826" s="326"/>
      <c r="B826" s="326"/>
      <c r="C826" s="393"/>
      <c r="D826" s="1"/>
      <c r="E826" s="1"/>
    </row>
    <row r="827">
      <c r="A827" s="326"/>
      <c r="B827" s="326"/>
      <c r="C827" s="393"/>
      <c r="D827" s="1"/>
      <c r="E827" s="1"/>
    </row>
    <row r="828">
      <c r="A828" s="326"/>
      <c r="B828" s="326"/>
      <c r="C828" s="393"/>
      <c r="D828" s="1"/>
      <c r="E828" s="1"/>
    </row>
    <row r="829">
      <c r="A829" s="326"/>
      <c r="B829" s="326"/>
      <c r="C829" s="393"/>
      <c r="D829" s="1"/>
      <c r="E829" s="1"/>
    </row>
    <row r="830">
      <c r="A830" s="326"/>
      <c r="B830" s="326"/>
      <c r="C830" s="393"/>
      <c r="D830" s="1"/>
      <c r="E830" s="1"/>
    </row>
    <row r="831">
      <c r="A831" s="326"/>
      <c r="B831" s="326"/>
      <c r="C831" s="393"/>
      <c r="D831" s="1"/>
      <c r="E831" s="1"/>
    </row>
    <row r="832">
      <c r="A832" s="326"/>
      <c r="B832" s="326"/>
      <c r="C832" s="393"/>
      <c r="D832" s="1"/>
      <c r="E832" s="1"/>
    </row>
    <row r="833">
      <c r="A833" s="326"/>
      <c r="B833" s="326"/>
      <c r="C833" s="393"/>
      <c r="D833" s="1"/>
      <c r="E833" s="1"/>
    </row>
    <row r="834">
      <c r="A834" s="326"/>
      <c r="B834" s="326"/>
      <c r="C834" s="393"/>
      <c r="D834" s="1"/>
      <c r="E834" s="1"/>
    </row>
    <row r="835">
      <c r="A835" s="326"/>
      <c r="B835" s="326"/>
      <c r="C835" s="393"/>
      <c r="D835" s="1"/>
      <c r="E835" s="1"/>
    </row>
    <row r="836">
      <c r="A836" s="326"/>
      <c r="B836" s="326"/>
      <c r="C836" s="393"/>
      <c r="D836" s="1"/>
      <c r="E836" s="1"/>
    </row>
    <row r="837">
      <c r="A837" s="326"/>
      <c r="B837" s="326"/>
      <c r="C837" s="393"/>
      <c r="D837" s="1"/>
      <c r="E837" s="1"/>
    </row>
    <row r="838">
      <c r="A838" s="326"/>
      <c r="B838" s="326"/>
      <c r="C838" s="393"/>
      <c r="D838" s="1"/>
      <c r="E838" s="1"/>
    </row>
    <row r="839">
      <c r="A839" s="326"/>
      <c r="B839" s="326"/>
      <c r="C839" s="393"/>
      <c r="D839" s="1"/>
      <c r="E839" s="1"/>
    </row>
    <row r="840">
      <c r="A840" s="326"/>
      <c r="B840" s="326"/>
      <c r="C840" s="393"/>
      <c r="D840" s="1"/>
      <c r="E840" s="1"/>
    </row>
    <row r="841">
      <c r="A841" s="326"/>
      <c r="B841" s="326"/>
      <c r="C841" s="393"/>
      <c r="D841" s="1"/>
      <c r="E841" s="1"/>
    </row>
    <row r="842">
      <c r="A842" s="326"/>
      <c r="B842" s="326"/>
      <c r="C842" s="393"/>
      <c r="D842" s="1"/>
      <c r="E842" s="1"/>
    </row>
    <row r="843">
      <c r="A843" s="326"/>
      <c r="B843" s="326"/>
      <c r="C843" s="393"/>
      <c r="D843" s="1"/>
      <c r="E843" s="1"/>
    </row>
    <row r="844">
      <c r="A844" s="326"/>
      <c r="B844" s="326"/>
      <c r="C844" s="393"/>
      <c r="D844" s="1"/>
      <c r="E844" s="1"/>
    </row>
    <row r="845">
      <c r="A845" s="326"/>
      <c r="B845" s="326"/>
      <c r="C845" s="393"/>
      <c r="D845" s="1"/>
      <c r="E845" s="1"/>
    </row>
    <row r="846">
      <c r="A846" s="326"/>
      <c r="B846" s="326"/>
      <c r="C846" s="393"/>
      <c r="D846" s="1"/>
      <c r="E846" s="1"/>
    </row>
    <row r="847">
      <c r="A847" s="326"/>
      <c r="B847" s="326"/>
      <c r="C847" s="393"/>
      <c r="D847" s="1"/>
      <c r="E847" s="1"/>
    </row>
    <row r="848">
      <c r="A848" s="326"/>
      <c r="B848" s="326"/>
      <c r="C848" s="393"/>
      <c r="D848" s="1"/>
      <c r="E848" s="1"/>
    </row>
    <row r="849">
      <c r="A849" s="326"/>
      <c r="B849" s="326"/>
      <c r="C849" s="393"/>
      <c r="D849" s="1"/>
      <c r="E849" s="1"/>
    </row>
    <row r="850">
      <c r="A850" s="326"/>
      <c r="B850" s="326"/>
      <c r="C850" s="393"/>
      <c r="D850" s="1"/>
      <c r="E850" s="1"/>
    </row>
    <row r="851">
      <c r="A851" s="326"/>
      <c r="B851" s="326"/>
      <c r="C851" s="393"/>
      <c r="D851" s="1"/>
      <c r="E851" s="1"/>
    </row>
    <row r="852">
      <c r="A852" s="326"/>
      <c r="B852" s="326"/>
      <c r="C852" s="393"/>
      <c r="D852" s="1"/>
      <c r="E852" s="1"/>
    </row>
    <row r="853">
      <c r="A853" s="326"/>
      <c r="B853" s="326"/>
      <c r="C853" s="393"/>
      <c r="D853" s="1"/>
      <c r="E853" s="1"/>
    </row>
    <row r="854">
      <c r="A854" s="326"/>
      <c r="B854" s="326"/>
      <c r="C854" s="393"/>
      <c r="D854" s="1"/>
      <c r="E854" s="1"/>
    </row>
    <row r="855">
      <c r="A855" s="326"/>
      <c r="B855" s="326"/>
      <c r="C855" s="393"/>
      <c r="D855" s="1"/>
      <c r="E855" s="1"/>
    </row>
    <row r="856">
      <c r="A856" s="326"/>
      <c r="B856" s="326"/>
      <c r="C856" s="393"/>
      <c r="D856" s="1"/>
      <c r="E856" s="1"/>
    </row>
    <row r="857">
      <c r="A857" s="326"/>
      <c r="B857" s="326"/>
      <c r="C857" s="393"/>
      <c r="D857" s="1"/>
      <c r="E857" s="1"/>
    </row>
    <row r="858">
      <c r="A858" s="326"/>
      <c r="B858" s="326"/>
      <c r="C858" s="393"/>
      <c r="D858" s="1"/>
      <c r="E858" s="1"/>
    </row>
    <row r="859">
      <c r="A859" s="326"/>
      <c r="B859" s="326"/>
      <c r="C859" s="393"/>
      <c r="D859" s="1"/>
      <c r="E859" s="1"/>
    </row>
    <row r="860">
      <c r="A860" s="326"/>
      <c r="B860" s="326"/>
      <c r="C860" s="393"/>
      <c r="D860" s="1"/>
      <c r="E860" s="1"/>
    </row>
    <row r="861">
      <c r="A861" s="326"/>
      <c r="B861" s="326"/>
      <c r="C861" s="393"/>
      <c r="D861" s="1"/>
      <c r="E861" s="1"/>
    </row>
    <row r="862">
      <c r="A862" s="326"/>
      <c r="B862" s="326"/>
      <c r="C862" s="393"/>
      <c r="D862" s="1"/>
      <c r="E862" s="1"/>
    </row>
    <row r="863">
      <c r="A863" s="326"/>
      <c r="B863" s="326"/>
      <c r="C863" s="393"/>
      <c r="D863" s="1"/>
      <c r="E863" s="1"/>
    </row>
    <row r="864">
      <c r="A864" s="326"/>
      <c r="B864" s="326"/>
      <c r="C864" s="393"/>
      <c r="D864" s="1"/>
      <c r="E864" s="1"/>
    </row>
    <row r="865">
      <c r="A865" s="326"/>
      <c r="B865" s="326"/>
      <c r="C865" s="393"/>
      <c r="D865" s="1"/>
      <c r="E865" s="1"/>
    </row>
    <row r="866">
      <c r="A866" s="326"/>
      <c r="B866" s="326"/>
      <c r="C866" s="393"/>
      <c r="D866" s="1"/>
      <c r="E866" s="1"/>
    </row>
    <row r="867">
      <c r="A867" s="326"/>
      <c r="B867" s="326"/>
      <c r="C867" s="393"/>
      <c r="D867" s="1"/>
      <c r="E867" s="1"/>
    </row>
    <row r="868">
      <c r="A868" s="326"/>
      <c r="B868" s="326"/>
      <c r="C868" s="393"/>
      <c r="D868" s="1"/>
      <c r="E868" s="1"/>
    </row>
    <row r="869">
      <c r="A869" s="326"/>
      <c r="B869" s="326"/>
      <c r="C869" s="393"/>
      <c r="D869" s="1"/>
      <c r="E869" s="1"/>
    </row>
    <row r="870">
      <c r="A870" s="326"/>
      <c r="B870" s="326"/>
      <c r="C870" s="393"/>
      <c r="D870" s="1"/>
      <c r="E870" s="1"/>
    </row>
    <row r="871">
      <c r="A871" s="326"/>
      <c r="B871" s="326"/>
      <c r="C871" s="393"/>
      <c r="D871" s="1"/>
      <c r="E871" s="1"/>
    </row>
    <row r="872">
      <c r="A872" s="326"/>
      <c r="B872" s="326"/>
      <c r="C872" s="393"/>
      <c r="D872" s="1"/>
      <c r="E872" s="1"/>
    </row>
    <row r="873">
      <c r="A873" s="326"/>
      <c r="B873" s="326"/>
      <c r="C873" s="393"/>
      <c r="D873" s="1"/>
      <c r="E873" s="1"/>
    </row>
    <row r="874">
      <c r="A874" s="326"/>
      <c r="B874" s="326"/>
      <c r="C874" s="393"/>
      <c r="D874" s="1"/>
      <c r="E874" s="1"/>
    </row>
    <row r="875">
      <c r="A875" s="326"/>
      <c r="B875" s="326"/>
      <c r="C875" s="393"/>
      <c r="D875" s="1"/>
      <c r="E875" s="1"/>
    </row>
    <row r="876">
      <c r="A876" s="326"/>
      <c r="B876" s="326"/>
      <c r="C876" s="393"/>
      <c r="D876" s="1"/>
      <c r="E876" s="1"/>
    </row>
    <row r="877">
      <c r="A877" s="326"/>
      <c r="B877" s="326"/>
      <c r="C877" s="393"/>
      <c r="D877" s="1"/>
      <c r="E877" s="1"/>
    </row>
    <row r="878">
      <c r="A878" s="326"/>
      <c r="B878" s="326"/>
      <c r="C878" s="393"/>
      <c r="D878" s="1"/>
      <c r="E878" s="1"/>
    </row>
    <row r="879">
      <c r="A879" s="326"/>
      <c r="B879" s="326"/>
      <c r="C879" s="393"/>
      <c r="D879" s="1"/>
      <c r="E879" s="1"/>
    </row>
    <row r="880">
      <c r="A880" s="326"/>
      <c r="B880" s="326"/>
      <c r="C880" s="393"/>
      <c r="D880" s="1"/>
      <c r="E880" s="1"/>
    </row>
    <row r="881">
      <c r="A881" s="326"/>
      <c r="B881" s="326"/>
      <c r="C881" s="393"/>
      <c r="D881" s="1"/>
      <c r="E881" s="1"/>
    </row>
    <row r="882">
      <c r="A882" s="326"/>
      <c r="B882" s="326"/>
      <c r="C882" s="393"/>
      <c r="D882" s="1"/>
      <c r="E882" s="1"/>
    </row>
    <row r="883">
      <c r="A883" s="326"/>
      <c r="B883" s="326"/>
      <c r="C883" s="393"/>
      <c r="D883" s="1"/>
      <c r="E883" s="1"/>
    </row>
    <row r="884">
      <c r="A884" s="326"/>
      <c r="B884" s="326"/>
      <c r="C884" s="393"/>
      <c r="D884" s="1"/>
      <c r="E884" s="1"/>
    </row>
    <row r="885">
      <c r="A885" s="326"/>
      <c r="B885" s="326"/>
      <c r="C885" s="393"/>
      <c r="D885" s="1"/>
      <c r="E885" s="1"/>
    </row>
    <row r="886">
      <c r="A886" s="326"/>
      <c r="B886" s="326"/>
      <c r="C886" s="393"/>
      <c r="D886" s="1"/>
      <c r="E886" s="1"/>
    </row>
    <row r="887">
      <c r="A887" s="326"/>
      <c r="B887" s="326"/>
      <c r="C887" s="393"/>
      <c r="D887" s="1"/>
      <c r="E887" s="1"/>
    </row>
    <row r="888">
      <c r="A888" s="326"/>
      <c r="B888" s="326"/>
      <c r="C888" s="393"/>
      <c r="D888" s="1"/>
      <c r="E888" s="1"/>
    </row>
    <row r="889">
      <c r="A889" s="326"/>
      <c r="B889" s="326"/>
      <c r="C889" s="393"/>
      <c r="D889" s="1"/>
      <c r="E889" s="1"/>
    </row>
    <row r="890">
      <c r="A890" s="326"/>
      <c r="B890" s="326"/>
      <c r="C890" s="393"/>
      <c r="D890" s="1"/>
      <c r="E890" s="1"/>
    </row>
    <row r="891">
      <c r="A891" s="326"/>
      <c r="B891" s="326"/>
      <c r="C891" s="393"/>
      <c r="D891" s="1"/>
      <c r="E891" s="1"/>
    </row>
    <row r="892">
      <c r="A892" s="326"/>
      <c r="B892" s="326"/>
      <c r="C892" s="393"/>
      <c r="D892" s="1"/>
      <c r="E892" s="1"/>
    </row>
    <row r="893">
      <c r="A893" s="326"/>
      <c r="B893" s="326"/>
      <c r="C893" s="393"/>
      <c r="D893" s="1"/>
      <c r="E893" s="1"/>
    </row>
    <row r="894">
      <c r="A894" s="326"/>
      <c r="B894" s="326"/>
      <c r="C894" s="393"/>
      <c r="D894" s="1"/>
      <c r="E894" s="1"/>
    </row>
    <row r="895">
      <c r="A895" s="326"/>
      <c r="B895" s="326"/>
      <c r="C895" s="393"/>
      <c r="D895" s="1"/>
      <c r="E895" s="1"/>
    </row>
    <row r="896">
      <c r="A896" s="326"/>
      <c r="B896" s="326"/>
      <c r="C896" s="393"/>
      <c r="D896" s="1"/>
      <c r="E896" s="1"/>
    </row>
    <row r="897">
      <c r="A897" s="326"/>
      <c r="B897" s="326"/>
      <c r="C897" s="393"/>
      <c r="D897" s="1"/>
      <c r="E897" s="1"/>
    </row>
    <row r="898">
      <c r="A898" s="326"/>
      <c r="B898" s="326"/>
      <c r="C898" s="393"/>
      <c r="D898" s="1"/>
      <c r="E898" s="1"/>
    </row>
    <row r="899">
      <c r="A899" s="326"/>
      <c r="B899" s="326"/>
      <c r="C899" s="393"/>
      <c r="D899" s="1"/>
      <c r="E899" s="1"/>
    </row>
    <row r="900">
      <c r="A900" s="326"/>
      <c r="B900" s="326"/>
      <c r="C900" s="393"/>
      <c r="D900" s="1"/>
      <c r="E900" s="1"/>
    </row>
    <row r="901">
      <c r="A901" s="326"/>
      <c r="B901" s="326"/>
      <c r="C901" s="393"/>
      <c r="D901" s="1"/>
      <c r="E901" s="1"/>
    </row>
    <row r="902">
      <c r="A902" s="326"/>
      <c r="B902" s="326"/>
      <c r="C902" s="393"/>
      <c r="D902" s="1"/>
      <c r="E902" s="1"/>
    </row>
    <row r="903">
      <c r="A903" s="326"/>
      <c r="B903" s="326"/>
      <c r="C903" s="393"/>
      <c r="D903" s="1"/>
      <c r="E903" s="1"/>
    </row>
    <row r="904">
      <c r="A904" s="326"/>
      <c r="B904" s="326"/>
      <c r="C904" s="393"/>
      <c r="D904" s="1"/>
      <c r="E904" s="1"/>
    </row>
    <row r="905">
      <c r="A905" s="326"/>
      <c r="B905" s="326"/>
      <c r="C905" s="393"/>
      <c r="D905" s="1"/>
      <c r="E905" s="1"/>
    </row>
    <row r="906">
      <c r="A906" s="326"/>
      <c r="B906" s="326"/>
      <c r="C906" s="393"/>
      <c r="D906" s="1"/>
      <c r="E906" s="1"/>
    </row>
    <row r="907">
      <c r="A907" s="326"/>
      <c r="B907" s="326"/>
      <c r="C907" s="393"/>
      <c r="D907" s="1"/>
      <c r="E907" s="1"/>
    </row>
    <row r="908">
      <c r="A908" s="326"/>
      <c r="B908" s="326"/>
      <c r="C908" s="393"/>
      <c r="D908" s="1"/>
      <c r="E908" s="1"/>
    </row>
    <row r="909">
      <c r="A909" s="326"/>
      <c r="B909" s="326"/>
      <c r="C909" s="393"/>
      <c r="D909" s="1"/>
      <c r="E909" s="1"/>
    </row>
    <row r="910">
      <c r="A910" s="326"/>
      <c r="B910" s="326"/>
      <c r="C910" s="393"/>
      <c r="D910" s="1"/>
      <c r="E910" s="1"/>
    </row>
    <row r="911">
      <c r="A911" s="326"/>
      <c r="B911" s="326"/>
      <c r="C911" s="393"/>
      <c r="D911" s="1"/>
      <c r="E911" s="1"/>
    </row>
    <row r="912">
      <c r="A912" s="326"/>
      <c r="B912" s="326"/>
      <c r="C912" s="393"/>
      <c r="D912" s="1"/>
      <c r="E912" s="1"/>
    </row>
    <row r="913">
      <c r="A913" s="326"/>
      <c r="B913" s="326"/>
      <c r="C913" s="393"/>
      <c r="D913" s="1"/>
      <c r="E913" s="1"/>
    </row>
    <row r="914">
      <c r="A914" s="326"/>
      <c r="B914" s="326"/>
      <c r="C914" s="393"/>
      <c r="D914" s="1"/>
      <c r="E914" s="1"/>
    </row>
    <row r="915">
      <c r="A915" s="326"/>
      <c r="B915" s="326"/>
      <c r="C915" s="393"/>
      <c r="D915" s="1"/>
      <c r="E915" s="1"/>
    </row>
    <row r="916">
      <c r="A916" s="326"/>
      <c r="B916" s="326"/>
      <c r="C916" s="393"/>
      <c r="D916" s="1"/>
      <c r="E916" s="1"/>
    </row>
    <row r="917">
      <c r="A917" s="326"/>
      <c r="B917" s="326"/>
      <c r="C917" s="393"/>
      <c r="D917" s="1"/>
      <c r="E917" s="1"/>
    </row>
    <row r="918">
      <c r="A918" s="326"/>
      <c r="B918" s="326"/>
      <c r="C918" s="393"/>
      <c r="D918" s="1"/>
      <c r="E918" s="1"/>
    </row>
    <row r="919">
      <c r="A919" s="326"/>
      <c r="B919" s="326"/>
      <c r="C919" s="393"/>
      <c r="D919" s="1"/>
      <c r="E919" s="1"/>
    </row>
    <row r="920">
      <c r="A920" s="326"/>
      <c r="B920" s="326"/>
      <c r="C920" s="393"/>
      <c r="D920" s="1"/>
      <c r="E920" s="1"/>
    </row>
    <row r="921">
      <c r="A921" s="326"/>
      <c r="B921" s="326"/>
      <c r="C921" s="393"/>
      <c r="D921" s="1"/>
      <c r="E921" s="1"/>
    </row>
    <row r="922">
      <c r="A922" s="326"/>
      <c r="B922" s="326"/>
      <c r="C922" s="393"/>
      <c r="D922" s="1"/>
      <c r="E922" s="1"/>
    </row>
    <row r="923">
      <c r="A923" s="326"/>
      <c r="B923" s="326"/>
      <c r="C923" s="393"/>
      <c r="D923" s="1"/>
      <c r="E923" s="1"/>
    </row>
    <row r="924">
      <c r="A924" s="326"/>
      <c r="B924" s="326"/>
      <c r="C924" s="393"/>
      <c r="D924" s="1"/>
      <c r="E924" s="1"/>
    </row>
    <row r="925">
      <c r="A925" s="326"/>
      <c r="B925" s="326"/>
      <c r="C925" s="393"/>
      <c r="D925" s="1"/>
      <c r="E925" s="1"/>
    </row>
    <row r="926">
      <c r="A926" s="326"/>
      <c r="B926" s="326"/>
      <c r="C926" s="393"/>
      <c r="D926" s="1"/>
      <c r="E926" s="1"/>
    </row>
    <row r="927">
      <c r="A927" s="326"/>
      <c r="B927" s="326"/>
      <c r="C927" s="393"/>
      <c r="D927" s="1"/>
      <c r="E927" s="1"/>
    </row>
    <row r="928">
      <c r="A928" s="326"/>
      <c r="B928" s="326"/>
      <c r="C928" s="393"/>
      <c r="D928" s="1"/>
      <c r="E928" s="1"/>
    </row>
    <row r="929">
      <c r="A929" s="326"/>
      <c r="B929" s="326"/>
      <c r="C929" s="393"/>
      <c r="D929" s="1"/>
      <c r="E929" s="1"/>
    </row>
    <row r="930">
      <c r="A930" s="326"/>
      <c r="B930" s="326"/>
      <c r="C930" s="393"/>
      <c r="D930" s="1"/>
      <c r="E930" s="1"/>
    </row>
    <row r="931">
      <c r="A931" s="326"/>
      <c r="B931" s="326"/>
      <c r="C931" s="393"/>
      <c r="D931" s="1"/>
      <c r="E931" s="1"/>
    </row>
    <row r="932">
      <c r="A932" s="326"/>
      <c r="B932" s="326"/>
      <c r="C932" s="393"/>
      <c r="D932" s="1"/>
      <c r="E932" s="1"/>
    </row>
    <row r="933">
      <c r="A933" s="326"/>
      <c r="B933" s="326"/>
      <c r="C933" s="393"/>
      <c r="D933" s="1"/>
      <c r="E933" s="1"/>
    </row>
    <row r="934">
      <c r="A934" s="326"/>
      <c r="B934" s="326"/>
      <c r="C934" s="393"/>
      <c r="D934" s="1"/>
      <c r="E934" s="1"/>
    </row>
    <row r="935">
      <c r="A935" s="326"/>
      <c r="B935" s="326"/>
      <c r="C935" s="393"/>
      <c r="D935" s="1"/>
      <c r="E935" s="1"/>
    </row>
    <row r="936">
      <c r="A936" s="326"/>
      <c r="B936" s="326"/>
      <c r="C936" s="393"/>
      <c r="D936" s="1"/>
      <c r="E936" s="1"/>
    </row>
    <row r="937">
      <c r="A937" s="326"/>
      <c r="B937" s="326"/>
      <c r="C937" s="393"/>
      <c r="D937" s="1"/>
      <c r="E937" s="1"/>
    </row>
    <row r="938">
      <c r="A938" s="326"/>
      <c r="B938" s="326"/>
      <c r="C938" s="393"/>
      <c r="D938" s="1"/>
      <c r="E938" s="1"/>
    </row>
    <row r="939">
      <c r="A939" s="326"/>
      <c r="B939" s="326"/>
      <c r="C939" s="393"/>
      <c r="D939" s="1"/>
      <c r="E939" s="1"/>
    </row>
    <row r="940">
      <c r="A940" s="326"/>
      <c r="B940" s="326"/>
      <c r="C940" s="393"/>
      <c r="D940" s="1"/>
      <c r="E940" s="1"/>
    </row>
    <row r="941">
      <c r="A941" s="326"/>
      <c r="B941" s="326"/>
      <c r="C941" s="393"/>
      <c r="D941" s="1"/>
      <c r="E941" s="1"/>
    </row>
    <row r="942">
      <c r="A942" s="326"/>
      <c r="B942" s="326"/>
      <c r="C942" s="393"/>
      <c r="D942" s="1"/>
      <c r="E942" s="1"/>
    </row>
    <row r="943">
      <c r="A943" s="326"/>
      <c r="B943" s="326"/>
      <c r="C943" s="393"/>
      <c r="D943" s="1"/>
      <c r="E943" s="1"/>
    </row>
    <row r="944">
      <c r="A944" s="326"/>
      <c r="B944" s="326"/>
      <c r="C944" s="393"/>
      <c r="D944" s="1"/>
      <c r="E944" s="1"/>
    </row>
    <row r="945">
      <c r="A945" s="326"/>
      <c r="B945" s="326"/>
      <c r="C945" s="393"/>
      <c r="D945" s="1"/>
      <c r="E945" s="1"/>
    </row>
    <row r="946">
      <c r="A946" s="326"/>
      <c r="B946" s="326"/>
      <c r="C946" s="393"/>
      <c r="D946" s="1"/>
      <c r="E946" s="1"/>
    </row>
    <row r="947">
      <c r="A947" s="326"/>
      <c r="B947" s="326"/>
      <c r="C947" s="393"/>
      <c r="D947" s="1"/>
      <c r="E947" s="1"/>
    </row>
    <row r="948">
      <c r="A948" s="326"/>
      <c r="B948" s="326"/>
      <c r="C948" s="393"/>
      <c r="D948" s="1"/>
      <c r="E948" s="1"/>
    </row>
    <row r="949">
      <c r="A949" s="326"/>
      <c r="B949" s="326"/>
      <c r="C949" s="393"/>
      <c r="D949" s="1"/>
      <c r="E949" s="1"/>
    </row>
    <row r="950">
      <c r="A950" s="326"/>
      <c r="B950" s="326"/>
      <c r="C950" s="393"/>
      <c r="D950" s="1"/>
      <c r="E950" s="1"/>
    </row>
    <row r="951">
      <c r="A951" s="326"/>
      <c r="B951" s="326"/>
      <c r="C951" s="393"/>
      <c r="D951" s="1"/>
      <c r="E951" s="1"/>
    </row>
    <row r="952">
      <c r="A952" s="326"/>
      <c r="B952" s="326"/>
      <c r="C952" s="393"/>
      <c r="D952" s="1"/>
      <c r="E952" s="1"/>
    </row>
    <row r="953">
      <c r="A953" s="326"/>
      <c r="B953" s="326"/>
      <c r="C953" s="393"/>
      <c r="D953" s="1"/>
      <c r="E953" s="1"/>
    </row>
    <row r="954">
      <c r="A954" s="326"/>
      <c r="B954" s="326"/>
      <c r="C954" s="393"/>
      <c r="D954" s="1"/>
      <c r="E954" s="1"/>
    </row>
    <row r="955">
      <c r="A955" s="326"/>
      <c r="B955" s="326"/>
      <c r="C955" s="393"/>
      <c r="D955" s="1"/>
      <c r="E955" s="1"/>
    </row>
    <row r="956">
      <c r="A956" s="326"/>
      <c r="B956" s="326"/>
      <c r="C956" s="393"/>
      <c r="D956" s="1"/>
      <c r="E956" s="1"/>
    </row>
    <row r="957">
      <c r="A957" s="326"/>
      <c r="B957" s="326"/>
      <c r="C957" s="393"/>
      <c r="D957" s="1"/>
      <c r="E957" s="1"/>
    </row>
    <row r="958">
      <c r="A958" s="326"/>
      <c r="B958" s="326"/>
      <c r="C958" s="393"/>
      <c r="D958" s="1"/>
      <c r="E958" s="1"/>
    </row>
    <row r="959">
      <c r="A959" s="326"/>
      <c r="B959" s="326"/>
      <c r="C959" s="393"/>
      <c r="D959" s="1"/>
      <c r="E959" s="1"/>
    </row>
    <row r="960">
      <c r="A960" s="326"/>
      <c r="B960" s="326"/>
      <c r="C960" s="393"/>
      <c r="D960" s="1"/>
      <c r="E960" s="1"/>
    </row>
    <row r="961">
      <c r="A961" s="326"/>
      <c r="B961" s="326"/>
      <c r="C961" s="393"/>
      <c r="D961" s="1"/>
      <c r="E961" s="1"/>
    </row>
    <row r="962">
      <c r="A962" s="326"/>
      <c r="B962" s="326"/>
      <c r="C962" s="393"/>
      <c r="D962" s="1"/>
      <c r="E962" s="1"/>
    </row>
    <row r="963">
      <c r="A963" s="326"/>
      <c r="B963" s="326"/>
      <c r="C963" s="393"/>
      <c r="D963" s="1"/>
      <c r="E963" s="1"/>
    </row>
    <row r="964">
      <c r="A964" s="326"/>
      <c r="B964" s="326"/>
      <c r="C964" s="393"/>
      <c r="D964" s="1"/>
      <c r="E964" s="1"/>
    </row>
    <row r="965">
      <c r="A965" s="326"/>
      <c r="B965" s="326"/>
      <c r="C965" s="393"/>
      <c r="D965" s="1"/>
      <c r="E965" s="1"/>
    </row>
    <row r="966">
      <c r="A966" s="326"/>
      <c r="B966" s="326"/>
      <c r="C966" s="393"/>
      <c r="D966" s="1"/>
      <c r="E966" s="1"/>
    </row>
    <row r="967">
      <c r="A967" s="326"/>
      <c r="B967" s="326"/>
      <c r="C967" s="393"/>
      <c r="D967" s="1"/>
      <c r="E967" s="1"/>
    </row>
    <row r="968">
      <c r="A968" s="326"/>
      <c r="B968" s="326"/>
      <c r="C968" s="393"/>
      <c r="D968" s="1"/>
      <c r="E968" s="1"/>
    </row>
    <row r="969">
      <c r="A969" s="326"/>
      <c r="B969" s="326"/>
      <c r="C969" s="393"/>
      <c r="D969" s="1"/>
      <c r="E969" s="1"/>
    </row>
    <row r="970">
      <c r="A970" s="326"/>
      <c r="B970" s="326"/>
      <c r="C970" s="393"/>
      <c r="D970" s="1"/>
      <c r="E970" s="1"/>
    </row>
    <row r="971">
      <c r="A971" s="326"/>
      <c r="B971" s="326"/>
      <c r="C971" s="393"/>
      <c r="D971" s="1"/>
      <c r="E971" s="1"/>
    </row>
    <row r="972">
      <c r="A972" s="326"/>
      <c r="B972" s="326"/>
      <c r="C972" s="393"/>
      <c r="D972" s="1"/>
      <c r="E972" s="1"/>
    </row>
    <row r="973">
      <c r="A973" s="326"/>
      <c r="B973" s="326"/>
      <c r="C973" s="393"/>
      <c r="D973" s="1"/>
      <c r="E973" s="1"/>
    </row>
    <row r="974">
      <c r="A974" s="326"/>
      <c r="B974" s="326"/>
      <c r="C974" s="393"/>
      <c r="D974" s="1"/>
      <c r="E974" s="1"/>
    </row>
    <row r="975">
      <c r="A975" s="326"/>
      <c r="B975" s="326"/>
      <c r="C975" s="393"/>
      <c r="D975" s="1"/>
      <c r="E975" s="1"/>
    </row>
    <row r="976">
      <c r="A976" s="326"/>
      <c r="B976" s="326"/>
      <c r="C976" s="393"/>
      <c r="D976" s="1"/>
      <c r="E976" s="1"/>
    </row>
    <row r="977">
      <c r="A977" s="326"/>
      <c r="B977" s="326"/>
      <c r="C977" s="393"/>
      <c r="D977" s="1"/>
      <c r="E977" s="1"/>
    </row>
    <row r="978">
      <c r="A978" s="326"/>
      <c r="B978" s="326"/>
      <c r="C978" s="393"/>
      <c r="D978" s="1"/>
      <c r="E978" s="1"/>
    </row>
    <row r="979">
      <c r="A979" s="326"/>
      <c r="B979" s="326"/>
      <c r="C979" s="393"/>
      <c r="D979" s="1"/>
      <c r="E979" s="1"/>
    </row>
    <row r="980">
      <c r="A980" s="326"/>
      <c r="B980" s="326"/>
      <c r="C980" s="393"/>
      <c r="D980" s="1"/>
      <c r="E980" s="1"/>
    </row>
    <row r="981">
      <c r="A981" s="326"/>
      <c r="B981" s="326"/>
      <c r="C981" s="393"/>
      <c r="D981" s="1"/>
      <c r="E981" s="1"/>
    </row>
    <row r="982">
      <c r="A982" s="326"/>
      <c r="B982" s="326"/>
      <c r="C982" s="393"/>
      <c r="D982" s="1"/>
      <c r="E982" s="1"/>
    </row>
    <row r="983">
      <c r="A983" s="326"/>
      <c r="B983" s="326"/>
      <c r="C983" s="393"/>
      <c r="D983" s="1"/>
      <c r="E983" s="1"/>
    </row>
    <row r="984">
      <c r="A984" s="326"/>
      <c r="B984" s="326"/>
      <c r="C984" s="393"/>
      <c r="D984" s="1"/>
      <c r="E984" s="1"/>
    </row>
    <row r="985">
      <c r="A985" s="326"/>
      <c r="B985" s="326"/>
      <c r="C985" s="393"/>
      <c r="D985" s="1"/>
      <c r="E985" s="1"/>
    </row>
    <row r="986">
      <c r="A986" s="326"/>
      <c r="B986" s="326"/>
      <c r="C986" s="393"/>
      <c r="D986" s="1"/>
      <c r="E986" s="1"/>
    </row>
    <row r="987">
      <c r="A987" s="326"/>
      <c r="B987" s="326"/>
      <c r="C987" s="393"/>
      <c r="D987" s="1"/>
      <c r="E987" s="1"/>
    </row>
    <row r="988">
      <c r="A988" s="326"/>
      <c r="B988" s="326"/>
      <c r="C988" s="393"/>
      <c r="D988" s="1"/>
      <c r="E988" s="1"/>
    </row>
    <row r="989">
      <c r="A989" s="326"/>
      <c r="B989" s="326"/>
      <c r="C989" s="393"/>
      <c r="D989" s="1"/>
      <c r="E989" s="1"/>
    </row>
    <row r="990">
      <c r="A990" s="326"/>
      <c r="B990" s="326"/>
      <c r="C990" s="393"/>
      <c r="D990" s="1"/>
      <c r="E990" s="1"/>
    </row>
    <row r="991">
      <c r="A991" s="326"/>
      <c r="B991" s="326"/>
      <c r="C991" s="393"/>
      <c r="D991" s="1"/>
      <c r="E991" s="1"/>
    </row>
    <row r="992">
      <c r="A992" s="326"/>
      <c r="B992" s="326"/>
      <c r="C992" s="393"/>
      <c r="D992" s="1"/>
      <c r="E992" s="1"/>
    </row>
    <row r="993">
      <c r="A993" s="326"/>
      <c r="B993" s="326"/>
      <c r="C993" s="393"/>
      <c r="D993" s="1"/>
      <c r="E993" s="1"/>
    </row>
  </sheetData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1.22" defaultRowHeight="15.0"/>
  <cols>
    <col customWidth="1" min="2" max="2" width="16.22"/>
    <col customWidth="1" min="3" max="3" width="11.89"/>
    <col customWidth="1" min="4" max="4" width="10.89"/>
    <col customWidth="1" min="11" max="11" width="11.89"/>
    <col customWidth="1" min="17" max="17" width="48.22"/>
    <col customWidth="1" min="18" max="18" width="15.11"/>
  </cols>
  <sheetData>
    <row r="1">
      <c r="A1" s="394" t="s">
        <v>0</v>
      </c>
      <c r="B1" s="394" t="s">
        <v>478</v>
      </c>
      <c r="C1" s="394" t="s">
        <v>815</v>
      </c>
      <c r="D1" s="394" t="s">
        <v>816</v>
      </c>
      <c r="E1" s="394" t="s">
        <v>817</v>
      </c>
      <c r="F1" s="394" t="s">
        <v>818</v>
      </c>
      <c r="G1" s="394" t="s">
        <v>814</v>
      </c>
      <c r="H1" s="394" t="s">
        <v>819</v>
      </c>
      <c r="I1" s="394" t="s">
        <v>820</v>
      </c>
      <c r="J1" s="394" t="s">
        <v>821</v>
      </c>
      <c r="K1" s="395" t="s">
        <v>822</v>
      </c>
      <c r="L1" s="396" t="s">
        <v>823</v>
      </c>
      <c r="M1" s="397" t="s">
        <v>824</v>
      </c>
      <c r="N1" s="398" t="s">
        <v>825</v>
      </c>
      <c r="O1" s="399" t="s">
        <v>7</v>
      </c>
      <c r="P1" s="399" t="s">
        <v>826</v>
      </c>
      <c r="Q1" s="400" t="s">
        <v>260</v>
      </c>
      <c r="R1" s="318"/>
      <c r="S1" s="401"/>
      <c r="T1" s="402"/>
      <c r="U1" s="402"/>
      <c r="V1" s="402"/>
      <c r="W1" s="402"/>
      <c r="X1" s="403"/>
      <c r="Y1" s="403"/>
      <c r="Z1" s="403"/>
      <c r="AA1" s="403"/>
      <c r="AB1" s="403"/>
      <c r="AC1" s="403"/>
      <c r="AD1" s="403"/>
    </row>
    <row r="2">
      <c r="A2" s="404" t="s">
        <v>827</v>
      </c>
      <c r="B2" s="404" t="s">
        <v>828</v>
      </c>
      <c r="C2" s="405">
        <v>45541.42013888889</v>
      </c>
      <c r="D2" s="404">
        <v>20.0</v>
      </c>
      <c r="E2" s="404">
        <v>0.088582</v>
      </c>
      <c r="F2" s="404" t="s">
        <v>829</v>
      </c>
      <c r="G2" s="404">
        <v>22.5</v>
      </c>
      <c r="H2" s="404">
        <v>874.1457</v>
      </c>
      <c r="I2" s="404">
        <v>0.99996</v>
      </c>
      <c r="J2" s="404">
        <v>0.465255</v>
      </c>
      <c r="K2" s="406">
        <v>2060.7</v>
      </c>
      <c r="L2" s="407"/>
      <c r="M2" s="408" t="str">
        <f t="shared" ref="M2:M186" si="1">(999.842594+0.06793952*G2-0.00909529*G2^2+0.0001001685*G2^3-0.000001120083*G2^4+0.000000006536332*G2^5+(0.824493-0.0040899*G2+0.000076438*G2^2-0.00000082467*G2^3+0.0000000053875*G2^4)*F2+ (-0.00572466 + 0.00010227*G2 - 0.0000016546*G2^2)*F2^1.5 + 0.00048314*F2^2)/1000</f>
        <v>#VALUE!</v>
      </c>
      <c r="N2" s="409" t="str">
        <f t="shared" ref="N2:N186" si="2">K2/M2</f>
        <v>#VALUE!</v>
      </c>
      <c r="O2" s="410" t="s">
        <v>12</v>
      </c>
      <c r="P2" s="411" t="s">
        <v>13</v>
      </c>
      <c r="Q2" s="412"/>
      <c r="R2" s="413"/>
      <c r="S2" s="413"/>
      <c r="T2" s="413"/>
      <c r="U2" s="413"/>
      <c r="V2" s="413"/>
      <c r="W2" s="413"/>
      <c r="X2" s="83"/>
      <c r="Y2" s="83"/>
      <c r="Z2" s="83"/>
      <c r="AA2" s="83"/>
      <c r="AB2" s="83"/>
      <c r="AC2" s="83"/>
      <c r="AD2" s="83"/>
    </row>
    <row r="3">
      <c r="A3" s="404" t="s">
        <v>830</v>
      </c>
      <c r="B3" s="404" t="s">
        <v>828</v>
      </c>
      <c r="C3" s="405">
        <v>45541.427083333336</v>
      </c>
      <c r="D3" s="404">
        <v>20.0</v>
      </c>
      <c r="E3" s="404">
        <v>0.088582</v>
      </c>
      <c r="F3" s="404" t="s">
        <v>829</v>
      </c>
      <c r="G3" s="404">
        <v>22.5</v>
      </c>
      <c r="H3" s="404">
        <v>879.0255</v>
      </c>
      <c r="I3" s="404">
        <v>0.999958</v>
      </c>
      <c r="J3" s="404">
        <v>0.465367</v>
      </c>
      <c r="K3" s="406">
        <v>2061.2</v>
      </c>
      <c r="L3" s="414">
        <v>0.3532</v>
      </c>
      <c r="M3" s="408" t="str">
        <f t="shared" si="1"/>
        <v>#VALUE!</v>
      </c>
      <c r="N3" s="409" t="str">
        <f t="shared" si="2"/>
        <v>#VALUE!</v>
      </c>
      <c r="O3" s="410" t="s">
        <v>12</v>
      </c>
      <c r="P3" s="411" t="s">
        <v>13</v>
      </c>
      <c r="Q3" s="412"/>
      <c r="R3" s="413"/>
      <c r="S3" s="413"/>
      <c r="T3" s="413"/>
      <c r="U3" s="413"/>
      <c r="V3" s="413"/>
      <c r="W3" s="413"/>
      <c r="X3" s="83"/>
      <c r="Y3" s="83"/>
      <c r="Z3" s="83"/>
      <c r="AA3" s="83"/>
      <c r="AB3" s="83"/>
      <c r="AC3" s="83"/>
      <c r="AD3" s="83"/>
    </row>
    <row r="4">
      <c r="A4" s="404" t="s">
        <v>831</v>
      </c>
      <c r="B4" s="404" t="s">
        <v>828</v>
      </c>
      <c r="C4" s="405">
        <v>45541.43263888889</v>
      </c>
      <c r="D4" s="404">
        <v>20.0</v>
      </c>
      <c r="E4" s="404">
        <v>0.088582</v>
      </c>
      <c r="F4" s="404" t="s">
        <v>829</v>
      </c>
      <c r="G4" s="404">
        <v>22.5</v>
      </c>
      <c r="H4" s="404">
        <v>877.9965</v>
      </c>
      <c r="I4" s="404">
        <v>0.999961</v>
      </c>
      <c r="J4" s="404">
        <v>0.465369</v>
      </c>
      <c r="K4" s="406">
        <v>2061.2</v>
      </c>
      <c r="L4" s="407"/>
      <c r="M4" s="408" t="str">
        <f t="shared" si="1"/>
        <v>#VALUE!</v>
      </c>
      <c r="N4" s="409" t="str">
        <f t="shared" si="2"/>
        <v>#VALUE!</v>
      </c>
      <c r="O4" s="410" t="s">
        <v>12</v>
      </c>
      <c r="P4" s="411" t="s">
        <v>13</v>
      </c>
      <c r="Q4" s="412"/>
      <c r="R4" s="413"/>
      <c r="S4" s="413"/>
      <c r="T4" s="413"/>
      <c r="U4" s="413"/>
      <c r="V4" s="413"/>
      <c r="W4" s="413"/>
      <c r="X4" s="83"/>
      <c r="Y4" s="83"/>
      <c r="Z4" s="83"/>
      <c r="AA4" s="83"/>
      <c r="AB4" s="83"/>
      <c r="AC4" s="83"/>
      <c r="AD4" s="83"/>
    </row>
    <row r="5">
      <c r="A5" s="404" t="s">
        <v>832</v>
      </c>
      <c r="B5" s="404" t="s">
        <v>833</v>
      </c>
      <c r="C5" s="405">
        <v>45541.44236111111</v>
      </c>
      <c r="D5" s="404">
        <v>20.0</v>
      </c>
      <c r="E5" s="404">
        <v>0.088582</v>
      </c>
      <c r="F5" s="404">
        <v>33.2</v>
      </c>
      <c r="G5" s="404">
        <v>22.5</v>
      </c>
      <c r="H5" s="404">
        <v>757.1508</v>
      </c>
      <c r="I5" s="404">
        <v>0.999739</v>
      </c>
      <c r="J5" s="404">
        <v>0.511992</v>
      </c>
      <c r="K5" s="406">
        <v>2267.7</v>
      </c>
      <c r="L5" s="415"/>
      <c r="M5" s="408">
        <f t="shared" si="1"/>
        <v>1.02271245</v>
      </c>
      <c r="N5" s="409">
        <f t="shared" si="2"/>
        <v>2217.338803</v>
      </c>
      <c r="O5" s="410" t="s">
        <v>12</v>
      </c>
      <c r="P5" s="411" t="s">
        <v>13</v>
      </c>
      <c r="Q5" s="412"/>
      <c r="R5" s="413"/>
      <c r="S5" s="413"/>
      <c r="T5" s="413"/>
      <c r="U5" s="413"/>
      <c r="V5" s="413"/>
      <c r="W5" s="413"/>
      <c r="X5" s="83"/>
      <c r="Y5" s="83"/>
      <c r="Z5" s="83"/>
      <c r="AA5" s="83"/>
      <c r="AB5" s="83"/>
      <c r="AC5" s="83"/>
      <c r="AD5" s="83"/>
    </row>
    <row r="6">
      <c r="A6" s="404" t="s">
        <v>834</v>
      </c>
      <c r="B6" s="404" t="s">
        <v>518</v>
      </c>
      <c r="C6" s="405">
        <v>45541.45486111111</v>
      </c>
      <c r="D6" s="404">
        <v>20.0</v>
      </c>
      <c r="E6" s="404">
        <v>0.088582</v>
      </c>
      <c r="F6" s="404">
        <v>33.2</v>
      </c>
      <c r="G6" s="404">
        <v>22.5</v>
      </c>
      <c r="H6" s="404">
        <v>754.9922</v>
      </c>
      <c r="I6" s="404">
        <v>0.999749</v>
      </c>
      <c r="J6" s="404">
        <v>0.508968</v>
      </c>
      <c r="K6" s="406">
        <v>2254.3</v>
      </c>
      <c r="L6" s="415"/>
      <c r="M6" s="408">
        <f t="shared" si="1"/>
        <v>1.02271245</v>
      </c>
      <c r="N6" s="409">
        <f t="shared" si="2"/>
        <v>2204.236391</v>
      </c>
      <c r="O6" s="410" t="s">
        <v>12</v>
      </c>
      <c r="P6" s="411" t="s">
        <v>13</v>
      </c>
      <c r="Q6" s="412"/>
      <c r="R6" s="413"/>
      <c r="S6" s="413"/>
      <c r="T6" s="413"/>
      <c r="U6" s="413"/>
      <c r="V6" s="413"/>
      <c r="W6" s="413"/>
      <c r="X6" s="83"/>
      <c r="Y6" s="83"/>
      <c r="Z6" s="83"/>
      <c r="AA6" s="83"/>
      <c r="AB6" s="83"/>
      <c r="AC6" s="83"/>
      <c r="AD6" s="83"/>
    </row>
    <row r="7">
      <c r="A7" s="404" t="s">
        <v>835</v>
      </c>
      <c r="B7" s="404" t="s">
        <v>518</v>
      </c>
      <c r="C7" s="405">
        <v>45541.464583333334</v>
      </c>
      <c r="D7" s="404">
        <v>20.0</v>
      </c>
      <c r="E7" s="404">
        <v>0.088582</v>
      </c>
      <c r="F7" s="404">
        <v>33.2</v>
      </c>
      <c r="G7" s="404">
        <v>22.5</v>
      </c>
      <c r="H7" s="404">
        <v>749.1159</v>
      </c>
      <c r="I7" s="404">
        <v>0.999705</v>
      </c>
      <c r="J7" s="404">
        <v>0.507871</v>
      </c>
      <c r="K7" s="406">
        <v>2249.4</v>
      </c>
      <c r="L7" s="414">
        <v>3.435</v>
      </c>
      <c r="M7" s="408">
        <f t="shared" si="1"/>
        <v>1.02271245</v>
      </c>
      <c r="N7" s="409">
        <f t="shared" si="2"/>
        <v>2199.44521</v>
      </c>
      <c r="O7" s="410" t="s">
        <v>12</v>
      </c>
      <c r="P7" s="411" t="s">
        <v>13</v>
      </c>
      <c r="Q7" s="412"/>
      <c r="R7" s="413"/>
      <c r="S7" s="413"/>
      <c r="T7" s="413"/>
      <c r="U7" s="413"/>
      <c r="V7" s="413"/>
      <c r="W7" s="413"/>
      <c r="X7" s="83"/>
      <c r="Y7" s="83"/>
      <c r="Z7" s="83"/>
      <c r="AA7" s="83"/>
      <c r="AB7" s="83"/>
      <c r="AC7" s="83"/>
      <c r="AD7" s="83"/>
    </row>
    <row r="8">
      <c r="A8" s="404" t="s">
        <v>836</v>
      </c>
      <c r="B8" s="404" t="s">
        <v>518</v>
      </c>
      <c r="C8" s="405">
        <v>45541.481944444444</v>
      </c>
      <c r="D8" s="404">
        <v>20.0</v>
      </c>
      <c r="E8" s="404">
        <v>0.088582</v>
      </c>
      <c r="F8" s="404">
        <v>33.2</v>
      </c>
      <c r="G8" s="404">
        <v>22.5</v>
      </c>
      <c r="H8" s="404">
        <v>756.2126</v>
      </c>
      <c r="I8" s="404">
        <v>0.999775</v>
      </c>
      <c r="J8" s="404">
        <v>0.507824</v>
      </c>
      <c r="K8" s="406">
        <v>2249.2</v>
      </c>
      <c r="L8" s="414">
        <v>0.1478</v>
      </c>
      <c r="M8" s="408">
        <f t="shared" si="1"/>
        <v>1.02271245</v>
      </c>
      <c r="N8" s="409">
        <f t="shared" si="2"/>
        <v>2199.249652</v>
      </c>
      <c r="O8" s="410" t="s">
        <v>12</v>
      </c>
      <c r="P8" s="411" t="s">
        <v>13</v>
      </c>
      <c r="Q8" s="412"/>
      <c r="R8" s="413"/>
      <c r="S8" s="413"/>
      <c r="T8" s="413"/>
      <c r="U8" s="413"/>
      <c r="V8" s="413"/>
      <c r="W8" s="413"/>
      <c r="X8" s="83"/>
      <c r="Y8" s="83"/>
      <c r="Z8" s="83"/>
      <c r="AA8" s="83"/>
      <c r="AB8" s="83"/>
      <c r="AC8" s="83"/>
      <c r="AD8" s="83"/>
    </row>
    <row r="9">
      <c r="A9" s="404" t="s">
        <v>837</v>
      </c>
      <c r="B9" s="404" t="s">
        <v>518</v>
      </c>
      <c r="C9" s="405">
        <v>45541.48819444444</v>
      </c>
      <c r="D9" s="404">
        <v>20.0</v>
      </c>
      <c r="E9" s="404">
        <v>0.08651</v>
      </c>
      <c r="F9" s="404">
        <v>33.2</v>
      </c>
      <c r="G9" s="404">
        <v>22.5</v>
      </c>
      <c r="H9" s="404">
        <v>756.0693</v>
      </c>
      <c r="I9" s="404">
        <v>0.999784</v>
      </c>
      <c r="J9" s="404">
        <v>0.509465</v>
      </c>
      <c r="K9" s="406">
        <v>2203.7</v>
      </c>
      <c r="L9" s="414" t="s">
        <v>519</v>
      </c>
      <c r="M9" s="408">
        <f t="shared" si="1"/>
        <v>1.02271245</v>
      </c>
      <c r="N9" s="409">
        <f t="shared" si="2"/>
        <v>2154.760118</v>
      </c>
      <c r="O9" s="410" t="s">
        <v>12</v>
      </c>
      <c r="P9" s="411" t="s">
        <v>13</v>
      </c>
      <c r="Q9" s="416" t="s">
        <v>838</v>
      </c>
      <c r="R9" s="417"/>
      <c r="S9" s="413"/>
      <c r="T9" s="413"/>
      <c r="U9" s="413"/>
      <c r="V9" s="413"/>
      <c r="W9" s="413"/>
      <c r="X9" s="83"/>
      <c r="Y9" s="83"/>
      <c r="Z9" s="83"/>
      <c r="AA9" s="83"/>
      <c r="AB9" s="83"/>
      <c r="AC9" s="83"/>
      <c r="AD9" s="83"/>
    </row>
    <row r="10">
      <c r="A10" s="404" t="s">
        <v>839</v>
      </c>
      <c r="B10" s="404" t="s">
        <v>518</v>
      </c>
      <c r="C10" s="405">
        <v>45541.50069444445</v>
      </c>
      <c r="D10" s="404">
        <v>20.0</v>
      </c>
      <c r="E10" s="404">
        <v>0.086616</v>
      </c>
      <c r="F10" s="404">
        <v>33.2</v>
      </c>
      <c r="G10" s="404">
        <v>22.5</v>
      </c>
      <c r="H10" s="404">
        <v>754.4071</v>
      </c>
      <c r="I10" s="404">
        <v>0.999782</v>
      </c>
      <c r="J10" s="404">
        <v>0.508841</v>
      </c>
      <c r="K10" s="406">
        <v>2203.7</v>
      </c>
      <c r="L10" s="418">
        <v>0.0</v>
      </c>
      <c r="M10" s="408">
        <f t="shared" si="1"/>
        <v>1.02271245</v>
      </c>
      <c r="N10" s="409">
        <f t="shared" si="2"/>
        <v>2154.760118</v>
      </c>
      <c r="O10" s="410" t="s">
        <v>12</v>
      </c>
      <c r="P10" s="411" t="s">
        <v>13</v>
      </c>
      <c r="Q10" s="416" t="s">
        <v>838</v>
      </c>
      <c r="R10" s="417"/>
      <c r="S10" s="413"/>
      <c r="T10" s="413"/>
      <c r="U10" s="413"/>
      <c r="V10" s="413"/>
      <c r="W10" s="413"/>
      <c r="X10" s="83"/>
      <c r="Y10" s="83"/>
      <c r="Z10" s="83"/>
      <c r="AA10" s="83"/>
      <c r="AB10" s="83"/>
      <c r="AC10" s="83"/>
      <c r="AD10" s="83"/>
    </row>
    <row r="11">
      <c r="A11" s="404" t="s">
        <v>840</v>
      </c>
      <c r="B11" s="404" t="s">
        <v>518</v>
      </c>
      <c r="C11" s="405">
        <v>45541.51111111111</v>
      </c>
      <c r="D11" s="404">
        <v>20.0</v>
      </c>
      <c r="E11" s="404">
        <v>0.08662</v>
      </c>
      <c r="F11" s="404">
        <v>33.2</v>
      </c>
      <c r="G11" s="404">
        <v>22.5</v>
      </c>
      <c r="H11" s="404">
        <v>752.0962</v>
      </c>
      <c r="I11" s="404">
        <v>0.999754</v>
      </c>
      <c r="J11" s="404">
        <v>0.508818</v>
      </c>
      <c r="K11" s="406">
        <v>2203.7</v>
      </c>
      <c r="L11" s="418">
        <v>0.0</v>
      </c>
      <c r="M11" s="408">
        <f t="shared" si="1"/>
        <v>1.02271245</v>
      </c>
      <c r="N11" s="409">
        <f t="shared" si="2"/>
        <v>2154.760118</v>
      </c>
      <c r="O11" s="410" t="s">
        <v>12</v>
      </c>
      <c r="P11" s="411" t="s">
        <v>13</v>
      </c>
      <c r="Q11" s="416" t="s">
        <v>838</v>
      </c>
      <c r="R11" s="417"/>
      <c r="S11" s="413"/>
      <c r="T11" s="413"/>
      <c r="U11" s="413"/>
      <c r="V11" s="413"/>
      <c r="W11" s="413"/>
      <c r="X11" s="83"/>
      <c r="Y11" s="83"/>
      <c r="Z11" s="83"/>
      <c r="AA11" s="83"/>
      <c r="AB11" s="83"/>
      <c r="AC11" s="83"/>
      <c r="AD11" s="83"/>
    </row>
    <row r="12">
      <c r="A12" s="404" t="s">
        <v>841</v>
      </c>
      <c r="B12" s="404" t="s">
        <v>518</v>
      </c>
      <c r="C12" s="405">
        <v>45541.54583333333</v>
      </c>
      <c r="D12" s="404">
        <v>20.0</v>
      </c>
      <c r="E12" s="404">
        <v>0.086618</v>
      </c>
      <c r="F12" s="404">
        <v>33.2</v>
      </c>
      <c r="G12" s="404">
        <v>22.5</v>
      </c>
      <c r="H12" s="404">
        <v>753.827</v>
      </c>
      <c r="I12" s="404">
        <v>0.999796</v>
      </c>
      <c r="J12" s="404">
        <v>0.510097</v>
      </c>
      <c r="K12" s="406">
        <v>2209.2</v>
      </c>
      <c r="L12" s="407"/>
      <c r="M12" s="408">
        <f t="shared" si="1"/>
        <v>1.02271245</v>
      </c>
      <c r="N12" s="409">
        <f t="shared" si="2"/>
        <v>2160.137974</v>
      </c>
      <c r="O12" s="410" t="s">
        <v>12</v>
      </c>
      <c r="P12" s="411" t="s">
        <v>13</v>
      </c>
      <c r="Q12" s="409"/>
      <c r="R12" s="419"/>
      <c r="S12" s="413"/>
      <c r="T12" s="413"/>
      <c r="U12" s="413"/>
      <c r="V12" s="413"/>
      <c r="W12" s="413"/>
      <c r="X12" s="83"/>
      <c r="Y12" s="83"/>
      <c r="Z12" s="83"/>
      <c r="AA12" s="83"/>
      <c r="AB12" s="83"/>
      <c r="AC12" s="83"/>
      <c r="AD12" s="83"/>
    </row>
    <row r="13">
      <c r="A13" s="404" t="s">
        <v>842</v>
      </c>
      <c r="B13" s="404" t="s">
        <v>518</v>
      </c>
      <c r="C13" s="405">
        <v>45541.555555555555</v>
      </c>
      <c r="D13" s="404">
        <v>20.0</v>
      </c>
      <c r="E13" s="404">
        <v>0.088684</v>
      </c>
      <c r="F13" s="404">
        <v>33.2</v>
      </c>
      <c r="G13" s="404">
        <v>22.5</v>
      </c>
      <c r="H13" s="404">
        <v>748.2057</v>
      </c>
      <c r="I13" s="404">
        <v>0.999766</v>
      </c>
      <c r="J13" s="404">
        <v>0.508207</v>
      </c>
      <c r="K13" s="406">
        <v>2253.5</v>
      </c>
      <c r="L13" s="414" t="s">
        <v>843</v>
      </c>
      <c r="M13" s="408">
        <f t="shared" si="1"/>
        <v>1.02271245</v>
      </c>
      <c r="N13" s="409">
        <f t="shared" si="2"/>
        <v>2203.454157</v>
      </c>
      <c r="O13" s="410" t="s">
        <v>12</v>
      </c>
      <c r="P13" s="411" t="s">
        <v>13</v>
      </c>
      <c r="Q13" s="416" t="s">
        <v>838</v>
      </c>
      <c r="R13" s="417"/>
      <c r="S13" s="413"/>
      <c r="T13" s="413"/>
      <c r="U13" s="413"/>
      <c r="V13" s="413"/>
      <c r="W13" s="413"/>
      <c r="X13" s="83"/>
      <c r="Y13" s="83"/>
      <c r="Z13" s="83"/>
      <c r="AA13" s="83"/>
      <c r="AB13" s="83"/>
      <c r="AC13" s="83"/>
      <c r="AD13" s="83"/>
    </row>
    <row r="14">
      <c r="A14" s="404" t="s">
        <v>844</v>
      </c>
      <c r="B14" s="404" t="s">
        <v>518</v>
      </c>
      <c r="C14" s="405">
        <v>45541.57361111111</v>
      </c>
      <c r="D14" s="404">
        <v>20.0</v>
      </c>
      <c r="E14" s="404">
        <v>0.088837</v>
      </c>
      <c r="F14" s="404">
        <v>33.2</v>
      </c>
      <c r="G14" s="404">
        <v>22.5</v>
      </c>
      <c r="H14" s="404">
        <v>750.5304</v>
      </c>
      <c r="I14" s="404">
        <v>0.999778</v>
      </c>
      <c r="J14" s="404">
        <v>0.507329</v>
      </c>
      <c r="K14" s="406">
        <v>2253.5</v>
      </c>
      <c r="L14" s="414" t="s">
        <v>519</v>
      </c>
      <c r="M14" s="408">
        <f t="shared" si="1"/>
        <v>1.02271245</v>
      </c>
      <c r="N14" s="409">
        <f t="shared" si="2"/>
        <v>2203.454157</v>
      </c>
      <c r="O14" s="410" t="s">
        <v>12</v>
      </c>
      <c r="P14" s="411" t="s">
        <v>13</v>
      </c>
      <c r="Q14" s="416" t="s">
        <v>838</v>
      </c>
      <c r="R14" s="417"/>
      <c r="S14" s="413"/>
      <c r="T14" s="413"/>
      <c r="U14" s="413"/>
      <c r="V14" s="413"/>
      <c r="W14" s="413"/>
      <c r="X14" s="83"/>
      <c r="Y14" s="83"/>
      <c r="Z14" s="83"/>
      <c r="AA14" s="83"/>
      <c r="AB14" s="83"/>
      <c r="AC14" s="83"/>
      <c r="AD14" s="83"/>
    </row>
    <row r="15">
      <c r="A15" s="404" t="s">
        <v>845</v>
      </c>
      <c r="B15" s="404" t="s">
        <v>518</v>
      </c>
      <c r="C15" s="405">
        <v>45541.58194444444</v>
      </c>
      <c r="D15" s="404">
        <v>20.0</v>
      </c>
      <c r="E15" s="404">
        <v>0.088555</v>
      </c>
      <c r="F15" s="404">
        <v>33.2</v>
      </c>
      <c r="G15" s="404">
        <v>22.5</v>
      </c>
      <c r="H15" s="404">
        <v>749.8198</v>
      </c>
      <c r="I15" s="404">
        <v>0.999784</v>
      </c>
      <c r="J15" s="404">
        <v>0.508946</v>
      </c>
      <c r="K15" s="406">
        <v>2253.5</v>
      </c>
      <c r="L15" s="414" t="s">
        <v>519</v>
      </c>
      <c r="M15" s="408">
        <f t="shared" si="1"/>
        <v>1.02271245</v>
      </c>
      <c r="N15" s="409">
        <f t="shared" si="2"/>
        <v>2203.454157</v>
      </c>
      <c r="O15" s="410" t="s">
        <v>12</v>
      </c>
      <c r="P15" s="411" t="s">
        <v>13</v>
      </c>
      <c r="Q15" s="416" t="s">
        <v>838</v>
      </c>
      <c r="R15" s="417"/>
      <c r="S15" s="413"/>
      <c r="T15" s="413"/>
      <c r="U15" s="413"/>
      <c r="V15" s="413"/>
      <c r="W15" s="413"/>
      <c r="X15" s="83"/>
      <c r="Y15" s="83"/>
      <c r="Z15" s="83"/>
      <c r="AA15" s="83"/>
      <c r="AB15" s="83"/>
      <c r="AC15" s="83"/>
      <c r="AD15" s="83"/>
    </row>
    <row r="16">
      <c r="A16" s="404" t="s">
        <v>846</v>
      </c>
      <c r="B16" s="404" t="s">
        <v>518</v>
      </c>
      <c r="C16" s="405">
        <v>45541.59097222222</v>
      </c>
      <c r="D16" s="404">
        <v>20.0</v>
      </c>
      <c r="E16" s="404">
        <v>0.088969</v>
      </c>
      <c r="F16" s="404">
        <v>33.2</v>
      </c>
      <c r="G16" s="404">
        <v>22.5</v>
      </c>
      <c r="H16" s="404">
        <v>751.055</v>
      </c>
      <c r="I16" s="404">
        <v>0.999768</v>
      </c>
      <c r="J16" s="404">
        <v>0.506577</v>
      </c>
      <c r="K16" s="406">
        <v>2253.5</v>
      </c>
      <c r="L16" s="414" t="s">
        <v>519</v>
      </c>
      <c r="M16" s="408">
        <f t="shared" si="1"/>
        <v>1.02271245</v>
      </c>
      <c r="N16" s="409">
        <f t="shared" si="2"/>
        <v>2203.454157</v>
      </c>
      <c r="O16" s="410" t="s">
        <v>12</v>
      </c>
      <c r="P16" s="411" t="s">
        <v>13</v>
      </c>
      <c r="Q16" s="416" t="s">
        <v>838</v>
      </c>
      <c r="R16" s="417"/>
      <c r="S16" s="413"/>
      <c r="T16" s="413"/>
      <c r="U16" s="413"/>
      <c r="V16" s="413"/>
      <c r="W16" s="413"/>
      <c r="X16" s="83"/>
      <c r="Y16" s="83"/>
      <c r="Z16" s="83"/>
      <c r="AA16" s="83"/>
      <c r="AB16" s="83"/>
      <c r="AC16" s="83"/>
      <c r="AD16" s="83"/>
    </row>
    <row r="17">
      <c r="A17" s="404" t="s">
        <v>847</v>
      </c>
      <c r="B17" s="404" t="s">
        <v>518</v>
      </c>
      <c r="C17" s="405">
        <v>45541.6</v>
      </c>
      <c r="D17" s="404">
        <v>20.0</v>
      </c>
      <c r="E17" s="404">
        <v>0.088549</v>
      </c>
      <c r="F17" s="404">
        <v>33.2</v>
      </c>
      <c r="G17" s="404">
        <v>22.5</v>
      </c>
      <c r="H17" s="404">
        <v>755.9714</v>
      </c>
      <c r="I17" s="404">
        <v>0.999793</v>
      </c>
      <c r="J17" s="404">
        <v>0.508983</v>
      </c>
      <c r="K17" s="406">
        <v>2253.5</v>
      </c>
      <c r="L17" s="418">
        <v>4.0E-4</v>
      </c>
      <c r="M17" s="408">
        <f t="shared" si="1"/>
        <v>1.02271245</v>
      </c>
      <c r="N17" s="409">
        <f t="shared" si="2"/>
        <v>2203.454157</v>
      </c>
      <c r="O17" s="410" t="s">
        <v>12</v>
      </c>
      <c r="P17" s="411" t="s">
        <v>13</v>
      </c>
      <c r="Q17" s="416" t="s">
        <v>838</v>
      </c>
      <c r="R17" s="417"/>
      <c r="S17" s="413"/>
      <c r="T17" s="413"/>
      <c r="U17" s="413"/>
      <c r="V17" s="413"/>
      <c r="W17" s="413"/>
      <c r="X17" s="83"/>
      <c r="Y17" s="83"/>
      <c r="Z17" s="83"/>
      <c r="AA17" s="83"/>
      <c r="AB17" s="83"/>
      <c r="AC17" s="83"/>
      <c r="AD17" s="83"/>
    </row>
    <row r="18">
      <c r="A18" s="404" t="s">
        <v>848</v>
      </c>
      <c r="B18" s="404" t="s">
        <v>518</v>
      </c>
      <c r="C18" s="405">
        <v>45541.60833333333</v>
      </c>
      <c r="D18" s="404">
        <v>20.0</v>
      </c>
      <c r="E18" s="404">
        <v>0.088593</v>
      </c>
      <c r="F18" s="404">
        <v>33.2</v>
      </c>
      <c r="G18" s="404">
        <v>22.5</v>
      </c>
      <c r="H18" s="404">
        <v>757.9302</v>
      </c>
      <c r="I18" s="404">
        <v>0.999741</v>
      </c>
      <c r="J18" s="404">
        <v>0.508727</v>
      </c>
      <c r="K18" s="406">
        <v>2253.5</v>
      </c>
      <c r="L18" s="418">
        <v>4.0E-4</v>
      </c>
      <c r="M18" s="408">
        <f t="shared" si="1"/>
        <v>1.02271245</v>
      </c>
      <c r="N18" s="409">
        <f t="shared" si="2"/>
        <v>2203.454157</v>
      </c>
      <c r="O18" s="410" t="s">
        <v>12</v>
      </c>
      <c r="P18" s="411" t="s">
        <v>13</v>
      </c>
      <c r="Q18" s="416" t="s">
        <v>838</v>
      </c>
      <c r="R18" s="417"/>
      <c r="S18" s="413"/>
      <c r="T18" s="413"/>
      <c r="U18" s="413"/>
      <c r="V18" s="413"/>
      <c r="W18" s="413"/>
      <c r="X18" s="83"/>
      <c r="Y18" s="83"/>
      <c r="Z18" s="83"/>
      <c r="AA18" s="83"/>
      <c r="AB18" s="83"/>
      <c r="AC18" s="83"/>
      <c r="AD18" s="83"/>
    </row>
    <row r="19">
      <c r="A19" s="420" t="s">
        <v>849</v>
      </c>
      <c r="B19" s="420" t="s">
        <v>518</v>
      </c>
      <c r="C19" s="421">
        <v>45541.62430555555</v>
      </c>
      <c r="D19" s="420">
        <v>20.0</v>
      </c>
      <c r="E19" s="420">
        <v>0.088571</v>
      </c>
      <c r="F19" s="420">
        <v>33.2</v>
      </c>
      <c r="G19" s="420">
        <v>22.5</v>
      </c>
      <c r="H19" s="420">
        <v>750.5304</v>
      </c>
      <c r="I19" s="420">
        <v>0.999778</v>
      </c>
      <c r="J19" s="420">
        <v>0.507329</v>
      </c>
      <c r="K19" s="422">
        <v>2253.5</v>
      </c>
      <c r="L19" s="414">
        <v>6.0441</v>
      </c>
      <c r="M19" s="408">
        <f t="shared" si="1"/>
        <v>1.02271245</v>
      </c>
      <c r="N19" s="409">
        <f t="shared" si="2"/>
        <v>2203.454157</v>
      </c>
      <c r="O19" s="410" t="s">
        <v>12</v>
      </c>
      <c r="P19" s="411" t="s">
        <v>13</v>
      </c>
      <c r="Q19" s="423"/>
      <c r="R19" s="413"/>
      <c r="S19" s="413"/>
      <c r="T19" s="413"/>
      <c r="U19" s="413"/>
      <c r="V19" s="413"/>
      <c r="W19" s="413"/>
      <c r="X19" s="83"/>
      <c r="Y19" s="83"/>
      <c r="Z19" s="83"/>
      <c r="AA19" s="83"/>
      <c r="AB19" s="83"/>
      <c r="AC19" s="83"/>
      <c r="AD19" s="83"/>
    </row>
    <row r="20">
      <c r="A20" s="404" t="s">
        <v>850</v>
      </c>
      <c r="B20" s="404">
        <v>145.0</v>
      </c>
      <c r="C20" s="405">
        <v>45541.64513888889</v>
      </c>
      <c r="D20" s="404">
        <v>20.0</v>
      </c>
      <c r="E20" s="404">
        <v>0.088571</v>
      </c>
      <c r="F20" s="404">
        <v>36.0</v>
      </c>
      <c r="G20" s="404">
        <v>22.5</v>
      </c>
      <c r="H20" s="404">
        <v>756.4524</v>
      </c>
      <c r="I20" s="404">
        <v>0.999755</v>
      </c>
      <c r="J20" s="404">
        <v>0.53399</v>
      </c>
      <c r="K20" s="406">
        <v>2364.8</v>
      </c>
      <c r="L20" s="407"/>
      <c r="M20" s="408">
        <f t="shared" si="1"/>
        <v>1.024837628</v>
      </c>
      <c r="N20" s="409">
        <f t="shared" si="2"/>
        <v>2307.487483</v>
      </c>
      <c r="O20" s="410" t="s">
        <v>12</v>
      </c>
      <c r="P20" s="411" t="s">
        <v>13</v>
      </c>
      <c r="Q20" s="423"/>
      <c r="R20" s="413"/>
      <c r="S20" s="413"/>
      <c r="T20" s="413"/>
      <c r="U20" s="413"/>
      <c r="V20" s="413"/>
      <c r="W20" s="413"/>
      <c r="X20" s="83"/>
      <c r="Y20" s="83"/>
      <c r="Z20" s="83"/>
      <c r="AA20" s="83"/>
      <c r="AB20" s="83"/>
      <c r="AC20" s="83"/>
      <c r="AD20" s="83"/>
    </row>
    <row r="21">
      <c r="A21" s="404" t="s">
        <v>851</v>
      </c>
      <c r="B21" s="404">
        <v>144.0</v>
      </c>
      <c r="C21" s="405">
        <v>45541.66736111111</v>
      </c>
      <c r="D21" s="404">
        <v>20.0</v>
      </c>
      <c r="E21" s="404">
        <v>0.088571</v>
      </c>
      <c r="F21" s="404">
        <v>36.0</v>
      </c>
      <c r="G21" s="404">
        <v>22.5</v>
      </c>
      <c r="H21" s="404">
        <v>754.4751</v>
      </c>
      <c r="I21" s="404">
        <v>0.999763</v>
      </c>
      <c r="J21" s="404">
        <v>0.53288</v>
      </c>
      <c r="K21" s="406">
        <v>2359.9</v>
      </c>
      <c r="L21" s="407"/>
      <c r="M21" s="408">
        <f t="shared" si="1"/>
        <v>1.024837628</v>
      </c>
      <c r="N21" s="409">
        <f t="shared" si="2"/>
        <v>2302.706238</v>
      </c>
      <c r="O21" s="410" t="s">
        <v>12</v>
      </c>
      <c r="P21" s="411" t="s">
        <v>13</v>
      </c>
      <c r="Q21" s="423"/>
      <c r="R21" s="413"/>
      <c r="S21" s="413"/>
      <c r="T21" s="413"/>
      <c r="U21" s="413"/>
      <c r="V21" s="413"/>
      <c r="W21" s="413"/>
      <c r="X21" s="83"/>
      <c r="Y21" s="83"/>
      <c r="Z21" s="83"/>
      <c r="AA21" s="83"/>
      <c r="AB21" s="83"/>
      <c r="AC21" s="83"/>
      <c r="AD21" s="83"/>
    </row>
    <row r="22">
      <c r="A22" s="404" t="s">
        <v>852</v>
      </c>
      <c r="B22" s="404">
        <v>118.0</v>
      </c>
      <c r="C22" s="405">
        <v>45541.677083333336</v>
      </c>
      <c r="D22" s="404">
        <v>20.0</v>
      </c>
      <c r="E22" s="404">
        <v>0.088571</v>
      </c>
      <c r="F22" s="404">
        <v>35.8</v>
      </c>
      <c r="G22" s="404">
        <v>22.5</v>
      </c>
      <c r="H22" s="404">
        <v>762.5808</v>
      </c>
      <c r="I22" s="404">
        <v>0.999788</v>
      </c>
      <c r="J22" s="404">
        <v>0.531016</v>
      </c>
      <c r="K22" s="406">
        <v>2351.6</v>
      </c>
      <c r="L22" s="407"/>
      <c r="M22" s="408">
        <f t="shared" si="1"/>
        <v>1.024685719</v>
      </c>
      <c r="N22" s="409">
        <f t="shared" si="2"/>
        <v>2294.947569</v>
      </c>
      <c r="O22" s="410" t="s">
        <v>12</v>
      </c>
      <c r="P22" s="411" t="s">
        <v>13</v>
      </c>
      <c r="Q22" s="423"/>
      <c r="R22" s="413"/>
      <c r="S22" s="413"/>
      <c r="T22" s="413"/>
      <c r="U22" s="413"/>
      <c r="V22" s="413"/>
      <c r="W22" s="413"/>
      <c r="X22" s="83"/>
      <c r="Y22" s="83"/>
      <c r="Z22" s="83"/>
      <c r="AA22" s="83"/>
      <c r="AB22" s="83"/>
      <c r="AC22" s="83"/>
      <c r="AD22" s="83"/>
    </row>
    <row r="23">
      <c r="A23" s="404" t="s">
        <v>853</v>
      </c>
      <c r="B23" s="404">
        <v>119.0</v>
      </c>
      <c r="C23" s="405">
        <v>45541.683333333334</v>
      </c>
      <c r="D23" s="404">
        <v>20.0</v>
      </c>
      <c r="E23" s="404">
        <v>0.088571</v>
      </c>
      <c r="F23" s="404">
        <v>35.8</v>
      </c>
      <c r="G23" s="404">
        <v>22.5</v>
      </c>
      <c r="H23" s="404">
        <v>752.8655</v>
      </c>
      <c r="I23" s="404">
        <v>0.999769</v>
      </c>
      <c r="J23" s="404">
        <v>0.528562</v>
      </c>
      <c r="K23" s="406">
        <v>2340.8</v>
      </c>
      <c r="L23" s="407"/>
      <c r="M23" s="408">
        <f t="shared" si="1"/>
        <v>1.024685719</v>
      </c>
      <c r="N23" s="409">
        <f t="shared" si="2"/>
        <v>2284.407752</v>
      </c>
      <c r="O23" s="410" t="s">
        <v>12</v>
      </c>
      <c r="P23" s="411" t="s">
        <v>13</v>
      </c>
      <c r="Q23" s="423"/>
      <c r="R23" s="413"/>
      <c r="S23" s="413"/>
      <c r="T23" s="413"/>
      <c r="U23" s="413"/>
      <c r="V23" s="413"/>
      <c r="W23" s="413"/>
      <c r="X23" s="83"/>
      <c r="Y23" s="83"/>
      <c r="Z23" s="83"/>
      <c r="AA23" s="83"/>
      <c r="AB23" s="83"/>
      <c r="AC23" s="83"/>
      <c r="AD23" s="83"/>
    </row>
    <row r="24">
      <c r="A24" s="404" t="s">
        <v>854</v>
      </c>
      <c r="B24" s="404">
        <v>106.0</v>
      </c>
      <c r="C24" s="405">
        <v>45541.705555555556</v>
      </c>
      <c r="D24" s="404">
        <v>20.0</v>
      </c>
      <c r="E24" s="404">
        <v>0.088571</v>
      </c>
      <c r="F24" s="404">
        <v>35.9</v>
      </c>
      <c r="G24" s="404">
        <v>22.5</v>
      </c>
      <c r="H24" s="404">
        <v>755.0007</v>
      </c>
      <c r="I24" s="404">
        <v>0.999746</v>
      </c>
      <c r="J24" s="404">
        <v>0.531243</v>
      </c>
      <c r="K24" s="406">
        <v>2352.6</v>
      </c>
      <c r="L24" s="407"/>
      <c r="M24" s="408">
        <f t="shared" si="1"/>
        <v>1.024761672</v>
      </c>
      <c r="N24" s="409">
        <f t="shared" si="2"/>
        <v>2295.75331</v>
      </c>
      <c r="O24" s="410" t="s">
        <v>12</v>
      </c>
      <c r="P24" s="411" t="s">
        <v>13</v>
      </c>
      <c r="Q24" s="423"/>
      <c r="R24" s="413"/>
      <c r="S24" s="413"/>
      <c r="T24" s="413"/>
      <c r="U24" s="413"/>
      <c r="V24" s="413"/>
      <c r="W24" s="413"/>
      <c r="X24" s="83"/>
      <c r="Y24" s="83"/>
      <c r="Z24" s="83"/>
      <c r="AA24" s="83"/>
      <c r="AB24" s="83"/>
      <c r="AC24" s="83"/>
      <c r="AD24" s="83"/>
    </row>
    <row r="25">
      <c r="A25" s="404" t="s">
        <v>855</v>
      </c>
      <c r="B25" s="404">
        <v>105.0</v>
      </c>
      <c r="C25" s="405">
        <v>45541.71111111111</v>
      </c>
      <c r="D25" s="404">
        <v>20.0</v>
      </c>
      <c r="E25" s="404">
        <v>0.088571</v>
      </c>
      <c r="F25" s="404">
        <v>35.8</v>
      </c>
      <c r="G25" s="404">
        <v>22.5</v>
      </c>
      <c r="H25" s="404">
        <v>754.2044</v>
      </c>
      <c r="I25" s="404">
        <v>0.999803</v>
      </c>
      <c r="J25" s="404">
        <v>0.531342</v>
      </c>
      <c r="K25" s="406">
        <v>2353.1</v>
      </c>
      <c r="L25" s="407"/>
      <c r="M25" s="408">
        <f t="shared" si="1"/>
        <v>1.024685719</v>
      </c>
      <c r="N25" s="409">
        <f t="shared" si="2"/>
        <v>2296.411432</v>
      </c>
      <c r="O25" s="410" t="s">
        <v>12</v>
      </c>
      <c r="P25" s="411" t="s">
        <v>13</v>
      </c>
      <c r="Q25" s="423"/>
      <c r="R25" s="413"/>
      <c r="S25" s="413"/>
      <c r="T25" s="413"/>
      <c r="U25" s="413"/>
      <c r="V25" s="413"/>
      <c r="W25" s="413"/>
      <c r="X25" s="83"/>
      <c r="Y25" s="83"/>
      <c r="Z25" s="83"/>
      <c r="AA25" s="83"/>
      <c r="AB25" s="83"/>
      <c r="AC25" s="83"/>
      <c r="AD25" s="83"/>
    </row>
    <row r="26">
      <c r="A26" s="404" t="s">
        <v>856</v>
      </c>
      <c r="B26" s="404">
        <v>131.0</v>
      </c>
      <c r="C26" s="405">
        <v>45541.71944444445</v>
      </c>
      <c r="D26" s="404">
        <v>20.0</v>
      </c>
      <c r="E26" s="404">
        <v>0.088571</v>
      </c>
      <c r="F26" s="404">
        <v>35.9</v>
      </c>
      <c r="G26" s="404">
        <v>22.5</v>
      </c>
      <c r="H26" s="404">
        <v>760.4818</v>
      </c>
      <c r="I26" s="404">
        <v>0.999777</v>
      </c>
      <c r="J26" s="404">
        <v>0.534817</v>
      </c>
      <c r="K26" s="406">
        <v>2368.5</v>
      </c>
      <c r="L26" s="407"/>
      <c r="M26" s="408">
        <f t="shared" si="1"/>
        <v>1.024761672</v>
      </c>
      <c r="N26" s="409">
        <f t="shared" si="2"/>
        <v>2311.269113</v>
      </c>
      <c r="O26" s="410" t="s">
        <v>12</v>
      </c>
      <c r="P26" s="411" t="s">
        <v>13</v>
      </c>
      <c r="Q26" s="423"/>
      <c r="R26" s="413"/>
      <c r="S26" s="413"/>
      <c r="T26" s="413"/>
      <c r="U26" s="413"/>
      <c r="V26" s="413"/>
      <c r="W26" s="413"/>
      <c r="X26" s="83"/>
      <c r="Y26" s="83"/>
      <c r="Z26" s="83"/>
      <c r="AA26" s="83"/>
      <c r="AB26" s="83"/>
      <c r="AC26" s="83"/>
      <c r="AD26" s="83"/>
    </row>
    <row r="27">
      <c r="A27" s="404" t="s">
        <v>857</v>
      </c>
      <c r="B27" s="404">
        <v>132.0</v>
      </c>
      <c r="C27" s="405">
        <v>45541.72638888889</v>
      </c>
      <c r="D27" s="404">
        <v>20.0</v>
      </c>
      <c r="E27" s="404">
        <v>0.088571</v>
      </c>
      <c r="F27" s="404">
        <v>36.0</v>
      </c>
      <c r="G27" s="404">
        <v>22.5</v>
      </c>
      <c r="H27" s="404">
        <v>762.2894</v>
      </c>
      <c r="I27" s="404">
        <v>0.999757</v>
      </c>
      <c r="J27" s="404">
        <v>0.533867</v>
      </c>
      <c r="K27" s="406">
        <v>2364.3</v>
      </c>
      <c r="L27" s="407"/>
      <c r="M27" s="408">
        <f t="shared" si="1"/>
        <v>1.024837628</v>
      </c>
      <c r="N27" s="409">
        <f t="shared" si="2"/>
        <v>2306.999601</v>
      </c>
      <c r="O27" s="410" t="s">
        <v>12</v>
      </c>
      <c r="P27" s="411" t="s">
        <v>13</v>
      </c>
      <c r="Q27" s="423"/>
      <c r="R27" s="413"/>
      <c r="S27" s="413"/>
      <c r="T27" s="413"/>
      <c r="U27" s="413"/>
      <c r="V27" s="413"/>
      <c r="W27" s="413"/>
      <c r="X27" s="83"/>
      <c r="Y27" s="83"/>
      <c r="Z27" s="83"/>
      <c r="AA27" s="83"/>
      <c r="AB27" s="83"/>
      <c r="AC27" s="83"/>
      <c r="AD27" s="83"/>
    </row>
    <row r="28">
      <c r="A28" s="404" t="s">
        <v>858</v>
      </c>
      <c r="B28" s="404">
        <v>66.0</v>
      </c>
      <c r="C28" s="405">
        <v>45541.73472222222</v>
      </c>
      <c r="D28" s="404">
        <v>20.0</v>
      </c>
      <c r="E28" s="404">
        <v>0.088571</v>
      </c>
      <c r="F28" s="404">
        <v>35.9</v>
      </c>
      <c r="G28" s="404">
        <v>22.5</v>
      </c>
      <c r="H28" s="404">
        <v>750.6016</v>
      </c>
      <c r="I28" s="404">
        <v>0.999793</v>
      </c>
      <c r="J28" s="404">
        <v>0.535493</v>
      </c>
      <c r="K28" s="406">
        <v>2371.5</v>
      </c>
      <c r="L28" s="407"/>
      <c r="M28" s="408">
        <f t="shared" si="1"/>
        <v>1.024761672</v>
      </c>
      <c r="N28" s="409">
        <f t="shared" si="2"/>
        <v>2314.196623</v>
      </c>
      <c r="O28" s="410" t="s">
        <v>12</v>
      </c>
      <c r="P28" s="411" t="s">
        <v>13</v>
      </c>
      <c r="Q28" s="423"/>
      <c r="R28" s="413"/>
      <c r="S28" s="413"/>
      <c r="T28" s="413"/>
      <c r="U28" s="413"/>
      <c r="V28" s="413"/>
      <c r="W28" s="413"/>
      <c r="X28" s="83"/>
      <c r="Y28" s="83"/>
      <c r="Z28" s="83"/>
      <c r="AA28" s="83"/>
      <c r="AB28" s="83"/>
      <c r="AC28" s="83"/>
      <c r="AD28" s="83"/>
    </row>
    <row r="29">
      <c r="A29" s="404" t="s">
        <v>859</v>
      </c>
      <c r="B29" s="404">
        <v>67.0</v>
      </c>
      <c r="C29" s="405">
        <v>45541.75</v>
      </c>
      <c r="D29" s="404">
        <v>20.0</v>
      </c>
      <c r="E29" s="404">
        <v>0.088571</v>
      </c>
      <c r="F29" s="404">
        <v>36.1</v>
      </c>
      <c r="G29" s="404">
        <v>22.5</v>
      </c>
      <c r="H29" s="404">
        <v>743.0954</v>
      </c>
      <c r="I29" s="404">
        <v>0.999809</v>
      </c>
      <c r="J29" s="404">
        <v>0.534436</v>
      </c>
      <c r="K29" s="406">
        <v>2366.8</v>
      </c>
      <c r="L29" s="407"/>
      <c r="M29" s="408">
        <f t="shared" si="1"/>
        <v>1.024913589</v>
      </c>
      <c r="N29" s="409">
        <f t="shared" si="2"/>
        <v>2309.267849</v>
      </c>
      <c r="O29" s="410" t="s">
        <v>12</v>
      </c>
      <c r="P29" s="411" t="s">
        <v>13</v>
      </c>
      <c r="Q29" s="423"/>
      <c r="R29" s="413"/>
      <c r="S29" s="413"/>
      <c r="T29" s="413"/>
      <c r="U29" s="413"/>
      <c r="V29" s="413"/>
      <c r="W29" s="413"/>
      <c r="X29" s="83"/>
      <c r="Y29" s="83"/>
      <c r="Z29" s="83"/>
      <c r="AA29" s="83"/>
      <c r="AB29" s="83"/>
      <c r="AC29" s="83"/>
      <c r="AD29" s="83"/>
    </row>
    <row r="30">
      <c r="A30" s="420" t="s">
        <v>860</v>
      </c>
      <c r="B30" s="420" t="s">
        <v>861</v>
      </c>
      <c r="C30" s="421">
        <v>45541.75625</v>
      </c>
      <c r="D30" s="420">
        <v>20.0</v>
      </c>
      <c r="E30" s="420">
        <v>0.088571</v>
      </c>
      <c r="F30" s="420">
        <v>33.2</v>
      </c>
      <c r="G30" s="420">
        <v>22.5</v>
      </c>
      <c r="H30" s="420">
        <v>749.3577</v>
      </c>
      <c r="I30" s="420">
        <v>0.999742</v>
      </c>
      <c r="J30" s="420">
        <v>0.508206</v>
      </c>
      <c r="K30" s="422">
        <v>2250.6</v>
      </c>
      <c r="L30" s="407"/>
      <c r="M30" s="408">
        <f t="shared" si="1"/>
        <v>1.02271245</v>
      </c>
      <c r="N30" s="409">
        <f t="shared" si="2"/>
        <v>2200.61856</v>
      </c>
      <c r="O30" s="410" t="s">
        <v>12</v>
      </c>
      <c r="P30" s="411" t="s">
        <v>13</v>
      </c>
      <c r="Q30" s="423"/>
      <c r="R30" s="413"/>
      <c r="S30" s="413"/>
      <c r="T30" s="413"/>
      <c r="U30" s="413"/>
      <c r="V30" s="413"/>
      <c r="W30" s="413"/>
      <c r="X30" s="83"/>
      <c r="Y30" s="83"/>
      <c r="Z30" s="83"/>
      <c r="AA30" s="83"/>
      <c r="AB30" s="83"/>
      <c r="AC30" s="83"/>
      <c r="AD30" s="83"/>
    </row>
    <row r="31">
      <c r="A31" s="404" t="s">
        <v>862</v>
      </c>
      <c r="B31" s="404">
        <v>92.0</v>
      </c>
      <c r="C31" s="405">
        <v>45541.76458333333</v>
      </c>
      <c r="D31" s="404">
        <v>20.0</v>
      </c>
      <c r="E31" s="404">
        <v>0.088571</v>
      </c>
      <c r="F31" s="404">
        <v>36.0</v>
      </c>
      <c r="G31" s="404">
        <v>22.5</v>
      </c>
      <c r="H31" s="404">
        <v>751.6021</v>
      </c>
      <c r="I31" s="404">
        <v>0.999815</v>
      </c>
      <c r="J31" s="404">
        <v>0.535635</v>
      </c>
      <c r="K31" s="406">
        <v>2372.1</v>
      </c>
      <c r="L31" s="407"/>
      <c r="M31" s="408">
        <f t="shared" si="1"/>
        <v>1.024837628</v>
      </c>
      <c r="N31" s="409">
        <f t="shared" si="2"/>
        <v>2314.610563</v>
      </c>
      <c r="O31" s="410" t="s">
        <v>12</v>
      </c>
      <c r="P31" s="411" t="s">
        <v>13</v>
      </c>
      <c r="Q31" s="423"/>
      <c r="R31" s="413"/>
      <c r="S31" s="413"/>
      <c r="T31" s="413"/>
      <c r="U31" s="413"/>
      <c r="V31" s="413"/>
      <c r="W31" s="413"/>
      <c r="X31" s="83"/>
      <c r="Y31" s="83"/>
      <c r="Z31" s="83"/>
      <c r="AA31" s="83"/>
      <c r="AB31" s="83"/>
      <c r="AC31" s="83"/>
      <c r="AD31" s="83"/>
    </row>
    <row r="32">
      <c r="A32" s="404" t="s">
        <v>863</v>
      </c>
      <c r="B32" s="404">
        <v>93.0</v>
      </c>
      <c r="C32" s="405">
        <v>45541.770833333336</v>
      </c>
      <c r="D32" s="404">
        <v>20.0</v>
      </c>
      <c r="E32" s="404">
        <v>0.088571</v>
      </c>
      <c r="F32" s="404">
        <v>36.3</v>
      </c>
      <c r="G32" s="404">
        <v>22.5</v>
      </c>
      <c r="H32" s="404">
        <v>747.0113</v>
      </c>
      <c r="I32" s="404">
        <v>0.999792</v>
      </c>
      <c r="J32" s="404">
        <v>0.53403</v>
      </c>
      <c r="K32" s="406">
        <v>2365.0</v>
      </c>
      <c r="L32" s="407"/>
      <c r="M32" s="408">
        <f t="shared" si="1"/>
        <v>1.025065525</v>
      </c>
      <c r="N32" s="409">
        <f t="shared" si="2"/>
        <v>2307.169584</v>
      </c>
      <c r="O32" s="410" t="s">
        <v>12</v>
      </c>
      <c r="P32" s="411" t="s">
        <v>13</v>
      </c>
      <c r="Q32" s="412"/>
      <c r="R32" s="413"/>
      <c r="S32" s="413"/>
      <c r="T32" s="413"/>
      <c r="U32" s="413"/>
      <c r="V32" s="413"/>
      <c r="W32" s="413"/>
      <c r="X32" s="83"/>
      <c r="Y32" s="83"/>
      <c r="Z32" s="83"/>
      <c r="AA32" s="83"/>
      <c r="AB32" s="83"/>
      <c r="AC32" s="83"/>
      <c r="AD32" s="83"/>
    </row>
    <row r="33">
      <c r="A33" s="404" t="s">
        <v>864</v>
      </c>
      <c r="B33" s="404">
        <v>183.0</v>
      </c>
      <c r="C33" s="405">
        <v>45541.77847222222</v>
      </c>
      <c r="D33" s="404">
        <v>20.0</v>
      </c>
      <c r="E33" s="404">
        <v>0.088571</v>
      </c>
      <c r="F33" s="404">
        <v>35.8</v>
      </c>
      <c r="G33" s="404">
        <v>22.5</v>
      </c>
      <c r="H33" s="404">
        <v>759.2868</v>
      </c>
      <c r="I33" s="404">
        <v>0.999774</v>
      </c>
      <c r="J33" s="404">
        <v>0.530923</v>
      </c>
      <c r="K33" s="406">
        <v>2351.2</v>
      </c>
      <c r="L33" s="407"/>
      <c r="M33" s="408">
        <f t="shared" si="1"/>
        <v>1.024685719</v>
      </c>
      <c r="N33" s="409">
        <f t="shared" si="2"/>
        <v>2294.557205</v>
      </c>
      <c r="O33" s="410" t="s">
        <v>12</v>
      </c>
      <c r="P33" s="411" t="s">
        <v>13</v>
      </c>
      <c r="Q33" s="412"/>
      <c r="R33" s="413"/>
      <c r="S33" s="83"/>
      <c r="T33" s="83"/>
      <c r="U33" s="83"/>
      <c r="V33" s="83"/>
      <c r="W33" s="83"/>
      <c r="X33" s="83"/>
      <c r="Y33" s="83"/>
      <c r="Z33" s="83"/>
      <c r="AA33" s="83"/>
      <c r="AB33" s="83"/>
      <c r="AC33" s="83"/>
      <c r="AD33" s="83"/>
    </row>
    <row r="34">
      <c r="A34" s="404" t="s">
        <v>865</v>
      </c>
      <c r="B34" s="404">
        <v>184.0</v>
      </c>
      <c r="C34" s="405">
        <v>45541.785416666666</v>
      </c>
      <c r="D34" s="404">
        <v>20.0</v>
      </c>
      <c r="E34" s="404">
        <v>0.088571</v>
      </c>
      <c r="F34" s="404">
        <v>35.9</v>
      </c>
      <c r="G34" s="404">
        <v>22.5</v>
      </c>
      <c r="H34" s="404">
        <v>754.6109</v>
      </c>
      <c r="I34" s="404">
        <v>0.999769</v>
      </c>
      <c r="J34" s="404">
        <v>0.529324</v>
      </c>
      <c r="K34" s="406">
        <v>2344.1</v>
      </c>
      <c r="L34" s="407"/>
      <c r="M34" s="408">
        <f t="shared" si="1"/>
        <v>1.024761672</v>
      </c>
      <c r="N34" s="409">
        <f t="shared" si="2"/>
        <v>2287.458699</v>
      </c>
      <c r="O34" s="410" t="s">
        <v>12</v>
      </c>
      <c r="P34" s="411" t="s">
        <v>13</v>
      </c>
      <c r="Q34" s="412"/>
      <c r="R34" s="413"/>
      <c r="S34" s="83"/>
      <c r="T34" s="83"/>
      <c r="U34" s="83"/>
      <c r="V34" s="83"/>
      <c r="W34" s="83"/>
      <c r="X34" s="83"/>
      <c r="Y34" s="83"/>
      <c r="Z34" s="83"/>
      <c r="AA34" s="83"/>
      <c r="AB34" s="83"/>
      <c r="AC34" s="83"/>
      <c r="AD34" s="83"/>
    </row>
    <row r="35">
      <c r="A35" s="404" t="s">
        <v>866</v>
      </c>
      <c r="B35" s="404">
        <v>170.0</v>
      </c>
      <c r="C35" s="405">
        <v>45541.79305555556</v>
      </c>
      <c r="D35" s="404">
        <v>20.0</v>
      </c>
      <c r="E35" s="404">
        <v>0.088571</v>
      </c>
      <c r="F35" s="404">
        <v>35.7</v>
      </c>
      <c r="G35" s="404">
        <v>22.5</v>
      </c>
      <c r="H35" s="404">
        <v>758.9997</v>
      </c>
      <c r="I35" s="404">
        <v>0.999787</v>
      </c>
      <c r="J35" s="404">
        <v>0.532782</v>
      </c>
      <c r="K35" s="406">
        <v>2359.5</v>
      </c>
      <c r="L35" s="407"/>
      <c r="M35" s="408">
        <f t="shared" si="1"/>
        <v>1.024609771</v>
      </c>
      <c r="N35" s="409">
        <f t="shared" si="2"/>
        <v>2302.827932</v>
      </c>
      <c r="O35" s="410" t="s">
        <v>12</v>
      </c>
      <c r="P35" s="411" t="s">
        <v>13</v>
      </c>
      <c r="Q35" s="412"/>
      <c r="R35" s="413"/>
      <c r="S35" s="83"/>
      <c r="T35" s="83"/>
      <c r="U35" s="83"/>
      <c r="V35" s="83"/>
      <c r="W35" s="83"/>
      <c r="X35" s="83"/>
      <c r="Y35" s="83"/>
      <c r="Z35" s="83"/>
      <c r="AA35" s="83"/>
      <c r="AB35" s="83"/>
      <c r="AC35" s="83"/>
      <c r="AD35" s="83"/>
    </row>
    <row r="36">
      <c r="A36" s="404" t="s">
        <v>867</v>
      </c>
      <c r="B36" s="404">
        <v>171.0</v>
      </c>
      <c r="C36" s="405">
        <v>45541.79861111111</v>
      </c>
      <c r="D36" s="404">
        <v>20.0</v>
      </c>
      <c r="E36" s="404">
        <v>0.088571</v>
      </c>
      <c r="F36" s="404">
        <v>35.8</v>
      </c>
      <c r="G36" s="404">
        <v>22.5</v>
      </c>
      <c r="H36" s="404">
        <v>759.8959</v>
      </c>
      <c r="I36" s="404">
        <v>0.999774</v>
      </c>
      <c r="J36" s="404">
        <v>0.531353</v>
      </c>
      <c r="K36" s="406">
        <v>2353.1</v>
      </c>
      <c r="L36" s="407"/>
      <c r="M36" s="408">
        <f t="shared" si="1"/>
        <v>1.024685719</v>
      </c>
      <c r="N36" s="409">
        <f t="shared" si="2"/>
        <v>2296.411432</v>
      </c>
      <c r="O36" s="410" t="s">
        <v>12</v>
      </c>
      <c r="P36" s="411" t="s">
        <v>13</v>
      </c>
      <c r="Q36" s="412"/>
      <c r="R36" s="413"/>
      <c r="S36" s="83"/>
      <c r="T36" s="83"/>
      <c r="U36" s="83"/>
      <c r="V36" s="83"/>
      <c r="W36" s="83"/>
      <c r="X36" s="83"/>
      <c r="Y36" s="83"/>
      <c r="Z36" s="83"/>
      <c r="AA36" s="83"/>
      <c r="AB36" s="83"/>
      <c r="AC36" s="83"/>
      <c r="AD36" s="83"/>
    </row>
    <row r="37">
      <c r="A37" s="404" t="s">
        <v>868</v>
      </c>
      <c r="B37" s="404">
        <v>1.0</v>
      </c>
      <c r="C37" s="405">
        <v>45541.80486111111</v>
      </c>
      <c r="D37" s="404">
        <v>20.0</v>
      </c>
      <c r="E37" s="404">
        <v>0.088571</v>
      </c>
      <c r="F37" s="404">
        <v>35.9</v>
      </c>
      <c r="G37" s="404">
        <v>22.5</v>
      </c>
      <c r="H37" s="404">
        <v>752.6854</v>
      </c>
      <c r="I37" s="404">
        <v>0.999768</v>
      </c>
      <c r="J37" s="404">
        <v>0.533932</v>
      </c>
      <c r="K37" s="406">
        <v>2364.5</v>
      </c>
      <c r="L37" s="407"/>
      <c r="M37" s="408">
        <f t="shared" si="1"/>
        <v>1.024761672</v>
      </c>
      <c r="N37" s="409">
        <f t="shared" si="2"/>
        <v>2307.365767</v>
      </c>
      <c r="O37" s="410" t="s">
        <v>12</v>
      </c>
      <c r="P37" s="411" t="s">
        <v>13</v>
      </c>
      <c r="Q37" s="412"/>
      <c r="R37" s="413"/>
      <c r="S37" s="83"/>
      <c r="T37" s="83"/>
      <c r="U37" s="83"/>
      <c r="V37" s="83"/>
      <c r="W37" s="83"/>
      <c r="X37" s="83"/>
      <c r="Y37" s="83"/>
      <c r="Z37" s="83"/>
      <c r="AA37" s="83"/>
      <c r="AB37" s="83"/>
      <c r="AC37" s="83"/>
      <c r="AD37" s="83"/>
    </row>
    <row r="38">
      <c r="A38" s="404" t="s">
        <v>869</v>
      </c>
      <c r="B38" s="404">
        <v>2.0</v>
      </c>
      <c r="C38" s="405">
        <v>45541.81319444445</v>
      </c>
      <c r="D38" s="404">
        <v>20.0</v>
      </c>
      <c r="E38" s="404">
        <v>0.088571</v>
      </c>
      <c r="F38" s="404">
        <v>35.3</v>
      </c>
      <c r="G38" s="404">
        <v>22.5</v>
      </c>
      <c r="H38" s="404">
        <v>752.8425</v>
      </c>
      <c r="I38" s="404">
        <v>0.999822</v>
      </c>
      <c r="J38" s="404">
        <v>0.535998</v>
      </c>
      <c r="K38" s="406">
        <v>2373.7</v>
      </c>
      <c r="L38" s="407"/>
      <c r="M38" s="408">
        <f t="shared" si="1"/>
        <v>1.024306022</v>
      </c>
      <c r="N38" s="409">
        <f t="shared" si="2"/>
        <v>2317.373861</v>
      </c>
      <c r="O38" s="410" t="s">
        <v>12</v>
      </c>
      <c r="P38" s="411" t="s">
        <v>13</v>
      </c>
      <c r="Q38" s="412"/>
      <c r="R38" s="41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</row>
    <row r="39">
      <c r="A39" s="404" t="s">
        <v>870</v>
      </c>
      <c r="B39" s="404">
        <v>14.0</v>
      </c>
      <c r="C39" s="405">
        <v>45541.82013888889</v>
      </c>
      <c r="D39" s="404">
        <v>20.0</v>
      </c>
      <c r="E39" s="404">
        <v>0.088571</v>
      </c>
      <c r="F39" s="404">
        <v>36.0</v>
      </c>
      <c r="G39" s="404">
        <v>22.5</v>
      </c>
      <c r="H39" s="404">
        <v>749.803</v>
      </c>
      <c r="I39" s="404">
        <v>0.999776</v>
      </c>
      <c r="J39" s="404">
        <v>0.533526</v>
      </c>
      <c r="K39" s="406">
        <v>2362.7</v>
      </c>
      <c r="L39" s="407"/>
      <c r="M39" s="408">
        <f t="shared" si="1"/>
        <v>1.024837628</v>
      </c>
      <c r="N39" s="409">
        <f t="shared" si="2"/>
        <v>2305.438378</v>
      </c>
      <c r="O39" s="410" t="s">
        <v>12</v>
      </c>
      <c r="P39" s="411" t="s">
        <v>13</v>
      </c>
      <c r="Q39" s="412"/>
      <c r="R39" s="41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</row>
    <row r="40">
      <c r="A40" s="404" t="s">
        <v>871</v>
      </c>
      <c r="B40" s="404">
        <v>15.0</v>
      </c>
      <c r="C40" s="405">
        <v>45541.82638888889</v>
      </c>
      <c r="D40" s="404">
        <v>20.0</v>
      </c>
      <c r="E40" s="404">
        <v>0.088571</v>
      </c>
      <c r="F40" s="404">
        <v>36.3</v>
      </c>
      <c r="G40" s="404">
        <v>22.5</v>
      </c>
      <c r="H40" s="404">
        <v>749.4893</v>
      </c>
      <c r="I40" s="404">
        <v>0.999778</v>
      </c>
      <c r="J40" s="404">
        <v>0.536118</v>
      </c>
      <c r="K40" s="406">
        <v>2374.2</v>
      </c>
      <c r="L40" s="407"/>
      <c r="M40" s="408">
        <f t="shared" si="1"/>
        <v>1.025065525</v>
      </c>
      <c r="N40" s="409">
        <f t="shared" si="2"/>
        <v>2316.14462</v>
      </c>
      <c r="O40" s="410" t="s">
        <v>12</v>
      </c>
      <c r="P40" s="411" t="s">
        <v>13</v>
      </c>
      <c r="Q40" s="412"/>
      <c r="R40" s="413"/>
      <c r="S40" s="83"/>
      <c r="T40" s="83"/>
      <c r="U40" s="83"/>
      <c r="V40" s="83"/>
      <c r="W40" s="83"/>
      <c r="X40" s="83"/>
      <c r="Y40" s="83"/>
      <c r="Z40" s="83"/>
      <c r="AA40" s="83"/>
      <c r="AB40" s="83"/>
      <c r="AC40" s="83"/>
      <c r="AD40" s="83"/>
    </row>
    <row r="41">
      <c r="A41" s="420" t="s">
        <v>872</v>
      </c>
      <c r="B41" s="420" t="s">
        <v>518</v>
      </c>
      <c r="C41" s="421">
        <v>45541.83263888889</v>
      </c>
      <c r="D41" s="420">
        <v>20.0</v>
      </c>
      <c r="E41" s="420">
        <v>0.088571</v>
      </c>
      <c r="F41" s="420">
        <v>33.2</v>
      </c>
      <c r="G41" s="420">
        <v>22.5</v>
      </c>
      <c r="H41" s="420">
        <v>750.0828</v>
      </c>
      <c r="I41" s="420">
        <v>0.999798</v>
      </c>
      <c r="J41" s="420">
        <v>0.507853</v>
      </c>
      <c r="K41" s="422">
        <v>2250.1</v>
      </c>
      <c r="L41" s="407"/>
      <c r="M41" s="408">
        <f t="shared" si="1"/>
        <v>1.02271245</v>
      </c>
      <c r="N41" s="409">
        <f t="shared" si="2"/>
        <v>2200.129664</v>
      </c>
      <c r="O41" s="410" t="s">
        <v>12</v>
      </c>
      <c r="P41" s="411" t="s">
        <v>13</v>
      </c>
      <c r="Q41" s="412"/>
      <c r="R41" s="413"/>
      <c r="S41" s="83"/>
      <c r="T41" s="83"/>
      <c r="U41" s="83"/>
      <c r="V41" s="83"/>
      <c r="W41" s="83"/>
      <c r="X41" s="83"/>
      <c r="Y41" s="83"/>
      <c r="Z41" s="83"/>
      <c r="AA41" s="83"/>
      <c r="AB41" s="83"/>
      <c r="AC41" s="83"/>
      <c r="AD41" s="83"/>
    </row>
    <row r="42">
      <c r="A42" s="404" t="s">
        <v>827</v>
      </c>
      <c r="B42" s="404" t="s">
        <v>873</v>
      </c>
      <c r="C42" s="405">
        <v>45544.35</v>
      </c>
      <c r="D42" s="404">
        <v>20.0</v>
      </c>
      <c r="E42" s="404">
        <v>0.088571</v>
      </c>
      <c r="F42" s="404">
        <v>33.2</v>
      </c>
      <c r="G42" s="404">
        <v>22.5</v>
      </c>
      <c r="H42" s="404">
        <v>740.8999</v>
      </c>
      <c r="I42" s="404">
        <v>0.999782</v>
      </c>
      <c r="J42" s="404">
        <v>0.509094</v>
      </c>
      <c r="K42" s="406">
        <v>2254.5</v>
      </c>
      <c r="L42" s="407"/>
      <c r="M42" s="408">
        <f t="shared" si="1"/>
        <v>1.02271245</v>
      </c>
      <c r="N42" s="409">
        <f t="shared" si="2"/>
        <v>2204.431949</v>
      </c>
      <c r="O42" s="410" t="s">
        <v>12</v>
      </c>
      <c r="P42" s="411" t="s">
        <v>874</v>
      </c>
      <c r="Q42" s="423"/>
      <c r="R42" s="413"/>
      <c r="S42" s="83"/>
      <c r="T42" s="83"/>
      <c r="U42" s="83"/>
      <c r="V42" s="83"/>
      <c r="W42" s="83"/>
      <c r="X42" s="83"/>
      <c r="Y42" s="83"/>
      <c r="Z42" s="83"/>
      <c r="AA42" s="83"/>
      <c r="AB42" s="83"/>
      <c r="AC42" s="83"/>
      <c r="AD42" s="83"/>
    </row>
    <row r="43">
      <c r="A43" s="404" t="s">
        <v>830</v>
      </c>
      <c r="B43" s="404" t="s">
        <v>873</v>
      </c>
      <c r="C43" s="405">
        <v>45544.356944444444</v>
      </c>
      <c r="D43" s="404">
        <v>20.0</v>
      </c>
      <c r="E43" s="404">
        <v>0.088571</v>
      </c>
      <c r="F43" s="404">
        <v>33.2</v>
      </c>
      <c r="G43" s="404">
        <v>22.5</v>
      </c>
      <c r="H43" s="404">
        <v>735.891</v>
      </c>
      <c r="I43" s="404">
        <v>0.999747</v>
      </c>
      <c r="J43" s="404">
        <v>0.510261</v>
      </c>
      <c r="K43" s="406">
        <v>2259.7</v>
      </c>
      <c r="L43" s="414">
        <v>3.6533</v>
      </c>
      <c r="M43" s="408">
        <f t="shared" si="1"/>
        <v>1.02271245</v>
      </c>
      <c r="N43" s="409">
        <f t="shared" si="2"/>
        <v>2209.516467</v>
      </c>
      <c r="O43" s="410" t="s">
        <v>12</v>
      </c>
      <c r="P43" s="411" t="s">
        <v>874</v>
      </c>
      <c r="Q43" s="423"/>
      <c r="R43" s="413"/>
      <c r="S43" s="83"/>
      <c r="T43" s="83"/>
      <c r="U43" s="83"/>
      <c r="V43" s="83"/>
      <c r="W43" s="83"/>
      <c r="X43" s="83"/>
      <c r="Y43" s="83"/>
      <c r="Z43" s="83"/>
      <c r="AA43" s="83"/>
      <c r="AB43" s="83"/>
      <c r="AC43" s="83"/>
      <c r="AD43" s="83"/>
    </row>
    <row r="44">
      <c r="A44" s="404" t="s">
        <v>875</v>
      </c>
      <c r="B44" s="404" t="s">
        <v>873</v>
      </c>
      <c r="C44" s="405">
        <v>45544.365277777775</v>
      </c>
      <c r="D44" s="404">
        <v>20.0</v>
      </c>
      <c r="E44" s="404">
        <v>0.088571</v>
      </c>
      <c r="F44" s="404">
        <v>33.2</v>
      </c>
      <c r="G44" s="404">
        <v>22.5</v>
      </c>
      <c r="H44" s="404">
        <v>739.9358</v>
      </c>
      <c r="I44" s="404">
        <v>0.999723</v>
      </c>
      <c r="J44" s="404">
        <v>0.509347</v>
      </c>
      <c r="K44" s="406">
        <v>2255.7</v>
      </c>
      <c r="L44" s="414">
        <v>2.8616</v>
      </c>
      <c r="M44" s="408">
        <f t="shared" si="1"/>
        <v>1.02271245</v>
      </c>
      <c r="N44" s="409">
        <f t="shared" si="2"/>
        <v>2205.605299</v>
      </c>
      <c r="O44" s="410" t="s">
        <v>12</v>
      </c>
      <c r="P44" s="411" t="s">
        <v>874</v>
      </c>
      <c r="Q44" s="423"/>
      <c r="R44" s="413"/>
      <c r="S44" s="83"/>
      <c r="T44" s="83"/>
      <c r="U44" s="83"/>
      <c r="V44" s="83"/>
      <c r="W44" s="83"/>
      <c r="X44" s="83"/>
      <c r="Y44" s="83"/>
      <c r="Z44" s="83"/>
      <c r="AA44" s="83"/>
      <c r="AB44" s="83"/>
      <c r="AC44" s="83"/>
      <c r="AD44" s="83"/>
    </row>
    <row r="45">
      <c r="A45" s="404" t="s">
        <v>876</v>
      </c>
      <c r="B45" s="404" t="s">
        <v>873</v>
      </c>
      <c r="C45" s="405">
        <v>45544.373611111114</v>
      </c>
      <c r="D45" s="404">
        <v>20.0</v>
      </c>
      <c r="E45" s="404">
        <v>0.088571</v>
      </c>
      <c r="F45" s="404">
        <v>33.2</v>
      </c>
      <c r="G45" s="404">
        <v>22.5</v>
      </c>
      <c r="H45" s="404">
        <v>740.8999</v>
      </c>
      <c r="I45" s="404">
        <v>0.999782</v>
      </c>
      <c r="J45" s="404">
        <v>0.509094</v>
      </c>
      <c r="K45" s="406">
        <v>2254.5</v>
      </c>
      <c r="L45" s="414">
        <v>0.7917</v>
      </c>
      <c r="M45" s="408">
        <f t="shared" si="1"/>
        <v>1.02271245</v>
      </c>
      <c r="N45" s="409">
        <f t="shared" si="2"/>
        <v>2204.431949</v>
      </c>
      <c r="O45" s="410" t="s">
        <v>12</v>
      </c>
      <c r="P45" s="411" t="s">
        <v>874</v>
      </c>
      <c r="Q45" s="423"/>
      <c r="R45" s="413"/>
      <c r="S45" s="83"/>
      <c r="T45" s="83"/>
      <c r="U45" s="83"/>
      <c r="V45" s="83"/>
      <c r="W45" s="83"/>
      <c r="X45" s="83"/>
      <c r="Y45" s="83"/>
      <c r="Z45" s="83"/>
      <c r="AA45" s="83"/>
      <c r="AB45" s="83"/>
      <c r="AC45" s="83"/>
      <c r="AD45" s="83"/>
    </row>
    <row r="46">
      <c r="A46" s="404" t="s">
        <v>877</v>
      </c>
      <c r="B46" s="404" t="s">
        <v>873</v>
      </c>
      <c r="C46" s="405">
        <v>45544.38055555556</v>
      </c>
      <c r="D46" s="404">
        <v>20.0</v>
      </c>
      <c r="E46" s="404">
        <v>0.088571</v>
      </c>
      <c r="F46" s="404">
        <v>33.2</v>
      </c>
      <c r="G46" s="404">
        <v>22.5</v>
      </c>
      <c r="H46" s="404">
        <v>739.6263</v>
      </c>
      <c r="I46" s="404">
        <v>0.999748</v>
      </c>
      <c r="J46" s="404">
        <v>0.507228</v>
      </c>
      <c r="K46" s="406">
        <v>2246.3</v>
      </c>
      <c r="L46" s="414">
        <v>5.8449</v>
      </c>
      <c r="M46" s="408">
        <f t="shared" si="1"/>
        <v>1.02271245</v>
      </c>
      <c r="N46" s="409">
        <f t="shared" si="2"/>
        <v>2196.414055</v>
      </c>
      <c r="O46" s="410" t="s">
        <v>12</v>
      </c>
      <c r="P46" s="411" t="s">
        <v>874</v>
      </c>
      <c r="Q46" s="423"/>
      <c r="R46" s="413"/>
      <c r="S46" s="83"/>
      <c r="T46" s="83"/>
      <c r="U46" s="83"/>
      <c r="V46" s="83"/>
      <c r="W46" s="83"/>
      <c r="X46" s="83"/>
      <c r="Y46" s="83"/>
      <c r="Z46" s="83"/>
      <c r="AA46" s="83"/>
      <c r="AB46" s="83"/>
      <c r="AC46" s="83"/>
      <c r="AD46" s="83"/>
    </row>
    <row r="47">
      <c r="A47" s="404" t="s">
        <v>878</v>
      </c>
      <c r="B47" s="404" t="s">
        <v>873</v>
      </c>
      <c r="C47" s="405">
        <v>45544.38888888889</v>
      </c>
      <c r="D47" s="404">
        <v>20.0</v>
      </c>
      <c r="E47" s="404">
        <v>0.088571</v>
      </c>
      <c r="F47" s="404">
        <v>33.2</v>
      </c>
      <c r="G47" s="404">
        <v>22.5</v>
      </c>
      <c r="H47" s="404">
        <v>741.4307</v>
      </c>
      <c r="I47" s="404">
        <v>0.99973</v>
      </c>
      <c r="J47" s="404">
        <v>0.509657</v>
      </c>
      <c r="K47" s="406">
        <v>2257.0</v>
      </c>
      <c r="L47" s="414">
        <v>7.6084</v>
      </c>
      <c r="M47" s="408">
        <f t="shared" si="1"/>
        <v>1.02271245</v>
      </c>
      <c r="N47" s="409">
        <f t="shared" si="2"/>
        <v>2206.876429</v>
      </c>
      <c r="O47" s="410" t="s">
        <v>12</v>
      </c>
      <c r="P47" s="411" t="s">
        <v>874</v>
      </c>
      <c r="Q47" s="423"/>
      <c r="R47" s="413"/>
      <c r="S47" s="83"/>
      <c r="T47" s="83"/>
      <c r="U47" s="83"/>
      <c r="V47" s="83"/>
      <c r="W47" s="83"/>
      <c r="X47" s="83"/>
      <c r="Y47" s="83"/>
      <c r="Z47" s="83"/>
      <c r="AA47" s="83"/>
      <c r="AB47" s="83"/>
      <c r="AC47" s="83"/>
      <c r="AD47" s="83"/>
    </row>
    <row r="48">
      <c r="A48" s="404" t="s">
        <v>879</v>
      </c>
      <c r="B48" s="404" t="s">
        <v>873</v>
      </c>
      <c r="C48" s="405">
        <v>45544.396527777775</v>
      </c>
      <c r="D48" s="404">
        <v>20.0</v>
      </c>
      <c r="E48" s="404">
        <v>0.088571</v>
      </c>
      <c r="F48" s="404">
        <v>33.2</v>
      </c>
      <c r="G48" s="404">
        <v>22.5</v>
      </c>
      <c r="H48" s="404">
        <v>739.9617</v>
      </c>
      <c r="I48" s="404">
        <v>0.999714</v>
      </c>
      <c r="J48" s="404">
        <v>0.509365</v>
      </c>
      <c r="K48" s="406">
        <v>2255.7</v>
      </c>
      <c r="L48" s="414">
        <v>0.9138</v>
      </c>
      <c r="M48" s="408">
        <f t="shared" si="1"/>
        <v>1.02271245</v>
      </c>
      <c r="N48" s="409">
        <f t="shared" si="2"/>
        <v>2205.605299</v>
      </c>
      <c r="O48" s="410" t="s">
        <v>12</v>
      </c>
      <c r="P48" s="411" t="s">
        <v>874</v>
      </c>
      <c r="Q48" s="423"/>
      <c r="R48" s="413"/>
      <c r="S48" s="83"/>
      <c r="T48" s="83"/>
      <c r="U48" s="83"/>
      <c r="V48" s="83"/>
      <c r="W48" s="83"/>
      <c r="X48" s="83"/>
      <c r="Y48" s="83"/>
      <c r="Z48" s="83"/>
      <c r="AA48" s="83"/>
      <c r="AB48" s="83"/>
      <c r="AC48" s="83"/>
      <c r="AD48" s="83"/>
    </row>
    <row r="49">
      <c r="A49" s="404" t="s">
        <v>880</v>
      </c>
      <c r="B49" s="404" t="s">
        <v>873</v>
      </c>
      <c r="C49" s="405">
        <v>45544.40277777778</v>
      </c>
      <c r="D49" s="404">
        <v>20.0</v>
      </c>
      <c r="E49" s="404">
        <v>0.088571</v>
      </c>
      <c r="F49" s="404">
        <v>33.2</v>
      </c>
      <c r="G49" s="404">
        <v>22.5</v>
      </c>
      <c r="H49" s="404">
        <v>739.8807</v>
      </c>
      <c r="I49" s="404">
        <v>0.99979</v>
      </c>
      <c r="J49" s="404">
        <v>0.510099</v>
      </c>
      <c r="K49" s="406">
        <v>2259.0</v>
      </c>
      <c r="L49" s="414">
        <v>2.296</v>
      </c>
      <c r="M49" s="408">
        <f t="shared" si="1"/>
        <v>1.02271245</v>
      </c>
      <c r="N49" s="409">
        <f t="shared" si="2"/>
        <v>2208.832013</v>
      </c>
      <c r="O49" s="410" t="s">
        <v>12</v>
      </c>
      <c r="P49" s="411" t="s">
        <v>874</v>
      </c>
      <c r="Q49" s="423"/>
      <c r="R49" s="413"/>
      <c r="S49" s="83"/>
      <c r="T49" s="83"/>
      <c r="U49" s="83"/>
      <c r="V49" s="83"/>
      <c r="W49" s="83"/>
      <c r="X49" s="83"/>
      <c r="Y49" s="83"/>
      <c r="Z49" s="83"/>
      <c r="AA49" s="83"/>
      <c r="AB49" s="83"/>
      <c r="AC49" s="83"/>
      <c r="AD49" s="83"/>
    </row>
    <row r="50">
      <c r="A50" s="404" t="s">
        <v>881</v>
      </c>
      <c r="B50" s="404" t="s">
        <v>873</v>
      </c>
      <c r="C50" s="405">
        <v>45544.41111111111</v>
      </c>
      <c r="D50" s="404">
        <v>20.0</v>
      </c>
      <c r="E50" s="404">
        <v>0.088571</v>
      </c>
      <c r="F50" s="404">
        <v>33.2</v>
      </c>
      <c r="G50" s="404">
        <v>22.5</v>
      </c>
      <c r="H50" s="404">
        <v>736.3763</v>
      </c>
      <c r="I50" s="404">
        <v>0.999786</v>
      </c>
      <c r="J50" s="404">
        <v>0.50985</v>
      </c>
      <c r="K50" s="406">
        <v>2257.9</v>
      </c>
      <c r="L50" s="414">
        <v>0.7776</v>
      </c>
      <c r="M50" s="408">
        <f t="shared" si="1"/>
        <v>1.02271245</v>
      </c>
      <c r="N50" s="409">
        <f t="shared" si="2"/>
        <v>2207.756442</v>
      </c>
      <c r="O50" s="410" t="s">
        <v>12</v>
      </c>
      <c r="P50" s="411" t="s">
        <v>874</v>
      </c>
      <c r="Q50" s="423"/>
      <c r="R50" s="413"/>
      <c r="S50" s="83"/>
      <c r="T50" s="83"/>
      <c r="U50" s="83"/>
      <c r="V50" s="83"/>
      <c r="W50" s="83"/>
      <c r="X50" s="83"/>
      <c r="Y50" s="83"/>
      <c r="Z50" s="83"/>
      <c r="AA50" s="83"/>
      <c r="AB50" s="83"/>
      <c r="AC50" s="83"/>
      <c r="AD50" s="83"/>
    </row>
    <row r="51">
      <c r="A51" s="404" t="s">
        <v>882</v>
      </c>
      <c r="B51" s="404" t="s">
        <v>873</v>
      </c>
      <c r="C51" s="405">
        <v>45544.41875</v>
      </c>
      <c r="D51" s="404">
        <v>20.0</v>
      </c>
      <c r="E51" s="404">
        <v>0.088571</v>
      </c>
      <c r="F51" s="404">
        <v>33.2</v>
      </c>
      <c r="G51" s="404">
        <v>22.5</v>
      </c>
      <c r="H51" s="404">
        <v>738.5736</v>
      </c>
      <c r="I51" s="404">
        <v>0.99975</v>
      </c>
      <c r="J51" s="404">
        <v>0.509529</v>
      </c>
      <c r="K51" s="406">
        <v>2256.5</v>
      </c>
      <c r="L51" s="414">
        <v>1.007</v>
      </c>
      <c r="M51" s="408">
        <f t="shared" si="1"/>
        <v>1.02271245</v>
      </c>
      <c r="N51" s="409">
        <f t="shared" si="2"/>
        <v>2206.387533</v>
      </c>
      <c r="O51" s="410" t="s">
        <v>12</v>
      </c>
      <c r="P51" s="411" t="s">
        <v>874</v>
      </c>
      <c r="Q51" s="423"/>
      <c r="R51" s="413"/>
      <c r="S51" s="83"/>
      <c r="T51" s="83"/>
      <c r="U51" s="83"/>
      <c r="V51" s="83"/>
      <c r="W51" s="83"/>
      <c r="X51" s="83"/>
      <c r="Y51" s="83"/>
      <c r="Z51" s="83"/>
      <c r="AA51" s="83"/>
      <c r="AB51" s="83"/>
      <c r="AC51" s="83"/>
      <c r="AD51" s="83"/>
    </row>
    <row r="52">
      <c r="A52" s="404" t="s">
        <v>883</v>
      </c>
      <c r="B52" s="404" t="s">
        <v>639</v>
      </c>
      <c r="C52" s="405">
        <v>45544.430555555555</v>
      </c>
      <c r="D52" s="404">
        <v>20.0</v>
      </c>
      <c r="E52" s="404">
        <v>0.088584</v>
      </c>
      <c r="F52" s="404">
        <v>1022.7</v>
      </c>
      <c r="G52" s="404">
        <v>22.5</v>
      </c>
      <c r="H52" s="404">
        <v>746.0775</v>
      </c>
      <c r="I52" s="404">
        <v>0.999754</v>
      </c>
      <c r="J52" s="404">
        <v>0.508818</v>
      </c>
      <c r="K52" s="406">
        <v>2253.7</v>
      </c>
      <c r="L52" s="414" t="s">
        <v>843</v>
      </c>
      <c r="M52" s="408">
        <f t="shared" si="1"/>
        <v>2.144093658</v>
      </c>
      <c r="N52" s="409">
        <f t="shared" si="2"/>
        <v>1051.120128</v>
      </c>
      <c r="O52" s="410" t="s">
        <v>534</v>
      </c>
      <c r="P52" s="411" t="s">
        <v>874</v>
      </c>
      <c r="Q52" s="416" t="s">
        <v>838</v>
      </c>
      <c r="R52" s="417"/>
      <c r="S52" s="83"/>
      <c r="T52" s="83"/>
      <c r="U52" s="83"/>
      <c r="V52" s="83"/>
      <c r="W52" s="83"/>
      <c r="X52" s="83"/>
      <c r="Y52" s="83"/>
      <c r="Z52" s="83"/>
      <c r="AA52" s="83"/>
      <c r="AB52" s="83"/>
      <c r="AC52" s="83"/>
      <c r="AD52" s="83"/>
    </row>
    <row r="53">
      <c r="A53" s="404" t="s">
        <v>884</v>
      </c>
      <c r="B53" s="404" t="s">
        <v>639</v>
      </c>
      <c r="C53" s="405">
        <v>45544.4375</v>
      </c>
      <c r="D53" s="404">
        <v>20.0</v>
      </c>
      <c r="E53" s="404">
        <v>0.088762</v>
      </c>
      <c r="F53" s="404">
        <v>1022.7</v>
      </c>
      <c r="G53" s="404">
        <v>22.5</v>
      </c>
      <c r="H53" s="404">
        <v>744.2273</v>
      </c>
      <c r="I53" s="404">
        <v>0.999732</v>
      </c>
      <c r="J53" s="404">
        <v>0.507799</v>
      </c>
      <c r="K53" s="406">
        <v>2253.7</v>
      </c>
      <c r="L53" s="414" t="s">
        <v>843</v>
      </c>
      <c r="M53" s="408">
        <f t="shared" si="1"/>
        <v>2.144093658</v>
      </c>
      <c r="N53" s="409">
        <f t="shared" si="2"/>
        <v>1051.120128</v>
      </c>
      <c r="O53" s="410" t="s">
        <v>534</v>
      </c>
      <c r="P53" s="411" t="s">
        <v>874</v>
      </c>
      <c r="Q53" s="416" t="s">
        <v>838</v>
      </c>
      <c r="R53" s="417"/>
      <c r="S53" s="83"/>
      <c r="T53" s="83"/>
      <c r="U53" s="83"/>
      <c r="V53" s="83"/>
      <c r="W53" s="83"/>
      <c r="X53" s="83"/>
      <c r="Y53" s="83"/>
      <c r="Z53" s="83"/>
      <c r="AA53" s="83"/>
      <c r="AB53" s="83"/>
      <c r="AC53" s="83"/>
      <c r="AD53" s="83"/>
    </row>
    <row r="54">
      <c r="A54" s="404" t="s">
        <v>885</v>
      </c>
      <c r="B54" s="404" t="s">
        <v>639</v>
      </c>
      <c r="C54" s="405">
        <v>45544.444444444445</v>
      </c>
      <c r="D54" s="404">
        <v>20.0</v>
      </c>
      <c r="E54" s="404">
        <v>0.088508</v>
      </c>
      <c r="F54" s="404">
        <v>1022.7</v>
      </c>
      <c r="G54" s="404">
        <v>22.5</v>
      </c>
      <c r="H54" s="404">
        <v>743.5244</v>
      </c>
      <c r="I54" s="404">
        <v>0.999772</v>
      </c>
      <c r="J54" s="404">
        <v>0.509255</v>
      </c>
      <c r="K54" s="406">
        <v>2253.7</v>
      </c>
      <c r="L54" s="414" t="s">
        <v>843</v>
      </c>
      <c r="M54" s="408">
        <f t="shared" si="1"/>
        <v>2.144093658</v>
      </c>
      <c r="N54" s="409">
        <f t="shared" si="2"/>
        <v>1051.120128</v>
      </c>
      <c r="O54" s="410" t="s">
        <v>534</v>
      </c>
      <c r="P54" s="411" t="s">
        <v>874</v>
      </c>
      <c r="Q54" s="416" t="s">
        <v>838</v>
      </c>
      <c r="R54" s="417"/>
      <c r="S54" s="83"/>
      <c r="T54" s="83"/>
      <c r="U54" s="83"/>
      <c r="V54" s="83"/>
      <c r="W54" s="83"/>
      <c r="X54" s="83"/>
      <c r="Y54" s="83"/>
      <c r="Z54" s="83"/>
      <c r="AA54" s="83"/>
      <c r="AB54" s="83"/>
      <c r="AC54" s="83"/>
      <c r="AD54" s="83"/>
    </row>
    <row r="55">
      <c r="A55" s="404" t="s">
        <v>886</v>
      </c>
      <c r="B55" s="404" t="s">
        <v>639</v>
      </c>
      <c r="C55" s="405">
        <v>45544.45138888889</v>
      </c>
      <c r="D55" s="404">
        <v>20.0</v>
      </c>
      <c r="E55" s="404">
        <v>0.088804</v>
      </c>
      <c r="F55" s="404">
        <v>1022.7</v>
      </c>
      <c r="G55" s="404">
        <v>22.5</v>
      </c>
      <c r="H55" s="404">
        <v>741.9439</v>
      </c>
      <c r="I55" s="404">
        <v>0.99976</v>
      </c>
      <c r="J55" s="404">
        <v>0.507557</v>
      </c>
      <c r="K55" s="406">
        <v>2253.7</v>
      </c>
      <c r="L55" s="414" t="s">
        <v>843</v>
      </c>
      <c r="M55" s="408">
        <f t="shared" si="1"/>
        <v>2.144093658</v>
      </c>
      <c r="N55" s="409">
        <f t="shared" si="2"/>
        <v>1051.120128</v>
      </c>
      <c r="O55" s="410" t="s">
        <v>534</v>
      </c>
      <c r="P55" s="411" t="s">
        <v>874</v>
      </c>
      <c r="Q55" s="416" t="s">
        <v>838</v>
      </c>
      <c r="R55" s="417"/>
      <c r="S55" s="83"/>
      <c r="T55" s="83"/>
      <c r="U55" s="83"/>
      <c r="V55" s="83"/>
      <c r="W55" s="83"/>
      <c r="X55" s="83"/>
      <c r="Y55" s="83"/>
      <c r="Z55" s="83"/>
      <c r="AA55" s="83"/>
      <c r="AB55" s="83"/>
      <c r="AC55" s="83"/>
      <c r="AD55" s="83"/>
    </row>
    <row r="56">
      <c r="A56" s="404" t="s">
        <v>832</v>
      </c>
      <c r="B56" s="404" t="s">
        <v>873</v>
      </c>
      <c r="C56" s="405">
        <v>45544.45972222222</v>
      </c>
      <c r="D56" s="404">
        <v>20.0</v>
      </c>
      <c r="E56" s="404">
        <v>0.088571</v>
      </c>
      <c r="F56" s="404">
        <v>33.2</v>
      </c>
      <c r="G56" s="404">
        <v>22.5</v>
      </c>
      <c r="H56" s="404">
        <v>744.8407</v>
      </c>
      <c r="I56" s="404">
        <v>0.999739</v>
      </c>
      <c r="J56" s="404">
        <v>0.510279</v>
      </c>
      <c r="K56" s="406">
        <v>2259.8</v>
      </c>
      <c r="L56" s="407"/>
      <c r="M56" s="408">
        <f t="shared" si="1"/>
        <v>1.02271245</v>
      </c>
      <c r="N56" s="409">
        <f t="shared" si="2"/>
        <v>2209.614246</v>
      </c>
      <c r="O56" s="410" t="s">
        <v>12</v>
      </c>
      <c r="P56" s="411" t="s">
        <v>874</v>
      </c>
      <c r="Q56" s="423"/>
      <c r="R56" s="413"/>
      <c r="S56" s="83"/>
      <c r="T56" s="83"/>
      <c r="U56" s="83"/>
      <c r="V56" s="83"/>
      <c r="W56" s="83"/>
      <c r="X56" s="83"/>
      <c r="Y56" s="83"/>
      <c r="Z56" s="83"/>
      <c r="AA56" s="83"/>
      <c r="AB56" s="83"/>
      <c r="AC56" s="83"/>
      <c r="AD56" s="83"/>
    </row>
    <row r="57">
      <c r="A57" s="420" t="s">
        <v>887</v>
      </c>
      <c r="B57" s="420" t="s">
        <v>873</v>
      </c>
      <c r="C57" s="421">
        <v>45544.46666666667</v>
      </c>
      <c r="D57" s="420">
        <v>20.0</v>
      </c>
      <c r="E57" s="420">
        <v>0.088571</v>
      </c>
      <c r="F57" s="420">
        <v>33.2</v>
      </c>
      <c r="G57" s="420">
        <v>22.5</v>
      </c>
      <c r="H57" s="420">
        <v>740.7952</v>
      </c>
      <c r="I57" s="420">
        <v>0.999804</v>
      </c>
      <c r="J57" s="420">
        <v>0.508981</v>
      </c>
      <c r="K57" s="422">
        <v>2254.0</v>
      </c>
      <c r="L57" s="414">
        <v>4.0658</v>
      </c>
      <c r="M57" s="408">
        <f t="shared" si="1"/>
        <v>1.02271245</v>
      </c>
      <c r="N57" s="409">
        <f t="shared" si="2"/>
        <v>2203.943053</v>
      </c>
      <c r="O57" s="410" t="s">
        <v>12</v>
      </c>
      <c r="P57" s="411" t="s">
        <v>874</v>
      </c>
      <c r="Q57" s="423"/>
      <c r="R57" s="413"/>
      <c r="S57" s="83"/>
      <c r="T57" s="83"/>
      <c r="U57" s="83"/>
      <c r="V57" s="83"/>
      <c r="W57" s="83"/>
      <c r="X57" s="83"/>
      <c r="Y57" s="83"/>
      <c r="Z57" s="83"/>
      <c r="AA57" s="83"/>
      <c r="AB57" s="83"/>
      <c r="AC57" s="83"/>
      <c r="AD57" s="83"/>
    </row>
    <row r="58">
      <c r="A58" s="404" t="s">
        <v>834</v>
      </c>
      <c r="B58" s="404">
        <v>53.0</v>
      </c>
      <c r="C58" s="405">
        <v>45544.486805555556</v>
      </c>
      <c r="D58" s="404">
        <v>20.0</v>
      </c>
      <c r="E58" s="404">
        <v>0.088571</v>
      </c>
      <c r="F58" s="404">
        <v>35.9</v>
      </c>
      <c r="G58" s="404">
        <v>22.5</v>
      </c>
      <c r="H58" s="404">
        <v>747.8967</v>
      </c>
      <c r="I58" s="404">
        <v>0.99972</v>
      </c>
      <c r="J58" s="404">
        <v>0.536403</v>
      </c>
      <c r="K58" s="406">
        <v>2375.5</v>
      </c>
      <c r="L58" s="407"/>
      <c r="M58" s="408">
        <f t="shared" si="1"/>
        <v>1.024761672</v>
      </c>
      <c r="N58" s="409">
        <f t="shared" si="2"/>
        <v>2318.09997</v>
      </c>
      <c r="O58" s="410" t="s">
        <v>12</v>
      </c>
      <c r="P58" s="411" t="s">
        <v>874</v>
      </c>
      <c r="Q58" s="423"/>
      <c r="R58" s="413"/>
      <c r="S58" s="83"/>
      <c r="T58" s="83"/>
      <c r="U58" s="83"/>
      <c r="V58" s="83"/>
      <c r="W58" s="83"/>
      <c r="X58" s="83"/>
      <c r="Y58" s="83"/>
      <c r="Z58" s="83"/>
      <c r="AA58" s="83"/>
      <c r="AB58" s="83"/>
      <c r="AC58" s="83"/>
      <c r="AD58" s="83"/>
    </row>
    <row r="59">
      <c r="A59" s="404" t="s">
        <v>888</v>
      </c>
      <c r="B59" s="404">
        <v>54.0</v>
      </c>
      <c r="C59" s="405">
        <v>45544.49375</v>
      </c>
      <c r="D59" s="404">
        <v>20.0</v>
      </c>
      <c r="E59" s="404">
        <v>0.088571</v>
      </c>
      <c r="F59" s="404">
        <v>36.0</v>
      </c>
      <c r="G59" s="404">
        <v>22.5</v>
      </c>
      <c r="H59" s="404">
        <v>749.9914</v>
      </c>
      <c r="I59" s="404">
        <v>0.999766</v>
      </c>
      <c r="J59" s="404">
        <v>0.535482</v>
      </c>
      <c r="K59" s="406">
        <v>2371.4</v>
      </c>
      <c r="L59" s="407"/>
      <c r="M59" s="408">
        <f t="shared" si="1"/>
        <v>1.024837628</v>
      </c>
      <c r="N59" s="409">
        <f t="shared" si="2"/>
        <v>2313.927528</v>
      </c>
      <c r="O59" s="410" t="s">
        <v>12</v>
      </c>
      <c r="P59" s="411" t="s">
        <v>874</v>
      </c>
      <c r="Q59" s="423"/>
      <c r="R59" s="413"/>
      <c r="S59" s="83"/>
      <c r="T59" s="83"/>
      <c r="U59" s="83"/>
      <c r="V59" s="83"/>
      <c r="W59" s="83"/>
      <c r="X59" s="83"/>
      <c r="Y59" s="83"/>
      <c r="Z59" s="83"/>
      <c r="AA59" s="83"/>
      <c r="AB59" s="83"/>
      <c r="AC59" s="83"/>
      <c r="AD59" s="83"/>
    </row>
    <row r="60">
      <c r="A60" s="404" t="s">
        <v>841</v>
      </c>
      <c r="B60" s="404">
        <v>27.0</v>
      </c>
      <c r="C60" s="405">
        <v>45544.49930555555</v>
      </c>
      <c r="D60" s="404">
        <v>20.0</v>
      </c>
      <c r="E60" s="404">
        <v>0.088571</v>
      </c>
      <c r="F60" s="404">
        <v>35.9</v>
      </c>
      <c r="G60" s="404">
        <v>22.5</v>
      </c>
      <c r="H60" s="404">
        <v>750.7052</v>
      </c>
      <c r="I60" s="404">
        <v>0.999729</v>
      </c>
      <c r="J60" s="404">
        <v>0.534599</v>
      </c>
      <c r="K60" s="406">
        <v>2367.5</v>
      </c>
      <c r="L60" s="407"/>
      <c r="M60" s="408">
        <f t="shared" si="1"/>
        <v>1.024761672</v>
      </c>
      <c r="N60" s="409">
        <f t="shared" si="2"/>
        <v>2310.293277</v>
      </c>
      <c r="O60" s="410" t="s">
        <v>12</v>
      </c>
      <c r="P60" s="411" t="s">
        <v>874</v>
      </c>
      <c r="Q60" s="423"/>
      <c r="R60" s="413"/>
      <c r="S60" s="83"/>
      <c r="T60" s="83"/>
      <c r="U60" s="83"/>
      <c r="V60" s="83"/>
      <c r="W60" s="83"/>
      <c r="X60" s="83"/>
      <c r="Y60" s="83"/>
      <c r="Z60" s="83"/>
      <c r="AA60" s="83"/>
      <c r="AB60" s="83"/>
      <c r="AC60" s="83"/>
      <c r="AD60" s="83"/>
    </row>
    <row r="61">
      <c r="A61" s="404" t="s">
        <v>889</v>
      </c>
      <c r="B61" s="404">
        <v>28.0</v>
      </c>
      <c r="C61" s="405">
        <v>45544.50486111111</v>
      </c>
      <c r="D61" s="404">
        <v>20.0</v>
      </c>
      <c r="E61" s="404">
        <v>0.088571</v>
      </c>
      <c r="F61" s="404">
        <v>36.6</v>
      </c>
      <c r="G61" s="404">
        <v>22.5</v>
      </c>
      <c r="H61" s="404">
        <v>748.5616</v>
      </c>
      <c r="I61" s="404">
        <v>0.999802</v>
      </c>
      <c r="J61" s="404">
        <v>0.541806</v>
      </c>
      <c r="K61" s="406">
        <v>2399.4</v>
      </c>
      <c r="L61" s="407"/>
      <c r="M61" s="408">
        <f t="shared" si="1"/>
        <v>1.02529346</v>
      </c>
      <c r="N61" s="409">
        <f t="shared" si="2"/>
        <v>2340.208041</v>
      </c>
      <c r="O61" s="410" t="s">
        <v>12</v>
      </c>
      <c r="P61" s="411" t="s">
        <v>874</v>
      </c>
      <c r="Q61" s="423"/>
      <c r="R61" s="413"/>
      <c r="S61" s="83"/>
      <c r="T61" s="83"/>
      <c r="U61" s="83"/>
      <c r="V61" s="83"/>
      <c r="W61" s="83"/>
      <c r="X61" s="83"/>
      <c r="Y61" s="83"/>
      <c r="Z61" s="83"/>
      <c r="AA61" s="83"/>
      <c r="AB61" s="83"/>
      <c r="AC61" s="83"/>
      <c r="AD61" s="83"/>
    </row>
    <row r="62">
      <c r="A62" s="404" t="s">
        <v>890</v>
      </c>
      <c r="B62" s="404">
        <v>40.0</v>
      </c>
      <c r="C62" s="405">
        <v>45544.51111111111</v>
      </c>
      <c r="D62" s="404">
        <v>20.0</v>
      </c>
      <c r="E62" s="404">
        <v>0.088571</v>
      </c>
      <c r="F62" s="404">
        <v>35.9</v>
      </c>
      <c r="G62" s="404">
        <v>22.5</v>
      </c>
      <c r="H62" s="404">
        <v>746.4871</v>
      </c>
      <c r="I62" s="404">
        <v>0.999774</v>
      </c>
      <c r="J62" s="404">
        <v>0.535395</v>
      </c>
      <c r="K62" s="406">
        <v>2371.0</v>
      </c>
      <c r="L62" s="407"/>
      <c r="M62" s="408">
        <f t="shared" si="1"/>
        <v>1.024761672</v>
      </c>
      <c r="N62" s="409">
        <f t="shared" si="2"/>
        <v>2313.708705</v>
      </c>
      <c r="O62" s="410" t="s">
        <v>12</v>
      </c>
      <c r="P62" s="411" t="s">
        <v>874</v>
      </c>
      <c r="Q62" s="424"/>
      <c r="R62" s="83"/>
      <c r="S62" s="83"/>
      <c r="T62" s="83"/>
      <c r="U62" s="83"/>
      <c r="V62" s="83"/>
      <c r="W62" s="83"/>
      <c r="X62" s="83"/>
      <c r="Y62" s="83"/>
      <c r="Z62" s="83"/>
      <c r="AA62" s="83"/>
      <c r="AB62" s="83"/>
      <c r="AC62" s="83"/>
      <c r="AD62" s="83"/>
    </row>
    <row r="63">
      <c r="A63" s="404" t="s">
        <v>891</v>
      </c>
      <c r="B63" s="404">
        <v>41.0</v>
      </c>
      <c r="C63" s="405">
        <v>45544.52361111111</v>
      </c>
      <c r="D63" s="404">
        <v>20.0</v>
      </c>
      <c r="E63" s="404">
        <v>0.088571</v>
      </c>
      <c r="F63" s="404">
        <v>36.0</v>
      </c>
      <c r="G63" s="404">
        <v>22.5</v>
      </c>
      <c r="H63" s="404">
        <v>745.3377</v>
      </c>
      <c r="I63" s="404">
        <v>0.999779</v>
      </c>
      <c r="J63" s="404">
        <v>0.534409</v>
      </c>
      <c r="K63" s="406">
        <v>2366.7</v>
      </c>
      <c r="L63" s="407"/>
      <c r="M63" s="408">
        <f t="shared" si="1"/>
        <v>1.024837628</v>
      </c>
      <c r="N63" s="409">
        <f t="shared" si="2"/>
        <v>2309.341436</v>
      </c>
      <c r="O63" s="410" t="s">
        <v>12</v>
      </c>
      <c r="P63" s="411" t="s">
        <v>874</v>
      </c>
      <c r="Q63" s="424"/>
      <c r="R63" s="83"/>
      <c r="S63" s="83"/>
      <c r="T63" s="83"/>
      <c r="U63" s="83"/>
      <c r="V63" s="83"/>
      <c r="W63" s="83"/>
      <c r="X63" s="83"/>
      <c r="Y63" s="83"/>
      <c r="Z63" s="83"/>
      <c r="AA63" s="83"/>
      <c r="AB63" s="83"/>
      <c r="AC63" s="83"/>
      <c r="AD63" s="83"/>
    </row>
    <row r="64">
      <c r="A64" s="404" t="s">
        <v>850</v>
      </c>
      <c r="B64" s="404">
        <v>79.0</v>
      </c>
      <c r="C64" s="405">
        <v>45544.53055555555</v>
      </c>
      <c r="D64" s="404">
        <v>20.0</v>
      </c>
      <c r="E64" s="404">
        <v>0.088571</v>
      </c>
      <c r="F64" s="404">
        <v>35.9</v>
      </c>
      <c r="G64" s="404">
        <v>22.5</v>
      </c>
      <c r="H64" s="404">
        <v>746.4871</v>
      </c>
      <c r="I64" s="404">
        <v>0.999774</v>
      </c>
      <c r="J64" s="404">
        <v>0.535395</v>
      </c>
      <c r="K64" s="406">
        <v>2371.0</v>
      </c>
      <c r="L64" s="407"/>
      <c r="M64" s="408">
        <f t="shared" si="1"/>
        <v>1.024761672</v>
      </c>
      <c r="N64" s="409">
        <f t="shared" si="2"/>
        <v>2313.708705</v>
      </c>
      <c r="O64" s="410" t="s">
        <v>12</v>
      </c>
      <c r="P64" s="411" t="s">
        <v>874</v>
      </c>
      <c r="Q64" s="424"/>
      <c r="R64" s="83"/>
      <c r="S64" s="83"/>
      <c r="T64" s="83"/>
      <c r="U64" s="83"/>
      <c r="V64" s="83"/>
      <c r="W64" s="83"/>
      <c r="X64" s="83"/>
      <c r="Y64" s="83"/>
      <c r="Z64" s="83"/>
      <c r="AA64" s="83"/>
      <c r="AB64" s="83"/>
      <c r="AC64" s="83"/>
      <c r="AD64" s="83"/>
    </row>
    <row r="65">
      <c r="A65" s="404" t="s">
        <v>851</v>
      </c>
      <c r="B65" s="404">
        <v>80.0</v>
      </c>
      <c r="C65" s="405">
        <v>45544.53680555556</v>
      </c>
      <c r="D65" s="404">
        <v>20.0</v>
      </c>
      <c r="E65" s="404">
        <v>0.088571</v>
      </c>
      <c r="F65" s="404">
        <v>36.1</v>
      </c>
      <c r="G65" s="404">
        <v>22.5</v>
      </c>
      <c r="H65" s="404">
        <v>749.2378</v>
      </c>
      <c r="I65" s="404">
        <v>0.999748</v>
      </c>
      <c r="J65" s="404">
        <v>0.536549</v>
      </c>
      <c r="K65" s="406">
        <v>2376.1</v>
      </c>
      <c r="L65" s="407"/>
      <c r="M65" s="408">
        <f t="shared" si="1"/>
        <v>1.024913589</v>
      </c>
      <c r="N65" s="409">
        <f t="shared" si="2"/>
        <v>2318.341785</v>
      </c>
      <c r="O65" s="410" t="s">
        <v>12</v>
      </c>
      <c r="P65" s="411" t="s">
        <v>874</v>
      </c>
      <c r="Q65" s="424"/>
      <c r="R65" s="83"/>
      <c r="S65" s="83"/>
      <c r="T65" s="83"/>
      <c r="U65" s="83"/>
      <c r="V65" s="83"/>
      <c r="W65" s="83"/>
      <c r="X65" s="83"/>
      <c r="Y65" s="83"/>
      <c r="Z65" s="83"/>
      <c r="AA65" s="83"/>
      <c r="AB65" s="83"/>
      <c r="AC65" s="83"/>
      <c r="AD65" s="83"/>
    </row>
    <row r="66">
      <c r="A66" s="404" t="s">
        <v>852</v>
      </c>
      <c r="B66" s="404">
        <v>157.0</v>
      </c>
      <c r="C66" s="405">
        <v>45544.54305555556</v>
      </c>
      <c r="D66" s="404">
        <v>20.0</v>
      </c>
      <c r="E66" s="404">
        <v>0.088571</v>
      </c>
      <c r="F66" s="404">
        <v>35.9</v>
      </c>
      <c r="G66" s="404">
        <v>22.5</v>
      </c>
      <c r="H66" s="404">
        <v>744.9513</v>
      </c>
      <c r="I66" s="404">
        <v>0.999775</v>
      </c>
      <c r="J66" s="404">
        <v>0.532683</v>
      </c>
      <c r="K66" s="406">
        <v>2359.0</v>
      </c>
      <c r="L66" s="407"/>
      <c r="M66" s="408">
        <f t="shared" si="1"/>
        <v>1.024761672</v>
      </c>
      <c r="N66" s="409">
        <f t="shared" si="2"/>
        <v>2301.998665</v>
      </c>
      <c r="O66" s="410" t="s">
        <v>12</v>
      </c>
      <c r="P66" s="411" t="s">
        <v>874</v>
      </c>
      <c r="Q66" s="424"/>
      <c r="R66" s="83"/>
      <c r="S66" s="83"/>
      <c r="T66" s="83"/>
      <c r="U66" s="83"/>
      <c r="V66" s="83"/>
      <c r="W66" s="83"/>
      <c r="X66" s="83"/>
      <c r="Y66" s="83"/>
      <c r="Z66" s="83"/>
      <c r="AA66" s="83"/>
      <c r="AB66" s="83"/>
      <c r="AC66" s="83"/>
      <c r="AD66" s="83"/>
    </row>
    <row r="67">
      <c r="A67" s="404" t="s">
        <v>853</v>
      </c>
      <c r="B67" s="404">
        <v>158.0</v>
      </c>
      <c r="C67" s="405">
        <v>45544.54861111111</v>
      </c>
      <c r="D67" s="404">
        <v>20.0</v>
      </c>
      <c r="E67" s="404">
        <v>0.088571</v>
      </c>
      <c r="F67" s="404">
        <v>35.9</v>
      </c>
      <c r="G67" s="404">
        <v>22.5</v>
      </c>
      <c r="H67" s="404">
        <v>746.3543</v>
      </c>
      <c r="I67" s="404">
        <v>0.999688</v>
      </c>
      <c r="J67" s="404">
        <v>0.532695</v>
      </c>
      <c r="K67" s="406">
        <v>2359.1</v>
      </c>
      <c r="L67" s="407"/>
      <c r="M67" s="408">
        <f t="shared" si="1"/>
        <v>1.024761672</v>
      </c>
      <c r="N67" s="409">
        <f t="shared" si="2"/>
        <v>2302.096249</v>
      </c>
      <c r="O67" s="410" t="s">
        <v>12</v>
      </c>
      <c r="P67" s="411" t="s">
        <v>874</v>
      </c>
      <c r="Q67" s="424"/>
      <c r="R67" s="83"/>
      <c r="S67" s="83"/>
      <c r="T67" s="83"/>
      <c r="U67" s="83"/>
      <c r="V67" s="83"/>
      <c r="W67" s="83"/>
      <c r="X67" s="83"/>
      <c r="Y67" s="83"/>
      <c r="Z67" s="83"/>
      <c r="AA67" s="83"/>
      <c r="AB67" s="83"/>
      <c r="AC67" s="83"/>
      <c r="AD67" s="83"/>
    </row>
    <row r="68">
      <c r="A68" s="420" t="s">
        <v>892</v>
      </c>
      <c r="B68" s="420" t="s">
        <v>639</v>
      </c>
      <c r="C68" s="421">
        <v>45544.55486111111</v>
      </c>
      <c r="D68" s="420">
        <v>20.0</v>
      </c>
      <c r="E68" s="420">
        <v>0.088571</v>
      </c>
      <c r="F68" s="420">
        <v>33.2</v>
      </c>
      <c r="G68" s="420">
        <v>22.5</v>
      </c>
      <c r="H68" s="420">
        <v>740.5715</v>
      </c>
      <c r="I68" s="420">
        <v>0.999787</v>
      </c>
      <c r="J68" s="420">
        <v>0.508917</v>
      </c>
      <c r="K68" s="422">
        <v>2253.8</v>
      </c>
      <c r="L68" s="407"/>
      <c r="M68" s="408">
        <f t="shared" si="1"/>
        <v>1.02271245</v>
      </c>
      <c r="N68" s="409">
        <f t="shared" si="2"/>
        <v>2203.747495</v>
      </c>
      <c r="O68" s="410" t="s">
        <v>12</v>
      </c>
      <c r="P68" s="411" t="s">
        <v>874</v>
      </c>
      <c r="Q68" s="424"/>
      <c r="R68" s="83"/>
      <c r="S68" s="83"/>
      <c r="T68" s="83"/>
      <c r="U68" s="83"/>
      <c r="V68" s="83"/>
      <c r="W68" s="83"/>
      <c r="X68" s="83"/>
      <c r="Y68" s="83"/>
      <c r="Z68" s="83"/>
      <c r="AA68" s="83"/>
      <c r="AB68" s="83"/>
      <c r="AC68" s="83"/>
      <c r="AD68" s="83"/>
    </row>
    <row r="69">
      <c r="A69" s="404" t="s">
        <v>854</v>
      </c>
      <c r="B69" s="404">
        <v>196.0</v>
      </c>
      <c r="C69" s="405">
        <v>45544.5625</v>
      </c>
      <c r="D69" s="404">
        <v>20.0</v>
      </c>
      <c r="E69" s="404">
        <v>0.088571</v>
      </c>
      <c r="F69" s="404">
        <v>35.8</v>
      </c>
      <c r="G69" s="404">
        <v>22.5</v>
      </c>
      <c r="H69" s="404">
        <v>743.1331</v>
      </c>
      <c r="I69" s="404">
        <v>0.99977</v>
      </c>
      <c r="J69" s="404">
        <v>0.530389</v>
      </c>
      <c r="K69" s="406">
        <v>2348.9</v>
      </c>
      <c r="L69" s="407"/>
      <c r="M69" s="408">
        <f t="shared" si="1"/>
        <v>1.024685719</v>
      </c>
      <c r="N69" s="409">
        <f t="shared" si="2"/>
        <v>2292.312615</v>
      </c>
      <c r="O69" s="410" t="s">
        <v>12</v>
      </c>
      <c r="P69" s="411" t="s">
        <v>874</v>
      </c>
      <c r="Q69" s="424"/>
      <c r="R69" s="83"/>
      <c r="S69" s="83"/>
      <c r="T69" s="83"/>
      <c r="U69" s="83"/>
      <c r="V69" s="83"/>
      <c r="W69" s="83"/>
      <c r="X69" s="83"/>
      <c r="Y69" s="83"/>
      <c r="Z69" s="83"/>
      <c r="AA69" s="83"/>
      <c r="AB69" s="83"/>
      <c r="AC69" s="83"/>
      <c r="AD69" s="83"/>
    </row>
    <row r="70">
      <c r="A70" s="404" t="s">
        <v>855</v>
      </c>
      <c r="B70" s="404">
        <v>197.0</v>
      </c>
      <c r="C70" s="405">
        <v>45544.56875</v>
      </c>
      <c r="D70" s="404">
        <v>20.0</v>
      </c>
      <c r="E70" s="404">
        <v>0.088571</v>
      </c>
      <c r="F70" s="404">
        <v>35.8</v>
      </c>
      <c r="G70" s="404">
        <v>22.5</v>
      </c>
      <c r="H70" s="404">
        <v>745.8763</v>
      </c>
      <c r="I70" s="404">
        <v>0.999748</v>
      </c>
      <c r="J70" s="404">
        <v>0.530333</v>
      </c>
      <c r="K70" s="406">
        <v>2348.6</v>
      </c>
      <c r="L70" s="407"/>
      <c r="M70" s="408">
        <f t="shared" si="1"/>
        <v>1.024685719</v>
      </c>
      <c r="N70" s="409">
        <f t="shared" si="2"/>
        <v>2292.019842</v>
      </c>
      <c r="O70" s="410" t="s">
        <v>12</v>
      </c>
      <c r="P70" s="411" t="s">
        <v>874</v>
      </c>
      <c r="Q70" s="424"/>
      <c r="R70" s="83"/>
      <c r="S70" s="83"/>
      <c r="T70" s="83"/>
      <c r="U70" s="83"/>
      <c r="V70" s="83"/>
      <c r="W70" s="83"/>
      <c r="X70" s="83"/>
      <c r="Y70" s="83"/>
      <c r="Z70" s="83"/>
      <c r="AA70" s="83"/>
      <c r="AB70" s="83"/>
      <c r="AC70" s="83"/>
      <c r="AD70" s="83"/>
    </row>
    <row r="71">
      <c r="A71" s="404" t="s">
        <v>856</v>
      </c>
      <c r="B71" s="404">
        <v>209.0</v>
      </c>
      <c r="C71" s="405">
        <v>45544.575694444444</v>
      </c>
      <c r="D71" s="404">
        <v>20.0</v>
      </c>
      <c r="E71" s="404">
        <v>0.088571</v>
      </c>
      <c r="F71" s="404">
        <v>37.8</v>
      </c>
      <c r="G71" s="404">
        <v>22.5</v>
      </c>
      <c r="H71" s="404">
        <v>745.5264</v>
      </c>
      <c r="I71" s="404">
        <v>0.999763</v>
      </c>
      <c r="J71" s="404">
        <v>0.536381</v>
      </c>
      <c r="K71" s="406">
        <v>2375.4</v>
      </c>
      <c r="L71" s="407"/>
      <c r="M71" s="408">
        <f t="shared" si="1"/>
        <v>1.026205599</v>
      </c>
      <c r="N71" s="409">
        <f t="shared" si="2"/>
        <v>2314.740831</v>
      </c>
      <c r="O71" s="410" t="s">
        <v>12</v>
      </c>
      <c r="P71" s="411" t="s">
        <v>874</v>
      </c>
      <c r="Q71" s="424"/>
      <c r="R71" s="83"/>
      <c r="S71" s="83"/>
      <c r="T71" s="83"/>
      <c r="U71" s="83"/>
      <c r="V71" s="83"/>
      <c r="W71" s="83"/>
      <c r="X71" s="83"/>
      <c r="Y71" s="83"/>
      <c r="Z71" s="83"/>
      <c r="AA71" s="83"/>
      <c r="AB71" s="83"/>
      <c r="AC71" s="83"/>
      <c r="AD71" s="83"/>
    </row>
    <row r="72">
      <c r="A72" s="404" t="s">
        <v>857</v>
      </c>
      <c r="B72" s="404">
        <v>210.0</v>
      </c>
      <c r="C72" s="405">
        <v>45544.58194444444</v>
      </c>
      <c r="D72" s="404">
        <v>20.0</v>
      </c>
      <c r="E72" s="404">
        <v>0.088571</v>
      </c>
      <c r="F72" s="404">
        <v>37.9</v>
      </c>
      <c r="G72" s="404">
        <v>22.5</v>
      </c>
      <c r="H72" s="404">
        <v>738.9761</v>
      </c>
      <c r="I72" s="404">
        <v>0.999779</v>
      </c>
      <c r="J72" s="404">
        <v>0.537386</v>
      </c>
      <c r="K72" s="406">
        <v>2379.8</v>
      </c>
      <c r="L72" s="407"/>
      <c r="M72" s="408">
        <f t="shared" si="1"/>
        <v>1.026281639</v>
      </c>
      <c r="N72" s="409">
        <f t="shared" si="2"/>
        <v>2318.856647</v>
      </c>
      <c r="O72" s="410" t="s">
        <v>12</v>
      </c>
      <c r="P72" s="411" t="s">
        <v>874</v>
      </c>
      <c r="Q72" s="424"/>
      <c r="R72" s="83"/>
      <c r="S72" s="83"/>
      <c r="T72" s="83"/>
      <c r="U72" s="83"/>
      <c r="V72" s="83"/>
      <c r="W72" s="83"/>
      <c r="X72" s="83"/>
      <c r="Y72" s="83"/>
      <c r="Z72" s="83"/>
      <c r="AA72" s="83"/>
      <c r="AB72" s="83"/>
      <c r="AC72" s="83"/>
      <c r="AD72" s="83"/>
    </row>
    <row r="73">
      <c r="A73" s="404" t="s">
        <v>858</v>
      </c>
      <c r="B73" s="404">
        <v>222.0</v>
      </c>
      <c r="C73" s="405">
        <v>45544.58819444444</v>
      </c>
      <c r="D73" s="404">
        <v>20.0</v>
      </c>
      <c r="E73" s="404">
        <v>0.088571</v>
      </c>
      <c r="F73" s="404">
        <v>36.5</v>
      </c>
      <c r="G73" s="404">
        <v>22.5</v>
      </c>
      <c r="H73" s="404">
        <v>739.5985</v>
      </c>
      <c r="I73" s="404">
        <v>0.9998</v>
      </c>
      <c r="J73" s="404">
        <v>0.536624</v>
      </c>
      <c r="K73" s="406">
        <v>2376.5</v>
      </c>
      <c r="L73" s="407"/>
      <c r="M73" s="408">
        <f t="shared" si="1"/>
        <v>1.025217477</v>
      </c>
      <c r="N73" s="409">
        <f t="shared" si="2"/>
        <v>2318.044759</v>
      </c>
      <c r="O73" s="410" t="s">
        <v>12</v>
      </c>
      <c r="P73" s="411" t="s">
        <v>874</v>
      </c>
      <c r="Q73" s="424"/>
      <c r="R73" s="83"/>
      <c r="S73" s="83"/>
      <c r="T73" s="83"/>
      <c r="U73" s="83"/>
      <c r="V73" s="83"/>
      <c r="W73" s="83"/>
      <c r="X73" s="83"/>
      <c r="Y73" s="83"/>
      <c r="Z73" s="83"/>
      <c r="AA73" s="83"/>
      <c r="AB73" s="83"/>
      <c r="AC73" s="83"/>
      <c r="AD73" s="83"/>
    </row>
    <row r="74">
      <c r="A74" s="404" t="s">
        <v>859</v>
      </c>
      <c r="B74" s="404">
        <v>223.0</v>
      </c>
      <c r="C74" s="405">
        <v>45544.60208333333</v>
      </c>
      <c r="D74" s="404">
        <v>20.0</v>
      </c>
      <c r="E74" s="404">
        <v>0.088571</v>
      </c>
      <c r="F74" s="404">
        <v>36.6</v>
      </c>
      <c r="G74" s="404">
        <v>22.5</v>
      </c>
      <c r="H74" s="404">
        <v>743.1126</v>
      </c>
      <c r="I74" s="404">
        <v>0.999796</v>
      </c>
      <c r="J74" s="404">
        <v>0.541443</v>
      </c>
      <c r="K74" s="406">
        <v>2397.8</v>
      </c>
      <c r="L74" s="407"/>
      <c r="M74" s="408">
        <f t="shared" si="1"/>
        <v>1.02529346</v>
      </c>
      <c r="N74" s="409">
        <f t="shared" si="2"/>
        <v>2338.647512</v>
      </c>
      <c r="O74" s="410" t="s">
        <v>12</v>
      </c>
      <c r="P74" s="411" t="s">
        <v>874</v>
      </c>
      <c r="Q74" s="424"/>
      <c r="R74" s="83"/>
      <c r="S74" s="83"/>
      <c r="T74" s="83"/>
      <c r="U74" s="83"/>
      <c r="V74" s="83"/>
      <c r="W74" s="83"/>
      <c r="X74" s="83"/>
      <c r="Y74" s="83"/>
      <c r="Z74" s="83"/>
      <c r="AA74" s="83"/>
      <c r="AB74" s="83"/>
      <c r="AC74" s="83"/>
      <c r="AD74" s="83"/>
    </row>
    <row r="75">
      <c r="A75" s="404" t="s">
        <v>860</v>
      </c>
      <c r="B75" s="404">
        <v>235.0</v>
      </c>
      <c r="C75" s="405">
        <v>45544.60833333333</v>
      </c>
      <c r="D75" s="404">
        <v>20.0</v>
      </c>
      <c r="E75" s="404">
        <v>0.088571</v>
      </c>
      <c r="F75" s="404">
        <v>38.1</v>
      </c>
      <c r="G75" s="404">
        <v>22.5</v>
      </c>
      <c r="H75" s="404">
        <v>739.096</v>
      </c>
      <c r="I75" s="404">
        <v>0.99977</v>
      </c>
      <c r="J75" s="404">
        <v>0.536568</v>
      </c>
      <c r="K75" s="406">
        <v>2376.2</v>
      </c>
      <c r="L75" s="407"/>
      <c r="M75" s="408">
        <f t="shared" si="1"/>
        <v>1.026433733</v>
      </c>
      <c r="N75" s="409">
        <f t="shared" si="2"/>
        <v>2315.005756</v>
      </c>
      <c r="O75" s="410" t="s">
        <v>12</v>
      </c>
      <c r="P75" s="411" t="s">
        <v>874</v>
      </c>
      <c r="Q75" s="424"/>
      <c r="R75" s="83"/>
      <c r="S75" s="83"/>
      <c r="T75" s="83"/>
      <c r="U75" s="83"/>
      <c r="V75" s="83"/>
      <c r="W75" s="83"/>
      <c r="X75" s="83"/>
      <c r="Y75" s="83"/>
      <c r="Z75" s="83"/>
      <c r="AA75" s="83"/>
      <c r="AB75" s="83"/>
      <c r="AC75" s="83"/>
      <c r="AD75" s="83"/>
    </row>
    <row r="76">
      <c r="A76" s="404" t="s">
        <v>862</v>
      </c>
      <c r="B76" s="404">
        <v>236.0</v>
      </c>
      <c r="C76" s="405">
        <v>45544.618055555555</v>
      </c>
      <c r="D76" s="404">
        <v>20.0</v>
      </c>
      <c r="E76" s="404">
        <v>0.088571</v>
      </c>
      <c r="F76" s="404">
        <v>38.0</v>
      </c>
      <c r="G76" s="404">
        <v>22.5</v>
      </c>
      <c r="H76" s="404">
        <v>742.2593</v>
      </c>
      <c r="I76" s="404">
        <v>0.999749</v>
      </c>
      <c r="J76" s="404">
        <v>0.534095</v>
      </c>
      <c r="K76" s="406">
        <v>2365.3</v>
      </c>
      <c r="L76" s="407"/>
      <c r="M76" s="408">
        <f t="shared" si="1"/>
        <v>1.026357684</v>
      </c>
      <c r="N76" s="409">
        <f t="shared" si="2"/>
        <v>2304.55721</v>
      </c>
      <c r="O76" s="410" t="s">
        <v>12</v>
      </c>
      <c r="P76" s="411" t="s">
        <v>874</v>
      </c>
      <c r="Q76" s="424"/>
      <c r="R76" s="83"/>
      <c r="S76" s="83"/>
      <c r="T76" s="83"/>
      <c r="U76" s="83"/>
      <c r="V76" s="83"/>
      <c r="W76" s="83"/>
      <c r="X76" s="83"/>
      <c r="Y76" s="83"/>
      <c r="Z76" s="83"/>
      <c r="AA76" s="83"/>
      <c r="AB76" s="83"/>
      <c r="AC76" s="83"/>
      <c r="AD76" s="83"/>
    </row>
    <row r="77">
      <c r="A77" s="404" t="s">
        <v>863</v>
      </c>
      <c r="B77" s="404">
        <v>274.0</v>
      </c>
      <c r="C77" s="405">
        <v>45544.62430555555</v>
      </c>
      <c r="D77" s="404">
        <v>20.0</v>
      </c>
      <c r="E77" s="404">
        <v>0.088571</v>
      </c>
      <c r="F77" s="404">
        <v>36.0</v>
      </c>
      <c r="G77" s="404">
        <v>22.5</v>
      </c>
      <c r="H77" s="404">
        <v>741.0733</v>
      </c>
      <c r="I77" s="404">
        <v>0.999787</v>
      </c>
      <c r="J77" s="404">
        <v>0.537042</v>
      </c>
      <c r="K77" s="406">
        <v>2378.3</v>
      </c>
      <c r="L77" s="407"/>
      <c r="M77" s="408">
        <f t="shared" si="1"/>
        <v>1.024837628</v>
      </c>
      <c r="N77" s="409">
        <f t="shared" si="2"/>
        <v>2320.660302</v>
      </c>
      <c r="O77" s="410" t="s">
        <v>12</v>
      </c>
      <c r="P77" s="411" t="s">
        <v>874</v>
      </c>
      <c r="Q77" s="424"/>
      <c r="R77" s="83"/>
      <c r="S77" s="83"/>
      <c r="T77" s="83"/>
      <c r="U77" s="83"/>
      <c r="V77" s="83"/>
      <c r="W77" s="83"/>
      <c r="X77" s="83"/>
      <c r="Y77" s="83"/>
      <c r="Z77" s="83"/>
      <c r="AA77" s="83"/>
      <c r="AB77" s="83"/>
      <c r="AC77" s="83"/>
      <c r="AD77" s="83"/>
    </row>
    <row r="78">
      <c r="A78" s="404" t="s">
        <v>864</v>
      </c>
      <c r="B78" s="404">
        <v>275.0</v>
      </c>
      <c r="C78" s="405">
        <v>45544.63055555556</v>
      </c>
      <c r="D78" s="404">
        <v>20.0</v>
      </c>
      <c r="E78" s="404">
        <v>0.088571</v>
      </c>
      <c r="F78" s="404">
        <v>36.0</v>
      </c>
      <c r="G78" s="404">
        <v>22.5</v>
      </c>
      <c r="H78" s="404">
        <v>739.7148</v>
      </c>
      <c r="I78" s="404">
        <v>0.99979</v>
      </c>
      <c r="J78" s="404">
        <v>0.53784</v>
      </c>
      <c r="K78" s="406">
        <v>2381.8</v>
      </c>
      <c r="L78" s="407"/>
      <c r="M78" s="408">
        <f t="shared" si="1"/>
        <v>1.024837628</v>
      </c>
      <c r="N78" s="409">
        <f t="shared" si="2"/>
        <v>2324.075477</v>
      </c>
      <c r="O78" s="410" t="s">
        <v>12</v>
      </c>
      <c r="P78" s="411" t="s">
        <v>874</v>
      </c>
      <c r="Q78" s="424"/>
      <c r="R78" s="83"/>
      <c r="S78" s="83"/>
      <c r="T78" s="83"/>
      <c r="U78" s="83"/>
      <c r="V78" s="83"/>
      <c r="W78" s="83"/>
      <c r="X78" s="83"/>
      <c r="Y78" s="83"/>
      <c r="Z78" s="83"/>
      <c r="AA78" s="83"/>
      <c r="AB78" s="83"/>
      <c r="AC78" s="83"/>
      <c r="AD78" s="83"/>
    </row>
    <row r="79">
      <c r="A79" s="420" t="s">
        <v>865</v>
      </c>
      <c r="B79" s="420" t="s">
        <v>639</v>
      </c>
      <c r="C79" s="421">
        <v>45544.6375</v>
      </c>
      <c r="D79" s="420">
        <v>20.0</v>
      </c>
      <c r="E79" s="420">
        <v>0.088571</v>
      </c>
      <c r="F79" s="420">
        <v>33.2</v>
      </c>
      <c r="G79" s="420">
        <v>22.5</v>
      </c>
      <c r="H79" s="420">
        <v>740.2691</v>
      </c>
      <c r="I79" s="420">
        <v>0.999784</v>
      </c>
      <c r="J79" s="420">
        <v>0.508758</v>
      </c>
      <c r="K79" s="422">
        <v>2253.1</v>
      </c>
      <c r="L79" s="407"/>
      <c r="M79" s="408">
        <f t="shared" si="1"/>
        <v>1.02271245</v>
      </c>
      <c r="N79" s="409">
        <f t="shared" si="2"/>
        <v>2203.06304</v>
      </c>
      <c r="O79" s="410" t="s">
        <v>12</v>
      </c>
      <c r="P79" s="411" t="s">
        <v>874</v>
      </c>
      <c r="Q79" s="424"/>
      <c r="R79" s="83"/>
      <c r="S79" s="83"/>
      <c r="T79" s="83"/>
      <c r="U79" s="83"/>
      <c r="V79" s="83"/>
      <c r="W79" s="83"/>
      <c r="X79" s="83"/>
      <c r="Y79" s="83"/>
      <c r="Z79" s="83"/>
      <c r="AA79" s="83"/>
      <c r="AB79" s="83"/>
      <c r="AC79" s="83"/>
      <c r="AD79" s="83"/>
    </row>
    <row r="80">
      <c r="A80" s="404" t="s">
        <v>866</v>
      </c>
      <c r="B80" s="404">
        <v>287.0</v>
      </c>
      <c r="C80" s="405">
        <v>45544.645833333336</v>
      </c>
      <c r="D80" s="404">
        <v>20.0</v>
      </c>
      <c r="E80" s="404">
        <v>0.088571</v>
      </c>
      <c r="F80" s="404">
        <v>36.0</v>
      </c>
      <c r="G80" s="404">
        <v>22.5</v>
      </c>
      <c r="H80" s="404">
        <v>741.005</v>
      </c>
      <c r="I80" s="404">
        <v>0.999785</v>
      </c>
      <c r="J80" s="404">
        <v>0.5392</v>
      </c>
      <c r="K80" s="406">
        <v>2387.9</v>
      </c>
      <c r="L80" s="407"/>
      <c r="M80" s="408">
        <f t="shared" si="1"/>
        <v>1.024837628</v>
      </c>
      <c r="N80" s="409">
        <f t="shared" si="2"/>
        <v>2330.027639</v>
      </c>
      <c r="O80" s="410" t="s">
        <v>12</v>
      </c>
      <c r="P80" s="411" t="s">
        <v>874</v>
      </c>
      <c r="Q80" s="425"/>
      <c r="R80" s="83"/>
      <c r="S80" s="83"/>
      <c r="T80" s="83"/>
      <c r="U80" s="83"/>
      <c r="V80" s="83"/>
      <c r="W80" s="83"/>
      <c r="X80" s="83"/>
      <c r="Y80" s="83"/>
      <c r="Z80" s="83"/>
      <c r="AA80" s="83"/>
      <c r="AB80" s="83"/>
      <c r="AC80" s="83"/>
      <c r="AD80" s="83"/>
    </row>
    <row r="81">
      <c r="A81" s="404" t="s">
        <v>867</v>
      </c>
      <c r="B81" s="404">
        <v>288.0</v>
      </c>
      <c r="C81" s="405">
        <v>45544.65138888889</v>
      </c>
      <c r="D81" s="404">
        <v>20.0</v>
      </c>
      <c r="E81" s="404">
        <v>0.088571</v>
      </c>
      <c r="F81" s="404">
        <v>36.1</v>
      </c>
      <c r="G81" s="404">
        <v>22.5</v>
      </c>
      <c r="H81" s="404">
        <v>739.7648</v>
      </c>
      <c r="I81" s="404">
        <v>0.99979</v>
      </c>
      <c r="J81" s="404">
        <v>0.53926</v>
      </c>
      <c r="K81" s="406">
        <v>2388.1</v>
      </c>
      <c r="L81" s="407"/>
      <c r="M81" s="408">
        <f t="shared" si="1"/>
        <v>1.024913589</v>
      </c>
      <c r="N81" s="409">
        <f t="shared" si="2"/>
        <v>2330.050089</v>
      </c>
      <c r="O81" s="410" t="s">
        <v>12</v>
      </c>
      <c r="P81" s="411" t="s">
        <v>874</v>
      </c>
      <c r="Q81" s="425"/>
      <c r="R81" s="83"/>
      <c r="S81" s="83"/>
      <c r="T81" s="83"/>
      <c r="U81" s="83"/>
      <c r="V81" s="83"/>
      <c r="W81" s="83"/>
      <c r="X81" s="83"/>
      <c r="Y81" s="83"/>
      <c r="Z81" s="83"/>
      <c r="AA81" s="83"/>
      <c r="AB81" s="83"/>
      <c r="AC81" s="83"/>
      <c r="AD81" s="83"/>
    </row>
    <row r="82">
      <c r="A82" s="404" t="s">
        <v>868</v>
      </c>
      <c r="B82" s="404">
        <v>300.0</v>
      </c>
      <c r="C82" s="405">
        <v>45544.65694444445</v>
      </c>
      <c r="D82" s="404">
        <v>20.0</v>
      </c>
      <c r="E82" s="404">
        <v>0.088571</v>
      </c>
      <c r="F82" s="404">
        <v>36.6</v>
      </c>
      <c r="G82" s="404">
        <v>22.5</v>
      </c>
      <c r="H82" s="404">
        <v>742.2174</v>
      </c>
      <c r="I82" s="404">
        <v>0.999772</v>
      </c>
      <c r="J82" s="404">
        <v>0.546019</v>
      </c>
      <c r="K82" s="406">
        <v>2418.1</v>
      </c>
      <c r="L82" s="407"/>
      <c r="M82" s="408">
        <f t="shared" si="1"/>
        <v>1.02529346</v>
      </c>
      <c r="N82" s="409">
        <f t="shared" si="2"/>
        <v>2358.446722</v>
      </c>
      <c r="O82" s="410" t="s">
        <v>12</v>
      </c>
      <c r="P82" s="411" t="s">
        <v>874</v>
      </c>
      <c r="Q82" s="425"/>
      <c r="R82" s="83"/>
      <c r="S82" s="83"/>
      <c r="T82" s="83"/>
      <c r="U82" s="83"/>
      <c r="V82" s="83"/>
      <c r="W82" s="83"/>
      <c r="X82" s="83"/>
      <c r="Y82" s="83"/>
      <c r="Z82" s="83"/>
      <c r="AA82" s="83"/>
      <c r="AB82" s="83"/>
      <c r="AC82" s="83"/>
      <c r="AD82" s="83"/>
    </row>
    <row r="83">
      <c r="A83" s="404" t="s">
        <v>869</v>
      </c>
      <c r="B83" s="404">
        <v>301.0</v>
      </c>
      <c r="C83" s="405">
        <v>45544.66388888889</v>
      </c>
      <c r="D83" s="404">
        <v>20.0</v>
      </c>
      <c r="E83" s="404">
        <v>0.088571</v>
      </c>
      <c r="F83" s="404">
        <v>36.6</v>
      </c>
      <c r="G83" s="404">
        <v>22.5</v>
      </c>
      <c r="H83" s="404">
        <v>744.8726</v>
      </c>
      <c r="I83" s="404">
        <v>0.999805</v>
      </c>
      <c r="J83" s="404">
        <v>0.545779</v>
      </c>
      <c r="K83" s="406">
        <v>2417.0</v>
      </c>
      <c r="L83" s="407"/>
      <c r="M83" s="408">
        <f t="shared" si="1"/>
        <v>1.02529346</v>
      </c>
      <c r="N83" s="409">
        <f t="shared" si="2"/>
        <v>2357.373858</v>
      </c>
      <c r="O83" s="410" t="s">
        <v>12</v>
      </c>
      <c r="P83" s="411" t="s">
        <v>874</v>
      </c>
      <c r="Q83" s="425"/>
      <c r="R83" s="83"/>
      <c r="S83" s="83"/>
      <c r="T83" s="83"/>
      <c r="U83" s="83"/>
      <c r="V83" s="83"/>
      <c r="W83" s="83"/>
      <c r="X83" s="83"/>
      <c r="Y83" s="83"/>
      <c r="Z83" s="83"/>
      <c r="AA83" s="83"/>
      <c r="AB83" s="83"/>
      <c r="AC83" s="83"/>
      <c r="AD83" s="83"/>
    </row>
    <row r="84">
      <c r="A84" s="404" t="s">
        <v>870</v>
      </c>
      <c r="B84" s="404">
        <v>313.0</v>
      </c>
      <c r="C84" s="405">
        <v>45544.67083333333</v>
      </c>
      <c r="D84" s="404">
        <v>20.0</v>
      </c>
      <c r="E84" s="404">
        <v>0.088571</v>
      </c>
      <c r="F84" s="404">
        <v>36.1</v>
      </c>
      <c r="G84" s="404">
        <v>22.5</v>
      </c>
      <c r="H84" s="404">
        <v>740.9766</v>
      </c>
      <c r="I84" s="404">
        <v>0.999789</v>
      </c>
      <c r="J84" s="404">
        <v>0.539445</v>
      </c>
      <c r="K84" s="406">
        <v>2389.0</v>
      </c>
      <c r="L84" s="407"/>
      <c r="M84" s="408">
        <f t="shared" si="1"/>
        <v>1.024913589</v>
      </c>
      <c r="N84" s="409">
        <f t="shared" si="2"/>
        <v>2330.928211</v>
      </c>
      <c r="O84" s="410" t="s">
        <v>12</v>
      </c>
      <c r="P84" s="411" t="s">
        <v>874</v>
      </c>
      <c r="Q84" s="425"/>
      <c r="R84" s="83"/>
      <c r="S84" s="83"/>
      <c r="T84" s="83"/>
      <c r="U84" s="83"/>
      <c r="V84" s="83"/>
      <c r="W84" s="83"/>
      <c r="X84" s="83"/>
      <c r="Y84" s="83"/>
      <c r="Z84" s="83"/>
      <c r="AA84" s="83"/>
      <c r="AB84" s="83"/>
      <c r="AC84" s="83"/>
      <c r="AD84" s="83"/>
    </row>
    <row r="85">
      <c r="A85" s="420" t="s">
        <v>871</v>
      </c>
      <c r="B85" s="420">
        <v>314.0</v>
      </c>
      <c r="C85" s="421">
        <v>45544.67638888889</v>
      </c>
      <c r="D85" s="420">
        <v>20.0</v>
      </c>
      <c r="E85" s="420">
        <v>0.088571</v>
      </c>
      <c r="F85" s="420">
        <v>36.2</v>
      </c>
      <c r="G85" s="420">
        <v>22.5</v>
      </c>
      <c r="H85" s="420">
        <v>776.3241</v>
      </c>
      <c r="I85" s="420">
        <v>0.999775</v>
      </c>
      <c r="J85" s="420">
        <v>1.453422</v>
      </c>
      <c r="K85" s="422">
        <v>6436.6</v>
      </c>
      <c r="L85" s="414" t="s">
        <v>893</v>
      </c>
      <c r="M85" s="408">
        <f t="shared" si="1"/>
        <v>1.024989555</v>
      </c>
      <c r="N85" s="409">
        <f t="shared" si="2"/>
        <v>6279.673748</v>
      </c>
      <c r="O85" s="410" t="s">
        <v>534</v>
      </c>
      <c r="P85" s="411" t="s">
        <v>874</v>
      </c>
      <c r="Q85" s="425"/>
      <c r="R85" s="83"/>
      <c r="S85" s="83"/>
      <c r="T85" s="83"/>
      <c r="U85" s="83"/>
      <c r="V85" s="83"/>
      <c r="W85" s="83"/>
      <c r="X85" s="83"/>
      <c r="Y85" s="83"/>
      <c r="Z85" s="83"/>
      <c r="AA85" s="83"/>
      <c r="AB85" s="83"/>
      <c r="AC85" s="83"/>
      <c r="AD85" s="83"/>
    </row>
    <row r="86">
      <c r="A86" s="420" t="s">
        <v>872</v>
      </c>
      <c r="B86" s="420">
        <v>314.0</v>
      </c>
      <c r="C86" s="421">
        <v>45544.688888888886</v>
      </c>
      <c r="D86" s="420">
        <v>20.0</v>
      </c>
      <c r="E86" s="420">
        <v>0.088571</v>
      </c>
      <c r="F86" s="420">
        <v>36.1</v>
      </c>
      <c r="G86" s="420">
        <v>22.5</v>
      </c>
      <c r="H86" s="420">
        <v>0.0</v>
      </c>
      <c r="I86" s="420">
        <v>0.0</v>
      </c>
      <c r="J86" s="420">
        <v>0.0</v>
      </c>
      <c r="K86" s="422">
        <v>0.0</v>
      </c>
      <c r="L86" s="414" t="s">
        <v>843</v>
      </c>
      <c r="M86" s="408">
        <f t="shared" si="1"/>
        <v>1.024913589</v>
      </c>
      <c r="N86" s="409">
        <f t="shared" si="2"/>
        <v>0</v>
      </c>
      <c r="O86" s="410" t="s">
        <v>534</v>
      </c>
      <c r="P86" s="411" t="s">
        <v>874</v>
      </c>
      <c r="Q86" s="425"/>
      <c r="R86" s="83"/>
      <c r="S86" s="83"/>
      <c r="T86" s="83"/>
      <c r="U86" s="83"/>
      <c r="V86" s="83"/>
      <c r="W86" s="83"/>
      <c r="X86" s="83"/>
      <c r="Y86" s="83"/>
      <c r="Z86" s="83"/>
      <c r="AA86" s="83"/>
      <c r="AB86" s="83"/>
      <c r="AC86" s="83"/>
      <c r="AD86" s="83"/>
    </row>
    <row r="87">
      <c r="A87" s="414" t="s">
        <v>894</v>
      </c>
      <c r="B87" s="414">
        <v>314.0</v>
      </c>
      <c r="C87" s="426">
        <v>45544.69097222222</v>
      </c>
      <c r="D87" s="414">
        <v>20.0</v>
      </c>
      <c r="E87" s="414">
        <v>0.088571</v>
      </c>
      <c r="F87" s="414">
        <v>36.1</v>
      </c>
      <c r="G87" s="414">
        <v>22.5</v>
      </c>
      <c r="H87" s="414">
        <v>744.1007</v>
      </c>
      <c r="I87" s="414">
        <v>0.999756</v>
      </c>
      <c r="J87" s="414">
        <v>0.540227</v>
      </c>
      <c r="K87" s="427">
        <v>2392.4</v>
      </c>
      <c r="L87" s="414" t="s">
        <v>509</v>
      </c>
      <c r="M87" s="408">
        <f t="shared" si="1"/>
        <v>1.024913589</v>
      </c>
      <c r="N87" s="409">
        <f t="shared" si="2"/>
        <v>2334.245564</v>
      </c>
      <c r="O87" s="410" t="s">
        <v>12</v>
      </c>
      <c r="P87" s="411" t="s">
        <v>874</v>
      </c>
      <c r="Q87" s="425"/>
      <c r="R87" s="83"/>
      <c r="S87" s="83"/>
      <c r="T87" s="83"/>
      <c r="U87" s="83"/>
      <c r="V87" s="83"/>
      <c r="W87" s="83"/>
      <c r="X87" s="83"/>
      <c r="Y87" s="83"/>
      <c r="Z87" s="83"/>
      <c r="AA87" s="83"/>
      <c r="AB87" s="83"/>
      <c r="AC87" s="83"/>
      <c r="AD87" s="83"/>
    </row>
    <row r="88">
      <c r="A88" s="404" t="s">
        <v>895</v>
      </c>
      <c r="B88" s="404">
        <v>326.0</v>
      </c>
      <c r="C88" s="405">
        <v>45544.69652777778</v>
      </c>
      <c r="D88" s="404">
        <v>20.0</v>
      </c>
      <c r="E88" s="404">
        <v>0.088571</v>
      </c>
      <c r="F88" s="404">
        <v>36.1</v>
      </c>
      <c r="G88" s="404">
        <v>22.5</v>
      </c>
      <c r="H88" s="404">
        <v>742.3415</v>
      </c>
      <c r="I88" s="404">
        <v>0.999779</v>
      </c>
      <c r="J88" s="404">
        <v>0.540783</v>
      </c>
      <c r="K88" s="406">
        <v>2394.9</v>
      </c>
      <c r="L88" s="407"/>
      <c r="M88" s="408">
        <f t="shared" si="1"/>
        <v>1.024913589</v>
      </c>
      <c r="N88" s="409">
        <f t="shared" si="2"/>
        <v>2336.684794</v>
      </c>
      <c r="O88" s="410" t="s">
        <v>12</v>
      </c>
      <c r="P88" s="411" t="s">
        <v>874</v>
      </c>
      <c r="Q88" s="425"/>
      <c r="R88" s="83"/>
      <c r="S88" s="83"/>
      <c r="T88" s="83"/>
      <c r="U88" s="83"/>
      <c r="V88" s="83"/>
      <c r="W88" s="83"/>
      <c r="X88" s="83"/>
      <c r="Y88" s="83"/>
      <c r="Z88" s="83"/>
      <c r="AA88" s="83"/>
      <c r="AB88" s="83"/>
      <c r="AC88" s="83"/>
      <c r="AD88" s="83"/>
    </row>
    <row r="89">
      <c r="A89" s="404" t="s">
        <v>896</v>
      </c>
      <c r="B89" s="404">
        <v>327.0</v>
      </c>
      <c r="C89" s="405">
        <v>45544.70416666667</v>
      </c>
      <c r="D89" s="404">
        <v>20.0</v>
      </c>
      <c r="E89" s="404">
        <v>0.088571</v>
      </c>
      <c r="F89" s="404">
        <v>36.2</v>
      </c>
      <c r="G89" s="404">
        <v>22.5</v>
      </c>
      <c r="H89" s="404">
        <v>740.3923</v>
      </c>
      <c r="I89" s="404">
        <v>0.999769</v>
      </c>
      <c r="J89" s="404">
        <v>0.539537</v>
      </c>
      <c r="K89" s="406">
        <v>2389.4</v>
      </c>
      <c r="L89" s="407"/>
      <c r="M89" s="408">
        <f t="shared" si="1"/>
        <v>1.024989555</v>
      </c>
      <c r="N89" s="409">
        <f t="shared" si="2"/>
        <v>2331.145706</v>
      </c>
      <c r="O89" s="410" t="s">
        <v>12</v>
      </c>
      <c r="P89" s="411" t="s">
        <v>874</v>
      </c>
      <c r="Q89" s="425"/>
      <c r="R89" s="83"/>
      <c r="S89" s="83"/>
      <c r="T89" s="83"/>
      <c r="U89" s="83"/>
      <c r="V89" s="83"/>
      <c r="W89" s="83"/>
      <c r="X89" s="83"/>
      <c r="Y89" s="83"/>
      <c r="Z89" s="83"/>
      <c r="AA89" s="83"/>
      <c r="AB89" s="83"/>
      <c r="AC89" s="83"/>
      <c r="AD89" s="83"/>
    </row>
    <row r="90">
      <c r="A90" s="404" t="s">
        <v>897</v>
      </c>
      <c r="B90" s="404">
        <v>261.0</v>
      </c>
      <c r="C90" s="405">
        <v>45544.71111111111</v>
      </c>
      <c r="D90" s="404">
        <v>20.0</v>
      </c>
      <c r="E90" s="404">
        <v>0.088571</v>
      </c>
      <c r="F90" s="404">
        <v>37.8</v>
      </c>
      <c r="G90" s="404">
        <v>22.5</v>
      </c>
      <c r="H90" s="404">
        <v>739.9005</v>
      </c>
      <c r="I90" s="404">
        <v>0.999804</v>
      </c>
      <c r="J90" s="404">
        <v>0.536406</v>
      </c>
      <c r="K90" s="406">
        <v>2375.5</v>
      </c>
      <c r="L90" s="407"/>
      <c r="M90" s="408">
        <f t="shared" si="1"/>
        <v>1.026205599</v>
      </c>
      <c r="N90" s="409">
        <f t="shared" si="2"/>
        <v>2314.838277</v>
      </c>
      <c r="O90" s="410" t="s">
        <v>12</v>
      </c>
      <c r="P90" s="411" t="s">
        <v>874</v>
      </c>
      <c r="Q90" s="425"/>
      <c r="R90" s="83"/>
      <c r="S90" s="83"/>
      <c r="T90" s="83"/>
      <c r="U90" s="83"/>
      <c r="V90" s="83"/>
      <c r="W90" s="83"/>
      <c r="X90" s="83"/>
      <c r="Y90" s="83"/>
      <c r="Z90" s="83"/>
      <c r="AA90" s="83"/>
      <c r="AB90" s="83"/>
      <c r="AC90" s="83"/>
      <c r="AD90" s="83"/>
    </row>
    <row r="91">
      <c r="A91" s="404" t="s">
        <v>898</v>
      </c>
      <c r="B91" s="404">
        <v>262.0</v>
      </c>
      <c r="C91" s="405">
        <v>45544.717361111114</v>
      </c>
      <c r="D91" s="404">
        <v>20.0</v>
      </c>
      <c r="E91" s="404">
        <v>0.088571</v>
      </c>
      <c r="F91" s="404">
        <v>37.9</v>
      </c>
      <c r="G91" s="404">
        <v>22.5</v>
      </c>
      <c r="H91" s="404">
        <v>740.4377</v>
      </c>
      <c r="I91" s="404">
        <v>0.999738</v>
      </c>
      <c r="J91" s="404">
        <v>0.536842</v>
      </c>
      <c r="K91" s="406">
        <v>2377.4</v>
      </c>
      <c r="L91" s="407"/>
      <c r="M91" s="408">
        <f t="shared" si="1"/>
        <v>1.026281639</v>
      </c>
      <c r="N91" s="409">
        <f t="shared" si="2"/>
        <v>2316.518107</v>
      </c>
      <c r="O91" s="410" t="s">
        <v>12</v>
      </c>
      <c r="P91" s="411" t="s">
        <v>874</v>
      </c>
      <c r="Q91" s="425"/>
      <c r="R91" s="428"/>
      <c r="S91" s="428"/>
      <c r="T91" s="83"/>
      <c r="U91" s="83"/>
      <c r="V91" s="83"/>
      <c r="W91" s="83"/>
      <c r="X91" s="83"/>
      <c r="Y91" s="83"/>
      <c r="Z91" s="83"/>
      <c r="AA91" s="83"/>
      <c r="AB91" s="83"/>
      <c r="AC91" s="83"/>
      <c r="AD91" s="83"/>
    </row>
    <row r="92">
      <c r="A92" s="420" t="s">
        <v>899</v>
      </c>
      <c r="B92" s="420" t="s">
        <v>639</v>
      </c>
      <c r="C92" s="421">
        <v>45544.72361111111</v>
      </c>
      <c r="D92" s="420">
        <v>20.0</v>
      </c>
      <c r="E92" s="420">
        <v>0.088571</v>
      </c>
      <c r="F92" s="420">
        <v>33.2</v>
      </c>
      <c r="G92" s="420">
        <v>22.5</v>
      </c>
      <c r="H92" s="420">
        <v>737.9294</v>
      </c>
      <c r="I92" s="420">
        <v>0.999782</v>
      </c>
      <c r="J92" s="420">
        <v>0.509094</v>
      </c>
      <c r="K92" s="422">
        <v>2254.5</v>
      </c>
      <c r="L92" s="407"/>
      <c r="M92" s="408">
        <f t="shared" si="1"/>
        <v>1.02271245</v>
      </c>
      <c r="N92" s="409">
        <f t="shared" si="2"/>
        <v>2204.431949</v>
      </c>
      <c r="O92" s="410" t="s">
        <v>12</v>
      </c>
      <c r="P92" s="411" t="s">
        <v>874</v>
      </c>
      <c r="Q92" s="425"/>
      <c r="R92" s="428"/>
      <c r="S92" s="428"/>
      <c r="T92" s="83"/>
      <c r="U92" s="83"/>
      <c r="V92" s="83"/>
      <c r="W92" s="83"/>
      <c r="X92" s="83"/>
      <c r="Y92" s="83"/>
      <c r="Z92" s="83"/>
      <c r="AA92" s="83"/>
      <c r="AB92" s="83"/>
      <c r="AC92" s="83"/>
      <c r="AD92" s="83"/>
    </row>
    <row r="93">
      <c r="A93" s="404" t="s">
        <v>827</v>
      </c>
      <c r="B93" s="404" t="s">
        <v>639</v>
      </c>
      <c r="C93" s="405">
        <v>45547.39166666667</v>
      </c>
      <c r="D93" s="404">
        <v>20.0</v>
      </c>
      <c r="E93" s="404">
        <v>0.088571</v>
      </c>
      <c r="F93" s="404">
        <v>33.2</v>
      </c>
      <c r="G93" s="404">
        <v>22.5</v>
      </c>
      <c r="H93" s="404">
        <v>0.0</v>
      </c>
      <c r="I93" s="404">
        <v>0.0</v>
      </c>
      <c r="J93" s="404">
        <v>0.0</v>
      </c>
      <c r="K93" s="406">
        <v>0.0</v>
      </c>
      <c r="L93" s="414" t="s">
        <v>843</v>
      </c>
      <c r="M93" s="408">
        <f t="shared" si="1"/>
        <v>1.02271245</v>
      </c>
      <c r="N93" s="409">
        <f t="shared" si="2"/>
        <v>0</v>
      </c>
      <c r="O93" s="410" t="s">
        <v>12</v>
      </c>
      <c r="P93" s="411" t="s">
        <v>874</v>
      </c>
      <c r="Q93" s="425"/>
      <c r="R93" s="428"/>
      <c r="S93" s="428"/>
      <c r="T93" s="83"/>
      <c r="U93" s="83"/>
      <c r="V93" s="83"/>
      <c r="W93" s="83"/>
      <c r="X93" s="83"/>
      <c r="Y93" s="83"/>
      <c r="Z93" s="83"/>
      <c r="AA93" s="83"/>
      <c r="AB93" s="83"/>
      <c r="AC93" s="83"/>
      <c r="AD93" s="83"/>
    </row>
    <row r="94">
      <c r="A94" s="404" t="s">
        <v>831</v>
      </c>
      <c r="B94" s="404" t="s">
        <v>639</v>
      </c>
      <c r="C94" s="405">
        <v>45547.402083333334</v>
      </c>
      <c r="D94" s="404">
        <v>20.0</v>
      </c>
      <c r="E94" s="404">
        <v>0.088571</v>
      </c>
      <c r="F94" s="404">
        <v>33.2</v>
      </c>
      <c r="G94" s="404">
        <v>22.5</v>
      </c>
      <c r="H94" s="404">
        <v>0.0</v>
      </c>
      <c r="I94" s="404">
        <v>0.0</v>
      </c>
      <c r="J94" s="404">
        <v>0.0</v>
      </c>
      <c r="K94" s="406">
        <v>0.0</v>
      </c>
      <c r="L94" s="414" t="s">
        <v>843</v>
      </c>
      <c r="M94" s="408">
        <f t="shared" si="1"/>
        <v>1.02271245</v>
      </c>
      <c r="N94" s="409">
        <f t="shared" si="2"/>
        <v>0</v>
      </c>
      <c r="O94" s="410" t="s">
        <v>12</v>
      </c>
      <c r="P94" s="411" t="s">
        <v>874</v>
      </c>
      <c r="Q94" s="425"/>
      <c r="R94" s="428"/>
      <c r="S94" s="428"/>
      <c r="T94" s="83"/>
      <c r="U94" s="83"/>
      <c r="V94" s="83"/>
      <c r="W94" s="83"/>
      <c r="X94" s="83"/>
      <c r="Y94" s="83"/>
      <c r="Z94" s="83"/>
      <c r="AA94" s="83"/>
      <c r="AB94" s="83"/>
      <c r="AC94" s="83"/>
      <c r="AD94" s="83"/>
    </row>
    <row r="95">
      <c r="A95" s="404" t="s">
        <v>832</v>
      </c>
      <c r="B95" s="404" t="s">
        <v>639</v>
      </c>
      <c r="C95" s="405">
        <v>45547.40555555555</v>
      </c>
      <c r="D95" s="404">
        <v>20.0</v>
      </c>
      <c r="E95" s="404">
        <v>0.088571</v>
      </c>
      <c r="F95" s="404">
        <v>33.2</v>
      </c>
      <c r="G95" s="404">
        <v>22.5</v>
      </c>
      <c r="H95" s="404">
        <v>750.0232</v>
      </c>
      <c r="I95" s="404">
        <v>0.999744</v>
      </c>
      <c r="J95" s="404">
        <v>1.861777</v>
      </c>
      <c r="K95" s="406">
        <v>8245.0</v>
      </c>
      <c r="L95" s="407"/>
      <c r="M95" s="408">
        <f t="shared" si="1"/>
        <v>1.02271245</v>
      </c>
      <c r="N95" s="409">
        <f t="shared" si="2"/>
        <v>8061.894619</v>
      </c>
      <c r="O95" s="410" t="s">
        <v>12</v>
      </c>
      <c r="P95" s="411" t="s">
        <v>874</v>
      </c>
      <c r="Q95" s="425"/>
      <c r="R95" s="428"/>
      <c r="S95" s="428"/>
      <c r="T95" s="83"/>
      <c r="U95" s="83"/>
      <c r="V95" s="83"/>
      <c r="W95" s="83"/>
      <c r="X95" s="83"/>
      <c r="Y95" s="83"/>
      <c r="Z95" s="83"/>
      <c r="AA95" s="83"/>
      <c r="AB95" s="83"/>
      <c r="AC95" s="83"/>
      <c r="AD95" s="83"/>
    </row>
    <row r="96">
      <c r="A96" s="404" t="s">
        <v>887</v>
      </c>
      <c r="B96" s="404" t="s">
        <v>639</v>
      </c>
      <c r="C96" s="405">
        <v>45547.41805555556</v>
      </c>
      <c r="D96" s="404">
        <v>20.0</v>
      </c>
      <c r="E96" s="404">
        <v>0.088571</v>
      </c>
      <c r="F96" s="404">
        <v>33.2</v>
      </c>
      <c r="G96" s="404">
        <v>22.5</v>
      </c>
      <c r="H96" s="404">
        <v>703.5067</v>
      </c>
      <c r="I96" s="404">
        <v>0.999724</v>
      </c>
      <c r="J96" s="404">
        <v>0.510066</v>
      </c>
      <c r="K96" s="406">
        <v>2258.9</v>
      </c>
      <c r="L96" s="414">
        <v>4232.824</v>
      </c>
      <c r="M96" s="408">
        <f t="shared" si="1"/>
        <v>1.02271245</v>
      </c>
      <c r="N96" s="409">
        <f t="shared" si="2"/>
        <v>2208.734233</v>
      </c>
      <c r="O96" s="410" t="s">
        <v>12</v>
      </c>
      <c r="P96" s="411" t="s">
        <v>874</v>
      </c>
      <c r="Q96" s="425"/>
      <c r="R96" s="428"/>
      <c r="S96" s="428"/>
      <c r="T96" s="83"/>
      <c r="U96" s="83"/>
      <c r="V96" s="83"/>
      <c r="W96" s="83"/>
      <c r="X96" s="83"/>
      <c r="Y96" s="83"/>
      <c r="Z96" s="83"/>
      <c r="AA96" s="83"/>
      <c r="AB96" s="83"/>
      <c r="AC96" s="83"/>
      <c r="AD96" s="83"/>
    </row>
    <row r="97">
      <c r="A97" s="404" t="s">
        <v>900</v>
      </c>
      <c r="B97" s="404" t="s">
        <v>639</v>
      </c>
      <c r="C97" s="405">
        <v>45547.42638888889</v>
      </c>
      <c r="D97" s="404">
        <v>20.0</v>
      </c>
      <c r="E97" s="404">
        <v>0.088571</v>
      </c>
      <c r="F97" s="404">
        <v>33.2</v>
      </c>
      <c r="G97" s="404">
        <v>22.5</v>
      </c>
      <c r="H97" s="404">
        <v>703.0764</v>
      </c>
      <c r="I97" s="404">
        <v>0.999739</v>
      </c>
      <c r="J97" s="404">
        <v>0.50976</v>
      </c>
      <c r="K97" s="406">
        <v>2257.5</v>
      </c>
      <c r="L97" s="414">
        <v>0.9585</v>
      </c>
      <c r="M97" s="408">
        <f t="shared" si="1"/>
        <v>1.02271245</v>
      </c>
      <c r="N97" s="409">
        <f t="shared" si="2"/>
        <v>2207.365325</v>
      </c>
      <c r="O97" s="410" t="s">
        <v>12</v>
      </c>
      <c r="P97" s="411" t="s">
        <v>874</v>
      </c>
      <c r="Q97" s="425"/>
      <c r="R97" s="429"/>
      <c r="T97" s="83"/>
      <c r="U97" s="83"/>
      <c r="V97" s="83"/>
      <c r="W97" s="83"/>
      <c r="X97" s="83"/>
      <c r="Y97" s="83"/>
      <c r="Z97" s="83"/>
      <c r="AA97" s="83"/>
      <c r="AB97" s="83"/>
      <c r="AC97" s="83"/>
      <c r="AD97" s="83"/>
    </row>
    <row r="98">
      <c r="A98" s="404" t="s">
        <v>901</v>
      </c>
      <c r="B98" s="404" t="s">
        <v>639</v>
      </c>
      <c r="C98" s="405">
        <v>45547.433333333334</v>
      </c>
      <c r="D98" s="404">
        <v>20.0</v>
      </c>
      <c r="E98" s="404">
        <v>0.088571</v>
      </c>
      <c r="F98" s="404">
        <v>33.2</v>
      </c>
      <c r="G98" s="404">
        <v>22.5</v>
      </c>
      <c r="H98" s="404">
        <v>702.3031</v>
      </c>
      <c r="I98" s="404">
        <v>0.999743</v>
      </c>
      <c r="J98" s="404">
        <v>0.509309</v>
      </c>
      <c r="K98" s="406">
        <v>2255.5</v>
      </c>
      <c r="L98" s="414">
        <v>1.4114</v>
      </c>
      <c r="M98" s="408">
        <f t="shared" si="1"/>
        <v>1.02271245</v>
      </c>
      <c r="N98" s="409">
        <f t="shared" si="2"/>
        <v>2205.409741</v>
      </c>
      <c r="O98" s="410" t="s">
        <v>12</v>
      </c>
      <c r="P98" s="411" t="s">
        <v>874</v>
      </c>
      <c r="Q98" s="425"/>
      <c r="R98" s="429"/>
      <c r="T98" s="83"/>
      <c r="U98" s="83"/>
      <c r="V98" s="83"/>
      <c r="W98" s="83"/>
      <c r="X98" s="83"/>
      <c r="Y98" s="83"/>
      <c r="Z98" s="83"/>
      <c r="AA98" s="83"/>
      <c r="AB98" s="83"/>
      <c r="AC98" s="83"/>
      <c r="AD98" s="83"/>
    </row>
    <row r="99">
      <c r="A99" s="404" t="s">
        <v>834</v>
      </c>
      <c r="B99" s="404" t="s">
        <v>744</v>
      </c>
      <c r="C99" s="405">
        <v>45547.44236111111</v>
      </c>
      <c r="D99" s="404">
        <v>20.0</v>
      </c>
      <c r="E99" s="404">
        <v>0.088571</v>
      </c>
      <c r="F99" s="404">
        <v>33.2</v>
      </c>
      <c r="G99" s="404">
        <v>22.5</v>
      </c>
      <c r="H99" s="404">
        <v>706.5349</v>
      </c>
      <c r="I99" s="404">
        <v>0.99973</v>
      </c>
      <c r="J99" s="404">
        <v>0.509657</v>
      </c>
      <c r="K99" s="406">
        <v>2257.0</v>
      </c>
      <c r="L99" s="407"/>
      <c r="M99" s="408">
        <f t="shared" si="1"/>
        <v>1.02271245</v>
      </c>
      <c r="N99" s="409">
        <f t="shared" si="2"/>
        <v>2206.876429</v>
      </c>
      <c r="O99" s="410" t="s">
        <v>12</v>
      </c>
      <c r="P99" s="411" t="s">
        <v>874</v>
      </c>
      <c r="Q99" s="425"/>
      <c r="R99" s="429"/>
      <c r="T99" s="83"/>
      <c r="U99" s="83"/>
      <c r="V99" s="83"/>
      <c r="W99" s="83"/>
      <c r="X99" s="83"/>
      <c r="Y99" s="83"/>
      <c r="Z99" s="83"/>
      <c r="AA99" s="83"/>
      <c r="AB99" s="83"/>
      <c r="AC99" s="83"/>
      <c r="AD99" s="83"/>
    </row>
    <row r="100">
      <c r="A100" s="404" t="s">
        <v>835</v>
      </c>
      <c r="B100" s="404" t="s">
        <v>744</v>
      </c>
      <c r="C100" s="405">
        <v>45547.447916666664</v>
      </c>
      <c r="D100" s="404">
        <v>20.0</v>
      </c>
      <c r="E100" s="404">
        <v>0.088571</v>
      </c>
      <c r="F100" s="404">
        <v>33.2</v>
      </c>
      <c r="G100" s="404">
        <v>22.5</v>
      </c>
      <c r="H100" s="404">
        <v>706.7836</v>
      </c>
      <c r="I100" s="404">
        <v>0.999712</v>
      </c>
      <c r="J100" s="404">
        <v>0.51044</v>
      </c>
      <c r="K100" s="406">
        <v>2260.5</v>
      </c>
      <c r="L100" s="414">
        <v>2.4511</v>
      </c>
      <c r="M100" s="408">
        <f t="shared" si="1"/>
        <v>1.02271245</v>
      </c>
      <c r="N100" s="409">
        <f t="shared" si="2"/>
        <v>2210.298701</v>
      </c>
      <c r="O100" s="410" t="s">
        <v>12</v>
      </c>
      <c r="P100" s="411" t="s">
        <v>874</v>
      </c>
      <c r="Q100" s="425"/>
      <c r="R100" s="429"/>
      <c r="T100" s="83"/>
      <c r="U100" s="83"/>
      <c r="V100" s="83"/>
      <c r="W100" s="83"/>
      <c r="X100" s="83"/>
      <c r="Y100" s="83"/>
      <c r="Z100" s="83"/>
      <c r="AA100" s="83"/>
      <c r="AB100" s="83"/>
      <c r="AC100" s="83"/>
      <c r="AD100" s="83"/>
    </row>
    <row r="101">
      <c r="A101" s="404" t="s">
        <v>837</v>
      </c>
      <c r="B101" s="404" t="s">
        <v>744</v>
      </c>
      <c r="C101" s="405">
        <v>45547.459027777775</v>
      </c>
      <c r="D101" s="404">
        <v>20.0</v>
      </c>
      <c r="E101" s="404">
        <v>0.088434</v>
      </c>
      <c r="F101" s="404">
        <v>1022.7</v>
      </c>
      <c r="G101" s="404">
        <v>22.5</v>
      </c>
      <c r="H101" s="404">
        <v>703.8126</v>
      </c>
      <c r="I101" s="404">
        <v>0.999746</v>
      </c>
      <c r="J101" s="404">
        <v>0.50968</v>
      </c>
      <c r="K101" s="406">
        <v>2253.7</v>
      </c>
      <c r="L101" s="414" t="s">
        <v>519</v>
      </c>
      <c r="M101" s="408">
        <f t="shared" si="1"/>
        <v>2.144093658</v>
      </c>
      <c r="N101" s="409">
        <f t="shared" si="2"/>
        <v>1051.120128</v>
      </c>
      <c r="O101" s="410" t="s">
        <v>534</v>
      </c>
      <c r="P101" s="411" t="s">
        <v>874</v>
      </c>
      <c r="Q101" s="430" t="s">
        <v>838</v>
      </c>
      <c r="R101" s="429"/>
      <c r="T101" s="83"/>
      <c r="U101" s="83"/>
      <c r="V101" s="83"/>
      <c r="W101" s="83"/>
      <c r="X101" s="83"/>
      <c r="Y101" s="83"/>
      <c r="Z101" s="83"/>
      <c r="AA101" s="83"/>
      <c r="AB101" s="83"/>
      <c r="AC101" s="83"/>
      <c r="AD101" s="83"/>
    </row>
    <row r="102">
      <c r="A102" s="404" t="s">
        <v>839</v>
      </c>
      <c r="B102" s="404" t="s">
        <v>744</v>
      </c>
      <c r="C102" s="405">
        <v>45547.46597222222</v>
      </c>
      <c r="D102" s="404">
        <v>20.0</v>
      </c>
      <c r="E102" s="404">
        <v>0.088613</v>
      </c>
      <c r="F102" s="404">
        <v>1022.7</v>
      </c>
      <c r="G102" s="404">
        <v>22.5</v>
      </c>
      <c r="H102" s="404">
        <v>702.2162</v>
      </c>
      <c r="I102" s="404">
        <v>0.999799</v>
      </c>
      <c r="J102" s="404">
        <v>0.508653</v>
      </c>
      <c r="K102" s="406">
        <v>2253.7</v>
      </c>
      <c r="L102" s="418">
        <v>2.0E-4</v>
      </c>
      <c r="M102" s="408">
        <f t="shared" si="1"/>
        <v>2.144093658</v>
      </c>
      <c r="N102" s="409">
        <f t="shared" si="2"/>
        <v>1051.120128</v>
      </c>
      <c r="O102" s="410" t="s">
        <v>534</v>
      </c>
      <c r="P102" s="411" t="s">
        <v>874</v>
      </c>
      <c r="Q102" s="430" t="s">
        <v>838</v>
      </c>
      <c r="R102" s="429"/>
      <c r="T102" s="83"/>
      <c r="U102" s="83"/>
      <c r="V102" s="83"/>
      <c r="W102" s="83"/>
      <c r="X102" s="83"/>
      <c r="Y102" s="83"/>
      <c r="Z102" s="83"/>
      <c r="AA102" s="83"/>
      <c r="AB102" s="83"/>
      <c r="AC102" s="83"/>
      <c r="AD102" s="83"/>
    </row>
    <row r="103">
      <c r="A103" s="404" t="s">
        <v>840</v>
      </c>
      <c r="B103" s="404" t="s">
        <v>744</v>
      </c>
      <c r="C103" s="405">
        <v>45547.472916666666</v>
      </c>
      <c r="D103" s="404">
        <v>20.0</v>
      </c>
      <c r="E103" s="404">
        <v>0.088594</v>
      </c>
      <c r="F103" s="404">
        <v>1022.7</v>
      </c>
      <c r="G103" s="404">
        <v>22.5</v>
      </c>
      <c r="H103" s="404">
        <v>705.0387</v>
      </c>
      <c r="I103" s="404">
        <v>0.999749</v>
      </c>
      <c r="J103" s="404">
        <v>0.508763</v>
      </c>
      <c r="K103" s="406">
        <v>2253.7</v>
      </c>
      <c r="L103" s="418">
        <v>2.0E-4</v>
      </c>
      <c r="M103" s="408">
        <f t="shared" si="1"/>
        <v>2.144093658</v>
      </c>
      <c r="N103" s="409">
        <f t="shared" si="2"/>
        <v>1051.120128</v>
      </c>
      <c r="O103" s="410" t="s">
        <v>534</v>
      </c>
      <c r="P103" s="411" t="s">
        <v>874</v>
      </c>
      <c r="Q103" s="430" t="s">
        <v>838</v>
      </c>
      <c r="R103" s="429"/>
      <c r="T103" s="83"/>
      <c r="U103" s="83"/>
      <c r="V103" s="83"/>
      <c r="W103" s="83"/>
      <c r="X103" s="83"/>
      <c r="Y103" s="83"/>
      <c r="Z103" s="83"/>
      <c r="AA103" s="83"/>
      <c r="AB103" s="83"/>
      <c r="AC103" s="83"/>
      <c r="AD103" s="83"/>
    </row>
    <row r="104">
      <c r="A104" s="404" t="s">
        <v>841</v>
      </c>
      <c r="B104" s="404" t="s">
        <v>744</v>
      </c>
      <c r="C104" s="405">
        <v>45547.48611111111</v>
      </c>
      <c r="D104" s="404">
        <v>20.0</v>
      </c>
      <c r="E104" s="404">
        <v>0.088603</v>
      </c>
      <c r="F104" s="404">
        <v>33.2</v>
      </c>
      <c r="G104" s="404">
        <v>22.5</v>
      </c>
      <c r="H104" s="404">
        <v>705.5491</v>
      </c>
      <c r="I104" s="404">
        <v>0.999729</v>
      </c>
      <c r="J104" s="404">
        <v>0.509995</v>
      </c>
      <c r="K104" s="406">
        <v>2259.4</v>
      </c>
      <c r="L104" s="407"/>
      <c r="M104" s="408">
        <f t="shared" si="1"/>
        <v>1.02271245</v>
      </c>
      <c r="N104" s="409">
        <f t="shared" si="2"/>
        <v>2209.223129</v>
      </c>
      <c r="O104" s="410" t="s">
        <v>12</v>
      </c>
      <c r="P104" s="411" t="s">
        <v>874</v>
      </c>
      <c r="Q104" s="431"/>
      <c r="R104" s="428"/>
      <c r="S104" s="428"/>
      <c r="T104" s="83"/>
      <c r="U104" s="83"/>
      <c r="V104" s="83"/>
      <c r="W104" s="83"/>
      <c r="X104" s="83"/>
      <c r="Y104" s="83"/>
      <c r="Z104" s="83"/>
      <c r="AA104" s="83"/>
      <c r="AB104" s="83"/>
      <c r="AC104" s="83"/>
      <c r="AD104" s="83"/>
    </row>
    <row r="105">
      <c r="A105" s="420" t="s">
        <v>902</v>
      </c>
      <c r="B105" s="420" t="s">
        <v>744</v>
      </c>
      <c r="C105" s="421">
        <v>45547.493055555555</v>
      </c>
      <c r="D105" s="420">
        <v>20.0</v>
      </c>
      <c r="E105" s="420">
        <v>0.088603</v>
      </c>
      <c r="F105" s="420">
        <v>33.2</v>
      </c>
      <c r="G105" s="420">
        <v>22.5</v>
      </c>
      <c r="H105" s="420">
        <v>702.6055</v>
      </c>
      <c r="I105" s="420">
        <v>0.999768</v>
      </c>
      <c r="J105" s="420">
        <v>0.508468</v>
      </c>
      <c r="K105" s="422">
        <v>2252.6</v>
      </c>
      <c r="L105" s="414">
        <v>4.7812</v>
      </c>
      <c r="M105" s="408">
        <f t="shared" si="1"/>
        <v>1.02271245</v>
      </c>
      <c r="N105" s="409">
        <f t="shared" si="2"/>
        <v>2202.574144</v>
      </c>
      <c r="O105" s="410" t="s">
        <v>12</v>
      </c>
      <c r="P105" s="411" t="s">
        <v>874</v>
      </c>
      <c r="Q105" s="432"/>
      <c r="R105" s="428"/>
      <c r="S105" s="428"/>
      <c r="T105" s="83"/>
      <c r="U105" s="83"/>
      <c r="V105" s="83"/>
      <c r="W105" s="83"/>
      <c r="X105" s="83"/>
      <c r="Y105" s="83"/>
      <c r="Z105" s="83"/>
      <c r="AA105" s="83"/>
      <c r="AB105" s="83"/>
      <c r="AC105" s="83"/>
      <c r="AD105" s="83"/>
    </row>
    <row r="106">
      <c r="A106" s="404" t="s">
        <v>889</v>
      </c>
      <c r="B106" s="404">
        <v>339.0</v>
      </c>
      <c r="C106" s="405">
        <v>45547.50208333333</v>
      </c>
      <c r="D106" s="404">
        <v>20.0</v>
      </c>
      <c r="E106" s="404">
        <v>0.088603</v>
      </c>
      <c r="F106" s="404">
        <v>36.5</v>
      </c>
      <c r="G106" s="404">
        <v>22.5</v>
      </c>
      <c r="H106" s="404">
        <v>700.626</v>
      </c>
      <c r="I106" s="404">
        <v>0.999765</v>
      </c>
      <c r="J106" s="404">
        <v>0.525137</v>
      </c>
      <c r="K106" s="406">
        <v>2326.4</v>
      </c>
      <c r="L106" s="407"/>
      <c r="M106" s="408">
        <f t="shared" si="1"/>
        <v>1.025217477</v>
      </c>
      <c r="N106" s="409">
        <f t="shared" si="2"/>
        <v>2269.177078</v>
      </c>
      <c r="O106" s="410" t="s">
        <v>12</v>
      </c>
      <c r="P106" s="411" t="s">
        <v>874</v>
      </c>
      <c r="Q106" s="432"/>
      <c r="R106" s="428"/>
      <c r="S106" s="428"/>
      <c r="T106" s="83"/>
      <c r="U106" s="83"/>
      <c r="V106" s="83"/>
      <c r="W106" s="83"/>
      <c r="X106" s="83"/>
      <c r="Y106" s="83"/>
      <c r="Z106" s="83"/>
      <c r="AA106" s="83"/>
      <c r="AB106" s="83"/>
      <c r="AC106" s="83"/>
      <c r="AD106" s="83"/>
    </row>
    <row r="107">
      <c r="A107" s="404" t="s">
        <v>890</v>
      </c>
      <c r="B107" s="404">
        <v>340.0</v>
      </c>
      <c r="C107" s="405">
        <v>45547.513194444444</v>
      </c>
      <c r="D107" s="404">
        <v>20.0</v>
      </c>
      <c r="E107" s="404">
        <v>0.088603</v>
      </c>
      <c r="F107" s="404">
        <v>35.5</v>
      </c>
      <c r="G107" s="404">
        <v>22.5</v>
      </c>
      <c r="H107" s="404">
        <v>703.2416</v>
      </c>
      <c r="I107" s="404">
        <v>0.999805</v>
      </c>
      <c r="J107" s="404">
        <v>0.525805</v>
      </c>
      <c r="K107" s="406">
        <v>2329.4</v>
      </c>
      <c r="L107" s="407"/>
      <c r="M107" s="408">
        <f t="shared" si="1"/>
        <v>1.024457888</v>
      </c>
      <c r="N107" s="409">
        <f t="shared" si="2"/>
        <v>2273.78795</v>
      </c>
      <c r="O107" s="410" t="s">
        <v>12</v>
      </c>
      <c r="P107" s="411" t="s">
        <v>874</v>
      </c>
      <c r="Q107" s="432"/>
      <c r="R107" s="428"/>
      <c r="S107" s="428"/>
      <c r="T107" s="83"/>
      <c r="U107" s="83"/>
      <c r="V107" s="83"/>
      <c r="W107" s="83"/>
      <c r="X107" s="83"/>
      <c r="Y107" s="83"/>
      <c r="Z107" s="83"/>
      <c r="AA107" s="83"/>
      <c r="AB107" s="83"/>
      <c r="AC107" s="83"/>
      <c r="AD107" s="83"/>
    </row>
    <row r="108">
      <c r="A108" s="404" t="s">
        <v>891</v>
      </c>
      <c r="B108" s="404">
        <v>352.0</v>
      </c>
      <c r="C108" s="405">
        <v>45547.51944444444</v>
      </c>
      <c r="D108" s="404">
        <v>20.0</v>
      </c>
      <c r="E108" s="404">
        <v>0.088603</v>
      </c>
      <c r="F108" s="404">
        <v>35.6</v>
      </c>
      <c r="G108" s="404">
        <v>22.5</v>
      </c>
      <c r="H108" s="404">
        <v>703.1584</v>
      </c>
      <c r="I108" s="404">
        <v>0.999742</v>
      </c>
      <c r="J108" s="404">
        <v>0.532825</v>
      </c>
      <c r="K108" s="406">
        <v>2360.5</v>
      </c>
      <c r="L108" s="407"/>
      <c r="M108" s="408">
        <f t="shared" si="1"/>
        <v>1.024533827</v>
      </c>
      <c r="N108" s="409">
        <f t="shared" si="2"/>
        <v>2303.974683</v>
      </c>
      <c r="O108" s="410" t="s">
        <v>12</v>
      </c>
      <c r="P108" s="411" t="s">
        <v>874</v>
      </c>
      <c r="Q108" s="432"/>
      <c r="R108" s="428"/>
      <c r="S108" s="428"/>
      <c r="T108" s="83"/>
      <c r="U108" s="83"/>
      <c r="V108" s="83"/>
      <c r="W108" s="83"/>
      <c r="X108" s="83"/>
      <c r="Y108" s="83"/>
      <c r="Z108" s="83"/>
      <c r="AA108" s="83"/>
      <c r="AB108" s="83"/>
      <c r="AC108" s="83"/>
      <c r="AD108" s="83"/>
    </row>
    <row r="109">
      <c r="A109" s="404" t="s">
        <v>850</v>
      </c>
      <c r="B109" s="404">
        <v>353.0</v>
      </c>
      <c r="C109" s="405">
        <v>45547.52916666667</v>
      </c>
      <c r="D109" s="404">
        <v>20.0</v>
      </c>
      <c r="E109" s="404">
        <v>0.088603</v>
      </c>
      <c r="F109" s="404">
        <v>35.6</v>
      </c>
      <c r="G109" s="404">
        <v>22.5</v>
      </c>
      <c r="H109" s="404">
        <v>703.5323</v>
      </c>
      <c r="I109" s="404">
        <v>0.999796</v>
      </c>
      <c r="J109" s="404">
        <v>0.532464</v>
      </c>
      <c r="K109" s="406">
        <v>2358.9</v>
      </c>
      <c r="L109" s="407"/>
      <c r="M109" s="408">
        <f t="shared" si="1"/>
        <v>1.024533827</v>
      </c>
      <c r="N109" s="409">
        <f t="shared" si="2"/>
        <v>2302.412997</v>
      </c>
      <c r="O109" s="410" t="s">
        <v>12</v>
      </c>
      <c r="P109" s="411" t="s">
        <v>874</v>
      </c>
      <c r="Q109" s="432"/>
      <c r="R109" s="428"/>
      <c r="S109" s="428"/>
      <c r="T109" s="83"/>
      <c r="U109" s="83"/>
      <c r="V109" s="83"/>
      <c r="W109" s="83"/>
      <c r="X109" s="83"/>
      <c r="Y109" s="83"/>
      <c r="Z109" s="83"/>
      <c r="AA109" s="83"/>
      <c r="AB109" s="83"/>
      <c r="AC109" s="83"/>
      <c r="AD109" s="83"/>
    </row>
    <row r="110">
      <c r="A110" s="404" t="s">
        <v>851</v>
      </c>
      <c r="B110" s="404">
        <v>365.0</v>
      </c>
      <c r="C110" s="405">
        <v>45547.535416666666</v>
      </c>
      <c r="D110" s="404">
        <v>20.0</v>
      </c>
      <c r="E110" s="404">
        <v>0.088603</v>
      </c>
      <c r="F110" s="404">
        <v>35.4</v>
      </c>
      <c r="G110" s="404">
        <v>22.5</v>
      </c>
      <c r="H110" s="404">
        <v>705.5196</v>
      </c>
      <c r="I110" s="404">
        <v>0.999785</v>
      </c>
      <c r="J110" s="404">
        <v>0.529253</v>
      </c>
      <c r="K110" s="406">
        <v>2344.7</v>
      </c>
      <c r="L110" s="407"/>
      <c r="M110" s="408">
        <f t="shared" si="1"/>
        <v>1.024381953</v>
      </c>
      <c r="N110" s="409">
        <f t="shared" si="2"/>
        <v>2288.892336</v>
      </c>
      <c r="O110" s="410" t="s">
        <v>12</v>
      </c>
      <c r="P110" s="411" t="s">
        <v>874</v>
      </c>
      <c r="Q110" s="432"/>
      <c r="R110" s="428"/>
      <c r="S110" s="428"/>
      <c r="T110" s="83"/>
      <c r="U110" s="83"/>
      <c r="V110" s="83"/>
      <c r="W110" s="83"/>
      <c r="X110" s="83"/>
      <c r="Y110" s="83"/>
      <c r="Z110" s="83"/>
      <c r="AA110" s="83"/>
      <c r="AB110" s="83"/>
      <c r="AC110" s="83"/>
      <c r="AD110" s="83"/>
    </row>
    <row r="111">
      <c r="A111" s="404" t="s">
        <v>852</v>
      </c>
      <c r="B111" s="404">
        <v>366.0</v>
      </c>
      <c r="C111" s="405">
        <v>45547.541666666664</v>
      </c>
      <c r="D111" s="404">
        <v>20.0</v>
      </c>
      <c r="E111" s="404">
        <v>0.088603</v>
      </c>
      <c r="F111" s="404">
        <v>35.5</v>
      </c>
      <c r="G111" s="404">
        <v>22.5</v>
      </c>
      <c r="H111" s="404">
        <v>706.3656</v>
      </c>
      <c r="I111" s="404">
        <v>0.999744</v>
      </c>
      <c r="J111" s="404">
        <v>0.529335</v>
      </c>
      <c r="K111" s="406">
        <v>2345.0</v>
      </c>
      <c r="L111" s="407"/>
      <c r="M111" s="408">
        <f t="shared" si="1"/>
        <v>1.024457888</v>
      </c>
      <c r="N111" s="409">
        <f t="shared" si="2"/>
        <v>2289.015515</v>
      </c>
      <c r="O111" s="410" t="s">
        <v>12</v>
      </c>
      <c r="P111" s="411" t="s">
        <v>874</v>
      </c>
      <c r="Q111" s="432"/>
      <c r="R111" s="428"/>
      <c r="S111" s="428"/>
      <c r="T111" s="83"/>
      <c r="U111" s="83"/>
      <c r="V111" s="83"/>
      <c r="W111" s="83"/>
      <c r="X111" s="83"/>
      <c r="Y111" s="83"/>
      <c r="Z111" s="83"/>
      <c r="AA111" s="83"/>
      <c r="AB111" s="83"/>
      <c r="AC111" s="83"/>
      <c r="AD111" s="83"/>
    </row>
    <row r="112">
      <c r="A112" s="404" t="s">
        <v>853</v>
      </c>
      <c r="B112" s="404">
        <v>404.0</v>
      </c>
      <c r="C112" s="405">
        <v>45547.549305555556</v>
      </c>
      <c r="D112" s="404">
        <v>20.0</v>
      </c>
      <c r="E112" s="404">
        <v>0.088603</v>
      </c>
      <c r="F112" s="404">
        <v>35.6</v>
      </c>
      <c r="G112" s="404">
        <v>22.5</v>
      </c>
      <c r="H112" s="404">
        <v>706.2174</v>
      </c>
      <c r="I112" s="404">
        <v>0.999748</v>
      </c>
      <c r="J112" s="404">
        <v>0.532936</v>
      </c>
      <c r="K112" s="406">
        <v>2361.0</v>
      </c>
      <c r="L112" s="407"/>
      <c r="M112" s="408">
        <f t="shared" si="1"/>
        <v>1.024533827</v>
      </c>
      <c r="N112" s="409">
        <f t="shared" si="2"/>
        <v>2304.46271</v>
      </c>
      <c r="O112" s="410" t="s">
        <v>12</v>
      </c>
      <c r="P112" s="411" t="s">
        <v>874</v>
      </c>
      <c r="Q112" s="432"/>
      <c r="R112" s="428"/>
      <c r="S112" s="428"/>
      <c r="T112" s="83"/>
      <c r="U112" s="83"/>
      <c r="V112" s="83"/>
      <c r="W112" s="83"/>
      <c r="X112" s="83"/>
      <c r="Y112" s="83"/>
      <c r="Z112" s="83"/>
      <c r="AA112" s="83"/>
      <c r="AB112" s="83"/>
      <c r="AC112" s="83"/>
      <c r="AD112" s="83"/>
    </row>
    <row r="113">
      <c r="A113" s="404" t="s">
        <v>892</v>
      </c>
      <c r="B113" s="404">
        <v>405.0</v>
      </c>
      <c r="C113" s="405">
        <v>45547.55625</v>
      </c>
      <c r="D113" s="404">
        <v>20.0</v>
      </c>
      <c r="E113" s="404">
        <v>0.088603</v>
      </c>
      <c r="F113" s="404">
        <v>35.6</v>
      </c>
      <c r="G113" s="404">
        <v>22.5</v>
      </c>
      <c r="H113" s="404">
        <v>703.0107</v>
      </c>
      <c r="I113" s="404">
        <v>0.999776</v>
      </c>
      <c r="J113" s="404">
        <v>0.532228</v>
      </c>
      <c r="K113" s="406">
        <v>2357.9</v>
      </c>
      <c r="L113" s="407"/>
      <c r="M113" s="408">
        <f t="shared" si="1"/>
        <v>1.024533827</v>
      </c>
      <c r="N113" s="409">
        <f t="shared" si="2"/>
        <v>2301.436944</v>
      </c>
      <c r="O113" s="410" t="s">
        <v>12</v>
      </c>
      <c r="P113" s="411" t="s">
        <v>874</v>
      </c>
      <c r="Q113" s="432"/>
      <c r="R113" s="428"/>
      <c r="S113" s="428"/>
      <c r="T113" s="83"/>
      <c r="U113" s="83"/>
      <c r="V113" s="83"/>
      <c r="W113" s="83"/>
      <c r="X113" s="83"/>
      <c r="Y113" s="83"/>
      <c r="Z113" s="83"/>
      <c r="AA113" s="83"/>
      <c r="AB113" s="83"/>
      <c r="AC113" s="83"/>
      <c r="AD113" s="83"/>
    </row>
    <row r="114">
      <c r="A114" s="404" t="s">
        <v>854</v>
      </c>
      <c r="B114" s="404">
        <v>456.0</v>
      </c>
      <c r="C114" s="405">
        <v>45547.56319444445</v>
      </c>
      <c r="D114" s="404">
        <v>20.0</v>
      </c>
      <c r="E114" s="404">
        <v>0.088603</v>
      </c>
      <c r="F114" s="404">
        <v>35.0</v>
      </c>
      <c r="G114" s="404">
        <v>22.5</v>
      </c>
      <c r="H114" s="404">
        <v>707.6514</v>
      </c>
      <c r="I114" s="404">
        <v>0.999744</v>
      </c>
      <c r="J114" s="404">
        <v>0.529536</v>
      </c>
      <c r="K114" s="406">
        <v>2345.9</v>
      </c>
      <c r="L114" s="407"/>
      <c r="M114" s="408">
        <f t="shared" si="1"/>
        <v>1.024078255</v>
      </c>
      <c r="N114" s="409">
        <f t="shared" si="2"/>
        <v>2290.742909</v>
      </c>
      <c r="O114" s="410" t="s">
        <v>12</v>
      </c>
      <c r="P114" s="411" t="s">
        <v>874</v>
      </c>
      <c r="Q114" s="432"/>
      <c r="R114" s="83"/>
      <c r="S114" s="83"/>
      <c r="T114" s="83"/>
      <c r="U114" s="83"/>
      <c r="V114" s="83"/>
      <c r="W114" s="83"/>
      <c r="X114" s="83"/>
      <c r="Y114" s="83"/>
      <c r="Z114" s="83"/>
      <c r="AA114" s="83"/>
      <c r="AB114" s="83"/>
      <c r="AC114" s="83"/>
      <c r="AD114" s="83"/>
    </row>
    <row r="115">
      <c r="A115" s="404" t="s">
        <v>855</v>
      </c>
      <c r="B115" s="404">
        <v>457.0</v>
      </c>
      <c r="C115" s="405">
        <v>45547.57013888889</v>
      </c>
      <c r="D115" s="404">
        <v>20.0</v>
      </c>
      <c r="E115" s="404">
        <v>0.088603</v>
      </c>
      <c r="F115" s="404">
        <v>35.4</v>
      </c>
      <c r="G115" s="404">
        <v>22.5</v>
      </c>
      <c r="H115" s="404">
        <v>698.9863</v>
      </c>
      <c r="I115" s="404">
        <v>0.999788</v>
      </c>
      <c r="J115" s="404">
        <v>0.528762</v>
      </c>
      <c r="K115" s="406">
        <v>2342.5</v>
      </c>
      <c r="L115" s="407"/>
      <c r="M115" s="408">
        <f t="shared" si="1"/>
        <v>1.024381953</v>
      </c>
      <c r="N115" s="409">
        <f t="shared" si="2"/>
        <v>2286.744699</v>
      </c>
      <c r="O115" s="410" t="s">
        <v>12</v>
      </c>
      <c r="P115" s="411" t="s">
        <v>874</v>
      </c>
      <c r="Q115" s="432"/>
      <c r="R115" s="83"/>
      <c r="S115" s="83"/>
      <c r="T115" s="83"/>
      <c r="U115" s="83"/>
      <c r="V115" s="83"/>
      <c r="W115" s="83"/>
      <c r="X115" s="83"/>
      <c r="Y115" s="83"/>
      <c r="Z115" s="83"/>
      <c r="AA115" s="83"/>
      <c r="AB115" s="83"/>
      <c r="AC115" s="83"/>
      <c r="AD115" s="83"/>
    </row>
    <row r="116">
      <c r="A116" s="420" t="s">
        <v>856</v>
      </c>
      <c r="B116" s="420" t="s">
        <v>744</v>
      </c>
      <c r="C116" s="421">
        <v>45547.57708333333</v>
      </c>
      <c r="D116" s="420">
        <v>20.0</v>
      </c>
      <c r="E116" s="420">
        <v>0.088603</v>
      </c>
      <c r="F116" s="420">
        <v>33.2</v>
      </c>
      <c r="G116" s="420">
        <v>22.5</v>
      </c>
      <c r="H116" s="420">
        <v>704.4513</v>
      </c>
      <c r="I116" s="420">
        <v>0.999761</v>
      </c>
      <c r="J116" s="420">
        <v>0.50798</v>
      </c>
      <c r="K116" s="422">
        <v>2250.4</v>
      </c>
      <c r="L116" s="407"/>
      <c r="M116" s="408">
        <f t="shared" si="1"/>
        <v>1.02271245</v>
      </c>
      <c r="N116" s="409">
        <f t="shared" si="2"/>
        <v>2200.423002</v>
      </c>
      <c r="O116" s="410" t="s">
        <v>12</v>
      </c>
      <c r="P116" s="411" t="s">
        <v>874</v>
      </c>
      <c r="Q116" s="432"/>
      <c r="R116" s="83"/>
      <c r="S116" s="83"/>
      <c r="T116" s="83"/>
      <c r="U116" s="83"/>
      <c r="V116" s="83"/>
      <c r="W116" s="83"/>
      <c r="X116" s="83"/>
      <c r="Y116" s="83"/>
      <c r="Z116" s="83"/>
      <c r="AA116" s="83"/>
      <c r="AB116" s="83"/>
      <c r="AC116" s="83"/>
      <c r="AD116" s="83"/>
    </row>
    <row r="117">
      <c r="A117" s="404" t="s">
        <v>827</v>
      </c>
      <c r="B117" s="404" t="s">
        <v>861</v>
      </c>
      <c r="C117" s="405">
        <v>45552.364583333336</v>
      </c>
      <c r="D117" s="404">
        <v>20.0</v>
      </c>
      <c r="E117" s="404">
        <v>0.088603</v>
      </c>
      <c r="F117" s="404">
        <v>33.2</v>
      </c>
      <c r="G117" s="404">
        <v>22.5</v>
      </c>
      <c r="H117" s="404">
        <v>685.9118</v>
      </c>
      <c r="I117" s="404">
        <v>0.999797</v>
      </c>
      <c r="J117" s="404">
        <v>0.508311</v>
      </c>
      <c r="K117" s="406">
        <v>2251.9</v>
      </c>
      <c r="L117" s="407"/>
      <c r="M117" s="408">
        <f t="shared" si="1"/>
        <v>1.02271245</v>
      </c>
      <c r="N117" s="409">
        <f t="shared" si="2"/>
        <v>2201.88969</v>
      </c>
      <c r="O117" s="410" t="s">
        <v>12</v>
      </c>
      <c r="P117" s="411" t="s">
        <v>874</v>
      </c>
      <c r="Q117" s="433" t="s">
        <v>903</v>
      </c>
      <c r="R117" s="419"/>
      <c r="S117" s="83"/>
      <c r="T117" s="83"/>
      <c r="U117" s="83"/>
      <c r="V117" s="83"/>
      <c r="W117" s="83"/>
      <c r="X117" s="83"/>
      <c r="Y117" s="83"/>
      <c r="Z117" s="83"/>
      <c r="AA117" s="83"/>
      <c r="AB117" s="83"/>
      <c r="AC117" s="83"/>
      <c r="AD117" s="83"/>
    </row>
    <row r="118">
      <c r="A118" s="404" t="s">
        <v>830</v>
      </c>
      <c r="B118" s="404" t="s">
        <v>861</v>
      </c>
      <c r="C118" s="405">
        <v>45552.37291666667</v>
      </c>
      <c r="D118" s="404">
        <v>20.0</v>
      </c>
      <c r="E118" s="404">
        <v>0.088603</v>
      </c>
      <c r="F118" s="404">
        <v>33.2</v>
      </c>
      <c r="G118" s="404">
        <v>22.5</v>
      </c>
      <c r="H118" s="404">
        <v>689.0364</v>
      </c>
      <c r="I118" s="404">
        <v>0.999742</v>
      </c>
      <c r="J118" s="404">
        <v>0.508912</v>
      </c>
      <c r="K118" s="406">
        <v>2254.6</v>
      </c>
      <c r="L118" s="414">
        <v>1.8838</v>
      </c>
      <c r="M118" s="408">
        <f t="shared" si="1"/>
        <v>1.02271245</v>
      </c>
      <c r="N118" s="409">
        <f t="shared" si="2"/>
        <v>2204.529728</v>
      </c>
      <c r="O118" s="410" t="s">
        <v>12</v>
      </c>
      <c r="P118" s="411" t="s">
        <v>874</v>
      </c>
      <c r="Q118" s="58"/>
      <c r="R118" s="419"/>
      <c r="S118" s="83"/>
      <c r="T118" s="83"/>
      <c r="U118" s="83"/>
      <c r="V118" s="83"/>
      <c r="W118" s="83"/>
      <c r="X118" s="83"/>
      <c r="Y118" s="83"/>
      <c r="Z118" s="83"/>
      <c r="AA118" s="83"/>
      <c r="AB118" s="83"/>
      <c r="AC118" s="83"/>
      <c r="AD118" s="83"/>
    </row>
    <row r="119">
      <c r="A119" s="404" t="s">
        <v>875</v>
      </c>
      <c r="B119" s="404" t="s">
        <v>861</v>
      </c>
      <c r="C119" s="405">
        <v>45552.38055555556</v>
      </c>
      <c r="D119" s="404">
        <v>20.0</v>
      </c>
      <c r="E119" s="404">
        <v>0.088603</v>
      </c>
      <c r="F119" s="404">
        <v>33.2</v>
      </c>
      <c r="G119" s="404">
        <v>22.5</v>
      </c>
      <c r="H119" s="404">
        <v>691.5555</v>
      </c>
      <c r="I119" s="404">
        <v>0.999737</v>
      </c>
      <c r="J119" s="404">
        <v>0.50925</v>
      </c>
      <c r="K119" s="406">
        <v>2256.1</v>
      </c>
      <c r="L119" s="414">
        <v>1.0565</v>
      </c>
      <c r="M119" s="408">
        <f t="shared" si="1"/>
        <v>1.02271245</v>
      </c>
      <c r="N119" s="409">
        <f t="shared" si="2"/>
        <v>2205.996416</v>
      </c>
      <c r="O119" s="410" t="s">
        <v>12</v>
      </c>
      <c r="P119" s="411" t="s">
        <v>874</v>
      </c>
      <c r="Q119" s="58"/>
      <c r="R119" s="419"/>
      <c r="S119" s="83"/>
      <c r="T119" s="83"/>
      <c r="U119" s="83"/>
      <c r="V119" s="83"/>
      <c r="W119" s="83"/>
      <c r="X119" s="83"/>
      <c r="Y119" s="83"/>
      <c r="Z119" s="83"/>
      <c r="AA119" s="83"/>
      <c r="AB119" s="83"/>
      <c r="AC119" s="83"/>
      <c r="AD119" s="83"/>
    </row>
    <row r="120">
      <c r="A120" s="404" t="s">
        <v>876</v>
      </c>
      <c r="B120" s="404" t="s">
        <v>861</v>
      </c>
      <c r="C120" s="405">
        <v>45552.3875</v>
      </c>
      <c r="D120" s="404">
        <v>20.0</v>
      </c>
      <c r="E120" s="404">
        <v>0.088603</v>
      </c>
      <c r="F120" s="404">
        <v>33.2</v>
      </c>
      <c r="G120" s="404">
        <v>22.5</v>
      </c>
      <c r="H120" s="404">
        <v>689.3037</v>
      </c>
      <c r="I120" s="404">
        <v>0.999807</v>
      </c>
      <c r="J120" s="404">
        <v>0.508646</v>
      </c>
      <c r="K120" s="406">
        <v>2253.4</v>
      </c>
      <c r="L120" s="414">
        <v>1.8902</v>
      </c>
      <c r="M120" s="408">
        <f t="shared" si="1"/>
        <v>1.02271245</v>
      </c>
      <c r="N120" s="409">
        <f t="shared" si="2"/>
        <v>2203.356378</v>
      </c>
      <c r="O120" s="410" t="s">
        <v>12</v>
      </c>
      <c r="P120" s="411" t="s">
        <v>874</v>
      </c>
      <c r="Q120" s="58"/>
      <c r="R120" s="419"/>
      <c r="S120" s="83"/>
      <c r="T120" s="83"/>
      <c r="U120" s="83"/>
      <c r="V120" s="83"/>
      <c r="W120" s="83"/>
      <c r="X120" s="83"/>
      <c r="Y120" s="83"/>
      <c r="Z120" s="83"/>
      <c r="AA120" s="83"/>
      <c r="AB120" s="83"/>
      <c r="AC120" s="83"/>
      <c r="AD120" s="83"/>
    </row>
    <row r="121">
      <c r="A121" s="404" t="s">
        <v>831</v>
      </c>
      <c r="B121" s="404" t="s">
        <v>744</v>
      </c>
      <c r="C121" s="405">
        <v>45552.395833333336</v>
      </c>
      <c r="D121" s="404">
        <v>20.0</v>
      </c>
      <c r="E121" s="404">
        <v>0.088603</v>
      </c>
      <c r="F121" s="404">
        <v>33.2</v>
      </c>
      <c r="G121" s="404">
        <v>22.5</v>
      </c>
      <c r="H121" s="404">
        <v>690.5069</v>
      </c>
      <c r="I121" s="404">
        <v>0.999764</v>
      </c>
      <c r="J121" s="404">
        <v>0.509757</v>
      </c>
      <c r="K121" s="406">
        <v>2258.3</v>
      </c>
      <c r="L121" s="407"/>
      <c r="M121" s="408">
        <f t="shared" si="1"/>
        <v>1.02271245</v>
      </c>
      <c r="N121" s="409">
        <f t="shared" si="2"/>
        <v>2208.147558</v>
      </c>
      <c r="O121" s="410" t="s">
        <v>12</v>
      </c>
      <c r="P121" s="411" t="s">
        <v>874</v>
      </c>
      <c r="Q121" s="61"/>
      <c r="R121" s="419"/>
      <c r="S121" s="83"/>
      <c r="T121" s="83"/>
      <c r="U121" s="83"/>
      <c r="V121" s="83"/>
      <c r="W121" s="83"/>
      <c r="X121" s="83"/>
      <c r="Y121" s="83"/>
      <c r="Z121" s="83"/>
      <c r="AA121" s="83"/>
      <c r="AB121" s="83"/>
      <c r="AC121" s="83"/>
      <c r="AD121" s="83"/>
    </row>
    <row r="122">
      <c r="A122" s="420" t="s">
        <v>904</v>
      </c>
      <c r="B122" s="420" t="s">
        <v>744</v>
      </c>
      <c r="C122" s="421">
        <v>45552.40416666667</v>
      </c>
      <c r="D122" s="420">
        <v>20.0</v>
      </c>
      <c r="E122" s="420">
        <v>0.088603</v>
      </c>
      <c r="F122" s="420">
        <v>33.2</v>
      </c>
      <c r="G122" s="420">
        <v>22.5</v>
      </c>
      <c r="H122" s="420">
        <v>691.8679</v>
      </c>
      <c r="I122" s="420">
        <v>0.999782</v>
      </c>
      <c r="J122" s="420">
        <v>0.508749</v>
      </c>
      <c r="K122" s="422">
        <v>2253.8</v>
      </c>
      <c r="L122" s="414">
        <v>3.1567</v>
      </c>
      <c r="M122" s="408">
        <f t="shared" si="1"/>
        <v>1.02271245</v>
      </c>
      <c r="N122" s="409">
        <f t="shared" si="2"/>
        <v>2203.747495</v>
      </c>
      <c r="O122" s="410" t="s">
        <v>12</v>
      </c>
      <c r="P122" s="411" t="s">
        <v>874</v>
      </c>
      <c r="Q122" s="409"/>
      <c r="R122" s="419"/>
      <c r="S122" s="83"/>
      <c r="T122" s="83"/>
      <c r="U122" s="83"/>
      <c r="V122" s="83"/>
      <c r="W122" s="83"/>
      <c r="X122" s="83"/>
      <c r="Y122" s="83"/>
      <c r="Z122" s="83"/>
      <c r="AA122" s="83"/>
      <c r="AB122" s="83"/>
      <c r="AC122" s="83"/>
      <c r="AD122" s="83"/>
    </row>
    <row r="123">
      <c r="A123" s="404" t="s">
        <v>832</v>
      </c>
      <c r="B123" s="420">
        <v>378.0</v>
      </c>
      <c r="C123" s="405">
        <v>45552.41458333333</v>
      </c>
      <c r="D123" s="404">
        <v>20.0</v>
      </c>
      <c r="E123" s="404">
        <v>0.088603</v>
      </c>
      <c r="F123" s="404">
        <v>36.6</v>
      </c>
      <c r="G123" s="404">
        <v>22.5</v>
      </c>
      <c r="H123" s="404">
        <v>704.6896</v>
      </c>
      <c r="I123" s="404">
        <v>0.999728</v>
      </c>
      <c r="J123" s="404">
        <v>0.529554</v>
      </c>
      <c r="K123" s="406">
        <v>2346.0</v>
      </c>
      <c r="L123" s="414" t="s">
        <v>893</v>
      </c>
      <c r="M123" s="408">
        <f t="shared" si="1"/>
        <v>1.02529346</v>
      </c>
      <c r="N123" s="409">
        <f t="shared" si="2"/>
        <v>2288.125391</v>
      </c>
      <c r="O123" s="434" t="s">
        <v>534</v>
      </c>
      <c r="P123" s="411" t="s">
        <v>874</v>
      </c>
      <c r="Q123" s="433" t="s">
        <v>905</v>
      </c>
      <c r="R123" s="419"/>
      <c r="S123" s="83"/>
      <c r="T123" s="83"/>
      <c r="U123" s="83"/>
      <c r="V123" s="83"/>
      <c r="W123" s="83"/>
      <c r="X123" s="83"/>
      <c r="Y123" s="83"/>
      <c r="Z123" s="83"/>
      <c r="AA123" s="83"/>
      <c r="AB123" s="83"/>
      <c r="AC123" s="83"/>
      <c r="AD123" s="83"/>
    </row>
    <row r="124">
      <c r="A124" s="404" t="s">
        <v>834</v>
      </c>
      <c r="B124" s="420">
        <v>379.0</v>
      </c>
      <c r="C124" s="405">
        <v>45552.42291666667</v>
      </c>
      <c r="D124" s="404">
        <v>20.0</v>
      </c>
      <c r="E124" s="404">
        <v>0.088603</v>
      </c>
      <c r="F124" s="404">
        <v>35.7</v>
      </c>
      <c r="G124" s="404">
        <v>22.5</v>
      </c>
      <c r="H124" s="404">
        <v>698.7536</v>
      </c>
      <c r="I124" s="404">
        <v>0.999749</v>
      </c>
      <c r="J124" s="404">
        <v>0.526257</v>
      </c>
      <c r="K124" s="406">
        <v>2331.4</v>
      </c>
      <c r="L124" s="414" t="s">
        <v>893</v>
      </c>
      <c r="M124" s="408">
        <f t="shared" si="1"/>
        <v>1.024609771</v>
      </c>
      <c r="N124" s="409">
        <f t="shared" si="2"/>
        <v>2275.402857</v>
      </c>
      <c r="O124" s="434" t="s">
        <v>534</v>
      </c>
      <c r="P124" s="411" t="s">
        <v>874</v>
      </c>
      <c r="Q124" s="58"/>
      <c r="R124" s="419"/>
      <c r="S124" s="83"/>
      <c r="T124" s="83"/>
      <c r="U124" s="83"/>
      <c r="V124" s="83"/>
      <c r="W124" s="83"/>
      <c r="X124" s="83"/>
      <c r="Y124" s="83"/>
      <c r="Z124" s="83"/>
      <c r="AA124" s="83"/>
      <c r="AB124" s="83"/>
      <c r="AC124" s="83"/>
      <c r="AD124" s="83"/>
    </row>
    <row r="125">
      <c r="A125" s="404" t="s">
        <v>888</v>
      </c>
      <c r="B125" s="420">
        <v>391.0</v>
      </c>
      <c r="C125" s="405">
        <v>45552.42847222222</v>
      </c>
      <c r="D125" s="404">
        <v>20.0</v>
      </c>
      <c r="E125" s="404">
        <v>0.088603</v>
      </c>
      <c r="F125" s="404">
        <v>35.6</v>
      </c>
      <c r="G125" s="404">
        <v>22.5</v>
      </c>
      <c r="H125" s="404">
        <v>693.4432</v>
      </c>
      <c r="I125" s="404">
        <v>0.999811</v>
      </c>
      <c r="J125" s="404">
        <v>0.537202</v>
      </c>
      <c r="K125" s="406">
        <v>2379.9</v>
      </c>
      <c r="L125" s="414" t="s">
        <v>893</v>
      </c>
      <c r="M125" s="408">
        <f t="shared" si="1"/>
        <v>1.024533827</v>
      </c>
      <c r="N125" s="409">
        <f t="shared" si="2"/>
        <v>2322.910124</v>
      </c>
      <c r="O125" s="434" t="s">
        <v>534</v>
      </c>
      <c r="P125" s="411" t="s">
        <v>874</v>
      </c>
      <c r="Q125" s="58"/>
      <c r="R125" s="419"/>
      <c r="S125" s="83"/>
      <c r="T125" s="83"/>
      <c r="U125" s="83"/>
      <c r="V125" s="83"/>
      <c r="W125" s="83"/>
      <c r="X125" s="83"/>
      <c r="Y125" s="83"/>
      <c r="Z125" s="83"/>
      <c r="AA125" s="83"/>
      <c r="AB125" s="83"/>
      <c r="AC125" s="83"/>
      <c r="AD125" s="83"/>
    </row>
    <row r="126">
      <c r="A126" s="404" t="s">
        <v>841</v>
      </c>
      <c r="B126" s="420">
        <v>392.0</v>
      </c>
      <c r="C126" s="405">
        <v>45552.43402777778</v>
      </c>
      <c r="D126" s="404">
        <v>20.0</v>
      </c>
      <c r="E126" s="404">
        <v>0.088603</v>
      </c>
      <c r="F126" s="404">
        <v>35.6</v>
      </c>
      <c r="G126" s="404">
        <v>22.5</v>
      </c>
      <c r="H126" s="404">
        <v>694.5103</v>
      </c>
      <c r="I126" s="404">
        <v>0.999745</v>
      </c>
      <c r="J126" s="404">
        <v>0.536664</v>
      </c>
      <c r="K126" s="406">
        <v>2377.5</v>
      </c>
      <c r="L126" s="414" t="s">
        <v>893</v>
      </c>
      <c r="M126" s="408">
        <f t="shared" si="1"/>
        <v>1.024533827</v>
      </c>
      <c r="N126" s="409">
        <f t="shared" si="2"/>
        <v>2320.567595</v>
      </c>
      <c r="O126" s="434" t="s">
        <v>534</v>
      </c>
      <c r="P126" s="411" t="s">
        <v>874</v>
      </c>
      <c r="Q126" s="58"/>
      <c r="R126" s="419"/>
      <c r="S126" s="83"/>
      <c r="T126" s="83"/>
      <c r="U126" s="83"/>
      <c r="V126" s="83"/>
      <c r="W126" s="83"/>
      <c r="X126" s="83"/>
      <c r="Y126" s="83"/>
      <c r="Z126" s="83"/>
      <c r="AA126" s="83"/>
      <c r="AB126" s="83"/>
      <c r="AC126" s="83"/>
      <c r="AD126" s="83"/>
    </row>
    <row r="127">
      <c r="A127" s="404" t="s">
        <v>889</v>
      </c>
      <c r="B127" s="420">
        <v>417.0</v>
      </c>
      <c r="C127" s="405">
        <v>45552.44027777778</v>
      </c>
      <c r="D127" s="404">
        <v>20.0</v>
      </c>
      <c r="E127" s="404">
        <v>0.088603</v>
      </c>
      <c r="F127" s="404">
        <v>35.5</v>
      </c>
      <c r="G127" s="404">
        <v>22.5</v>
      </c>
      <c r="H127" s="404">
        <v>700.6526</v>
      </c>
      <c r="I127" s="404">
        <v>0.999711</v>
      </c>
      <c r="J127" s="404">
        <v>0.531445</v>
      </c>
      <c r="K127" s="406">
        <v>2354.4</v>
      </c>
      <c r="L127" s="414" t="s">
        <v>893</v>
      </c>
      <c r="M127" s="408">
        <f t="shared" si="1"/>
        <v>1.024457888</v>
      </c>
      <c r="N127" s="409">
        <f t="shared" si="2"/>
        <v>2298.1911</v>
      </c>
      <c r="O127" s="434" t="s">
        <v>534</v>
      </c>
      <c r="P127" s="411" t="s">
        <v>874</v>
      </c>
      <c r="Q127" s="58"/>
      <c r="R127" s="419"/>
      <c r="S127" s="83"/>
      <c r="T127" s="83"/>
      <c r="U127" s="83"/>
      <c r="V127" s="83"/>
      <c r="W127" s="83"/>
      <c r="X127" s="83"/>
      <c r="Y127" s="83"/>
      <c r="Z127" s="83"/>
      <c r="AA127" s="83"/>
      <c r="AB127" s="83"/>
      <c r="AC127" s="83"/>
      <c r="AD127" s="83"/>
    </row>
    <row r="128">
      <c r="A128" s="404" t="s">
        <v>890</v>
      </c>
      <c r="B128" s="420">
        <v>418.0</v>
      </c>
      <c r="C128" s="405">
        <v>45552.44652777778</v>
      </c>
      <c r="D128" s="404">
        <v>20.0</v>
      </c>
      <c r="E128" s="404">
        <v>0.088603</v>
      </c>
      <c r="F128" s="404">
        <v>35.7</v>
      </c>
      <c r="G128" s="404">
        <v>22.5</v>
      </c>
      <c r="H128" s="404">
        <v>698.6555</v>
      </c>
      <c r="I128" s="404">
        <v>0.999787</v>
      </c>
      <c r="J128" s="404">
        <v>0.531753</v>
      </c>
      <c r="K128" s="406">
        <v>2355.8</v>
      </c>
      <c r="L128" s="414" t="s">
        <v>893</v>
      </c>
      <c r="M128" s="408">
        <f t="shared" si="1"/>
        <v>1.024609771</v>
      </c>
      <c r="N128" s="409">
        <f t="shared" si="2"/>
        <v>2299.216801</v>
      </c>
      <c r="O128" s="434" t="s">
        <v>534</v>
      </c>
      <c r="P128" s="411" t="s">
        <v>874</v>
      </c>
      <c r="Q128" s="58"/>
      <c r="R128" s="419"/>
      <c r="S128" s="83"/>
      <c r="T128" s="83"/>
      <c r="U128" s="83"/>
      <c r="V128" s="83"/>
      <c r="W128" s="83"/>
      <c r="X128" s="83"/>
      <c r="Y128" s="83"/>
      <c r="Z128" s="83"/>
      <c r="AA128" s="83"/>
      <c r="AB128" s="83"/>
      <c r="AC128" s="83"/>
      <c r="AD128" s="83"/>
    </row>
    <row r="129">
      <c r="A129" s="404" t="s">
        <v>891</v>
      </c>
      <c r="B129" s="420">
        <v>430.0</v>
      </c>
      <c r="C129" s="405">
        <v>45552.45486111111</v>
      </c>
      <c r="D129" s="404">
        <v>20.0</v>
      </c>
      <c r="E129" s="404">
        <v>0.088603</v>
      </c>
      <c r="F129" s="404">
        <v>35.3</v>
      </c>
      <c r="G129" s="404">
        <v>22.5</v>
      </c>
      <c r="H129" s="404">
        <v>694.7972</v>
      </c>
      <c r="I129" s="404">
        <v>0.999773</v>
      </c>
      <c r="J129" s="404">
        <v>0.528781</v>
      </c>
      <c r="K129" s="406">
        <v>2342.6</v>
      </c>
      <c r="L129" s="414" t="s">
        <v>893</v>
      </c>
      <c r="M129" s="408">
        <f t="shared" si="1"/>
        <v>1.024306022</v>
      </c>
      <c r="N129" s="409">
        <f t="shared" si="2"/>
        <v>2287.011841</v>
      </c>
      <c r="O129" s="434" t="s">
        <v>534</v>
      </c>
      <c r="P129" s="411" t="s">
        <v>874</v>
      </c>
      <c r="Q129" s="58"/>
      <c r="R129" s="419"/>
      <c r="S129" s="83"/>
      <c r="T129" s="83"/>
      <c r="U129" s="83"/>
      <c r="V129" s="83"/>
      <c r="W129" s="83"/>
      <c r="X129" s="83"/>
      <c r="Y129" s="83"/>
      <c r="Z129" s="83"/>
      <c r="AA129" s="83"/>
      <c r="AB129" s="83"/>
      <c r="AC129" s="83"/>
      <c r="AD129" s="83"/>
    </row>
    <row r="130">
      <c r="A130" s="404" t="s">
        <v>850</v>
      </c>
      <c r="B130" s="420">
        <v>431.0</v>
      </c>
      <c r="C130" s="405">
        <v>45552.46111111111</v>
      </c>
      <c r="D130" s="404">
        <v>20.0</v>
      </c>
      <c r="E130" s="404">
        <v>0.088603</v>
      </c>
      <c r="F130" s="404">
        <v>35.4</v>
      </c>
      <c r="G130" s="404">
        <v>22.5</v>
      </c>
      <c r="H130" s="404">
        <v>696.2054</v>
      </c>
      <c r="I130" s="404">
        <v>0.999778</v>
      </c>
      <c r="J130" s="404">
        <v>0.52878</v>
      </c>
      <c r="K130" s="406">
        <v>2342.6</v>
      </c>
      <c r="L130" s="414" t="s">
        <v>893</v>
      </c>
      <c r="M130" s="408">
        <f t="shared" si="1"/>
        <v>1.024381953</v>
      </c>
      <c r="N130" s="409">
        <f t="shared" si="2"/>
        <v>2286.842319</v>
      </c>
      <c r="O130" s="434" t="s">
        <v>534</v>
      </c>
      <c r="P130" s="411" t="s">
        <v>874</v>
      </c>
      <c r="Q130" s="58"/>
      <c r="R130" s="419"/>
      <c r="S130" s="83"/>
      <c r="T130" s="83"/>
      <c r="U130" s="83"/>
      <c r="V130" s="83"/>
      <c r="W130" s="83"/>
      <c r="X130" s="83"/>
      <c r="Y130" s="83"/>
      <c r="Z130" s="83"/>
      <c r="AA130" s="83"/>
      <c r="AB130" s="83"/>
      <c r="AC130" s="83"/>
      <c r="AD130" s="83"/>
    </row>
    <row r="131">
      <c r="A131" s="404" t="s">
        <v>851</v>
      </c>
      <c r="B131" s="420">
        <v>443.0</v>
      </c>
      <c r="C131" s="405">
        <v>45552.46666666667</v>
      </c>
      <c r="D131" s="404">
        <v>20.0</v>
      </c>
      <c r="E131" s="404">
        <v>0.088603</v>
      </c>
      <c r="F131" s="404">
        <v>35.6</v>
      </c>
      <c r="G131" s="404">
        <v>22.5</v>
      </c>
      <c r="H131" s="404">
        <v>696.1745</v>
      </c>
      <c r="I131" s="404">
        <v>0.999804</v>
      </c>
      <c r="J131" s="404">
        <v>0.535217</v>
      </c>
      <c r="K131" s="406">
        <v>2371.1</v>
      </c>
      <c r="L131" s="414" t="s">
        <v>893</v>
      </c>
      <c r="M131" s="408">
        <f t="shared" si="1"/>
        <v>1.024533827</v>
      </c>
      <c r="N131" s="409">
        <f t="shared" si="2"/>
        <v>2314.320852</v>
      </c>
      <c r="O131" s="434" t="s">
        <v>534</v>
      </c>
      <c r="P131" s="411" t="s">
        <v>874</v>
      </c>
      <c r="Q131" s="58"/>
      <c r="R131" s="419"/>
      <c r="S131" s="83"/>
      <c r="T131" s="83"/>
      <c r="U131" s="83"/>
      <c r="V131" s="83"/>
      <c r="W131" s="83"/>
      <c r="X131" s="83"/>
      <c r="Y131" s="83"/>
      <c r="Z131" s="83"/>
      <c r="AA131" s="83"/>
      <c r="AB131" s="83"/>
      <c r="AC131" s="83"/>
      <c r="AD131" s="83"/>
    </row>
    <row r="132">
      <c r="A132" s="404" t="s">
        <v>852</v>
      </c>
      <c r="B132" s="420">
        <v>444.0</v>
      </c>
      <c r="C132" s="405">
        <v>45552.472916666666</v>
      </c>
      <c r="D132" s="404">
        <v>20.0</v>
      </c>
      <c r="E132" s="404">
        <v>0.088603</v>
      </c>
      <c r="F132" s="404">
        <v>35.6</v>
      </c>
      <c r="G132" s="404">
        <v>22.5</v>
      </c>
      <c r="H132" s="404">
        <v>700.1411</v>
      </c>
      <c r="I132" s="404">
        <v>0.999716</v>
      </c>
      <c r="J132" s="404">
        <v>0.536957</v>
      </c>
      <c r="K132" s="406">
        <v>2378.8</v>
      </c>
      <c r="L132" s="414" t="s">
        <v>893</v>
      </c>
      <c r="M132" s="408">
        <f t="shared" si="1"/>
        <v>1.024533827</v>
      </c>
      <c r="N132" s="409">
        <f t="shared" si="2"/>
        <v>2321.836465</v>
      </c>
      <c r="O132" s="434" t="s">
        <v>534</v>
      </c>
      <c r="P132" s="411" t="s">
        <v>874</v>
      </c>
      <c r="Q132" s="61"/>
      <c r="R132" s="419"/>
      <c r="S132" s="83"/>
      <c r="T132" s="83"/>
      <c r="U132" s="83"/>
      <c r="V132" s="83"/>
      <c r="W132" s="83"/>
      <c r="X132" s="83"/>
      <c r="Y132" s="83"/>
      <c r="Z132" s="83"/>
      <c r="AA132" s="83"/>
      <c r="AB132" s="83"/>
      <c r="AC132" s="83"/>
      <c r="AD132" s="83"/>
    </row>
    <row r="133">
      <c r="A133" s="420" t="s">
        <v>853</v>
      </c>
      <c r="B133" s="420" t="s">
        <v>744</v>
      </c>
      <c r="C133" s="421">
        <v>45552.478472222225</v>
      </c>
      <c r="D133" s="420">
        <v>20.0</v>
      </c>
      <c r="E133" s="420">
        <v>0.088603</v>
      </c>
      <c r="F133" s="420">
        <v>33.2</v>
      </c>
      <c r="G133" s="420">
        <v>22.5</v>
      </c>
      <c r="H133" s="435">
        <v>739.8807</v>
      </c>
      <c r="I133" s="435">
        <v>0.99979</v>
      </c>
      <c r="J133" s="435">
        <v>0.510099</v>
      </c>
      <c r="K133" s="422">
        <v>2259.0</v>
      </c>
      <c r="L133" s="407"/>
      <c r="M133" s="408">
        <f t="shared" si="1"/>
        <v>1.02271245</v>
      </c>
      <c r="N133" s="409">
        <f t="shared" si="2"/>
        <v>2208.832013</v>
      </c>
      <c r="O133" s="410" t="s">
        <v>12</v>
      </c>
      <c r="P133" s="411" t="s">
        <v>874</v>
      </c>
      <c r="Q133" s="436" t="s">
        <v>906</v>
      </c>
      <c r="R133" s="419"/>
      <c r="S133" s="83"/>
      <c r="T133" s="83"/>
      <c r="U133" s="83"/>
      <c r="V133" s="83"/>
      <c r="W133" s="83"/>
      <c r="X133" s="83"/>
      <c r="Y133" s="83"/>
      <c r="Z133" s="83"/>
      <c r="AA133" s="83"/>
      <c r="AB133" s="83"/>
      <c r="AC133" s="83"/>
      <c r="AD133" s="83"/>
    </row>
    <row r="134">
      <c r="A134" s="404" t="s">
        <v>907</v>
      </c>
      <c r="B134" s="404" t="s">
        <v>784</v>
      </c>
      <c r="C134" s="405">
        <v>45552.49375</v>
      </c>
      <c r="D134" s="404">
        <v>20.0</v>
      </c>
      <c r="E134" s="404">
        <v>0.088312</v>
      </c>
      <c r="F134" s="404">
        <v>1022.6</v>
      </c>
      <c r="G134" s="404">
        <v>22.5</v>
      </c>
      <c r="H134" s="404">
        <v>692.8051</v>
      </c>
      <c r="I134" s="404">
        <v>0.999776</v>
      </c>
      <c r="J134" s="404">
        <v>0.512368</v>
      </c>
      <c r="K134" s="406">
        <v>2262.4</v>
      </c>
      <c r="L134" s="414" t="s">
        <v>519</v>
      </c>
      <c r="M134" s="408">
        <f t="shared" si="1"/>
        <v>2.143938966</v>
      </c>
      <c r="N134" s="409">
        <f t="shared" si="2"/>
        <v>1055.253921</v>
      </c>
      <c r="O134" s="410" t="s">
        <v>534</v>
      </c>
      <c r="P134" s="411" t="s">
        <v>874</v>
      </c>
      <c r="Q134" s="416" t="s">
        <v>838</v>
      </c>
      <c r="R134" s="417"/>
      <c r="S134" s="83"/>
      <c r="T134" s="83"/>
      <c r="U134" s="83"/>
      <c r="V134" s="83"/>
      <c r="W134" s="83"/>
      <c r="X134" s="83"/>
      <c r="Y134" s="83"/>
      <c r="Z134" s="83"/>
      <c r="AA134" s="83"/>
      <c r="AB134" s="83"/>
      <c r="AC134" s="83"/>
      <c r="AD134" s="83"/>
    </row>
    <row r="135">
      <c r="A135" s="404" t="s">
        <v>908</v>
      </c>
      <c r="B135" s="404" t="s">
        <v>784</v>
      </c>
      <c r="C135" s="405">
        <v>45552.501388888886</v>
      </c>
      <c r="D135" s="404">
        <v>20.0</v>
      </c>
      <c r="E135" s="404">
        <v>0.088312</v>
      </c>
      <c r="F135" s="404">
        <v>1022.6</v>
      </c>
      <c r="G135" s="404">
        <v>22.5</v>
      </c>
      <c r="H135" s="404">
        <v>695.594</v>
      </c>
      <c r="I135" s="404">
        <v>0.999776</v>
      </c>
      <c r="J135" s="404">
        <v>0.512368</v>
      </c>
      <c r="K135" s="406">
        <v>2262.4</v>
      </c>
      <c r="L135" s="418">
        <v>9.0E-4</v>
      </c>
      <c r="M135" s="408">
        <f t="shared" si="1"/>
        <v>2.143938966</v>
      </c>
      <c r="N135" s="409">
        <f t="shared" si="2"/>
        <v>1055.253921</v>
      </c>
      <c r="O135" s="410" t="s">
        <v>534</v>
      </c>
      <c r="P135" s="411" t="s">
        <v>874</v>
      </c>
      <c r="Q135" s="416" t="s">
        <v>838</v>
      </c>
      <c r="R135" s="417"/>
      <c r="S135" s="83"/>
      <c r="T135" s="83"/>
      <c r="U135" s="83"/>
      <c r="V135" s="83"/>
      <c r="W135" s="83"/>
      <c r="X135" s="83"/>
      <c r="Y135" s="83"/>
      <c r="Z135" s="83"/>
      <c r="AA135" s="83"/>
      <c r="AB135" s="83"/>
      <c r="AC135" s="83"/>
      <c r="AD135" s="83"/>
    </row>
    <row r="136">
      <c r="A136" s="404" t="s">
        <v>909</v>
      </c>
      <c r="B136" s="404" t="s">
        <v>784</v>
      </c>
      <c r="C136" s="405">
        <v>45552.50833333333</v>
      </c>
      <c r="D136" s="404">
        <v>20.0</v>
      </c>
      <c r="E136" s="404">
        <v>0.088201</v>
      </c>
      <c r="F136" s="404">
        <v>1022.6</v>
      </c>
      <c r="G136" s="404">
        <v>22.5</v>
      </c>
      <c r="H136" s="404">
        <v>693.8141</v>
      </c>
      <c r="I136" s="404">
        <v>0.999763</v>
      </c>
      <c r="J136" s="404">
        <v>0.513011</v>
      </c>
      <c r="K136" s="406">
        <v>2262.4</v>
      </c>
      <c r="L136" s="418">
        <v>9.0E-4</v>
      </c>
      <c r="M136" s="408">
        <f t="shared" si="1"/>
        <v>2.143938966</v>
      </c>
      <c r="N136" s="409">
        <f t="shared" si="2"/>
        <v>1055.253921</v>
      </c>
      <c r="O136" s="410" t="s">
        <v>534</v>
      </c>
      <c r="P136" s="411" t="s">
        <v>874</v>
      </c>
      <c r="Q136" s="416" t="s">
        <v>838</v>
      </c>
      <c r="R136" s="417"/>
      <c r="S136" s="83"/>
      <c r="T136" s="83"/>
      <c r="U136" s="83"/>
      <c r="V136" s="83"/>
      <c r="W136" s="83"/>
      <c r="X136" s="83"/>
      <c r="Y136" s="83"/>
      <c r="Z136" s="83"/>
      <c r="AA136" s="83"/>
      <c r="AB136" s="83"/>
      <c r="AC136" s="83"/>
      <c r="AD136" s="83"/>
    </row>
    <row r="137">
      <c r="A137" s="420" t="s">
        <v>854</v>
      </c>
      <c r="B137" s="420" t="s">
        <v>784</v>
      </c>
      <c r="C137" s="421">
        <v>45552.518055555556</v>
      </c>
      <c r="D137" s="420">
        <v>20.0</v>
      </c>
      <c r="E137" s="420">
        <v>0.088257</v>
      </c>
      <c r="F137" s="420">
        <v>33.1</v>
      </c>
      <c r="G137" s="420">
        <v>22.5</v>
      </c>
      <c r="H137" s="420">
        <v>691.2491</v>
      </c>
      <c r="I137" s="420">
        <v>0.999789</v>
      </c>
      <c r="J137" s="420">
        <v>0.512292</v>
      </c>
      <c r="K137" s="422">
        <v>2260.7</v>
      </c>
      <c r="L137" s="407"/>
      <c r="M137" s="408">
        <f t="shared" si="1"/>
        <v>1.022636612</v>
      </c>
      <c r="N137" s="409">
        <f t="shared" si="2"/>
        <v>2210.658189</v>
      </c>
      <c r="O137" s="410" t="s">
        <v>12</v>
      </c>
      <c r="P137" s="411" t="s">
        <v>874</v>
      </c>
      <c r="Q137" s="425"/>
      <c r="R137" s="413"/>
      <c r="S137" s="413"/>
      <c r="T137" s="83"/>
      <c r="U137" s="83"/>
      <c r="V137" s="83"/>
      <c r="W137" s="83"/>
      <c r="X137" s="83"/>
      <c r="Y137" s="83"/>
      <c r="Z137" s="83"/>
      <c r="AA137" s="83"/>
      <c r="AB137" s="83"/>
      <c r="AC137" s="83"/>
      <c r="AD137" s="83"/>
    </row>
    <row r="138">
      <c r="A138" s="404" t="s">
        <v>855</v>
      </c>
      <c r="B138" s="404">
        <v>482.0</v>
      </c>
      <c r="C138" s="405">
        <v>45552.52638888889</v>
      </c>
      <c r="D138" s="404">
        <v>20.0</v>
      </c>
      <c r="E138" s="404">
        <v>0.088257</v>
      </c>
      <c r="F138" s="404">
        <v>35.6</v>
      </c>
      <c r="G138" s="404">
        <v>22.5</v>
      </c>
      <c r="H138" s="404">
        <v>693.8634</v>
      </c>
      <c r="I138" s="404">
        <v>0.999764</v>
      </c>
      <c r="J138" s="404">
        <v>0.536071</v>
      </c>
      <c r="K138" s="406">
        <v>2365.6</v>
      </c>
      <c r="L138" s="407"/>
      <c r="M138" s="408">
        <f t="shared" si="1"/>
        <v>1.024533827</v>
      </c>
      <c r="N138" s="409">
        <f t="shared" si="2"/>
        <v>2308.952557</v>
      </c>
      <c r="O138" s="410" t="s">
        <v>12</v>
      </c>
      <c r="P138" s="411" t="s">
        <v>874</v>
      </c>
      <c r="Q138" s="425"/>
      <c r="R138" s="413"/>
      <c r="S138" s="413"/>
      <c r="T138" s="83"/>
      <c r="U138" s="83"/>
      <c r="V138" s="83"/>
      <c r="W138" s="83"/>
      <c r="X138" s="83"/>
      <c r="Y138" s="83"/>
      <c r="Z138" s="83"/>
      <c r="AA138" s="83"/>
      <c r="AB138" s="83"/>
      <c r="AC138" s="83"/>
      <c r="AD138" s="83"/>
    </row>
    <row r="139">
      <c r="A139" s="404" t="s">
        <v>856</v>
      </c>
      <c r="B139" s="404">
        <v>483.0</v>
      </c>
      <c r="C139" s="405">
        <v>45552.53194444445</v>
      </c>
      <c r="D139" s="404">
        <v>20.0</v>
      </c>
      <c r="E139" s="404">
        <v>0.088257</v>
      </c>
      <c r="F139" s="404">
        <v>35.6</v>
      </c>
      <c r="G139" s="404">
        <v>22.5</v>
      </c>
      <c r="H139" s="404">
        <v>692.8541</v>
      </c>
      <c r="I139" s="404">
        <v>0.999801</v>
      </c>
      <c r="J139" s="404">
        <v>0.535365</v>
      </c>
      <c r="K139" s="406">
        <v>2362.5</v>
      </c>
      <c r="L139" s="407"/>
      <c r="M139" s="408">
        <f t="shared" si="1"/>
        <v>1.024533827</v>
      </c>
      <c r="N139" s="409">
        <f t="shared" si="2"/>
        <v>2305.92679</v>
      </c>
      <c r="O139" s="410" t="s">
        <v>12</v>
      </c>
      <c r="P139" s="411" t="s">
        <v>874</v>
      </c>
      <c r="Q139" s="425"/>
      <c r="R139" s="413"/>
      <c r="S139" s="413"/>
      <c r="T139" s="83"/>
      <c r="U139" s="83"/>
      <c r="V139" s="83"/>
      <c r="W139" s="83"/>
      <c r="X139" s="83"/>
      <c r="Y139" s="83"/>
      <c r="Z139" s="83"/>
      <c r="AA139" s="83"/>
      <c r="AB139" s="83"/>
      <c r="AC139" s="83"/>
      <c r="AD139" s="83"/>
    </row>
    <row r="140">
      <c r="A140" s="404" t="s">
        <v>857</v>
      </c>
      <c r="B140" s="404">
        <v>469.0</v>
      </c>
      <c r="C140" s="405">
        <v>45552.538194444445</v>
      </c>
      <c r="D140" s="404">
        <v>20.0</v>
      </c>
      <c r="E140" s="404">
        <v>0.088257</v>
      </c>
      <c r="F140" s="404">
        <v>35.6</v>
      </c>
      <c r="G140" s="404">
        <v>22.5</v>
      </c>
      <c r="H140" s="404">
        <v>692.9239</v>
      </c>
      <c r="I140" s="404">
        <v>0.999806</v>
      </c>
      <c r="J140" s="404">
        <v>0.532584</v>
      </c>
      <c r="K140" s="406">
        <v>2350.2</v>
      </c>
      <c r="L140" s="407"/>
      <c r="M140" s="408">
        <f t="shared" si="1"/>
        <v>1.024533827</v>
      </c>
      <c r="N140" s="409">
        <f t="shared" si="2"/>
        <v>2293.92133</v>
      </c>
      <c r="O140" s="410" t="s">
        <v>12</v>
      </c>
      <c r="P140" s="411" t="s">
        <v>874</v>
      </c>
      <c r="Q140" s="425"/>
      <c r="R140" s="413"/>
      <c r="S140" s="413"/>
      <c r="T140" s="83"/>
      <c r="U140" s="83"/>
      <c r="V140" s="83"/>
      <c r="W140" s="83"/>
      <c r="X140" s="83"/>
      <c r="Y140" s="83"/>
      <c r="Z140" s="83"/>
      <c r="AA140" s="83"/>
      <c r="AB140" s="83"/>
      <c r="AC140" s="83"/>
      <c r="AD140" s="83"/>
    </row>
    <row r="141">
      <c r="A141" s="404" t="s">
        <v>858</v>
      </c>
      <c r="B141" s="404">
        <v>470.0</v>
      </c>
      <c r="C141" s="437">
        <v>45552.544444444444</v>
      </c>
      <c r="D141" s="404">
        <v>20.0</v>
      </c>
      <c r="E141" s="404">
        <v>0.088257</v>
      </c>
      <c r="F141" s="404">
        <v>35.6</v>
      </c>
      <c r="G141" s="404">
        <v>22.5</v>
      </c>
      <c r="H141" s="404">
        <v>694.9087</v>
      </c>
      <c r="I141" s="404">
        <v>0.999756</v>
      </c>
      <c r="J141" s="404">
        <v>0.532772</v>
      </c>
      <c r="K141" s="406">
        <v>2351.0</v>
      </c>
      <c r="L141" s="407"/>
      <c r="M141" s="408">
        <f t="shared" si="1"/>
        <v>1.024533827</v>
      </c>
      <c r="N141" s="409">
        <f t="shared" si="2"/>
        <v>2294.702173</v>
      </c>
      <c r="O141" s="410" t="s">
        <v>12</v>
      </c>
      <c r="P141" s="411" t="s">
        <v>874</v>
      </c>
      <c r="Q141" s="438"/>
      <c r="R141" s="413"/>
      <c r="S141" s="413"/>
      <c r="T141" s="83"/>
      <c r="U141" s="83"/>
      <c r="V141" s="83"/>
      <c r="W141" s="83"/>
      <c r="X141" s="83"/>
      <c r="Y141" s="83"/>
      <c r="Z141" s="83"/>
      <c r="AA141" s="83"/>
      <c r="AB141" s="83"/>
      <c r="AC141" s="83"/>
      <c r="AD141" s="83"/>
    </row>
    <row r="142">
      <c r="A142" s="404" t="s">
        <v>859</v>
      </c>
      <c r="B142" s="404">
        <v>495.0</v>
      </c>
      <c r="C142" s="437">
        <v>45552.55069444444</v>
      </c>
      <c r="D142" s="404">
        <v>20.0</v>
      </c>
      <c r="E142" s="404">
        <v>0.088257</v>
      </c>
      <c r="F142" s="404">
        <v>35.6</v>
      </c>
      <c r="G142" s="404">
        <v>22.5</v>
      </c>
      <c r="H142" s="404">
        <v>692.6046</v>
      </c>
      <c r="I142" s="404">
        <v>0.999787</v>
      </c>
      <c r="J142" s="404">
        <v>0.535253</v>
      </c>
      <c r="K142" s="406">
        <v>2362.0</v>
      </c>
      <c r="L142" s="407"/>
      <c r="M142" s="408">
        <f t="shared" si="1"/>
        <v>1.024533827</v>
      </c>
      <c r="N142" s="409">
        <f t="shared" si="2"/>
        <v>2305.438764</v>
      </c>
      <c r="O142" s="410" t="s">
        <v>12</v>
      </c>
      <c r="P142" s="411" t="s">
        <v>874</v>
      </c>
      <c r="Q142" s="438"/>
      <c r="R142" s="413"/>
      <c r="S142" s="413"/>
      <c r="T142" s="83"/>
      <c r="U142" s="83"/>
      <c r="V142" s="83"/>
      <c r="W142" s="83"/>
      <c r="X142" s="83"/>
      <c r="Y142" s="83"/>
      <c r="Z142" s="83"/>
      <c r="AA142" s="83"/>
      <c r="AB142" s="83"/>
      <c r="AC142" s="83"/>
      <c r="AD142" s="83"/>
    </row>
    <row r="143">
      <c r="A143" s="404" t="s">
        <v>860</v>
      </c>
      <c r="B143" s="404">
        <v>496.0</v>
      </c>
      <c r="C143" s="437">
        <v>45552.55694444444</v>
      </c>
      <c r="D143" s="404">
        <v>20.0</v>
      </c>
      <c r="E143" s="404">
        <v>0.088257</v>
      </c>
      <c r="F143" s="404">
        <v>35.6</v>
      </c>
      <c r="G143" s="404">
        <v>22.5</v>
      </c>
      <c r="H143" s="404">
        <v>693.6121</v>
      </c>
      <c r="I143" s="404">
        <v>0.999797</v>
      </c>
      <c r="J143" s="404">
        <v>0.53577</v>
      </c>
      <c r="K143" s="406">
        <v>2364.3</v>
      </c>
      <c r="L143" s="407"/>
      <c r="M143" s="408">
        <f t="shared" si="1"/>
        <v>1.024533827</v>
      </c>
      <c r="N143" s="409">
        <f t="shared" si="2"/>
        <v>2307.683687</v>
      </c>
      <c r="O143" s="410" t="s">
        <v>12</v>
      </c>
      <c r="P143" s="411" t="s">
        <v>874</v>
      </c>
      <c r="Q143" s="438"/>
      <c r="R143" s="413"/>
      <c r="S143" s="413"/>
      <c r="T143" s="83"/>
      <c r="U143" s="83"/>
      <c r="V143" s="83"/>
      <c r="W143" s="83"/>
      <c r="X143" s="83"/>
      <c r="Y143" s="83"/>
      <c r="Z143" s="83"/>
      <c r="AA143" s="83"/>
      <c r="AB143" s="83"/>
      <c r="AC143" s="83"/>
      <c r="AD143" s="83"/>
    </row>
    <row r="144">
      <c r="A144" s="404" t="s">
        <v>862</v>
      </c>
      <c r="B144" s="404">
        <v>508.0</v>
      </c>
      <c r="C144" s="405">
        <v>45552.5625</v>
      </c>
      <c r="D144" s="404">
        <v>20.0</v>
      </c>
      <c r="E144" s="404">
        <v>0.088257</v>
      </c>
      <c r="F144" s="404">
        <v>35.7</v>
      </c>
      <c r="G144" s="404">
        <v>22.5</v>
      </c>
      <c r="H144" s="404">
        <v>692.9586</v>
      </c>
      <c r="I144" s="404">
        <v>0.999767</v>
      </c>
      <c r="J144" s="404">
        <v>0.533696</v>
      </c>
      <c r="K144" s="406">
        <v>2355.1</v>
      </c>
      <c r="L144" s="407"/>
      <c r="M144" s="408">
        <f t="shared" si="1"/>
        <v>1.024609771</v>
      </c>
      <c r="N144" s="409">
        <f t="shared" si="2"/>
        <v>2298.533614</v>
      </c>
      <c r="O144" s="410" t="s">
        <v>12</v>
      </c>
      <c r="P144" s="411" t="s">
        <v>874</v>
      </c>
      <c r="Q144" s="428"/>
      <c r="R144" s="413"/>
      <c r="S144" s="413"/>
      <c r="T144" s="83"/>
      <c r="U144" s="83"/>
      <c r="V144" s="83"/>
      <c r="W144" s="83"/>
      <c r="X144" s="83"/>
      <c r="Y144" s="83"/>
      <c r="Z144" s="83"/>
      <c r="AA144" s="83"/>
      <c r="AB144" s="83"/>
      <c r="AC144" s="83"/>
      <c r="AD144" s="83"/>
    </row>
    <row r="145">
      <c r="A145" s="404" t="s">
        <v>863</v>
      </c>
      <c r="B145" s="404">
        <v>509.0</v>
      </c>
      <c r="C145" s="405">
        <v>45552.56875</v>
      </c>
      <c r="D145" s="404">
        <v>20.0</v>
      </c>
      <c r="E145" s="404">
        <v>0.088257</v>
      </c>
      <c r="F145" s="404">
        <v>35.7</v>
      </c>
      <c r="G145" s="404">
        <v>22.5</v>
      </c>
      <c r="H145" s="404">
        <v>699.1965</v>
      </c>
      <c r="I145" s="404">
        <v>0.999758</v>
      </c>
      <c r="J145" s="404">
        <v>0.534177</v>
      </c>
      <c r="K145" s="406">
        <v>2357.2</v>
      </c>
      <c r="L145" s="407"/>
      <c r="M145" s="408">
        <f t="shared" si="1"/>
        <v>1.024609771</v>
      </c>
      <c r="N145" s="409">
        <f t="shared" si="2"/>
        <v>2300.583175</v>
      </c>
      <c r="O145" s="410" t="s">
        <v>12</v>
      </c>
      <c r="P145" s="411" t="s">
        <v>874</v>
      </c>
      <c r="Q145" s="428"/>
      <c r="R145" s="413"/>
      <c r="S145" s="413"/>
      <c r="T145" s="83"/>
      <c r="U145" s="83"/>
      <c r="V145" s="83"/>
      <c r="W145" s="83"/>
      <c r="X145" s="83"/>
      <c r="Y145" s="83"/>
      <c r="Z145" s="83"/>
      <c r="AA145" s="83"/>
      <c r="AB145" s="83"/>
      <c r="AC145" s="83"/>
      <c r="AD145" s="83"/>
    </row>
    <row r="146">
      <c r="A146" s="404" t="s">
        <v>864</v>
      </c>
      <c r="B146" s="404">
        <v>521.0</v>
      </c>
      <c r="C146" s="405">
        <v>45552.575</v>
      </c>
      <c r="D146" s="404">
        <v>20.0</v>
      </c>
      <c r="E146" s="404">
        <v>0.088257</v>
      </c>
      <c r="F146" s="404">
        <v>35.5</v>
      </c>
      <c r="G146" s="404">
        <v>22.5</v>
      </c>
      <c r="H146" s="404">
        <v>694.0911</v>
      </c>
      <c r="I146" s="404">
        <v>0.999816</v>
      </c>
      <c r="J146" s="404">
        <v>0.534026</v>
      </c>
      <c r="K146" s="406">
        <v>2356.6</v>
      </c>
      <c r="L146" s="407"/>
      <c r="M146" s="408">
        <f t="shared" si="1"/>
        <v>1.024457888</v>
      </c>
      <c r="N146" s="409">
        <f t="shared" si="2"/>
        <v>2300.338577</v>
      </c>
      <c r="O146" s="410" t="s">
        <v>12</v>
      </c>
      <c r="P146" s="411" t="s">
        <v>874</v>
      </c>
      <c r="Q146" s="428"/>
      <c r="R146" s="413"/>
      <c r="S146" s="413"/>
      <c r="T146" s="83"/>
      <c r="U146" s="83"/>
      <c r="V146" s="83"/>
      <c r="W146" s="83"/>
      <c r="X146" s="83"/>
      <c r="Y146" s="83"/>
      <c r="Z146" s="83"/>
      <c r="AA146" s="83"/>
      <c r="AB146" s="83"/>
      <c r="AC146" s="83"/>
      <c r="AD146" s="83"/>
    </row>
    <row r="147">
      <c r="A147" s="404" t="s">
        <v>865</v>
      </c>
      <c r="B147" s="404">
        <v>522.0</v>
      </c>
      <c r="C147" s="405">
        <v>45552.58125</v>
      </c>
      <c r="D147" s="404">
        <v>20.0</v>
      </c>
      <c r="E147" s="404">
        <v>0.088257</v>
      </c>
      <c r="F147" s="404">
        <v>35.5</v>
      </c>
      <c r="G147" s="404">
        <v>22.5</v>
      </c>
      <c r="H147" s="404">
        <v>692.5576</v>
      </c>
      <c r="I147" s="404">
        <v>0.999787</v>
      </c>
      <c r="J147" s="404">
        <v>0.533828</v>
      </c>
      <c r="K147" s="406">
        <v>2355.7</v>
      </c>
      <c r="L147" s="407"/>
      <c r="M147" s="408">
        <f t="shared" si="1"/>
        <v>1.024457888</v>
      </c>
      <c r="N147" s="409">
        <f t="shared" si="2"/>
        <v>2299.460064</v>
      </c>
      <c r="O147" s="410" t="s">
        <v>12</v>
      </c>
      <c r="P147" s="411" t="s">
        <v>874</v>
      </c>
      <c r="Q147" s="428"/>
      <c r="R147" s="413"/>
      <c r="S147" s="413"/>
      <c r="T147" s="83"/>
      <c r="U147" s="83"/>
      <c r="V147" s="83"/>
      <c r="W147" s="83"/>
      <c r="X147" s="83"/>
      <c r="Y147" s="83"/>
      <c r="Z147" s="83"/>
      <c r="AA147" s="83"/>
      <c r="AB147" s="83"/>
      <c r="AC147" s="83"/>
      <c r="AD147" s="83"/>
    </row>
    <row r="148">
      <c r="A148" s="420" t="s">
        <v>866</v>
      </c>
      <c r="B148" s="420" t="s">
        <v>784</v>
      </c>
      <c r="C148" s="421">
        <v>45552.5875</v>
      </c>
      <c r="D148" s="420">
        <v>20.0</v>
      </c>
      <c r="E148" s="420">
        <v>0.088257</v>
      </c>
      <c r="F148" s="420">
        <v>33.1</v>
      </c>
      <c r="G148" s="420">
        <v>22.5</v>
      </c>
      <c r="H148" s="420">
        <v>689.5991</v>
      </c>
      <c r="I148" s="420">
        <v>0.999738</v>
      </c>
      <c r="J148" s="420">
        <v>0.511439</v>
      </c>
      <c r="K148" s="422">
        <v>2256.9</v>
      </c>
      <c r="L148" s="407"/>
      <c r="M148" s="408">
        <f t="shared" si="1"/>
        <v>1.022636612</v>
      </c>
      <c r="N148" s="409">
        <f t="shared" si="2"/>
        <v>2206.942304</v>
      </c>
      <c r="O148" s="410" t="s">
        <v>12</v>
      </c>
      <c r="P148" s="411" t="s">
        <v>874</v>
      </c>
      <c r="Q148" s="428"/>
      <c r="R148" s="413"/>
      <c r="S148" s="413"/>
      <c r="T148" s="83"/>
      <c r="U148" s="83"/>
      <c r="V148" s="83"/>
      <c r="W148" s="83"/>
      <c r="X148" s="83"/>
      <c r="Y148" s="83"/>
      <c r="Z148" s="83"/>
      <c r="AA148" s="83"/>
      <c r="AB148" s="83"/>
      <c r="AC148" s="83"/>
      <c r="AD148" s="83"/>
    </row>
    <row r="149">
      <c r="A149" s="404" t="s">
        <v>910</v>
      </c>
      <c r="B149" s="404" t="s">
        <v>784</v>
      </c>
      <c r="C149" s="405">
        <v>45552.63402777778</v>
      </c>
      <c r="D149" s="404">
        <v>20.0</v>
      </c>
      <c r="E149" s="404">
        <v>0.048389</v>
      </c>
      <c r="F149" s="404">
        <v>1022.6</v>
      </c>
      <c r="G149" s="404">
        <v>22.5</v>
      </c>
      <c r="H149" s="404">
        <v>627.336</v>
      </c>
      <c r="I149" s="404">
        <v>0.99772</v>
      </c>
      <c r="J149" s="404">
        <v>0.935088</v>
      </c>
      <c r="K149" s="406">
        <v>2262.4</v>
      </c>
      <c r="L149" s="414" t="s">
        <v>519</v>
      </c>
      <c r="M149" s="408">
        <f t="shared" si="1"/>
        <v>2.143938966</v>
      </c>
      <c r="N149" s="409">
        <f t="shared" si="2"/>
        <v>1055.253921</v>
      </c>
      <c r="O149" s="410" t="s">
        <v>534</v>
      </c>
      <c r="P149" s="411" t="s">
        <v>874</v>
      </c>
      <c r="Q149" s="416" t="s">
        <v>838</v>
      </c>
      <c r="R149" s="417"/>
      <c r="S149" s="413"/>
      <c r="T149" s="83"/>
      <c r="U149" s="83"/>
      <c r="V149" s="83"/>
      <c r="W149" s="83"/>
      <c r="X149" s="83"/>
      <c r="Y149" s="83"/>
      <c r="Z149" s="83"/>
      <c r="AA149" s="83"/>
      <c r="AB149" s="83"/>
      <c r="AC149" s="83"/>
      <c r="AD149" s="83"/>
    </row>
    <row r="150">
      <c r="A150" s="404" t="s">
        <v>911</v>
      </c>
      <c r="B150" s="404" t="s">
        <v>784</v>
      </c>
      <c r="C150" s="405">
        <v>45552.64722222222</v>
      </c>
      <c r="D150" s="404">
        <v>20.0</v>
      </c>
      <c r="E150" s="404">
        <v>0.088552</v>
      </c>
      <c r="F150" s="404">
        <v>1022.6</v>
      </c>
      <c r="G150" s="404">
        <v>22.5</v>
      </c>
      <c r="H150" s="404">
        <v>693.8392</v>
      </c>
      <c r="I150" s="404">
        <v>0.999778</v>
      </c>
      <c r="J150" s="404">
        <v>0.510981</v>
      </c>
      <c r="K150" s="406">
        <v>2262.4</v>
      </c>
      <c r="L150" s="418">
        <v>0.0</v>
      </c>
      <c r="M150" s="408">
        <f t="shared" si="1"/>
        <v>2.143938966</v>
      </c>
      <c r="N150" s="409">
        <f t="shared" si="2"/>
        <v>1055.253921</v>
      </c>
      <c r="O150" s="410" t="s">
        <v>534</v>
      </c>
      <c r="P150" s="411" t="s">
        <v>874</v>
      </c>
      <c r="Q150" s="416" t="s">
        <v>838</v>
      </c>
      <c r="R150" s="417"/>
      <c r="S150" s="413"/>
      <c r="T150" s="83"/>
      <c r="U150" s="83"/>
      <c r="V150" s="83"/>
      <c r="W150" s="83"/>
      <c r="X150" s="83"/>
      <c r="Y150" s="83"/>
      <c r="Z150" s="83"/>
      <c r="AA150" s="83"/>
      <c r="AB150" s="83"/>
      <c r="AC150" s="83"/>
      <c r="AD150" s="83"/>
    </row>
    <row r="151">
      <c r="A151" s="404" t="s">
        <v>912</v>
      </c>
      <c r="B151" s="404" t="s">
        <v>784</v>
      </c>
      <c r="C151" s="405">
        <v>45552.65555555555</v>
      </c>
      <c r="D151" s="404">
        <v>20.0</v>
      </c>
      <c r="E151" s="404">
        <v>0.088554</v>
      </c>
      <c r="F151" s="404">
        <v>1022.6</v>
      </c>
      <c r="G151" s="404">
        <v>22.5</v>
      </c>
      <c r="H151" s="404">
        <v>695.1929</v>
      </c>
      <c r="I151" s="404">
        <v>0.999791</v>
      </c>
      <c r="J151" s="404">
        <v>0.510971</v>
      </c>
      <c r="K151" s="406">
        <v>2262.4</v>
      </c>
      <c r="L151" s="418">
        <v>0.0</v>
      </c>
      <c r="M151" s="408">
        <f t="shared" si="1"/>
        <v>2.143938966</v>
      </c>
      <c r="N151" s="409">
        <f t="shared" si="2"/>
        <v>1055.253921</v>
      </c>
      <c r="O151" s="410" t="s">
        <v>534</v>
      </c>
      <c r="P151" s="411" t="s">
        <v>874</v>
      </c>
      <c r="Q151" s="416" t="s">
        <v>838</v>
      </c>
      <c r="R151" s="417"/>
      <c r="S151" s="413"/>
      <c r="T151" s="83"/>
      <c r="U151" s="83"/>
      <c r="V151" s="83"/>
      <c r="W151" s="83"/>
      <c r="X151" s="83"/>
      <c r="Y151" s="83"/>
      <c r="Z151" s="83"/>
      <c r="AA151" s="83"/>
      <c r="AB151" s="83"/>
      <c r="AC151" s="83"/>
      <c r="AD151" s="83"/>
    </row>
    <row r="152">
      <c r="A152" s="420" t="s">
        <v>869</v>
      </c>
      <c r="B152" s="420" t="s">
        <v>802</v>
      </c>
      <c r="C152" s="421">
        <v>45552.66458333333</v>
      </c>
      <c r="D152" s="420">
        <v>20.0</v>
      </c>
      <c r="E152" s="420">
        <v>0.088553</v>
      </c>
      <c r="F152" s="420">
        <v>33.1</v>
      </c>
      <c r="G152" s="420">
        <v>22.5</v>
      </c>
      <c r="H152" s="420">
        <v>693.5001</v>
      </c>
      <c r="I152" s="420">
        <v>0.999757</v>
      </c>
      <c r="J152" s="420">
        <v>0.510599</v>
      </c>
      <c r="K152" s="422">
        <v>2260.7</v>
      </c>
      <c r="L152" s="407"/>
      <c r="M152" s="408">
        <f t="shared" si="1"/>
        <v>1.022636612</v>
      </c>
      <c r="N152" s="409">
        <f t="shared" si="2"/>
        <v>2210.658189</v>
      </c>
      <c r="O152" s="410" t="s">
        <v>12</v>
      </c>
      <c r="P152" s="411" t="s">
        <v>874</v>
      </c>
      <c r="Q152" s="428"/>
      <c r="R152" s="413"/>
      <c r="S152" s="413"/>
      <c r="T152" s="83"/>
      <c r="U152" s="83"/>
      <c r="V152" s="83"/>
      <c r="W152" s="83"/>
      <c r="X152" s="83"/>
      <c r="Y152" s="83"/>
      <c r="Z152" s="83"/>
      <c r="AA152" s="83"/>
      <c r="AB152" s="83"/>
      <c r="AC152" s="83"/>
      <c r="AD152" s="83"/>
    </row>
    <row r="153">
      <c r="A153" s="404" t="s">
        <v>827</v>
      </c>
      <c r="B153" s="404" t="s">
        <v>828</v>
      </c>
      <c r="C153" s="405">
        <v>45554.38402777778</v>
      </c>
      <c r="D153" s="404">
        <v>20.0</v>
      </c>
      <c r="E153" s="404">
        <v>0.088553</v>
      </c>
      <c r="F153" s="404" t="s">
        <v>829</v>
      </c>
      <c r="G153" s="404">
        <v>22.5</v>
      </c>
      <c r="H153" s="404">
        <v>778.6341</v>
      </c>
      <c r="I153" s="404">
        <v>0.999929</v>
      </c>
      <c r="J153" s="404">
        <v>0.466402</v>
      </c>
      <c r="K153" s="406">
        <v>2065.1</v>
      </c>
      <c r="L153" s="407"/>
      <c r="M153" s="408" t="str">
        <f t="shared" si="1"/>
        <v>#VALUE!</v>
      </c>
      <c r="N153" s="409" t="str">
        <f t="shared" si="2"/>
        <v>#VALUE!</v>
      </c>
      <c r="O153" s="410" t="s">
        <v>12</v>
      </c>
      <c r="P153" s="411" t="s">
        <v>874</v>
      </c>
      <c r="Q153" s="428"/>
      <c r="R153" s="413"/>
      <c r="S153" s="413"/>
      <c r="T153" s="83"/>
      <c r="U153" s="83"/>
      <c r="V153" s="83"/>
      <c r="W153" s="83"/>
      <c r="X153" s="83"/>
      <c r="Y153" s="83"/>
      <c r="Z153" s="83"/>
      <c r="AA153" s="83"/>
      <c r="AB153" s="83"/>
      <c r="AC153" s="83"/>
      <c r="AD153" s="83"/>
    </row>
    <row r="154">
      <c r="A154" s="404" t="s">
        <v>830</v>
      </c>
      <c r="B154" s="404" t="s">
        <v>828</v>
      </c>
      <c r="C154" s="405">
        <v>45554.39236111111</v>
      </c>
      <c r="D154" s="404">
        <v>20.0</v>
      </c>
      <c r="E154" s="404">
        <v>0.088553</v>
      </c>
      <c r="F154" s="404" t="s">
        <v>829</v>
      </c>
      <c r="G154" s="404">
        <v>22.5</v>
      </c>
      <c r="H154" s="404">
        <v>795.8324</v>
      </c>
      <c r="I154" s="404">
        <v>0.999934</v>
      </c>
      <c r="J154" s="404">
        <v>0.467047</v>
      </c>
      <c r="K154" s="406">
        <v>2067.9</v>
      </c>
      <c r="L154" s="414">
        <v>2.0187</v>
      </c>
      <c r="M154" s="408" t="str">
        <f t="shared" si="1"/>
        <v>#VALUE!</v>
      </c>
      <c r="N154" s="409" t="str">
        <f t="shared" si="2"/>
        <v>#VALUE!</v>
      </c>
      <c r="O154" s="410" t="s">
        <v>12</v>
      </c>
      <c r="P154" s="411" t="s">
        <v>874</v>
      </c>
      <c r="Q154" s="428"/>
      <c r="R154" s="413"/>
      <c r="S154" s="413"/>
      <c r="T154" s="83"/>
      <c r="U154" s="83"/>
      <c r="V154" s="83"/>
      <c r="W154" s="83"/>
      <c r="X154" s="83"/>
      <c r="Y154" s="83"/>
      <c r="Z154" s="83"/>
      <c r="AA154" s="83"/>
      <c r="AB154" s="83"/>
      <c r="AC154" s="83"/>
      <c r="AD154" s="83"/>
    </row>
    <row r="155">
      <c r="A155" s="404" t="s">
        <v>875</v>
      </c>
      <c r="B155" s="404" t="s">
        <v>828</v>
      </c>
      <c r="C155" s="405">
        <v>45554.39861111111</v>
      </c>
      <c r="D155" s="404">
        <v>20.0</v>
      </c>
      <c r="E155" s="404">
        <v>0.088553</v>
      </c>
      <c r="F155" s="404" t="s">
        <v>829</v>
      </c>
      <c r="G155" s="404">
        <v>22.5</v>
      </c>
      <c r="H155" s="404">
        <v>793.9046</v>
      </c>
      <c r="I155" s="404">
        <v>0.999974</v>
      </c>
      <c r="J155" s="404">
        <v>0.465668</v>
      </c>
      <c r="K155" s="406">
        <v>2061.8</v>
      </c>
      <c r="L155" s="414">
        <v>4.319</v>
      </c>
      <c r="M155" s="408" t="str">
        <f t="shared" si="1"/>
        <v>#VALUE!</v>
      </c>
      <c r="N155" s="409" t="str">
        <f t="shared" si="2"/>
        <v>#VALUE!</v>
      </c>
      <c r="O155" s="410" t="s">
        <v>12</v>
      </c>
      <c r="P155" s="411" t="s">
        <v>874</v>
      </c>
      <c r="Q155" s="428"/>
      <c r="R155" s="413"/>
      <c r="S155" s="413"/>
      <c r="T155" s="83"/>
      <c r="U155" s="83"/>
      <c r="V155" s="83"/>
      <c r="W155" s="83"/>
      <c r="X155" s="83"/>
      <c r="Y155" s="83"/>
      <c r="Z155" s="83"/>
      <c r="AA155" s="83"/>
      <c r="AB155" s="83"/>
      <c r="AC155" s="83"/>
      <c r="AD155" s="83"/>
    </row>
    <row r="156">
      <c r="A156" s="404" t="s">
        <v>876</v>
      </c>
      <c r="B156" s="404" t="s">
        <v>828</v>
      </c>
      <c r="C156" s="405">
        <v>45554.40555555555</v>
      </c>
      <c r="D156" s="404">
        <v>20.0</v>
      </c>
      <c r="E156" s="404">
        <v>0.088553</v>
      </c>
      <c r="F156" s="404" t="s">
        <v>829</v>
      </c>
      <c r="G156" s="404">
        <v>22.5</v>
      </c>
      <c r="H156" s="404">
        <v>792.2547</v>
      </c>
      <c r="I156" s="404">
        <v>0.999972</v>
      </c>
      <c r="J156" s="404">
        <v>0.466492</v>
      </c>
      <c r="K156" s="406">
        <v>2065.5</v>
      </c>
      <c r="L156" s="414">
        <v>2.5805</v>
      </c>
      <c r="M156" s="408" t="str">
        <f t="shared" si="1"/>
        <v>#VALUE!</v>
      </c>
      <c r="N156" s="409" t="str">
        <f t="shared" si="2"/>
        <v>#VALUE!</v>
      </c>
      <c r="O156" s="410" t="s">
        <v>12</v>
      </c>
      <c r="P156" s="411" t="s">
        <v>874</v>
      </c>
      <c r="Q156" s="428"/>
      <c r="R156" s="413"/>
      <c r="S156" s="413"/>
      <c r="T156" s="83"/>
      <c r="U156" s="83"/>
      <c r="V156" s="83"/>
      <c r="W156" s="83"/>
      <c r="X156" s="83"/>
      <c r="Y156" s="83"/>
      <c r="Z156" s="83"/>
      <c r="AA156" s="83"/>
      <c r="AB156" s="83"/>
      <c r="AC156" s="83"/>
      <c r="AD156" s="83"/>
    </row>
    <row r="157">
      <c r="A157" s="404" t="s">
        <v>877</v>
      </c>
      <c r="B157" s="404" t="s">
        <v>828</v>
      </c>
      <c r="C157" s="405">
        <v>45554.413194444445</v>
      </c>
      <c r="D157" s="404">
        <v>20.0</v>
      </c>
      <c r="E157" s="404">
        <v>0.088553</v>
      </c>
      <c r="F157" s="404" t="s">
        <v>829</v>
      </c>
      <c r="G157" s="404">
        <v>22.5</v>
      </c>
      <c r="H157" s="404">
        <v>793.6247</v>
      </c>
      <c r="I157" s="404">
        <v>0.999955</v>
      </c>
      <c r="J157" s="404">
        <v>0.465737</v>
      </c>
      <c r="K157" s="406">
        <v>2062.1</v>
      </c>
      <c r="L157" s="414">
        <v>2.3641</v>
      </c>
      <c r="M157" s="408" t="str">
        <f t="shared" si="1"/>
        <v>#VALUE!</v>
      </c>
      <c r="N157" s="409" t="str">
        <f t="shared" si="2"/>
        <v>#VALUE!</v>
      </c>
      <c r="O157" s="410" t="s">
        <v>12</v>
      </c>
      <c r="P157" s="411" t="s">
        <v>874</v>
      </c>
      <c r="Q157" s="428"/>
      <c r="R157" s="413"/>
      <c r="S157" s="413"/>
      <c r="T157" s="83"/>
      <c r="U157" s="83"/>
      <c r="V157" s="83"/>
      <c r="W157" s="83"/>
      <c r="X157" s="83"/>
      <c r="Y157" s="83"/>
      <c r="Z157" s="83"/>
      <c r="AA157" s="83"/>
      <c r="AB157" s="83"/>
      <c r="AC157" s="83"/>
      <c r="AD157" s="83"/>
    </row>
    <row r="158">
      <c r="A158" s="404" t="s">
        <v>878</v>
      </c>
      <c r="B158" s="404" t="s">
        <v>828</v>
      </c>
      <c r="C158" s="405">
        <v>45554.419444444444</v>
      </c>
      <c r="D158" s="404">
        <v>20.0</v>
      </c>
      <c r="E158" s="404">
        <v>0.088553</v>
      </c>
      <c r="F158" s="404" t="s">
        <v>829</v>
      </c>
      <c r="G158" s="404">
        <v>22.5</v>
      </c>
      <c r="H158" s="404">
        <v>793.1608</v>
      </c>
      <c r="I158" s="404">
        <v>0.99994</v>
      </c>
      <c r="J158" s="404">
        <v>0.467262</v>
      </c>
      <c r="K158" s="406">
        <v>2068.9</v>
      </c>
      <c r="L158" s="414">
        <v>4.7739</v>
      </c>
      <c r="M158" s="408" t="str">
        <f t="shared" si="1"/>
        <v>#VALUE!</v>
      </c>
      <c r="N158" s="409" t="str">
        <f t="shared" si="2"/>
        <v>#VALUE!</v>
      </c>
      <c r="O158" s="410" t="s">
        <v>12</v>
      </c>
      <c r="P158" s="411" t="s">
        <v>874</v>
      </c>
      <c r="Q158" s="428"/>
      <c r="R158" s="413"/>
      <c r="S158" s="413"/>
      <c r="T158" s="83"/>
      <c r="U158" s="83"/>
      <c r="V158" s="83"/>
      <c r="W158" s="83"/>
      <c r="X158" s="83"/>
      <c r="Y158" s="83"/>
      <c r="Z158" s="83"/>
      <c r="AA158" s="83"/>
      <c r="AB158" s="83"/>
      <c r="AC158" s="83"/>
      <c r="AD158" s="83"/>
    </row>
    <row r="159">
      <c r="A159" s="404" t="s">
        <v>879</v>
      </c>
      <c r="B159" s="404" t="s">
        <v>828</v>
      </c>
      <c r="C159" s="405">
        <v>45554.42638888889</v>
      </c>
      <c r="D159" s="404">
        <v>20.0</v>
      </c>
      <c r="E159" s="404">
        <v>0.088553</v>
      </c>
      <c r="F159" s="404" t="s">
        <v>829</v>
      </c>
      <c r="G159" s="404">
        <v>22.5</v>
      </c>
      <c r="H159" s="404">
        <v>793.412</v>
      </c>
      <c r="I159" s="404">
        <v>0.999965</v>
      </c>
      <c r="J159" s="404">
        <v>0.46702</v>
      </c>
      <c r="K159" s="406">
        <v>2067.8</v>
      </c>
      <c r="L159" s="414">
        <v>0.7572</v>
      </c>
      <c r="M159" s="408" t="str">
        <f t="shared" si="1"/>
        <v>#VALUE!</v>
      </c>
      <c r="N159" s="409" t="str">
        <f t="shared" si="2"/>
        <v>#VALUE!</v>
      </c>
      <c r="O159" s="410" t="s">
        <v>12</v>
      </c>
      <c r="P159" s="411" t="s">
        <v>874</v>
      </c>
      <c r="Q159" s="428"/>
      <c r="R159" s="413"/>
      <c r="S159" s="413"/>
      <c r="T159" s="83"/>
      <c r="U159" s="83"/>
      <c r="V159" s="83"/>
      <c r="W159" s="83"/>
      <c r="X159" s="83"/>
      <c r="Y159" s="83"/>
      <c r="Z159" s="83"/>
      <c r="AA159" s="83"/>
      <c r="AB159" s="83"/>
      <c r="AC159" s="83"/>
      <c r="AD159" s="83"/>
    </row>
    <row r="160">
      <c r="A160" s="404" t="s">
        <v>881</v>
      </c>
      <c r="B160" s="404" t="s">
        <v>828</v>
      </c>
      <c r="C160" s="405">
        <v>45554.433333333334</v>
      </c>
      <c r="D160" s="404">
        <v>20.0</v>
      </c>
      <c r="E160" s="404">
        <v>0.088553</v>
      </c>
      <c r="F160" s="404" t="s">
        <v>829</v>
      </c>
      <c r="G160" s="404">
        <v>22.5</v>
      </c>
      <c r="H160" s="404">
        <v>791.4738</v>
      </c>
      <c r="I160" s="404">
        <v>0.999918</v>
      </c>
      <c r="J160" s="404">
        <v>0.466764</v>
      </c>
      <c r="K160" s="406">
        <v>2066.7</v>
      </c>
      <c r="L160" s="407"/>
      <c r="M160" s="408" t="str">
        <f t="shared" si="1"/>
        <v>#VALUE!</v>
      </c>
      <c r="N160" s="409" t="str">
        <f t="shared" si="2"/>
        <v>#VALUE!</v>
      </c>
      <c r="O160" s="410" t="s">
        <v>12</v>
      </c>
      <c r="P160" s="411" t="s">
        <v>874</v>
      </c>
      <c r="Q160" s="428"/>
      <c r="R160" s="413"/>
      <c r="S160" s="413"/>
      <c r="T160" s="83"/>
      <c r="U160" s="83"/>
      <c r="V160" s="83"/>
      <c r="W160" s="83"/>
      <c r="X160" s="83"/>
      <c r="Y160" s="83"/>
      <c r="Z160" s="83"/>
      <c r="AA160" s="83"/>
      <c r="AB160" s="83"/>
      <c r="AC160" s="83"/>
      <c r="AD160" s="83"/>
    </row>
    <row r="161">
      <c r="A161" s="420" t="s">
        <v>831</v>
      </c>
      <c r="B161" s="420" t="s">
        <v>802</v>
      </c>
      <c r="C161" s="421">
        <v>45554.44305555556</v>
      </c>
      <c r="D161" s="420">
        <v>20.0</v>
      </c>
      <c r="E161" s="420">
        <v>0.088553</v>
      </c>
      <c r="F161" s="420">
        <v>33.1</v>
      </c>
      <c r="G161" s="420">
        <v>22.5</v>
      </c>
      <c r="H161" s="420">
        <v>683.6445</v>
      </c>
      <c r="I161" s="420">
        <v>0.999792</v>
      </c>
      <c r="J161" s="420">
        <v>0.51102</v>
      </c>
      <c r="K161" s="422">
        <v>2262.6</v>
      </c>
      <c r="L161" s="407"/>
      <c r="M161" s="408">
        <f t="shared" si="1"/>
        <v>1.022636612</v>
      </c>
      <c r="N161" s="409">
        <f t="shared" si="2"/>
        <v>2212.516131</v>
      </c>
      <c r="O161" s="410" t="s">
        <v>12</v>
      </c>
      <c r="P161" s="411" t="s">
        <v>874</v>
      </c>
      <c r="Q161" s="428"/>
      <c r="R161" s="413"/>
      <c r="S161" s="413"/>
      <c r="T161" s="83"/>
      <c r="U161" s="83"/>
      <c r="V161" s="83"/>
      <c r="W161" s="83"/>
      <c r="X161" s="83"/>
      <c r="Y161" s="83"/>
      <c r="Z161" s="83"/>
      <c r="AA161" s="83"/>
      <c r="AB161" s="83"/>
      <c r="AC161" s="83"/>
      <c r="AD161" s="83"/>
    </row>
    <row r="162">
      <c r="A162" s="404" t="s">
        <v>832</v>
      </c>
      <c r="B162" s="404">
        <v>378.0</v>
      </c>
      <c r="C162" s="405">
        <v>45554.450694444444</v>
      </c>
      <c r="D162" s="404">
        <v>20.0</v>
      </c>
      <c r="E162" s="404">
        <v>0.088553</v>
      </c>
      <c r="F162" s="404">
        <v>36.6</v>
      </c>
      <c r="G162" s="404">
        <v>22.5</v>
      </c>
      <c r="H162" s="404">
        <v>685.209</v>
      </c>
      <c r="I162" s="404">
        <v>0.999767</v>
      </c>
      <c r="J162" s="404">
        <v>0.530316</v>
      </c>
      <c r="K162" s="406">
        <v>2348.0</v>
      </c>
      <c r="L162" s="407"/>
      <c r="M162" s="408">
        <f t="shared" si="1"/>
        <v>1.02529346</v>
      </c>
      <c r="N162" s="409">
        <f t="shared" si="2"/>
        <v>2290.076052</v>
      </c>
      <c r="O162" s="410" t="s">
        <v>12</v>
      </c>
      <c r="P162" s="411" t="s">
        <v>874</v>
      </c>
      <c r="Q162" s="428"/>
      <c r="R162" s="413"/>
      <c r="S162" s="413"/>
      <c r="T162" s="83"/>
      <c r="U162" s="83"/>
      <c r="V162" s="83"/>
      <c r="W162" s="83"/>
      <c r="X162" s="83"/>
      <c r="Y162" s="83"/>
      <c r="Z162" s="83"/>
      <c r="AA162" s="83"/>
      <c r="AB162" s="83"/>
      <c r="AC162" s="83"/>
      <c r="AD162" s="83"/>
    </row>
    <row r="163">
      <c r="A163" s="404" t="s">
        <v>834</v>
      </c>
      <c r="B163" s="404">
        <v>379.0</v>
      </c>
      <c r="C163" s="405">
        <v>45554.45694444444</v>
      </c>
      <c r="D163" s="404">
        <v>20.0</v>
      </c>
      <c r="E163" s="404">
        <v>0.088553</v>
      </c>
      <c r="F163" s="404">
        <v>35.7</v>
      </c>
      <c r="G163" s="404">
        <v>22.5</v>
      </c>
      <c r="H163" s="404">
        <v>688.8845</v>
      </c>
      <c r="I163" s="404">
        <v>0.999751</v>
      </c>
      <c r="J163" s="404">
        <v>0.52716</v>
      </c>
      <c r="K163" s="406">
        <v>2334.1</v>
      </c>
      <c r="L163" s="407"/>
      <c r="M163" s="408">
        <f t="shared" si="1"/>
        <v>1.024609771</v>
      </c>
      <c r="N163" s="409">
        <f t="shared" si="2"/>
        <v>2278.038006</v>
      </c>
      <c r="O163" s="410" t="s">
        <v>12</v>
      </c>
      <c r="P163" s="411" t="s">
        <v>874</v>
      </c>
      <c r="Q163" s="428"/>
      <c r="R163" s="413"/>
      <c r="S163" s="413"/>
      <c r="T163" s="83"/>
      <c r="U163" s="83"/>
      <c r="V163" s="83"/>
      <c r="W163" s="83"/>
      <c r="X163" s="83"/>
      <c r="Y163" s="83"/>
      <c r="Z163" s="83"/>
      <c r="AA163" s="83"/>
      <c r="AB163" s="83"/>
      <c r="AC163" s="83"/>
      <c r="AD163" s="83"/>
    </row>
    <row r="164">
      <c r="A164" s="404" t="s">
        <v>888</v>
      </c>
      <c r="B164" s="404">
        <v>391.0</v>
      </c>
      <c r="C164" s="405">
        <v>45554.46319444444</v>
      </c>
      <c r="D164" s="404">
        <v>20.0</v>
      </c>
      <c r="E164" s="404">
        <v>0.088553</v>
      </c>
      <c r="F164" s="404">
        <v>35.6</v>
      </c>
      <c r="G164" s="404">
        <v>22.5</v>
      </c>
      <c r="H164" s="404">
        <v>687.563</v>
      </c>
      <c r="I164" s="404">
        <v>0.999794</v>
      </c>
      <c r="J164" s="404">
        <v>0.536804</v>
      </c>
      <c r="K164" s="406">
        <v>2376.8</v>
      </c>
      <c r="L164" s="407"/>
      <c r="M164" s="408">
        <f t="shared" si="1"/>
        <v>1.024533827</v>
      </c>
      <c r="N164" s="409">
        <f t="shared" si="2"/>
        <v>2319.884358</v>
      </c>
      <c r="O164" s="410" t="s">
        <v>12</v>
      </c>
      <c r="P164" s="411" t="s">
        <v>874</v>
      </c>
      <c r="Q164" s="428"/>
      <c r="R164" s="413"/>
      <c r="S164" s="413"/>
      <c r="T164" s="83"/>
      <c r="U164" s="83"/>
      <c r="V164" s="83"/>
      <c r="W164" s="83"/>
      <c r="X164" s="83"/>
      <c r="Y164" s="83"/>
      <c r="Z164" s="83"/>
      <c r="AA164" s="83"/>
      <c r="AB164" s="83"/>
      <c r="AC164" s="83"/>
      <c r="AD164" s="83"/>
    </row>
    <row r="165">
      <c r="A165" s="404" t="s">
        <v>841</v>
      </c>
      <c r="B165" s="404">
        <v>392.0</v>
      </c>
      <c r="C165" s="405">
        <v>45554.46944444445</v>
      </c>
      <c r="D165" s="404">
        <v>20.0</v>
      </c>
      <c r="E165" s="404">
        <v>0.088553</v>
      </c>
      <c r="F165" s="404">
        <v>35.6</v>
      </c>
      <c r="G165" s="404">
        <v>22.5</v>
      </c>
      <c r="H165" s="404">
        <v>688.9609</v>
      </c>
      <c r="I165" s="404">
        <v>0.999737</v>
      </c>
      <c r="J165" s="404">
        <v>0.536829</v>
      </c>
      <c r="K165" s="406">
        <v>2376.9</v>
      </c>
      <c r="L165" s="407"/>
      <c r="M165" s="408">
        <f t="shared" si="1"/>
        <v>1.024533827</v>
      </c>
      <c r="N165" s="409">
        <f t="shared" si="2"/>
        <v>2319.981963</v>
      </c>
      <c r="O165" s="410" t="s">
        <v>12</v>
      </c>
      <c r="P165" s="411" t="s">
        <v>874</v>
      </c>
      <c r="Q165" s="428"/>
      <c r="R165" s="413"/>
      <c r="T165" s="83"/>
      <c r="U165" s="83"/>
      <c r="V165" s="83"/>
      <c r="W165" s="83"/>
      <c r="X165" s="83"/>
      <c r="Y165" s="83"/>
      <c r="Z165" s="83"/>
      <c r="AA165" s="83"/>
      <c r="AB165" s="83"/>
      <c r="AC165" s="83"/>
      <c r="AD165" s="83"/>
    </row>
    <row r="166">
      <c r="A166" s="404" t="s">
        <v>889</v>
      </c>
      <c r="B166" s="404">
        <v>417.0</v>
      </c>
      <c r="C166" s="405">
        <v>45554.475694444445</v>
      </c>
      <c r="D166" s="404">
        <v>20.0</v>
      </c>
      <c r="E166" s="404">
        <v>0.088553</v>
      </c>
      <c r="F166" s="404">
        <v>35.5</v>
      </c>
      <c r="G166" s="404">
        <v>22.5</v>
      </c>
      <c r="H166" s="404">
        <v>690.6321</v>
      </c>
      <c r="I166" s="404">
        <v>0.999751</v>
      </c>
      <c r="J166" s="404">
        <v>0.532269</v>
      </c>
      <c r="K166" s="406">
        <v>2356.7</v>
      </c>
      <c r="L166" s="407"/>
      <c r="M166" s="408">
        <f t="shared" si="1"/>
        <v>1.024457888</v>
      </c>
      <c r="N166" s="409">
        <f t="shared" si="2"/>
        <v>2300.43619</v>
      </c>
      <c r="O166" s="410" t="s">
        <v>12</v>
      </c>
      <c r="P166" s="411" t="s">
        <v>874</v>
      </c>
      <c r="Q166" s="428"/>
      <c r="R166" s="413"/>
      <c r="S166" s="413"/>
      <c r="T166" s="83"/>
      <c r="U166" s="83"/>
      <c r="V166" s="83"/>
      <c r="W166" s="83"/>
      <c r="X166" s="83"/>
      <c r="Y166" s="83"/>
      <c r="Z166" s="83"/>
      <c r="AA166" s="83"/>
      <c r="AB166" s="83"/>
      <c r="AC166" s="83"/>
      <c r="AD166" s="83"/>
    </row>
    <row r="167">
      <c r="A167" s="404" t="s">
        <v>890</v>
      </c>
      <c r="B167" s="404">
        <v>418.0</v>
      </c>
      <c r="C167" s="405">
        <v>45554.48263888889</v>
      </c>
      <c r="D167" s="404">
        <v>20.0</v>
      </c>
      <c r="E167" s="404">
        <v>0.088553</v>
      </c>
      <c r="F167" s="404">
        <v>35.7</v>
      </c>
      <c r="G167" s="404">
        <v>22.5</v>
      </c>
      <c r="H167" s="404">
        <v>691.2248</v>
      </c>
      <c r="I167" s="404">
        <v>0.999752</v>
      </c>
      <c r="J167" s="404">
        <v>0.532275</v>
      </c>
      <c r="K167" s="406">
        <v>2356.7</v>
      </c>
      <c r="L167" s="407"/>
      <c r="M167" s="408">
        <f t="shared" si="1"/>
        <v>1.024609771</v>
      </c>
      <c r="N167" s="409">
        <f t="shared" si="2"/>
        <v>2300.095184</v>
      </c>
      <c r="O167" s="410" t="s">
        <v>12</v>
      </c>
      <c r="P167" s="411" t="s">
        <v>874</v>
      </c>
      <c r="Q167" s="428"/>
      <c r="R167" s="413"/>
      <c r="S167" s="413"/>
      <c r="T167" s="83"/>
      <c r="U167" s="83"/>
      <c r="V167" s="83"/>
      <c r="W167" s="83"/>
      <c r="X167" s="83"/>
      <c r="Y167" s="83"/>
      <c r="Z167" s="83"/>
      <c r="AA167" s="83"/>
      <c r="AB167" s="83"/>
      <c r="AC167" s="83"/>
      <c r="AD167" s="83"/>
    </row>
    <row r="168">
      <c r="A168" s="404" t="s">
        <v>891</v>
      </c>
      <c r="B168" s="404">
        <v>430.0</v>
      </c>
      <c r="C168" s="405">
        <v>45554.48888888889</v>
      </c>
      <c r="D168" s="404">
        <v>20.0</v>
      </c>
      <c r="E168" s="404">
        <v>0.088553</v>
      </c>
      <c r="F168" s="404">
        <v>35.3</v>
      </c>
      <c r="G168" s="404">
        <v>22.5</v>
      </c>
      <c r="H168" s="404">
        <v>692.0514</v>
      </c>
      <c r="I168" s="404">
        <v>0.99976</v>
      </c>
      <c r="J168" s="404">
        <v>0.529408</v>
      </c>
      <c r="K168" s="406">
        <v>2344.0</v>
      </c>
      <c r="L168" s="407"/>
      <c r="M168" s="408">
        <f t="shared" si="1"/>
        <v>1.024306022</v>
      </c>
      <c r="N168" s="409">
        <f t="shared" si="2"/>
        <v>2288.37862</v>
      </c>
      <c r="O168" s="410" t="s">
        <v>12</v>
      </c>
      <c r="P168" s="411" t="s">
        <v>874</v>
      </c>
      <c r="Q168" s="428"/>
      <c r="R168" s="413"/>
      <c r="S168" s="413"/>
      <c r="T168" s="83"/>
      <c r="U168" s="83"/>
      <c r="V168" s="83"/>
      <c r="W168" s="83"/>
      <c r="X168" s="83"/>
      <c r="Y168" s="83"/>
      <c r="Z168" s="83"/>
      <c r="AA168" s="83"/>
      <c r="AB168" s="83"/>
      <c r="AC168" s="83"/>
      <c r="AD168" s="83"/>
    </row>
    <row r="169">
      <c r="A169" s="404" t="s">
        <v>850</v>
      </c>
      <c r="B169" s="404">
        <v>431.0</v>
      </c>
      <c r="C169" s="405">
        <v>45554.49444444444</v>
      </c>
      <c r="D169" s="404">
        <v>20.0</v>
      </c>
      <c r="E169" s="404">
        <v>0.088553</v>
      </c>
      <c r="F169" s="404">
        <v>35.4</v>
      </c>
      <c r="G169" s="404">
        <v>22.5</v>
      </c>
      <c r="H169" s="404">
        <v>691.4567</v>
      </c>
      <c r="I169" s="404">
        <v>0.999724</v>
      </c>
      <c r="J169" s="404">
        <v>0.529327</v>
      </c>
      <c r="K169" s="406">
        <v>2343.7</v>
      </c>
      <c r="L169" s="407"/>
      <c r="M169" s="408">
        <f t="shared" si="1"/>
        <v>1.024381953</v>
      </c>
      <c r="N169" s="409">
        <f t="shared" si="2"/>
        <v>2287.916137</v>
      </c>
      <c r="O169" s="410" t="s">
        <v>12</v>
      </c>
      <c r="P169" s="411" t="s">
        <v>874</v>
      </c>
      <c r="Q169" s="428"/>
      <c r="R169" s="413"/>
      <c r="S169" s="413"/>
      <c r="T169" s="83"/>
      <c r="U169" s="83"/>
      <c r="V169" s="83"/>
      <c r="W169" s="83"/>
      <c r="X169" s="83"/>
      <c r="Y169" s="83"/>
      <c r="Z169" s="83"/>
      <c r="AA169" s="83"/>
      <c r="AB169" s="83"/>
      <c r="AC169" s="83"/>
      <c r="AD169" s="83"/>
    </row>
    <row r="170">
      <c r="A170" s="404" t="s">
        <v>851</v>
      </c>
      <c r="B170" s="404">
        <v>443.0</v>
      </c>
      <c r="C170" s="405">
        <v>45554.501388888886</v>
      </c>
      <c r="D170" s="404">
        <v>20.0</v>
      </c>
      <c r="E170" s="404">
        <v>0.088553</v>
      </c>
      <c r="F170" s="404">
        <v>35.6</v>
      </c>
      <c r="G170" s="404">
        <v>22.5</v>
      </c>
      <c r="H170" s="404">
        <v>689.1654</v>
      </c>
      <c r="I170" s="404">
        <v>0.999762</v>
      </c>
      <c r="J170" s="404">
        <v>0.53624</v>
      </c>
      <c r="K170" s="406">
        <v>2374.3</v>
      </c>
      <c r="L170" s="407"/>
      <c r="M170" s="408">
        <f t="shared" si="1"/>
        <v>1.024533827</v>
      </c>
      <c r="N170" s="409">
        <f t="shared" si="2"/>
        <v>2317.444224</v>
      </c>
      <c r="O170" s="410" t="s">
        <v>12</v>
      </c>
      <c r="P170" s="411" t="s">
        <v>874</v>
      </c>
      <c r="Q170" s="428"/>
      <c r="R170" s="413"/>
      <c r="S170" s="413"/>
      <c r="T170" s="83"/>
      <c r="U170" s="83"/>
      <c r="V170" s="83"/>
      <c r="W170" s="83"/>
      <c r="X170" s="83"/>
      <c r="Y170" s="83"/>
      <c r="Z170" s="83"/>
      <c r="AA170" s="83"/>
      <c r="AB170" s="83"/>
      <c r="AC170" s="83"/>
      <c r="AD170" s="83"/>
    </row>
    <row r="171">
      <c r="A171" s="404" t="s">
        <v>852</v>
      </c>
      <c r="B171" s="404">
        <v>444.0</v>
      </c>
      <c r="C171" s="405">
        <v>45554.50833333333</v>
      </c>
      <c r="D171" s="404">
        <v>20.0</v>
      </c>
      <c r="E171" s="404">
        <v>0.088553</v>
      </c>
      <c r="F171" s="404">
        <v>35.6</v>
      </c>
      <c r="G171" s="404">
        <v>22.5</v>
      </c>
      <c r="H171" s="404">
        <v>688.3588</v>
      </c>
      <c r="I171" s="404">
        <v>0.999833</v>
      </c>
      <c r="J171" s="404">
        <v>0.537362</v>
      </c>
      <c r="K171" s="406">
        <v>2379.2</v>
      </c>
      <c r="L171" s="407"/>
      <c r="M171" s="408">
        <f t="shared" si="1"/>
        <v>1.024533827</v>
      </c>
      <c r="N171" s="409">
        <f t="shared" si="2"/>
        <v>2322.226887</v>
      </c>
      <c r="O171" s="410" t="s">
        <v>12</v>
      </c>
      <c r="P171" s="411" t="s">
        <v>874</v>
      </c>
      <c r="Q171" s="428"/>
      <c r="R171" s="413"/>
      <c r="S171" s="413"/>
      <c r="T171" s="83"/>
      <c r="U171" s="83"/>
      <c r="V171" s="83"/>
      <c r="W171" s="83"/>
      <c r="X171" s="83"/>
      <c r="Y171" s="83"/>
      <c r="Z171" s="83"/>
      <c r="AA171" s="83"/>
      <c r="AB171" s="83"/>
      <c r="AC171" s="83"/>
      <c r="AD171" s="83"/>
    </row>
    <row r="172">
      <c r="A172" s="420" t="s">
        <v>853</v>
      </c>
      <c r="B172" s="420" t="s">
        <v>802</v>
      </c>
      <c r="C172" s="421">
        <v>45554.51666666667</v>
      </c>
      <c r="D172" s="420">
        <v>20.0</v>
      </c>
      <c r="E172" s="420">
        <v>0.088553</v>
      </c>
      <c r="F172" s="420">
        <v>33.1</v>
      </c>
      <c r="G172" s="420">
        <v>22.5</v>
      </c>
      <c r="H172" s="420">
        <v>681.0268</v>
      </c>
      <c r="I172" s="420">
        <v>0.999809</v>
      </c>
      <c r="J172" s="420">
        <v>0.511263</v>
      </c>
      <c r="K172" s="422">
        <v>2263.7</v>
      </c>
      <c r="L172" s="407"/>
      <c r="M172" s="408">
        <f t="shared" si="1"/>
        <v>1.022636612</v>
      </c>
      <c r="N172" s="409">
        <f t="shared" si="2"/>
        <v>2213.591782</v>
      </c>
      <c r="O172" s="410" t="s">
        <v>12</v>
      </c>
      <c r="P172" s="411" t="s">
        <v>874</v>
      </c>
      <c r="Q172" s="428"/>
      <c r="R172" s="413"/>
      <c r="S172" s="413"/>
      <c r="T172" s="83"/>
      <c r="U172" s="83"/>
      <c r="V172" s="83"/>
      <c r="W172" s="83"/>
      <c r="X172" s="83"/>
      <c r="Y172" s="83"/>
      <c r="Z172" s="83"/>
      <c r="AA172" s="83"/>
      <c r="AB172" s="83"/>
      <c r="AC172" s="83"/>
      <c r="AD172" s="83"/>
    </row>
    <row r="173">
      <c r="A173" s="404" t="s">
        <v>892</v>
      </c>
      <c r="B173" s="404">
        <v>534.0</v>
      </c>
      <c r="C173" s="405">
        <v>45554.525</v>
      </c>
      <c r="D173" s="404">
        <v>20.0</v>
      </c>
      <c r="E173" s="404">
        <v>0.088553</v>
      </c>
      <c r="F173" s="404">
        <v>35.8</v>
      </c>
      <c r="G173" s="404">
        <v>22.5</v>
      </c>
      <c r="H173" s="404">
        <v>686.5645</v>
      </c>
      <c r="I173" s="404">
        <v>0.999717</v>
      </c>
      <c r="J173" s="404">
        <v>0.533708</v>
      </c>
      <c r="K173" s="406">
        <v>2363.1</v>
      </c>
      <c r="L173" s="407"/>
      <c r="M173" s="408">
        <f t="shared" si="1"/>
        <v>1.024685719</v>
      </c>
      <c r="N173" s="409">
        <f t="shared" si="2"/>
        <v>2306.170522</v>
      </c>
      <c r="O173" s="410" t="s">
        <v>12</v>
      </c>
      <c r="P173" s="411" t="s">
        <v>874</v>
      </c>
      <c r="Q173" s="428"/>
      <c r="R173" s="413"/>
      <c r="S173" s="413"/>
      <c r="T173" s="83"/>
      <c r="U173" s="83"/>
      <c r="V173" s="83"/>
      <c r="W173" s="83"/>
      <c r="X173" s="83"/>
      <c r="Y173" s="83"/>
      <c r="Z173" s="83"/>
      <c r="AA173" s="83"/>
      <c r="AB173" s="83"/>
      <c r="AC173" s="83"/>
      <c r="AD173" s="83"/>
    </row>
    <row r="174">
      <c r="A174" s="404" t="s">
        <v>854</v>
      </c>
      <c r="B174" s="404">
        <v>535.0</v>
      </c>
      <c r="C174" s="405">
        <v>45554.540972222225</v>
      </c>
      <c r="D174" s="404">
        <v>20.0</v>
      </c>
      <c r="E174" s="404">
        <v>0.088553</v>
      </c>
      <c r="F174" s="404">
        <v>35.9</v>
      </c>
      <c r="G174" s="404">
        <v>22.5</v>
      </c>
      <c r="H174" s="404">
        <v>685.0602</v>
      </c>
      <c r="I174" s="404">
        <v>0.999788</v>
      </c>
      <c r="J174" s="404">
        <v>0.535161</v>
      </c>
      <c r="K174" s="406">
        <v>2369.5</v>
      </c>
      <c r="L174" s="407"/>
      <c r="M174" s="408">
        <f t="shared" si="1"/>
        <v>1.024761672</v>
      </c>
      <c r="N174" s="409">
        <f t="shared" si="2"/>
        <v>2312.24495</v>
      </c>
      <c r="O174" s="410" t="s">
        <v>12</v>
      </c>
      <c r="P174" s="411" t="s">
        <v>874</v>
      </c>
      <c r="Q174" s="428"/>
      <c r="R174" s="413"/>
      <c r="S174" s="413"/>
      <c r="T174" s="83"/>
      <c r="U174" s="83"/>
      <c r="V174" s="83"/>
      <c r="W174" s="83"/>
      <c r="X174" s="83"/>
      <c r="Y174" s="83"/>
      <c r="Z174" s="83"/>
      <c r="AA174" s="83"/>
      <c r="AB174" s="83"/>
      <c r="AC174" s="83"/>
      <c r="AD174" s="83"/>
    </row>
    <row r="175">
      <c r="A175" s="404" t="s">
        <v>855</v>
      </c>
      <c r="B175" s="404">
        <v>547.0</v>
      </c>
      <c r="C175" s="405">
        <v>45554.54791666667</v>
      </c>
      <c r="D175" s="404">
        <v>20.0</v>
      </c>
      <c r="E175" s="404">
        <v>0.088553</v>
      </c>
      <c r="F175" s="404">
        <v>35.5</v>
      </c>
      <c r="G175" s="404">
        <v>22.5</v>
      </c>
      <c r="H175" s="404">
        <v>683.4393</v>
      </c>
      <c r="I175" s="404">
        <v>0.999755</v>
      </c>
      <c r="J175" s="404">
        <v>0.53704</v>
      </c>
      <c r="K175" s="406">
        <v>2377.8</v>
      </c>
      <c r="L175" s="407"/>
      <c r="M175" s="408">
        <f t="shared" si="1"/>
        <v>1.024457888</v>
      </c>
      <c r="N175" s="409">
        <f t="shared" si="2"/>
        <v>2321.032449</v>
      </c>
      <c r="O175" s="410" t="s">
        <v>12</v>
      </c>
      <c r="P175" s="411" t="s">
        <v>874</v>
      </c>
      <c r="Q175" s="428"/>
      <c r="R175" s="413"/>
      <c r="S175" s="413"/>
      <c r="T175" s="83"/>
      <c r="U175" s="83"/>
      <c r="V175" s="83"/>
      <c r="W175" s="83"/>
      <c r="X175" s="83"/>
      <c r="Y175" s="83"/>
      <c r="Z175" s="83"/>
      <c r="AA175" s="83"/>
      <c r="AB175" s="83"/>
      <c r="AC175" s="83"/>
      <c r="AD175" s="83"/>
    </row>
    <row r="176">
      <c r="A176" s="404" t="s">
        <v>856</v>
      </c>
      <c r="B176" s="404">
        <v>548.0</v>
      </c>
      <c r="C176" s="405">
        <v>45554.55486111111</v>
      </c>
      <c r="D176" s="404">
        <v>20.0</v>
      </c>
      <c r="E176" s="404">
        <v>0.088553</v>
      </c>
      <c r="F176" s="404">
        <v>35.5</v>
      </c>
      <c r="G176" s="404">
        <v>22.5</v>
      </c>
      <c r="H176" s="404">
        <v>689.6505</v>
      </c>
      <c r="I176" s="404">
        <v>0.999785</v>
      </c>
      <c r="J176" s="404">
        <v>0.536659</v>
      </c>
      <c r="K176" s="406">
        <v>2376.1</v>
      </c>
      <c r="L176" s="407"/>
      <c r="M176" s="408">
        <f t="shared" si="1"/>
        <v>1.024457888</v>
      </c>
      <c r="N176" s="409">
        <f t="shared" si="2"/>
        <v>2319.373035</v>
      </c>
      <c r="O176" s="410" t="s">
        <v>12</v>
      </c>
      <c r="P176" s="411" t="s">
        <v>874</v>
      </c>
      <c r="Q176" s="428"/>
      <c r="R176" s="413"/>
      <c r="S176" s="413"/>
      <c r="T176" s="83"/>
      <c r="U176" s="83"/>
      <c r="V176" s="83"/>
      <c r="W176" s="83"/>
      <c r="X176" s="83"/>
      <c r="Y176" s="83"/>
      <c r="Z176" s="83"/>
      <c r="AA176" s="83"/>
      <c r="AB176" s="83"/>
      <c r="AC176" s="83"/>
      <c r="AD176" s="83"/>
    </row>
    <row r="177">
      <c r="A177" s="404" t="s">
        <v>857</v>
      </c>
      <c r="B177" s="404">
        <v>560.0</v>
      </c>
      <c r="C177" s="405">
        <v>45554.5625</v>
      </c>
      <c r="D177" s="404">
        <v>20.0</v>
      </c>
      <c r="E177" s="404">
        <v>0.088553</v>
      </c>
      <c r="F177" s="404">
        <v>35.5</v>
      </c>
      <c r="G177" s="404">
        <v>22.5</v>
      </c>
      <c r="H177" s="404">
        <v>684.1611</v>
      </c>
      <c r="I177" s="404">
        <v>0.9998</v>
      </c>
      <c r="J177" s="404">
        <v>0.536586</v>
      </c>
      <c r="K177" s="406">
        <v>2375.8</v>
      </c>
      <c r="L177" s="407"/>
      <c r="M177" s="408">
        <f t="shared" si="1"/>
        <v>1.024457888</v>
      </c>
      <c r="N177" s="409">
        <f t="shared" si="2"/>
        <v>2319.080197</v>
      </c>
      <c r="O177" s="410" t="s">
        <v>12</v>
      </c>
      <c r="P177" s="411" t="s">
        <v>874</v>
      </c>
      <c r="Q177" s="428"/>
      <c r="R177" s="413"/>
      <c r="S177" s="413"/>
      <c r="T177" s="83"/>
      <c r="U177" s="83"/>
      <c r="V177" s="83"/>
      <c r="W177" s="83"/>
      <c r="X177" s="83"/>
      <c r="Y177" s="83"/>
      <c r="Z177" s="83"/>
      <c r="AA177" s="83"/>
      <c r="AB177" s="83"/>
      <c r="AC177" s="83"/>
      <c r="AD177" s="83"/>
    </row>
    <row r="178">
      <c r="A178" s="404" t="s">
        <v>858</v>
      </c>
      <c r="B178" s="404">
        <v>561.0</v>
      </c>
      <c r="C178" s="405">
        <v>45554.56805555556</v>
      </c>
      <c r="D178" s="404">
        <v>20.0</v>
      </c>
      <c r="E178" s="404">
        <v>0.088553</v>
      </c>
      <c r="F178" s="404">
        <v>35.6</v>
      </c>
      <c r="G178" s="404">
        <v>22.5</v>
      </c>
      <c r="H178" s="404">
        <v>687.892</v>
      </c>
      <c r="I178" s="404">
        <v>0.999817</v>
      </c>
      <c r="J178" s="404">
        <v>0.537133</v>
      </c>
      <c r="K178" s="406">
        <v>2378.2</v>
      </c>
      <c r="L178" s="407"/>
      <c r="M178" s="408">
        <f t="shared" si="1"/>
        <v>1.024533827</v>
      </c>
      <c r="N178" s="409">
        <f t="shared" si="2"/>
        <v>2321.250833</v>
      </c>
      <c r="O178" s="410" t="s">
        <v>12</v>
      </c>
      <c r="P178" s="411" t="s">
        <v>874</v>
      </c>
      <c r="Q178" s="428"/>
      <c r="R178" s="413"/>
      <c r="S178" s="413"/>
      <c r="T178" s="83"/>
      <c r="U178" s="83"/>
      <c r="V178" s="83"/>
      <c r="W178" s="83"/>
      <c r="X178" s="83"/>
      <c r="Y178" s="83"/>
      <c r="Z178" s="83"/>
      <c r="AA178" s="83"/>
      <c r="AB178" s="83"/>
      <c r="AC178" s="83"/>
      <c r="AD178" s="83"/>
    </row>
    <row r="179">
      <c r="A179" s="420" t="s">
        <v>859</v>
      </c>
      <c r="B179" s="420" t="s">
        <v>802</v>
      </c>
      <c r="C179" s="421">
        <v>45554.57430555556</v>
      </c>
      <c r="D179" s="420">
        <v>20.0</v>
      </c>
      <c r="E179" s="420">
        <v>0.088553</v>
      </c>
      <c r="F179" s="420">
        <v>33.1</v>
      </c>
      <c r="G179" s="420">
        <v>22.5</v>
      </c>
      <c r="H179" s="420">
        <v>682.8513</v>
      </c>
      <c r="I179" s="420">
        <v>0.999787</v>
      </c>
      <c r="J179" s="420">
        <v>0.510787</v>
      </c>
      <c r="K179" s="422">
        <v>2261.6</v>
      </c>
      <c r="L179" s="407"/>
      <c r="M179" s="408">
        <f t="shared" si="1"/>
        <v>1.022636612</v>
      </c>
      <c r="N179" s="409">
        <f t="shared" si="2"/>
        <v>2211.538267</v>
      </c>
      <c r="O179" s="410" t="s">
        <v>12</v>
      </c>
      <c r="P179" s="411" t="s">
        <v>874</v>
      </c>
      <c r="Q179" s="428"/>
      <c r="R179" s="413"/>
      <c r="S179" s="413"/>
      <c r="T179" s="83"/>
      <c r="U179" s="83"/>
      <c r="V179" s="83"/>
      <c r="W179" s="83"/>
      <c r="X179" s="83"/>
      <c r="Y179" s="83"/>
      <c r="Z179" s="83"/>
      <c r="AA179" s="83"/>
      <c r="AB179" s="83"/>
      <c r="AC179" s="83"/>
      <c r="AD179" s="83"/>
    </row>
    <row r="180">
      <c r="A180" s="404" t="s">
        <v>860</v>
      </c>
      <c r="B180" s="404">
        <v>573.0</v>
      </c>
      <c r="C180" s="405">
        <v>45554.584027777775</v>
      </c>
      <c r="D180" s="404">
        <v>20.0</v>
      </c>
      <c r="E180" s="404">
        <v>0.088553</v>
      </c>
      <c r="F180" s="404">
        <v>35.7</v>
      </c>
      <c r="G180" s="404">
        <v>22.5</v>
      </c>
      <c r="H180" s="404">
        <v>682.2635</v>
      </c>
      <c r="I180" s="404">
        <v>0.999781</v>
      </c>
      <c r="J180" s="404">
        <v>0.538973</v>
      </c>
      <c r="K180" s="406">
        <v>2386.4</v>
      </c>
      <c r="L180" s="407"/>
      <c r="M180" s="408">
        <f t="shared" si="1"/>
        <v>1.024609771</v>
      </c>
      <c r="N180" s="409">
        <f t="shared" si="2"/>
        <v>2329.081829</v>
      </c>
      <c r="O180" s="410" t="s">
        <v>12</v>
      </c>
      <c r="P180" s="411" t="s">
        <v>874</v>
      </c>
      <c r="Q180" s="428"/>
      <c r="R180" s="413"/>
      <c r="S180" s="413"/>
      <c r="T180" s="83"/>
      <c r="U180" s="83"/>
      <c r="V180" s="83"/>
      <c r="W180" s="83"/>
      <c r="X180" s="83"/>
      <c r="Y180" s="83"/>
      <c r="Z180" s="83"/>
      <c r="AA180" s="83"/>
      <c r="AB180" s="83"/>
      <c r="AC180" s="83"/>
      <c r="AD180" s="83"/>
    </row>
    <row r="181">
      <c r="A181" s="404" t="s">
        <v>862</v>
      </c>
      <c r="B181" s="404">
        <v>574.0</v>
      </c>
      <c r="C181" s="405">
        <v>45554.59027777778</v>
      </c>
      <c r="D181" s="404">
        <v>20.0</v>
      </c>
      <c r="E181" s="404">
        <v>0.088553</v>
      </c>
      <c r="F181" s="404">
        <v>35.8</v>
      </c>
      <c r="G181" s="404">
        <v>22.5</v>
      </c>
      <c r="H181" s="404">
        <v>682.9575</v>
      </c>
      <c r="I181" s="404">
        <v>0.999774</v>
      </c>
      <c r="J181" s="404">
        <v>0.538216</v>
      </c>
      <c r="K181" s="406">
        <v>2383.0</v>
      </c>
      <c r="L181" s="407"/>
      <c r="M181" s="408">
        <f t="shared" si="1"/>
        <v>1.024685719</v>
      </c>
      <c r="N181" s="409">
        <f t="shared" si="2"/>
        <v>2325.591111</v>
      </c>
      <c r="O181" s="410" t="s">
        <v>12</v>
      </c>
      <c r="P181" s="411" t="s">
        <v>874</v>
      </c>
      <c r="Q181" s="428"/>
      <c r="R181" s="413"/>
      <c r="T181" s="83"/>
      <c r="U181" s="83"/>
      <c r="V181" s="83"/>
      <c r="W181" s="83"/>
      <c r="X181" s="83"/>
      <c r="Y181" s="83"/>
      <c r="Z181" s="83"/>
      <c r="AA181" s="83"/>
      <c r="AB181" s="83"/>
      <c r="AC181" s="83"/>
      <c r="AD181" s="83"/>
    </row>
    <row r="182">
      <c r="A182" s="404" t="s">
        <v>863</v>
      </c>
      <c r="B182" s="404">
        <v>586.0</v>
      </c>
      <c r="C182" s="405">
        <v>45554.59583333333</v>
      </c>
      <c r="D182" s="404">
        <v>20.0</v>
      </c>
      <c r="E182" s="404">
        <v>0.088553</v>
      </c>
      <c r="F182" s="404">
        <v>35.8</v>
      </c>
      <c r="G182" s="404">
        <v>22.5</v>
      </c>
      <c r="H182" s="404">
        <v>686.0609</v>
      </c>
      <c r="I182" s="404">
        <v>0.999789</v>
      </c>
      <c r="J182" s="404">
        <v>0.537889</v>
      </c>
      <c r="K182" s="406">
        <v>2381.6</v>
      </c>
      <c r="L182" s="407"/>
      <c r="M182" s="408">
        <f t="shared" si="1"/>
        <v>1.024685719</v>
      </c>
      <c r="N182" s="409">
        <f t="shared" si="2"/>
        <v>2324.224838</v>
      </c>
      <c r="O182" s="410" t="s">
        <v>12</v>
      </c>
      <c r="P182" s="411" t="s">
        <v>874</v>
      </c>
      <c r="Q182" s="428"/>
      <c r="R182" s="413"/>
      <c r="T182" s="83"/>
      <c r="U182" s="83"/>
      <c r="V182" s="83"/>
      <c r="W182" s="83"/>
      <c r="X182" s="83"/>
      <c r="Y182" s="83"/>
      <c r="Z182" s="83"/>
      <c r="AA182" s="83"/>
      <c r="AB182" s="83"/>
      <c r="AC182" s="83"/>
      <c r="AD182" s="83"/>
    </row>
    <row r="183">
      <c r="A183" s="404" t="s">
        <v>864</v>
      </c>
      <c r="B183" s="404">
        <v>587.0</v>
      </c>
      <c r="C183" s="405">
        <v>45554.60208333333</v>
      </c>
      <c r="D183" s="404">
        <v>20.0</v>
      </c>
      <c r="E183" s="404">
        <v>0.088553</v>
      </c>
      <c r="F183" s="404">
        <v>35.7</v>
      </c>
      <c r="G183" s="404">
        <v>22.5</v>
      </c>
      <c r="H183" s="404">
        <v>684.4227</v>
      </c>
      <c r="I183" s="404">
        <v>0.99983</v>
      </c>
      <c r="J183" s="404">
        <v>0.538292</v>
      </c>
      <c r="K183" s="406">
        <v>2383.4</v>
      </c>
      <c r="L183" s="407"/>
      <c r="M183" s="408">
        <f t="shared" si="1"/>
        <v>1.024609771</v>
      </c>
      <c r="N183" s="409">
        <f t="shared" si="2"/>
        <v>2326.153885</v>
      </c>
      <c r="O183" s="410" t="s">
        <v>12</v>
      </c>
      <c r="P183" s="411" t="s">
        <v>874</v>
      </c>
      <c r="Q183" s="439"/>
      <c r="R183" s="413"/>
      <c r="T183" s="83"/>
      <c r="U183" s="83"/>
      <c r="V183" s="83"/>
      <c r="W183" s="83"/>
      <c r="X183" s="83"/>
      <c r="Y183" s="83"/>
      <c r="Z183" s="83"/>
      <c r="AA183" s="83"/>
      <c r="AB183" s="83"/>
      <c r="AC183" s="83"/>
      <c r="AD183" s="83"/>
    </row>
    <row r="184">
      <c r="A184" s="404" t="s">
        <v>865</v>
      </c>
      <c r="B184" s="404">
        <v>599.0</v>
      </c>
      <c r="C184" s="405">
        <v>45554.60833333333</v>
      </c>
      <c r="D184" s="404">
        <v>20.0</v>
      </c>
      <c r="E184" s="404">
        <v>0.088553</v>
      </c>
      <c r="F184" s="404">
        <v>35.8</v>
      </c>
      <c r="G184" s="404">
        <v>22.5</v>
      </c>
      <c r="H184" s="404">
        <v>684.1161</v>
      </c>
      <c r="I184" s="404">
        <v>0.999763</v>
      </c>
      <c r="J184" s="404">
        <v>0.530971</v>
      </c>
      <c r="K184" s="406">
        <v>2350.9</v>
      </c>
      <c r="L184" s="407"/>
      <c r="M184" s="408">
        <f t="shared" si="1"/>
        <v>1.024685719</v>
      </c>
      <c r="N184" s="409">
        <f t="shared" si="2"/>
        <v>2294.264433</v>
      </c>
      <c r="O184" s="410" t="s">
        <v>12</v>
      </c>
      <c r="P184" s="411" t="s">
        <v>874</v>
      </c>
      <c r="Q184" s="439"/>
      <c r="R184" s="413"/>
      <c r="T184" s="83"/>
      <c r="U184" s="83"/>
      <c r="V184" s="83"/>
      <c r="W184" s="83"/>
      <c r="X184" s="83"/>
      <c r="Y184" s="83"/>
      <c r="Z184" s="83"/>
      <c r="AA184" s="83"/>
      <c r="AB184" s="83"/>
      <c r="AC184" s="83"/>
      <c r="AD184" s="83"/>
    </row>
    <row r="185">
      <c r="A185" s="404" t="s">
        <v>866</v>
      </c>
      <c r="B185" s="404">
        <v>600.0</v>
      </c>
      <c r="C185" s="405">
        <v>45554.61597222222</v>
      </c>
      <c r="D185" s="404">
        <v>20.0</v>
      </c>
      <c r="E185" s="404">
        <v>0.088553</v>
      </c>
      <c r="F185" s="404">
        <v>35.9</v>
      </c>
      <c r="G185" s="404">
        <v>22.5</v>
      </c>
      <c r="H185" s="404">
        <v>683.4986</v>
      </c>
      <c r="I185" s="404">
        <v>0.999709</v>
      </c>
      <c r="J185" s="404">
        <v>0.531479</v>
      </c>
      <c r="K185" s="406">
        <v>2353.2</v>
      </c>
      <c r="L185" s="407"/>
      <c r="M185" s="408">
        <f t="shared" si="1"/>
        <v>1.024761672</v>
      </c>
      <c r="N185" s="409">
        <f t="shared" si="2"/>
        <v>2296.338812</v>
      </c>
      <c r="O185" s="410" t="s">
        <v>12</v>
      </c>
      <c r="P185" s="411" t="s">
        <v>874</v>
      </c>
      <c r="Q185" s="428"/>
      <c r="R185" s="413"/>
      <c r="S185" s="413"/>
      <c r="T185" s="83"/>
      <c r="U185" s="83"/>
      <c r="V185" s="83"/>
      <c r="W185" s="83"/>
      <c r="X185" s="83"/>
      <c r="Y185" s="83"/>
      <c r="Z185" s="83"/>
      <c r="AA185" s="83"/>
      <c r="AB185" s="83"/>
      <c r="AC185" s="83"/>
      <c r="AD185" s="83"/>
    </row>
    <row r="186">
      <c r="A186" s="420" t="s">
        <v>913</v>
      </c>
      <c r="B186" s="420" t="s">
        <v>802</v>
      </c>
      <c r="C186" s="421">
        <v>45554.629166666666</v>
      </c>
      <c r="D186" s="420">
        <v>20.0</v>
      </c>
      <c r="E186" s="420">
        <v>0.088553</v>
      </c>
      <c r="F186" s="420">
        <v>33.1</v>
      </c>
      <c r="G186" s="420">
        <v>22.5</v>
      </c>
      <c r="H186" s="420">
        <v>682.8513</v>
      </c>
      <c r="I186" s="420">
        <v>0.99889</v>
      </c>
      <c r="J186" s="420">
        <v>0.510878</v>
      </c>
      <c r="K186" s="422">
        <v>2261.3</v>
      </c>
      <c r="L186" s="414"/>
      <c r="M186" s="408">
        <f t="shared" si="1"/>
        <v>1.022636612</v>
      </c>
      <c r="N186" s="409">
        <f t="shared" si="2"/>
        <v>2211.244907</v>
      </c>
      <c r="O186" s="410" t="s">
        <v>12</v>
      </c>
      <c r="P186" s="411" t="s">
        <v>874</v>
      </c>
      <c r="Q186" s="428"/>
      <c r="R186" s="413"/>
      <c r="S186" s="413"/>
      <c r="T186" s="83"/>
      <c r="U186" s="83"/>
      <c r="V186" s="83"/>
      <c r="W186" s="83"/>
      <c r="X186" s="83"/>
      <c r="Y186" s="83"/>
      <c r="Z186" s="83"/>
      <c r="AA186" s="83"/>
      <c r="AB186" s="83"/>
      <c r="AC186" s="83"/>
      <c r="AD186" s="83"/>
    </row>
    <row r="187">
      <c r="A187" s="428"/>
      <c r="B187" s="440"/>
      <c r="C187" s="428"/>
      <c r="D187" s="428"/>
      <c r="E187" s="428"/>
      <c r="F187" s="428"/>
      <c r="G187" s="428"/>
      <c r="H187" s="428"/>
      <c r="I187" s="428"/>
      <c r="J187" s="428"/>
      <c r="K187" s="441"/>
      <c r="L187" s="442"/>
      <c r="M187" s="443"/>
      <c r="N187" s="438"/>
      <c r="O187" s="438"/>
      <c r="P187" s="438"/>
      <c r="Q187" s="428"/>
      <c r="R187" s="413"/>
      <c r="S187" s="413"/>
      <c r="T187" s="83"/>
      <c r="U187" s="83"/>
      <c r="V187" s="83"/>
      <c r="W187" s="83"/>
      <c r="X187" s="83"/>
      <c r="Y187" s="83"/>
      <c r="Z187" s="83"/>
      <c r="AA187" s="83"/>
      <c r="AB187" s="83"/>
      <c r="AC187" s="83"/>
      <c r="AD187" s="83"/>
    </row>
    <row r="188">
      <c r="A188" s="428"/>
      <c r="B188" s="440"/>
      <c r="C188" s="428"/>
      <c r="D188" s="428"/>
      <c r="E188" s="428"/>
      <c r="F188" s="428"/>
      <c r="G188" s="428"/>
      <c r="H188" s="428"/>
      <c r="I188" s="428"/>
      <c r="J188" s="428"/>
      <c r="K188" s="441"/>
      <c r="L188" s="442"/>
      <c r="M188" s="443"/>
      <c r="N188" s="438"/>
      <c r="O188" s="438"/>
      <c r="P188" s="438"/>
      <c r="Q188" s="428"/>
      <c r="R188" s="413"/>
      <c r="T188" s="83"/>
      <c r="U188" s="83"/>
      <c r="V188" s="83"/>
      <c r="W188" s="83"/>
      <c r="X188" s="83"/>
      <c r="Y188" s="83"/>
      <c r="Z188" s="83"/>
      <c r="AA188" s="83"/>
      <c r="AB188" s="83"/>
      <c r="AC188" s="83"/>
      <c r="AD188" s="83"/>
    </row>
    <row r="189">
      <c r="A189" s="428"/>
      <c r="B189" s="440"/>
      <c r="C189" s="428"/>
      <c r="D189" s="428"/>
      <c r="E189" s="428"/>
      <c r="F189" s="428"/>
      <c r="G189" s="428"/>
      <c r="H189" s="428"/>
      <c r="I189" s="428"/>
      <c r="J189" s="428"/>
      <c r="K189" s="441"/>
      <c r="L189" s="442"/>
      <c r="M189" s="443"/>
      <c r="N189" s="438"/>
      <c r="O189" s="438"/>
      <c r="P189" s="438"/>
      <c r="Q189" s="428"/>
      <c r="R189" s="413"/>
      <c r="T189" s="83"/>
      <c r="U189" s="83"/>
      <c r="V189" s="83"/>
      <c r="W189" s="83"/>
      <c r="X189" s="83"/>
      <c r="Y189" s="83"/>
      <c r="Z189" s="83"/>
      <c r="AA189" s="83"/>
      <c r="AB189" s="83"/>
      <c r="AC189" s="83"/>
      <c r="AD189" s="83"/>
    </row>
    <row r="190">
      <c r="A190" s="428"/>
      <c r="B190" s="440"/>
      <c r="C190" s="428"/>
      <c r="D190" s="428"/>
      <c r="E190" s="428"/>
      <c r="F190" s="428"/>
      <c r="G190" s="428"/>
      <c r="H190" s="428"/>
      <c r="I190" s="428"/>
      <c r="J190" s="428"/>
      <c r="K190" s="441"/>
      <c r="L190" s="442"/>
      <c r="M190" s="443"/>
      <c r="N190" s="438"/>
      <c r="O190" s="438"/>
      <c r="P190" s="438"/>
      <c r="Q190" s="428"/>
      <c r="R190" s="413"/>
      <c r="T190" s="83"/>
      <c r="U190" s="83"/>
      <c r="V190" s="83"/>
      <c r="W190" s="83"/>
      <c r="X190" s="83"/>
      <c r="Y190" s="83"/>
      <c r="Z190" s="83"/>
      <c r="AA190" s="83"/>
      <c r="AB190" s="83"/>
      <c r="AC190" s="83"/>
      <c r="AD190" s="83"/>
    </row>
    <row r="191">
      <c r="A191" s="428"/>
      <c r="B191" s="440"/>
      <c r="C191" s="428"/>
      <c r="D191" s="428"/>
      <c r="E191" s="428"/>
      <c r="F191" s="428"/>
      <c r="G191" s="428"/>
      <c r="H191" s="428"/>
      <c r="I191" s="428"/>
      <c r="J191" s="428"/>
      <c r="K191" s="441"/>
      <c r="L191" s="442"/>
      <c r="M191" s="443"/>
      <c r="N191" s="438"/>
      <c r="O191" s="438"/>
      <c r="P191" s="438"/>
      <c r="Q191" s="428"/>
      <c r="R191" s="413"/>
      <c r="S191" s="413"/>
      <c r="T191" s="83"/>
      <c r="U191" s="83"/>
      <c r="V191" s="83"/>
      <c r="W191" s="83"/>
      <c r="X191" s="83"/>
      <c r="Y191" s="83"/>
      <c r="Z191" s="83"/>
      <c r="AA191" s="83"/>
      <c r="AB191" s="83"/>
      <c r="AC191" s="83"/>
      <c r="AD191" s="83"/>
    </row>
    <row r="192">
      <c r="A192" s="428"/>
      <c r="B192" s="440"/>
      <c r="C192" s="428"/>
      <c r="D192" s="428"/>
      <c r="E192" s="428"/>
      <c r="F192" s="428"/>
      <c r="G192" s="428"/>
      <c r="H192" s="428"/>
      <c r="I192" s="428"/>
      <c r="J192" s="428"/>
      <c r="K192" s="441"/>
      <c r="L192" s="442"/>
      <c r="M192" s="443"/>
      <c r="N192" s="438"/>
      <c r="O192" s="438"/>
      <c r="P192" s="438"/>
      <c r="Q192" s="428"/>
      <c r="R192" s="413"/>
      <c r="S192" s="413"/>
      <c r="T192" s="83"/>
      <c r="U192" s="83"/>
      <c r="V192" s="83"/>
      <c r="W192" s="83"/>
      <c r="X192" s="83"/>
      <c r="Y192" s="83"/>
      <c r="Z192" s="83"/>
      <c r="AA192" s="83"/>
      <c r="AB192" s="83"/>
      <c r="AC192" s="83"/>
      <c r="AD192" s="83"/>
    </row>
    <row r="193">
      <c r="A193" s="428"/>
      <c r="B193" s="440"/>
      <c r="C193" s="428"/>
      <c r="D193" s="428"/>
      <c r="E193" s="428"/>
      <c r="F193" s="428"/>
      <c r="G193" s="428"/>
      <c r="H193" s="428"/>
      <c r="I193" s="428"/>
      <c r="J193" s="428"/>
      <c r="K193" s="441"/>
      <c r="L193" s="442"/>
      <c r="M193" s="443"/>
      <c r="N193" s="438"/>
      <c r="O193" s="438"/>
      <c r="P193" s="438"/>
      <c r="Q193" s="428"/>
      <c r="R193" s="413"/>
      <c r="S193" s="413"/>
      <c r="T193" s="83"/>
      <c r="U193" s="83"/>
      <c r="V193" s="83"/>
      <c r="W193" s="83"/>
      <c r="X193" s="83"/>
      <c r="Y193" s="83"/>
      <c r="Z193" s="83"/>
      <c r="AA193" s="83"/>
      <c r="AB193" s="83"/>
      <c r="AC193" s="83"/>
      <c r="AD193" s="83"/>
    </row>
    <row r="194">
      <c r="A194" s="428"/>
      <c r="B194" s="440"/>
      <c r="C194" s="428"/>
      <c r="D194" s="428"/>
      <c r="E194" s="428"/>
      <c r="F194" s="428"/>
      <c r="G194" s="428"/>
      <c r="H194" s="428"/>
      <c r="I194" s="428"/>
      <c r="J194" s="428"/>
      <c r="K194" s="441"/>
      <c r="L194" s="442"/>
      <c r="M194" s="443"/>
      <c r="N194" s="438"/>
      <c r="O194" s="438"/>
      <c r="P194" s="438"/>
      <c r="Q194" s="428"/>
      <c r="R194" s="413"/>
      <c r="S194" s="413"/>
      <c r="T194" s="83"/>
      <c r="U194" s="83"/>
      <c r="V194" s="83"/>
      <c r="W194" s="83"/>
      <c r="X194" s="83"/>
      <c r="Y194" s="83"/>
      <c r="Z194" s="83"/>
      <c r="AA194" s="83"/>
      <c r="AB194" s="83"/>
      <c r="AC194" s="83"/>
      <c r="AD194" s="83"/>
    </row>
    <row r="195">
      <c r="A195" s="428"/>
      <c r="B195" s="440"/>
      <c r="C195" s="428"/>
      <c r="D195" s="428"/>
      <c r="E195" s="428"/>
      <c r="F195" s="428"/>
      <c r="G195" s="428"/>
      <c r="H195" s="428"/>
      <c r="I195" s="428"/>
      <c r="J195" s="428"/>
      <c r="K195" s="441"/>
      <c r="L195" s="442"/>
      <c r="M195" s="443"/>
      <c r="N195" s="438"/>
      <c r="O195" s="438"/>
      <c r="P195" s="438"/>
      <c r="Q195" s="428"/>
      <c r="R195" s="413"/>
      <c r="S195" s="413"/>
      <c r="T195" s="83"/>
      <c r="U195" s="83"/>
      <c r="V195" s="83"/>
      <c r="W195" s="83"/>
      <c r="X195" s="83"/>
      <c r="Y195" s="83"/>
      <c r="Z195" s="83"/>
      <c r="AA195" s="83"/>
      <c r="AB195" s="83"/>
      <c r="AC195" s="83"/>
      <c r="AD195" s="83"/>
    </row>
    <row r="196">
      <c r="A196" s="428"/>
      <c r="B196" s="440"/>
      <c r="C196" s="428"/>
      <c r="D196" s="428"/>
      <c r="E196" s="428"/>
      <c r="F196" s="428"/>
      <c r="G196" s="428"/>
      <c r="H196" s="428"/>
      <c r="I196" s="428"/>
      <c r="J196" s="428"/>
      <c r="K196" s="441"/>
      <c r="L196" s="442"/>
      <c r="M196" s="443"/>
      <c r="N196" s="438"/>
      <c r="O196" s="438"/>
      <c r="P196" s="438"/>
      <c r="Q196" s="428"/>
      <c r="R196" s="413"/>
      <c r="S196" s="413"/>
      <c r="T196" s="83"/>
      <c r="U196" s="83"/>
      <c r="V196" s="83"/>
      <c r="W196" s="83"/>
      <c r="X196" s="83"/>
      <c r="Y196" s="83"/>
      <c r="Z196" s="83"/>
      <c r="AA196" s="83"/>
      <c r="AB196" s="83"/>
      <c r="AC196" s="83"/>
      <c r="AD196" s="83"/>
    </row>
    <row r="197">
      <c r="A197" s="428"/>
      <c r="B197" s="440"/>
      <c r="C197" s="428"/>
      <c r="D197" s="428"/>
      <c r="E197" s="428"/>
      <c r="F197" s="428"/>
      <c r="G197" s="428"/>
      <c r="H197" s="428"/>
      <c r="I197" s="428"/>
      <c r="J197" s="428"/>
      <c r="K197" s="441"/>
      <c r="L197" s="442"/>
      <c r="M197" s="443"/>
      <c r="N197" s="438"/>
      <c r="O197" s="438"/>
      <c r="P197" s="438"/>
      <c r="Q197" s="428"/>
      <c r="R197" s="413"/>
      <c r="S197" s="413"/>
      <c r="T197" s="83"/>
      <c r="U197" s="83"/>
      <c r="V197" s="83"/>
      <c r="W197" s="83"/>
      <c r="X197" s="83"/>
      <c r="Y197" s="83"/>
      <c r="Z197" s="83"/>
      <c r="AA197" s="83"/>
      <c r="AB197" s="83"/>
      <c r="AC197" s="83"/>
      <c r="AD197" s="83"/>
    </row>
    <row r="198">
      <c r="A198" s="428"/>
      <c r="B198" s="440"/>
      <c r="C198" s="428"/>
      <c r="D198" s="428"/>
      <c r="E198" s="428"/>
      <c r="F198" s="428"/>
      <c r="G198" s="428"/>
      <c r="H198" s="428"/>
      <c r="I198" s="428"/>
      <c r="J198" s="428"/>
      <c r="K198" s="441"/>
      <c r="L198" s="442"/>
      <c r="M198" s="443"/>
      <c r="N198" s="438"/>
      <c r="O198" s="438"/>
      <c r="P198" s="438"/>
      <c r="Q198" s="428"/>
      <c r="R198" s="413"/>
      <c r="S198" s="413"/>
      <c r="T198" s="83"/>
      <c r="U198" s="83"/>
      <c r="V198" s="83"/>
      <c r="W198" s="83"/>
      <c r="X198" s="83"/>
      <c r="Y198" s="83"/>
      <c r="Z198" s="83"/>
      <c r="AA198" s="83"/>
      <c r="AB198" s="83"/>
      <c r="AC198" s="83"/>
      <c r="AD198" s="83"/>
    </row>
    <row r="199">
      <c r="A199" s="428"/>
      <c r="B199" s="440"/>
      <c r="C199" s="428"/>
      <c r="D199" s="428"/>
      <c r="E199" s="428"/>
      <c r="F199" s="428"/>
      <c r="G199" s="428"/>
      <c r="H199" s="428"/>
      <c r="I199" s="428"/>
      <c r="J199" s="428"/>
      <c r="K199" s="441"/>
      <c r="L199" s="442"/>
      <c r="M199" s="443"/>
      <c r="N199" s="438"/>
      <c r="O199" s="438"/>
      <c r="P199" s="438"/>
      <c r="Q199" s="428"/>
      <c r="R199" s="413"/>
      <c r="S199" s="413"/>
      <c r="T199" s="83"/>
      <c r="U199" s="83"/>
      <c r="V199" s="83"/>
      <c r="W199" s="83"/>
      <c r="X199" s="83"/>
      <c r="Y199" s="83"/>
      <c r="Z199" s="83"/>
      <c r="AA199" s="83"/>
      <c r="AB199" s="83"/>
      <c r="AC199" s="83"/>
      <c r="AD199" s="83"/>
    </row>
    <row r="200">
      <c r="A200" s="428"/>
      <c r="B200" s="440"/>
      <c r="C200" s="428"/>
      <c r="D200" s="428"/>
      <c r="E200" s="428"/>
      <c r="F200" s="428"/>
      <c r="G200" s="428"/>
      <c r="H200" s="428"/>
      <c r="I200" s="428"/>
      <c r="J200" s="428"/>
      <c r="K200" s="441"/>
      <c r="L200" s="442"/>
      <c r="M200" s="443"/>
      <c r="N200" s="438"/>
      <c r="O200" s="438"/>
      <c r="P200" s="438"/>
      <c r="Q200" s="428"/>
      <c r="R200" s="413"/>
      <c r="T200" s="83"/>
      <c r="U200" s="83"/>
      <c r="V200" s="83"/>
      <c r="W200" s="83"/>
      <c r="X200" s="83"/>
      <c r="Y200" s="83"/>
      <c r="Z200" s="83"/>
      <c r="AA200" s="83"/>
      <c r="AB200" s="83"/>
      <c r="AC200" s="83"/>
      <c r="AD200" s="83"/>
    </row>
    <row r="201">
      <c r="A201" s="428"/>
      <c r="B201" s="440"/>
      <c r="C201" s="428"/>
      <c r="D201" s="428"/>
      <c r="E201" s="428"/>
      <c r="F201" s="428"/>
      <c r="G201" s="428"/>
      <c r="H201" s="428"/>
      <c r="I201" s="428"/>
      <c r="J201" s="428"/>
      <c r="K201" s="441"/>
      <c r="L201" s="442"/>
      <c r="M201" s="443"/>
      <c r="N201" s="438"/>
      <c r="O201" s="438"/>
      <c r="P201" s="438"/>
      <c r="Q201" s="428"/>
      <c r="R201" s="413"/>
      <c r="T201" s="83"/>
      <c r="U201" s="83"/>
      <c r="V201" s="83"/>
      <c r="W201" s="83"/>
      <c r="X201" s="83"/>
      <c r="Y201" s="83"/>
      <c r="Z201" s="83"/>
      <c r="AA201" s="83"/>
      <c r="AB201" s="83"/>
      <c r="AC201" s="83"/>
      <c r="AD201" s="83"/>
    </row>
    <row r="202">
      <c r="A202" s="428"/>
      <c r="B202" s="440"/>
      <c r="C202" s="428"/>
      <c r="D202" s="428"/>
      <c r="E202" s="428"/>
      <c r="F202" s="428"/>
      <c r="G202" s="428"/>
      <c r="H202" s="428"/>
      <c r="I202" s="428"/>
      <c r="J202" s="428"/>
      <c r="K202" s="441"/>
      <c r="L202" s="442"/>
      <c r="M202" s="443"/>
      <c r="N202" s="438"/>
      <c r="O202" s="438"/>
      <c r="P202" s="438"/>
      <c r="Q202" s="439"/>
      <c r="R202" s="413"/>
      <c r="T202" s="83"/>
      <c r="U202" s="83"/>
      <c r="V202" s="83"/>
      <c r="W202" s="83"/>
      <c r="X202" s="83"/>
      <c r="Y202" s="83"/>
      <c r="Z202" s="83"/>
      <c r="AA202" s="83"/>
      <c r="AB202" s="83"/>
      <c r="AC202" s="83"/>
      <c r="AD202" s="83"/>
    </row>
    <row r="203">
      <c r="A203" s="428"/>
      <c r="B203" s="440"/>
      <c r="C203" s="428"/>
      <c r="D203" s="428"/>
      <c r="E203" s="428"/>
      <c r="F203" s="428"/>
      <c r="G203" s="428"/>
      <c r="H203" s="428"/>
      <c r="I203" s="428"/>
      <c r="J203" s="428"/>
      <c r="K203" s="441"/>
      <c r="L203" s="442"/>
      <c r="M203" s="443"/>
      <c r="N203" s="438"/>
      <c r="O203" s="438"/>
      <c r="P203" s="438"/>
      <c r="Q203" s="439"/>
      <c r="R203" s="413"/>
      <c r="T203" s="83"/>
      <c r="U203" s="83"/>
      <c r="V203" s="83"/>
      <c r="W203" s="83"/>
      <c r="X203" s="83"/>
      <c r="Y203" s="83"/>
      <c r="Z203" s="83"/>
      <c r="AA203" s="83"/>
      <c r="AB203" s="83"/>
      <c r="AC203" s="83"/>
      <c r="AD203" s="83"/>
    </row>
    <row r="204">
      <c r="A204" s="428"/>
      <c r="B204" s="440"/>
      <c r="C204" s="428"/>
      <c r="D204" s="428"/>
      <c r="E204" s="428"/>
      <c r="F204" s="428"/>
      <c r="G204" s="428"/>
      <c r="H204" s="428"/>
      <c r="I204" s="428"/>
      <c r="J204" s="428"/>
      <c r="K204" s="441"/>
      <c r="L204" s="442"/>
      <c r="M204" s="443"/>
      <c r="N204" s="438"/>
      <c r="O204" s="438"/>
      <c r="P204" s="438"/>
      <c r="Q204" s="428"/>
      <c r="R204" s="413"/>
      <c r="S204" s="413"/>
      <c r="T204" s="83"/>
      <c r="U204" s="83"/>
      <c r="V204" s="83"/>
      <c r="W204" s="83"/>
      <c r="X204" s="83"/>
      <c r="Y204" s="83"/>
      <c r="Z204" s="83"/>
      <c r="AA204" s="83"/>
      <c r="AB204" s="83"/>
      <c r="AC204" s="83"/>
      <c r="AD204" s="83"/>
    </row>
    <row r="205">
      <c r="A205" s="428"/>
      <c r="B205" s="440"/>
      <c r="C205" s="428"/>
      <c r="D205" s="428"/>
      <c r="E205" s="428"/>
      <c r="F205" s="428"/>
      <c r="G205" s="428"/>
      <c r="H205" s="428"/>
      <c r="I205" s="428"/>
      <c r="J205" s="428"/>
      <c r="K205" s="441"/>
      <c r="L205" s="442"/>
      <c r="M205" s="443"/>
      <c r="N205" s="438"/>
      <c r="O205" s="438"/>
      <c r="P205" s="438"/>
      <c r="Q205" s="428"/>
      <c r="R205" s="413"/>
      <c r="S205" s="413"/>
      <c r="T205" s="83"/>
      <c r="U205" s="83"/>
      <c r="V205" s="83"/>
      <c r="W205" s="83"/>
      <c r="X205" s="83"/>
      <c r="Y205" s="83"/>
      <c r="Z205" s="83"/>
      <c r="AA205" s="83"/>
      <c r="AB205" s="83"/>
      <c r="AC205" s="83"/>
      <c r="AD205" s="83"/>
    </row>
    <row r="206">
      <c r="A206" s="428"/>
      <c r="B206" s="440"/>
      <c r="C206" s="428"/>
      <c r="D206" s="428"/>
      <c r="E206" s="428"/>
      <c r="F206" s="428"/>
      <c r="G206" s="428"/>
      <c r="H206" s="428"/>
      <c r="I206" s="428"/>
      <c r="J206" s="428"/>
      <c r="K206" s="441"/>
      <c r="L206" s="442"/>
      <c r="M206" s="443"/>
      <c r="N206" s="438"/>
      <c r="O206" s="438"/>
      <c r="P206" s="438"/>
      <c r="Q206" s="428"/>
      <c r="R206" s="413"/>
      <c r="S206" s="413"/>
      <c r="T206" s="83"/>
      <c r="U206" s="83"/>
      <c r="V206" s="83"/>
      <c r="W206" s="83"/>
      <c r="X206" s="83"/>
      <c r="Y206" s="83"/>
      <c r="Z206" s="83"/>
      <c r="AA206" s="83"/>
      <c r="AB206" s="83"/>
      <c r="AC206" s="83"/>
      <c r="AD206" s="83"/>
    </row>
    <row r="207">
      <c r="A207" s="428"/>
      <c r="B207" s="440"/>
      <c r="C207" s="428"/>
      <c r="D207" s="428"/>
      <c r="E207" s="428"/>
      <c r="F207" s="428"/>
      <c r="G207" s="428"/>
      <c r="H207" s="428"/>
      <c r="I207" s="428"/>
      <c r="J207" s="428"/>
      <c r="K207" s="441"/>
      <c r="L207" s="442"/>
      <c r="M207" s="443"/>
      <c r="N207" s="438"/>
      <c r="O207" s="438"/>
      <c r="P207" s="438"/>
      <c r="Q207" s="428"/>
      <c r="R207" s="413"/>
      <c r="S207" s="413"/>
      <c r="T207" s="83"/>
      <c r="U207" s="83"/>
      <c r="V207" s="83"/>
      <c r="W207" s="83"/>
      <c r="X207" s="83"/>
      <c r="Y207" s="83"/>
      <c r="Z207" s="83"/>
      <c r="AA207" s="83"/>
      <c r="AB207" s="83"/>
      <c r="AC207" s="83"/>
      <c r="AD207" s="83"/>
    </row>
    <row r="208">
      <c r="A208" s="428"/>
      <c r="B208" s="440"/>
      <c r="C208" s="428"/>
      <c r="D208" s="428"/>
      <c r="E208" s="428"/>
      <c r="F208" s="428"/>
      <c r="G208" s="428"/>
      <c r="H208" s="428"/>
      <c r="I208" s="428"/>
      <c r="J208" s="428"/>
      <c r="K208" s="441"/>
      <c r="L208" s="442"/>
      <c r="M208" s="443"/>
      <c r="N208" s="438"/>
      <c r="O208" s="438"/>
      <c r="P208" s="438"/>
      <c r="Q208" s="428"/>
      <c r="R208" s="413"/>
      <c r="S208" s="413"/>
      <c r="T208" s="83"/>
      <c r="U208" s="83"/>
      <c r="V208" s="83"/>
      <c r="W208" s="83"/>
      <c r="X208" s="83"/>
      <c r="Y208" s="83"/>
      <c r="Z208" s="83"/>
      <c r="AA208" s="83"/>
      <c r="AB208" s="83"/>
      <c r="AC208" s="83"/>
      <c r="AD208" s="83"/>
    </row>
    <row r="209">
      <c r="A209" s="428"/>
      <c r="B209" s="440"/>
      <c r="C209" s="428"/>
      <c r="D209" s="428"/>
      <c r="E209" s="428"/>
      <c r="F209" s="428"/>
      <c r="G209" s="428"/>
      <c r="H209" s="428"/>
      <c r="I209" s="428"/>
      <c r="J209" s="428"/>
      <c r="K209" s="441"/>
      <c r="L209" s="442"/>
      <c r="M209" s="443"/>
      <c r="N209" s="438"/>
      <c r="O209" s="438"/>
      <c r="P209" s="438"/>
      <c r="Q209" s="428"/>
      <c r="R209" s="413"/>
      <c r="S209" s="413"/>
      <c r="T209" s="83"/>
      <c r="U209" s="83"/>
      <c r="V209" s="83"/>
      <c r="W209" s="83"/>
      <c r="X209" s="83"/>
      <c r="Y209" s="83"/>
      <c r="Z209" s="83"/>
      <c r="AA209" s="83"/>
      <c r="AB209" s="83"/>
      <c r="AC209" s="83"/>
      <c r="AD209" s="83"/>
    </row>
    <row r="210">
      <c r="A210" s="428"/>
      <c r="B210" s="440"/>
      <c r="C210" s="428"/>
      <c r="D210" s="428"/>
      <c r="E210" s="428"/>
      <c r="F210" s="428"/>
      <c r="G210" s="428"/>
      <c r="H210" s="428"/>
      <c r="I210" s="428"/>
      <c r="J210" s="428"/>
      <c r="K210" s="441"/>
      <c r="L210" s="442"/>
      <c r="M210" s="443"/>
      <c r="N210" s="438"/>
      <c r="O210" s="438"/>
      <c r="P210" s="438"/>
      <c r="Q210" s="428"/>
      <c r="R210" s="413"/>
      <c r="S210" s="413"/>
      <c r="T210" s="83"/>
      <c r="U210" s="83"/>
      <c r="V210" s="83"/>
      <c r="W210" s="83"/>
      <c r="X210" s="83"/>
      <c r="Y210" s="83"/>
      <c r="Z210" s="83"/>
      <c r="AA210" s="83"/>
      <c r="AB210" s="83"/>
      <c r="AC210" s="83"/>
      <c r="AD210" s="83"/>
    </row>
    <row r="211">
      <c r="A211" s="428"/>
      <c r="B211" s="440"/>
      <c r="C211" s="428"/>
      <c r="D211" s="428"/>
      <c r="E211" s="428"/>
      <c r="F211" s="428"/>
      <c r="G211" s="428"/>
      <c r="H211" s="428"/>
      <c r="I211" s="428"/>
      <c r="J211" s="428"/>
      <c r="K211" s="441"/>
      <c r="L211" s="442"/>
      <c r="M211" s="443"/>
      <c r="N211" s="438"/>
      <c r="O211" s="438"/>
      <c r="P211" s="438"/>
      <c r="Q211" s="428"/>
      <c r="R211" s="413"/>
      <c r="S211" s="413"/>
      <c r="T211" s="83"/>
      <c r="U211" s="83"/>
      <c r="V211" s="83"/>
      <c r="W211" s="83"/>
      <c r="X211" s="83"/>
      <c r="Y211" s="83"/>
      <c r="Z211" s="83"/>
      <c r="AA211" s="83"/>
      <c r="AB211" s="83"/>
      <c r="AC211" s="83"/>
      <c r="AD211" s="83"/>
    </row>
    <row r="212">
      <c r="A212" s="428"/>
      <c r="B212" s="440"/>
      <c r="C212" s="428"/>
      <c r="D212" s="428"/>
      <c r="E212" s="428"/>
      <c r="F212" s="428"/>
      <c r="G212" s="428"/>
      <c r="H212" s="428"/>
      <c r="I212" s="428"/>
      <c r="J212" s="428"/>
      <c r="K212" s="441"/>
      <c r="L212" s="442"/>
      <c r="M212" s="443"/>
      <c r="N212" s="438"/>
      <c r="O212" s="438"/>
      <c r="P212" s="438"/>
      <c r="Q212" s="428"/>
      <c r="R212" s="413"/>
      <c r="S212" s="413"/>
      <c r="T212" s="83"/>
      <c r="U212" s="83"/>
      <c r="V212" s="83"/>
      <c r="W212" s="83"/>
      <c r="X212" s="83"/>
      <c r="Y212" s="83"/>
      <c r="Z212" s="83"/>
      <c r="AA212" s="83"/>
      <c r="AB212" s="83"/>
      <c r="AC212" s="83"/>
      <c r="AD212" s="83"/>
    </row>
    <row r="213">
      <c r="A213" s="428"/>
      <c r="B213" s="440"/>
      <c r="C213" s="428"/>
      <c r="D213" s="428"/>
      <c r="E213" s="428"/>
      <c r="F213" s="428"/>
      <c r="G213" s="428"/>
      <c r="H213" s="428"/>
      <c r="I213" s="428"/>
      <c r="J213" s="428"/>
      <c r="K213" s="441"/>
      <c r="L213" s="442"/>
      <c r="M213" s="443"/>
      <c r="N213" s="438"/>
      <c r="O213" s="438"/>
      <c r="P213" s="438"/>
      <c r="Q213" s="428"/>
      <c r="R213" s="413"/>
      <c r="S213" s="413"/>
      <c r="T213" s="83"/>
      <c r="U213" s="83"/>
      <c r="V213" s="83"/>
      <c r="W213" s="83"/>
      <c r="X213" s="83"/>
      <c r="Y213" s="83"/>
      <c r="Z213" s="83"/>
      <c r="AA213" s="83"/>
      <c r="AB213" s="83"/>
      <c r="AC213" s="83"/>
      <c r="AD213" s="83"/>
    </row>
    <row r="214">
      <c r="A214" s="428"/>
      <c r="B214" s="440"/>
      <c r="C214" s="428"/>
      <c r="D214" s="428"/>
      <c r="E214" s="428"/>
      <c r="F214" s="428"/>
      <c r="G214" s="428"/>
      <c r="H214" s="428"/>
      <c r="I214" s="428"/>
      <c r="J214" s="428"/>
      <c r="K214" s="441"/>
      <c r="L214" s="442"/>
      <c r="M214" s="443"/>
      <c r="N214" s="438"/>
      <c r="O214" s="438"/>
      <c r="P214" s="438"/>
      <c r="Q214" s="428"/>
      <c r="R214" s="413"/>
      <c r="S214" s="413"/>
      <c r="T214" s="83"/>
      <c r="U214" s="83"/>
      <c r="V214" s="83"/>
      <c r="W214" s="83"/>
      <c r="X214" s="83"/>
      <c r="Y214" s="83"/>
      <c r="Z214" s="83"/>
      <c r="AA214" s="83"/>
      <c r="AB214" s="83"/>
      <c r="AC214" s="83"/>
      <c r="AD214" s="83"/>
    </row>
    <row r="215">
      <c r="A215" s="428"/>
      <c r="B215" s="440"/>
      <c r="C215" s="428"/>
      <c r="D215" s="428"/>
      <c r="E215" s="428"/>
      <c r="F215" s="428"/>
      <c r="G215" s="428"/>
      <c r="H215" s="428"/>
      <c r="I215" s="428"/>
      <c r="J215" s="428"/>
      <c r="K215" s="441"/>
      <c r="L215" s="442"/>
      <c r="M215" s="443"/>
      <c r="N215" s="438"/>
      <c r="O215" s="438"/>
      <c r="P215" s="438"/>
      <c r="Q215" s="428"/>
      <c r="R215" s="413"/>
      <c r="S215" s="413"/>
      <c r="T215" s="83"/>
      <c r="U215" s="83"/>
      <c r="V215" s="83"/>
      <c r="W215" s="83"/>
      <c r="X215" s="83"/>
      <c r="Y215" s="83"/>
      <c r="Z215" s="83"/>
      <c r="AA215" s="83"/>
      <c r="AB215" s="83"/>
      <c r="AC215" s="83"/>
      <c r="AD215" s="83"/>
    </row>
    <row r="216">
      <c r="A216" s="428"/>
      <c r="B216" s="440"/>
      <c r="C216" s="428"/>
      <c r="D216" s="428"/>
      <c r="E216" s="428"/>
      <c r="F216" s="428"/>
      <c r="G216" s="428"/>
      <c r="H216" s="428"/>
      <c r="I216" s="428"/>
      <c r="J216" s="428"/>
      <c r="K216" s="441"/>
      <c r="L216" s="442"/>
      <c r="M216" s="443"/>
      <c r="N216" s="438"/>
      <c r="O216" s="438"/>
      <c r="P216" s="438"/>
      <c r="Q216" s="428"/>
      <c r="R216" s="413"/>
      <c r="S216" s="413"/>
      <c r="T216" s="83"/>
      <c r="U216" s="83"/>
      <c r="V216" s="83"/>
      <c r="W216" s="83"/>
      <c r="X216" s="83"/>
      <c r="Y216" s="83"/>
      <c r="Z216" s="83"/>
      <c r="AA216" s="83"/>
      <c r="AB216" s="83"/>
      <c r="AC216" s="83"/>
      <c r="AD216" s="83"/>
    </row>
    <row r="217">
      <c r="A217" s="428"/>
      <c r="B217" s="440"/>
      <c r="C217" s="428"/>
      <c r="D217" s="428"/>
      <c r="E217" s="428"/>
      <c r="F217" s="428"/>
      <c r="G217" s="428"/>
      <c r="H217" s="428"/>
      <c r="I217" s="428"/>
      <c r="J217" s="428"/>
      <c r="K217" s="441"/>
      <c r="L217" s="442"/>
      <c r="M217" s="443"/>
      <c r="N217" s="438"/>
      <c r="O217" s="438"/>
      <c r="P217" s="438"/>
      <c r="Q217" s="428"/>
      <c r="R217" s="413"/>
      <c r="S217" s="413"/>
      <c r="T217" s="83"/>
      <c r="U217" s="83"/>
      <c r="V217" s="83"/>
      <c r="W217" s="83"/>
      <c r="X217" s="83"/>
      <c r="Y217" s="83"/>
      <c r="Z217" s="83"/>
      <c r="AA217" s="83"/>
      <c r="AB217" s="83"/>
      <c r="AC217" s="83"/>
      <c r="AD217" s="83"/>
    </row>
    <row r="218">
      <c r="A218" s="428"/>
      <c r="B218" s="440"/>
      <c r="C218" s="428"/>
      <c r="D218" s="428"/>
      <c r="E218" s="428"/>
      <c r="F218" s="428"/>
      <c r="G218" s="428"/>
      <c r="H218" s="428"/>
      <c r="I218" s="428"/>
      <c r="J218" s="428"/>
      <c r="K218" s="441"/>
      <c r="L218" s="442"/>
      <c r="M218" s="443"/>
      <c r="N218" s="438"/>
      <c r="O218" s="438"/>
      <c r="P218" s="438"/>
      <c r="Q218" s="428"/>
      <c r="R218" s="413"/>
      <c r="S218" s="413"/>
      <c r="T218" s="83"/>
      <c r="U218" s="83"/>
      <c r="V218" s="83"/>
      <c r="W218" s="83"/>
      <c r="X218" s="83"/>
      <c r="Y218" s="83"/>
      <c r="Z218" s="83"/>
      <c r="AA218" s="83"/>
      <c r="AB218" s="83"/>
      <c r="AC218" s="83"/>
      <c r="AD218" s="83"/>
    </row>
    <row r="219">
      <c r="A219" s="428"/>
      <c r="B219" s="440"/>
      <c r="C219" s="428"/>
      <c r="D219" s="428"/>
      <c r="E219" s="428"/>
      <c r="F219" s="428"/>
      <c r="G219" s="428"/>
      <c r="H219" s="428"/>
      <c r="I219" s="428"/>
      <c r="J219" s="428"/>
      <c r="K219" s="441"/>
      <c r="L219" s="442"/>
      <c r="M219" s="443"/>
      <c r="N219" s="438"/>
      <c r="O219" s="438"/>
      <c r="P219" s="438"/>
      <c r="Q219" s="428"/>
      <c r="R219" s="413"/>
      <c r="S219" s="413"/>
      <c r="T219" s="83"/>
      <c r="U219" s="83"/>
      <c r="V219" s="83"/>
      <c r="W219" s="83"/>
      <c r="X219" s="83"/>
      <c r="Y219" s="83"/>
      <c r="Z219" s="83"/>
      <c r="AA219" s="83"/>
      <c r="AB219" s="83"/>
      <c r="AC219" s="83"/>
      <c r="AD219" s="83"/>
    </row>
    <row r="220">
      <c r="A220" s="428"/>
      <c r="B220" s="440"/>
      <c r="C220" s="428"/>
      <c r="D220" s="428"/>
      <c r="E220" s="428"/>
      <c r="F220" s="428"/>
      <c r="G220" s="428"/>
      <c r="H220" s="428"/>
      <c r="I220" s="428"/>
      <c r="J220" s="428"/>
      <c r="K220" s="441"/>
      <c r="L220" s="442"/>
      <c r="M220" s="443"/>
      <c r="N220" s="438"/>
      <c r="O220" s="438"/>
      <c r="P220" s="438"/>
      <c r="Q220" s="428"/>
      <c r="R220" s="413"/>
      <c r="S220" s="413"/>
      <c r="T220" s="83"/>
      <c r="U220" s="83"/>
      <c r="V220" s="83"/>
      <c r="W220" s="83"/>
      <c r="X220" s="83"/>
      <c r="Y220" s="83"/>
      <c r="Z220" s="83"/>
      <c r="AA220" s="83"/>
      <c r="AB220" s="83"/>
      <c r="AC220" s="83"/>
      <c r="AD220" s="83"/>
    </row>
    <row r="221">
      <c r="A221" s="428"/>
      <c r="B221" s="440"/>
      <c r="C221" s="428"/>
      <c r="D221" s="428"/>
      <c r="E221" s="428"/>
      <c r="F221" s="428"/>
      <c r="G221" s="428"/>
      <c r="H221" s="428"/>
      <c r="I221" s="428"/>
      <c r="J221" s="428"/>
      <c r="K221" s="441"/>
      <c r="L221" s="442"/>
      <c r="M221" s="443"/>
      <c r="N221" s="438"/>
      <c r="O221" s="438"/>
      <c r="P221" s="438"/>
      <c r="Q221" s="428"/>
      <c r="R221" s="413"/>
      <c r="S221" s="413"/>
      <c r="T221" s="83"/>
      <c r="U221" s="83"/>
      <c r="V221" s="83"/>
      <c r="W221" s="83"/>
      <c r="X221" s="83"/>
      <c r="Y221" s="83"/>
      <c r="Z221" s="83"/>
      <c r="AA221" s="83"/>
      <c r="AB221" s="83"/>
      <c r="AC221" s="83"/>
      <c r="AD221" s="83"/>
    </row>
    <row r="222">
      <c r="A222" s="428"/>
      <c r="B222" s="440"/>
      <c r="C222" s="428"/>
      <c r="D222" s="428"/>
      <c r="E222" s="428"/>
      <c r="F222" s="428"/>
      <c r="G222" s="428"/>
      <c r="H222" s="428"/>
      <c r="I222" s="428"/>
      <c r="J222" s="428"/>
      <c r="K222" s="441"/>
      <c r="L222" s="442"/>
      <c r="M222" s="443"/>
      <c r="N222" s="438"/>
      <c r="O222" s="438"/>
      <c r="P222" s="438"/>
      <c r="Q222" s="428"/>
      <c r="R222" s="413"/>
      <c r="S222" s="413"/>
      <c r="T222" s="83"/>
      <c r="U222" s="83"/>
      <c r="V222" s="83"/>
      <c r="W222" s="83"/>
      <c r="X222" s="83"/>
      <c r="Y222" s="83"/>
      <c r="Z222" s="83"/>
      <c r="AA222" s="83"/>
      <c r="AB222" s="83"/>
      <c r="AC222" s="83"/>
      <c r="AD222" s="83"/>
    </row>
    <row r="223">
      <c r="A223" s="428"/>
      <c r="B223" s="440"/>
      <c r="C223" s="428"/>
      <c r="D223" s="428"/>
      <c r="E223" s="428"/>
      <c r="F223" s="428"/>
      <c r="G223" s="428"/>
      <c r="H223" s="428"/>
      <c r="I223" s="428"/>
      <c r="J223" s="428"/>
      <c r="K223" s="441"/>
      <c r="L223" s="442"/>
      <c r="M223" s="443"/>
      <c r="N223" s="438"/>
      <c r="O223" s="438"/>
      <c r="P223" s="438"/>
      <c r="Q223" s="428"/>
      <c r="R223" s="413"/>
      <c r="S223" s="413"/>
      <c r="T223" s="83"/>
      <c r="U223" s="83"/>
      <c r="V223" s="83"/>
      <c r="W223" s="83"/>
      <c r="X223" s="83"/>
      <c r="Y223" s="83"/>
      <c r="Z223" s="83"/>
      <c r="AA223" s="83"/>
      <c r="AB223" s="83"/>
      <c r="AC223" s="83"/>
      <c r="AD223" s="83"/>
    </row>
    <row r="224">
      <c r="A224" s="428"/>
      <c r="B224" s="440"/>
      <c r="C224" s="428"/>
      <c r="D224" s="428"/>
      <c r="E224" s="428"/>
      <c r="F224" s="428"/>
      <c r="G224" s="428"/>
      <c r="H224" s="428"/>
      <c r="I224" s="428"/>
      <c r="J224" s="428"/>
      <c r="K224" s="441"/>
      <c r="L224" s="442"/>
      <c r="M224" s="443"/>
      <c r="N224" s="438"/>
      <c r="O224" s="438"/>
      <c r="P224" s="438"/>
      <c r="Q224" s="428"/>
      <c r="R224" s="413"/>
      <c r="S224" s="413"/>
      <c r="T224" s="83"/>
      <c r="U224" s="83"/>
      <c r="V224" s="83"/>
      <c r="W224" s="83"/>
      <c r="X224" s="83"/>
      <c r="Y224" s="83"/>
      <c r="Z224" s="83"/>
      <c r="AA224" s="83"/>
      <c r="AB224" s="83"/>
      <c r="AC224" s="83"/>
      <c r="AD224" s="83"/>
    </row>
    <row r="225">
      <c r="A225" s="428"/>
      <c r="B225" s="440"/>
      <c r="C225" s="428"/>
      <c r="D225" s="428"/>
      <c r="E225" s="428"/>
      <c r="F225" s="428"/>
      <c r="G225" s="428"/>
      <c r="H225" s="428"/>
      <c r="I225" s="428"/>
      <c r="J225" s="428"/>
      <c r="K225" s="441"/>
      <c r="L225" s="442"/>
      <c r="M225" s="443"/>
      <c r="N225" s="438"/>
      <c r="O225" s="438"/>
      <c r="P225" s="438"/>
      <c r="Q225" s="428"/>
      <c r="R225" s="413"/>
      <c r="S225" s="413"/>
      <c r="T225" s="83"/>
      <c r="U225" s="83"/>
      <c r="V225" s="83"/>
      <c r="W225" s="83"/>
      <c r="X225" s="83"/>
      <c r="Y225" s="83"/>
      <c r="Z225" s="83"/>
      <c r="AA225" s="83"/>
      <c r="AB225" s="83"/>
      <c r="AC225" s="83"/>
      <c r="AD225" s="83"/>
    </row>
    <row r="226">
      <c r="A226" s="428"/>
      <c r="B226" s="440"/>
      <c r="C226" s="428"/>
      <c r="D226" s="428"/>
      <c r="E226" s="428"/>
      <c r="F226" s="428"/>
      <c r="G226" s="428"/>
      <c r="H226" s="428"/>
      <c r="I226" s="428"/>
      <c r="J226" s="428"/>
      <c r="K226" s="441"/>
      <c r="L226" s="442"/>
      <c r="M226" s="443"/>
      <c r="N226" s="438"/>
      <c r="O226" s="438"/>
      <c r="P226" s="438"/>
      <c r="Q226" s="428"/>
      <c r="R226" s="413"/>
      <c r="S226" s="413"/>
      <c r="T226" s="83"/>
      <c r="U226" s="83"/>
      <c r="V226" s="83"/>
      <c r="W226" s="83"/>
      <c r="X226" s="83"/>
      <c r="Y226" s="83"/>
      <c r="Z226" s="83"/>
      <c r="AA226" s="83"/>
      <c r="AB226" s="83"/>
      <c r="AC226" s="83"/>
      <c r="AD226" s="83"/>
    </row>
    <row r="227">
      <c r="A227" s="428"/>
      <c r="B227" s="440"/>
      <c r="C227" s="428"/>
      <c r="D227" s="428"/>
      <c r="E227" s="428"/>
      <c r="F227" s="428"/>
      <c r="G227" s="428"/>
      <c r="H227" s="428"/>
      <c r="I227" s="428"/>
      <c r="J227" s="428"/>
      <c r="K227" s="441"/>
      <c r="L227" s="442"/>
      <c r="M227" s="443"/>
      <c r="N227" s="438"/>
      <c r="O227" s="438"/>
      <c r="P227" s="438"/>
      <c r="Q227" s="428"/>
      <c r="R227" s="413"/>
      <c r="S227" s="413"/>
      <c r="T227" s="83"/>
      <c r="U227" s="83"/>
      <c r="V227" s="83"/>
      <c r="W227" s="83"/>
      <c r="X227" s="83"/>
      <c r="Y227" s="83"/>
      <c r="Z227" s="83"/>
      <c r="AA227" s="83"/>
      <c r="AB227" s="83"/>
      <c r="AC227" s="83"/>
      <c r="AD227" s="83"/>
    </row>
    <row r="228">
      <c r="A228" s="428"/>
      <c r="B228" s="440"/>
      <c r="C228" s="428"/>
      <c r="D228" s="428"/>
      <c r="E228" s="428"/>
      <c r="F228" s="428"/>
      <c r="G228" s="428"/>
      <c r="H228" s="428"/>
      <c r="I228" s="428"/>
      <c r="J228" s="428"/>
      <c r="K228" s="441"/>
      <c r="L228" s="442"/>
      <c r="M228" s="443"/>
      <c r="N228" s="438"/>
      <c r="O228" s="438"/>
      <c r="P228" s="438"/>
      <c r="Q228" s="428"/>
      <c r="R228" s="413"/>
      <c r="S228" s="413"/>
      <c r="T228" s="83"/>
      <c r="U228" s="83"/>
      <c r="V228" s="83"/>
      <c r="W228" s="83"/>
      <c r="X228" s="83"/>
      <c r="Y228" s="83"/>
      <c r="Z228" s="83"/>
      <c r="AA228" s="83"/>
      <c r="AB228" s="83"/>
      <c r="AC228" s="83"/>
      <c r="AD228" s="83"/>
    </row>
    <row r="229">
      <c r="A229" s="428"/>
      <c r="B229" s="440"/>
      <c r="C229" s="428"/>
      <c r="D229" s="428"/>
      <c r="E229" s="428"/>
      <c r="F229" s="428"/>
      <c r="G229" s="428"/>
      <c r="H229" s="428"/>
      <c r="I229" s="428"/>
      <c r="J229" s="428"/>
      <c r="K229" s="441"/>
      <c r="L229" s="442"/>
      <c r="M229" s="443"/>
      <c r="N229" s="438"/>
      <c r="O229" s="438"/>
      <c r="P229" s="438"/>
      <c r="Q229" s="428"/>
      <c r="R229" s="413"/>
      <c r="S229" s="413"/>
      <c r="T229" s="83"/>
      <c r="U229" s="83"/>
      <c r="V229" s="83"/>
      <c r="W229" s="83"/>
      <c r="X229" s="83"/>
      <c r="Y229" s="83"/>
      <c r="Z229" s="83"/>
      <c r="AA229" s="83"/>
      <c r="AB229" s="83"/>
      <c r="AC229" s="83"/>
      <c r="AD229" s="83"/>
    </row>
    <row r="230">
      <c r="A230" s="428"/>
      <c r="B230" s="440"/>
      <c r="C230" s="428"/>
      <c r="D230" s="428"/>
      <c r="E230" s="428"/>
      <c r="F230" s="428"/>
      <c r="G230" s="428"/>
      <c r="H230" s="428"/>
      <c r="I230" s="428"/>
      <c r="J230" s="428"/>
      <c r="K230" s="441"/>
      <c r="L230" s="442"/>
      <c r="M230" s="443"/>
      <c r="N230" s="438"/>
      <c r="O230" s="438"/>
      <c r="P230" s="438"/>
      <c r="Q230" s="428"/>
      <c r="R230" s="413"/>
      <c r="S230" s="413"/>
      <c r="T230" s="83"/>
      <c r="U230" s="83"/>
      <c r="V230" s="83"/>
      <c r="W230" s="83"/>
      <c r="X230" s="83"/>
      <c r="Y230" s="83"/>
      <c r="Z230" s="83"/>
      <c r="AA230" s="83"/>
      <c r="AB230" s="83"/>
      <c r="AC230" s="83"/>
      <c r="AD230" s="83"/>
    </row>
    <row r="231">
      <c r="A231" s="428"/>
      <c r="B231" s="440"/>
      <c r="C231" s="428"/>
      <c r="D231" s="428"/>
      <c r="E231" s="428"/>
      <c r="F231" s="428"/>
      <c r="G231" s="428"/>
      <c r="H231" s="428"/>
      <c r="I231" s="428"/>
      <c r="J231" s="428"/>
      <c r="K231" s="441"/>
      <c r="L231" s="442"/>
      <c r="M231" s="443"/>
      <c r="N231" s="438"/>
      <c r="O231" s="438"/>
      <c r="P231" s="438"/>
      <c r="Q231" s="428"/>
      <c r="R231" s="413"/>
      <c r="T231" s="83"/>
      <c r="U231" s="83"/>
      <c r="V231" s="83"/>
      <c r="W231" s="83"/>
      <c r="X231" s="83"/>
      <c r="Y231" s="83"/>
      <c r="Z231" s="83"/>
      <c r="AA231" s="83"/>
      <c r="AB231" s="83"/>
      <c r="AC231" s="83"/>
      <c r="AD231" s="83"/>
    </row>
    <row r="232">
      <c r="A232" s="428"/>
      <c r="B232" s="440"/>
      <c r="C232" s="428"/>
      <c r="D232" s="428"/>
      <c r="E232" s="428"/>
      <c r="F232" s="428"/>
      <c r="G232" s="428"/>
      <c r="H232" s="428"/>
      <c r="I232" s="428"/>
      <c r="J232" s="428"/>
      <c r="K232" s="441"/>
      <c r="L232" s="442"/>
      <c r="M232" s="443"/>
      <c r="N232" s="438"/>
      <c r="O232" s="438"/>
      <c r="P232" s="438"/>
      <c r="Q232" s="428"/>
      <c r="R232" s="413"/>
      <c r="T232" s="83"/>
      <c r="U232" s="83"/>
      <c r="V232" s="83"/>
      <c r="W232" s="83"/>
      <c r="X232" s="83"/>
      <c r="Y232" s="83"/>
      <c r="Z232" s="83"/>
      <c r="AA232" s="83"/>
      <c r="AB232" s="83"/>
      <c r="AC232" s="83"/>
      <c r="AD232" s="83"/>
    </row>
    <row r="233">
      <c r="A233" s="428"/>
      <c r="B233" s="440"/>
      <c r="C233" s="428"/>
      <c r="D233" s="428"/>
      <c r="E233" s="428"/>
      <c r="F233" s="428"/>
      <c r="G233" s="428"/>
      <c r="H233" s="428"/>
      <c r="I233" s="428"/>
      <c r="J233" s="428"/>
      <c r="K233" s="441"/>
      <c r="L233" s="442"/>
      <c r="M233" s="443"/>
      <c r="N233" s="438"/>
      <c r="O233" s="438"/>
      <c r="P233" s="438"/>
      <c r="Q233" s="439"/>
      <c r="R233" s="413"/>
      <c r="T233" s="83"/>
      <c r="U233" s="83"/>
      <c r="V233" s="83"/>
      <c r="W233" s="83"/>
      <c r="X233" s="83"/>
      <c r="Y233" s="83"/>
      <c r="Z233" s="83"/>
      <c r="AA233" s="83"/>
      <c r="AB233" s="83"/>
      <c r="AC233" s="83"/>
      <c r="AD233" s="83"/>
    </row>
    <row r="234">
      <c r="A234" s="428"/>
      <c r="B234" s="440"/>
      <c r="C234" s="428"/>
      <c r="D234" s="428"/>
      <c r="E234" s="428"/>
      <c r="F234" s="428"/>
      <c r="G234" s="428"/>
      <c r="H234" s="428"/>
      <c r="I234" s="428"/>
      <c r="J234" s="428"/>
      <c r="K234" s="441"/>
      <c r="L234" s="442"/>
      <c r="M234" s="443"/>
      <c r="N234" s="438"/>
      <c r="O234" s="438"/>
      <c r="P234" s="438"/>
      <c r="Q234" s="439"/>
      <c r="R234" s="413"/>
      <c r="T234" s="83"/>
      <c r="U234" s="83"/>
      <c r="V234" s="83"/>
      <c r="W234" s="83"/>
      <c r="X234" s="83"/>
      <c r="Y234" s="83"/>
      <c r="Z234" s="83"/>
      <c r="AA234" s="83"/>
      <c r="AB234" s="83"/>
      <c r="AC234" s="83"/>
      <c r="AD234" s="83"/>
    </row>
    <row r="235">
      <c r="A235" s="428"/>
      <c r="B235" s="440"/>
      <c r="C235" s="428"/>
      <c r="D235" s="428"/>
      <c r="E235" s="428"/>
      <c r="F235" s="428"/>
      <c r="G235" s="428"/>
      <c r="H235" s="428"/>
      <c r="I235" s="428"/>
      <c r="J235" s="428"/>
      <c r="K235" s="441"/>
      <c r="L235" s="442"/>
      <c r="M235" s="443"/>
      <c r="N235" s="438"/>
      <c r="O235" s="438"/>
      <c r="P235" s="438"/>
      <c r="Q235" s="428"/>
      <c r="R235" s="413"/>
      <c r="S235" s="413"/>
      <c r="T235" s="83"/>
      <c r="U235" s="83"/>
      <c r="V235" s="83"/>
      <c r="W235" s="83"/>
      <c r="X235" s="83"/>
      <c r="Y235" s="83"/>
      <c r="Z235" s="83"/>
      <c r="AA235" s="83"/>
      <c r="AB235" s="83"/>
      <c r="AC235" s="83"/>
      <c r="AD235" s="83"/>
    </row>
    <row r="236">
      <c r="A236" s="428"/>
      <c r="B236" s="440"/>
      <c r="C236" s="428"/>
      <c r="D236" s="428"/>
      <c r="E236" s="428"/>
      <c r="F236" s="428"/>
      <c r="G236" s="428"/>
      <c r="H236" s="428"/>
      <c r="I236" s="428"/>
      <c r="J236" s="428"/>
      <c r="K236" s="441"/>
      <c r="L236" s="442"/>
      <c r="M236" s="443"/>
      <c r="N236" s="438"/>
      <c r="O236" s="438"/>
      <c r="P236" s="438"/>
      <c r="Q236" s="428"/>
      <c r="R236" s="413"/>
      <c r="S236" s="413"/>
      <c r="T236" s="83"/>
      <c r="U236" s="83"/>
      <c r="V236" s="83"/>
      <c r="W236" s="83"/>
      <c r="X236" s="83"/>
      <c r="Y236" s="83"/>
      <c r="Z236" s="83"/>
      <c r="AA236" s="83"/>
      <c r="AB236" s="83"/>
      <c r="AC236" s="83"/>
      <c r="AD236" s="83"/>
    </row>
    <row r="237">
      <c r="A237" s="428"/>
      <c r="B237" s="440"/>
      <c r="C237" s="428"/>
      <c r="D237" s="428"/>
      <c r="E237" s="428"/>
      <c r="F237" s="428"/>
      <c r="G237" s="428"/>
      <c r="H237" s="428"/>
      <c r="I237" s="428"/>
      <c r="J237" s="428"/>
      <c r="K237" s="441"/>
      <c r="L237" s="442"/>
      <c r="M237" s="443"/>
      <c r="N237" s="438"/>
      <c r="O237" s="438"/>
      <c r="P237" s="438"/>
      <c r="Q237" s="428"/>
      <c r="R237" s="413"/>
      <c r="S237" s="413"/>
      <c r="T237" s="83"/>
      <c r="U237" s="83"/>
      <c r="V237" s="83"/>
      <c r="W237" s="83"/>
      <c r="X237" s="83"/>
      <c r="Y237" s="83"/>
      <c r="Z237" s="83"/>
      <c r="AA237" s="83"/>
      <c r="AB237" s="83"/>
      <c r="AC237" s="83"/>
      <c r="AD237" s="83"/>
    </row>
    <row r="238">
      <c r="A238" s="428"/>
      <c r="B238" s="440"/>
      <c r="C238" s="428"/>
      <c r="D238" s="428"/>
      <c r="E238" s="428"/>
      <c r="F238" s="428"/>
      <c r="G238" s="428"/>
      <c r="H238" s="428"/>
      <c r="I238" s="428"/>
      <c r="J238" s="428"/>
      <c r="K238" s="441"/>
      <c r="L238" s="442"/>
      <c r="M238" s="443"/>
      <c r="N238" s="438"/>
      <c r="O238" s="438"/>
      <c r="P238" s="438"/>
      <c r="Q238" s="428"/>
      <c r="R238" s="413"/>
      <c r="S238" s="413"/>
      <c r="T238" s="83"/>
      <c r="U238" s="83"/>
      <c r="V238" s="83"/>
      <c r="W238" s="83"/>
      <c r="X238" s="83"/>
      <c r="Y238" s="83"/>
      <c r="Z238" s="83"/>
      <c r="AA238" s="83"/>
      <c r="AB238" s="83"/>
      <c r="AC238" s="83"/>
      <c r="AD238" s="83"/>
    </row>
    <row r="239">
      <c r="A239" s="428"/>
      <c r="B239" s="440"/>
      <c r="C239" s="428"/>
      <c r="D239" s="428"/>
      <c r="E239" s="428"/>
      <c r="F239" s="428"/>
      <c r="G239" s="428"/>
      <c r="H239" s="428"/>
      <c r="I239" s="428"/>
      <c r="J239" s="428"/>
      <c r="K239" s="441"/>
      <c r="L239" s="442"/>
      <c r="M239" s="443"/>
      <c r="N239" s="438"/>
      <c r="O239" s="438"/>
      <c r="P239" s="438"/>
      <c r="Q239" s="428"/>
      <c r="R239" s="413"/>
      <c r="S239" s="413"/>
      <c r="T239" s="83"/>
      <c r="U239" s="83"/>
      <c r="V239" s="83"/>
      <c r="W239" s="83"/>
      <c r="X239" s="83"/>
      <c r="Y239" s="83"/>
      <c r="Z239" s="83"/>
      <c r="AA239" s="83"/>
      <c r="AB239" s="83"/>
      <c r="AC239" s="83"/>
      <c r="AD239" s="83"/>
    </row>
    <row r="240">
      <c r="A240" s="428"/>
      <c r="B240" s="440"/>
      <c r="C240" s="428"/>
      <c r="D240" s="428"/>
      <c r="E240" s="428"/>
      <c r="F240" s="428"/>
      <c r="G240" s="428"/>
      <c r="H240" s="428"/>
      <c r="I240" s="428"/>
      <c r="J240" s="428"/>
      <c r="K240" s="441"/>
      <c r="L240" s="442"/>
      <c r="M240" s="443"/>
      <c r="N240" s="438"/>
      <c r="O240" s="438"/>
      <c r="P240" s="438"/>
      <c r="Q240" s="428"/>
      <c r="R240" s="413"/>
      <c r="S240" s="413"/>
      <c r="T240" s="83"/>
      <c r="U240" s="83"/>
      <c r="V240" s="83"/>
      <c r="W240" s="83"/>
      <c r="X240" s="83"/>
      <c r="Y240" s="83"/>
      <c r="Z240" s="83"/>
      <c r="AA240" s="83"/>
      <c r="AB240" s="83"/>
      <c r="AC240" s="83"/>
      <c r="AD240" s="83"/>
    </row>
    <row r="241">
      <c r="A241" s="428"/>
      <c r="B241" s="440"/>
      <c r="C241" s="428"/>
      <c r="D241" s="428"/>
      <c r="E241" s="428"/>
      <c r="F241" s="428"/>
      <c r="G241" s="428"/>
      <c r="H241" s="428"/>
      <c r="I241" s="428"/>
      <c r="J241" s="428"/>
      <c r="K241" s="441"/>
      <c r="L241" s="442"/>
      <c r="M241" s="443"/>
      <c r="N241" s="438"/>
      <c r="O241" s="438"/>
      <c r="P241" s="438"/>
      <c r="Q241" s="428"/>
      <c r="R241" s="413"/>
      <c r="S241" s="413"/>
      <c r="T241" s="83"/>
      <c r="U241" s="83"/>
      <c r="V241" s="83"/>
      <c r="W241" s="83"/>
      <c r="X241" s="83"/>
      <c r="Y241" s="83"/>
      <c r="Z241" s="83"/>
      <c r="AA241" s="83"/>
      <c r="AB241" s="83"/>
      <c r="AC241" s="83"/>
      <c r="AD241" s="83"/>
    </row>
    <row r="242">
      <c r="A242" s="428"/>
      <c r="B242" s="440"/>
      <c r="C242" s="428"/>
      <c r="D242" s="428"/>
      <c r="E242" s="428"/>
      <c r="F242" s="428"/>
      <c r="G242" s="428"/>
      <c r="H242" s="428"/>
      <c r="I242" s="428"/>
      <c r="J242" s="428"/>
      <c r="K242" s="441"/>
      <c r="L242" s="442"/>
      <c r="M242" s="443"/>
      <c r="N242" s="438"/>
      <c r="O242" s="438"/>
      <c r="P242" s="438"/>
      <c r="Q242" s="428"/>
      <c r="R242" s="413"/>
      <c r="S242" s="413"/>
      <c r="T242" s="83"/>
      <c r="U242" s="83"/>
      <c r="V242" s="83"/>
      <c r="W242" s="83"/>
      <c r="X242" s="83"/>
      <c r="Y242" s="83"/>
      <c r="Z242" s="83"/>
      <c r="AA242" s="83"/>
      <c r="AB242" s="83"/>
      <c r="AC242" s="83"/>
      <c r="AD242" s="83"/>
    </row>
    <row r="243">
      <c r="A243" s="428"/>
      <c r="B243" s="440"/>
      <c r="C243" s="428"/>
      <c r="D243" s="428"/>
      <c r="E243" s="428"/>
      <c r="F243" s="428"/>
      <c r="G243" s="428"/>
      <c r="H243" s="428"/>
      <c r="I243" s="428"/>
      <c r="J243" s="428"/>
      <c r="K243" s="441"/>
      <c r="L243" s="442"/>
      <c r="M243" s="443"/>
      <c r="N243" s="438"/>
      <c r="O243" s="438"/>
      <c r="P243" s="438"/>
      <c r="Q243" s="428"/>
      <c r="R243" s="413"/>
      <c r="S243" s="413"/>
      <c r="T243" s="83"/>
      <c r="U243" s="83"/>
      <c r="V243" s="83"/>
      <c r="W243" s="83"/>
      <c r="X243" s="83"/>
      <c r="Y243" s="83"/>
      <c r="Z243" s="83"/>
      <c r="AA243" s="83"/>
      <c r="AB243" s="83"/>
      <c r="AC243" s="83"/>
      <c r="AD243" s="83"/>
    </row>
    <row r="244">
      <c r="A244" s="428"/>
      <c r="B244" s="440"/>
      <c r="C244" s="428"/>
      <c r="D244" s="428"/>
      <c r="E244" s="428"/>
      <c r="F244" s="428"/>
      <c r="G244" s="428"/>
      <c r="H244" s="428"/>
      <c r="I244" s="428"/>
      <c r="J244" s="428"/>
      <c r="K244" s="441"/>
      <c r="L244" s="442"/>
      <c r="M244" s="443"/>
      <c r="N244" s="438"/>
      <c r="O244" s="438"/>
      <c r="P244" s="438"/>
      <c r="Q244" s="428"/>
      <c r="R244" s="413"/>
      <c r="S244" s="413"/>
      <c r="T244" s="83"/>
      <c r="U244" s="83"/>
      <c r="V244" s="83"/>
      <c r="W244" s="83"/>
      <c r="X244" s="83"/>
      <c r="Y244" s="83"/>
      <c r="Z244" s="83"/>
      <c r="AA244" s="83"/>
      <c r="AB244" s="83"/>
      <c r="AC244" s="83"/>
      <c r="AD244" s="83"/>
    </row>
    <row r="245">
      <c r="A245" s="428"/>
      <c r="B245" s="440"/>
      <c r="C245" s="428"/>
      <c r="D245" s="428"/>
      <c r="E245" s="428"/>
      <c r="F245" s="428"/>
      <c r="G245" s="428"/>
      <c r="H245" s="428"/>
      <c r="I245" s="428"/>
      <c r="J245" s="428"/>
      <c r="K245" s="441"/>
      <c r="L245" s="442"/>
      <c r="M245" s="443"/>
      <c r="N245" s="438"/>
      <c r="O245" s="438"/>
      <c r="P245" s="438"/>
      <c r="Q245" s="428"/>
      <c r="R245" s="413"/>
      <c r="S245" s="413"/>
      <c r="T245" s="83"/>
      <c r="U245" s="83"/>
      <c r="V245" s="83"/>
      <c r="W245" s="83"/>
      <c r="X245" s="83"/>
      <c r="Y245" s="83"/>
      <c r="Z245" s="83"/>
      <c r="AA245" s="83"/>
      <c r="AB245" s="83"/>
      <c r="AC245" s="83"/>
      <c r="AD245" s="83"/>
    </row>
    <row r="246">
      <c r="A246" s="428"/>
      <c r="B246" s="440"/>
      <c r="C246" s="428"/>
      <c r="D246" s="428"/>
      <c r="E246" s="428"/>
      <c r="F246" s="428"/>
      <c r="G246" s="428"/>
      <c r="H246" s="428"/>
      <c r="I246" s="428"/>
      <c r="J246" s="428"/>
      <c r="K246" s="441"/>
      <c r="L246" s="442"/>
      <c r="M246" s="443"/>
      <c r="N246" s="438"/>
      <c r="O246" s="438"/>
      <c r="P246" s="438"/>
      <c r="Q246" s="428"/>
      <c r="R246" s="413"/>
      <c r="S246" s="413"/>
      <c r="T246" s="83"/>
      <c r="U246" s="83"/>
      <c r="V246" s="83"/>
      <c r="W246" s="83"/>
      <c r="X246" s="83"/>
      <c r="Y246" s="83"/>
      <c r="Z246" s="83"/>
      <c r="AA246" s="83"/>
      <c r="AB246" s="83"/>
      <c r="AC246" s="83"/>
      <c r="AD246" s="83"/>
    </row>
    <row r="247">
      <c r="A247" s="428"/>
      <c r="B247" s="440"/>
      <c r="C247" s="428"/>
      <c r="D247" s="428"/>
      <c r="E247" s="428"/>
      <c r="F247" s="428"/>
      <c r="G247" s="428"/>
      <c r="H247" s="428"/>
      <c r="I247" s="428"/>
      <c r="J247" s="428"/>
      <c r="K247" s="441"/>
      <c r="L247" s="442"/>
      <c r="M247" s="443"/>
      <c r="N247" s="438"/>
      <c r="O247" s="438"/>
      <c r="P247" s="438"/>
      <c r="Q247" s="428"/>
      <c r="R247" s="413"/>
      <c r="S247" s="413"/>
      <c r="T247" s="83"/>
      <c r="U247" s="83"/>
      <c r="V247" s="83"/>
      <c r="W247" s="83"/>
      <c r="X247" s="83"/>
      <c r="Y247" s="83"/>
      <c r="Z247" s="83"/>
      <c r="AA247" s="83"/>
      <c r="AB247" s="83"/>
      <c r="AC247" s="83"/>
      <c r="AD247" s="83"/>
    </row>
    <row r="248">
      <c r="A248" s="428"/>
      <c r="B248" s="440"/>
      <c r="C248" s="428"/>
      <c r="D248" s="428"/>
      <c r="E248" s="428"/>
      <c r="F248" s="428"/>
      <c r="G248" s="428"/>
      <c r="H248" s="428"/>
      <c r="I248" s="428"/>
      <c r="J248" s="428"/>
      <c r="K248" s="441"/>
      <c r="L248" s="442"/>
      <c r="M248" s="443"/>
      <c r="N248" s="438"/>
      <c r="O248" s="438"/>
      <c r="P248" s="438"/>
      <c r="Q248" s="428"/>
      <c r="R248" s="413"/>
      <c r="S248" s="413"/>
      <c r="T248" s="83"/>
      <c r="U248" s="83"/>
      <c r="V248" s="83"/>
      <c r="W248" s="83"/>
      <c r="X248" s="83"/>
      <c r="Y248" s="83"/>
      <c r="Z248" s="83"/>
      <c r="AA248" s="83"/>
      <c r="AB248" s="83"/>
      <c r="AC248" s="83"/>
      <c r="AD248" s="83"/>
    </row>
    <row r="249">
      <c r="A249" s="428"/>
      <c r="B249" s="444"/>
      <c r="C249" s="428"/>
      <c r="D249" s="428"/>
      <c r="E249" s="428"/>
      <c r="F249" s="428"/>
      <c r="G249" s="428"/>
      <c r="H249" s="428"/>
      <c r="I249" s="428"/>
      <c r="J249" s="428"/>
      <c r="K249" s="441"/>
      <c r="L249" s="442"/>
      <c r="M249" s="443"/>
      <c r="N249" s="438"/>
      <c r="O249" s="438"/>
      <c r="P249" s="438"/>
      <c r="Q249" s="428"/>
      <c r="R249" s="428"/>
      <c r="S249" s="83"/>
      <c r="T249" s="83"/>
      <c r="U249" s="83"/>
      <c r="V249" s="83"/>
      <c r="W249" s="83"/>
      <c r="X249" s="83"/>
      <c r="Y249" s="83"/>
      <c r="Z249" s="83"/>
      <c r="AA249" s="83"/>
      <c r="AB249" s="83"/>
      <c r="AC249" s="83"/>
      <c r="AD249" s="83"/>
    </row>
    <row r="250">
      <c r="A250" s="428"/>
      <c r="B250" s="444"/>
      <c r="C250" s="428"/>
      <c r="D250" s="428"/>
      <c r="E250" s="428"/>
      <c r="F250" s="428"/>
      <c r="G250" s="428"/>
      <c r="H250" s="428"/>
      <c r="I250" s="428"/>
      <c r="J250" s="428"/>
      <c r="K250" s="441"/>
      <c r="L250" s="442"/>
      <c r="M250" s="443"/>
      <c r="N250" s="438"/>
      <c r="O250" s="438"/>
      <c r="P250" s="438"/>
      <c r="Q250" s="428"/>
      <c r="R250" s="428"/>
      <c r="S250" s="83"/>
      <c r="T250" s="83"/>
      <c r="U250" s="83"/>
      <c r="V250" s="83"/>
      <c r="W250" s="83"/>
      <c r="X250" s="83"/>
      <c r="Y250" s="83"/>
      <c r="Z250" s="83"/>
      <c r="AA250" s="83"/>
      <c r="AB250" s="83"/>
      <c r="AC250" s="83"/>
      <c r="AD250" s="83"/>
    </row>
    <row r="251">
      <c r="A251" s="428"/>
      <c r="B251" s="444"/>
      <c r="C251" s="428"/>
      <c r="D251" s="428"/>
      <c r="E251" s="428"/>
      <c r="F251" s="428"/>
      <c r="G251" s="428"/>
      <c r="H251" s="428"/>
      <c r="I251" s="428"/>
      <c r="J251" s="428"/>
      <c r="K251" s="441"/>
      <c r="L251" s="442"/>
      <c r="M251" s="443"/>
      <c r="N251" s="438"/>
      <c r="O251" s="438"/>
      <c r="P251" s="438"/>
      <c r="Q251" s="428"/>
      <c r="R251" s="428"/>
      <c r="S251" s="83"/>
      <c r="T251" s="83"/>
      <c r="U251" s="83"/>
      <c r="V251" s="83"/>
      <c r="W251" s="83"/>
      <c r="X251" s="83"/>
      <c r="Y251" s="83"/>
      <c r="Z251" s="83"/>
      <c r="AA251" s="83"/>
      <c r="AB251" s="83"/>
      <c r="AC251" s="83"/>
      <c r="AD251" s="83"/>
    </row>
    <row r="252">
      <c r="A252" s="428"/>
      <c r="B252" s="444"/>
      <c r="C252" s="428"/>
      <c r="D252" s="428"/>
      <c r="E252" s="428"/>
      <c r="F252" s="428"/>
      <c r="G252" s="428"/>
      <c r="H252" s="428"/>
      <c r="I252" s="428"/>
      <c r="J252" s="428"/>
      <c r="K252" s="441"/>
      <c r="L252" s="442"/>
      <c r="M252" s="443"/>
      <c r="N252" s="438"/>
      <c r="O252" s="438"/>
      <c r="P252" s="438"/>
      <c r="Q252" s="428"/>
      <c r="R252" s="428"/>
      <c r="S252" s="83"/>
      <c r="T252" s="83"/>
      <c r="U252" s="83"/>
      <c r="V252" s="83"/>
      <c r="W252" s="83"/>
      <c r="X252" s="83"/>
      <c r="Y252" s="83"/>
      <c r="Z252" s="83"/>
      <c r="AA252" s="83"/>
      <c r="AB252" s="83"/>
      <c r="AC252" s="83"/>
      <c r="AD252" s="83"/>
    </row>
    <row r="253">
      <c r="A253" s="428"/>
      <c r="B253" s="444"/>
      <c r="C253" s="428"/>
      <c r="D253" s="428"/>
      <c r="E253" s="428"/>
      <c r="F253" s="428"/>
      <c r="G253" s="428"/>
      <c r="H253" s="428"/>
      <c r="I253" s="428"/>
      <c r="J253" s="428"/>
      <c r="K253" s="441"/>
      <c r="L253" s="442"/>
      <c r="M253" s="443"/>
      <c r="N253" s="438"/>
      <c r="O253" s="438"/>
      <c r="P253" s="438"/>
      <c r="Q253" s="428"/>
      <c r="R253" s="428"/>
      <c r="S253" s="83"/>
      <c r="T253" s="83"/>
      <c r="U253" s="83"/>
      <c r="V253" s="83"/>
      <c r="W253" s="83"/>
      <c r="X253" s="83"/>
      <c r="Y253" s="83"/>
      <c r="Z253" s="83"/>
      <c r="AA253" s="83"/>
      <c r="AB253" s="83"/>
      <c r="AC253" s="83"/>
      <c r="AD253" s="83"/>
    </row>
    <row r="254">
      <c r="A254" s="428"/>
      <c r="B254" s="444"/>
      <c r="C254" s="428"/>
      <c r="D254" s="428"/>
      <c r="E254" s="428"/>
      <c r="F254" s="428"/>
      <c r="G254" s="428"/>
      <c r="H254" s="428"/>
      <c r="I254" s="428"/>
      <c r="J254" s="428"/>
      <c r="K254" s="441"/>
      <c r="L254" s="442"/>
      <c r="M254" s="443"/>
      <c r="N254" s="438"/>
      <c r="O254" s="438"/>
      <c r="P254" s="438"/>
      <c r="Q254" s="428"/>
      <c r="R254" s="428"/>
      <c r="S254" s="83"/>
      <c r="T254" s="83"/>
      <c r="U254" s="83"/>
      <c r="V254" s="83"/>
      <c r="W254" s="83"/>
      <c r="X254" s="83"/>
      <c r="Y254" s="83"/>
      <c r="Z254" s="83"/>
      <c r="AA254" s="83"/>
      <c r="AB254" s="83"/>
      <c r="AC254" s="83"/>
      <c r="AD254" s="83"/>
    </row>
    <row r="255">
      <c r="A255" s="428"/>
      <c r="B255" s="444"/>
      <c r="C255" s="428"/>
      <c r="D255" s="428"/>
      <c r="E255" s="428"/>
      <c r="F255" s="428"/>
      <c r="G255" s="428"/>
      <c r="H255" s="428"/>
      <c r="I255" s="428"/>
      <c r="J255" s="428"/>
      <c r="K255" s="441"/>
      <c r="L255" s="442"/>
      <c r="M255" s="443"/>
      <c r="N255" s="438"/>
      <c r="O255" s="438"/>
      <c r="P255" s="438"/>
      <c r="Q255" s="428"/>
      <c r="R255" s="428"/>
      <c r="S255" s="83"/>
      <c r="T255" s="83"/>
      <c r="U255" s="83"/>
      <c r="V255" s="83"/>
      <c r="W255" s="83"/>
      <c r="X255" s="83"/>
      <c r="Y255" s="83"/>
      <c r="Z255" s="83"/>
      <c r="AA255" s="83"/>
      <c r="AB255" s="83"/>
      <c r="AC255" s="83"/>
      <c r="AD255" s="83"/>
    </row>
    <row r="256">
      <c r="A256" s="428"/>
      <c r="B256" s="444"/>
      <c r="C256" s="428"/>
      <c r="D256" s="428"/>
      <c r="E256" s="428"/>
      <c r="F256" s="428"/>
      <c r="G256" s="428"/>
      <c r="H256" s="428"/>
      <c r="I256" s="428"/>
      <c r="J256" s="428"/>
      <c r="K256" s="441"/>
      <c r="L256" s="442"/>
      <c r="M256" s="443"/>
      <c r="N256" s="438"/>
      <c r="O256" s="438"/>
      <c r="P256" s="438"/>
      <c r="Q256" s="428"/>
      <c r="R256" s="428"/>
      <c r="S256" s="83"/>
      <c r="T256" s="83"/>
      <c r="U256" s="83"/>
      <c r="V256" s="83"/>
      <c r="W256" s="83"/>
      <c r="X256" s="83"/>
      <c r="Y256" s="83"/>
      <c r="Z256" s="83"/>
      <c r="AA256" s="83"/>
      <c r="AB256" s="83"/>
      <c r="AC256" s="83"/>
      <c r="AD256" s="83"/>
    </row>
    <row r="257">
      <c r="A257" s="428"/>
      <c r="B257" s="444"/>
      <c r="C257" s="428"/>
      <c r="D257" s="428"/>
      <c r="E257" s="428"/>
      <c r="F257" s="428"/>
      <c r="G257" s="428"/>
      <c r="H257" s="428"/>
      <c r="I257" s="428"/>
      <c r="J257" s="445"/>
      <c r="K257" s="441"/>
      <c r="L257" s="442"/>
      <c r="M257" s="443"/>
      <c r="N257" s="438"/>
      <c r="O257" s="438"/>
      <c r="P257" s="438"/>
      <c r="Q257" s="428"/>
      <c r="R257" s="428"/>
      <c r="S257" s="83"/>
      <c r="T257" s="83"/>
      <c r="U257" s="83"/>
      <c r="V257" s="83"/>
      <c r="W257" s="83"/>
      <c r="X257" s="83"/>
      <c r="Y257" s="83"/>
      <c r="Z257" s="83"/>
      <c r="AA257" s="83"/>
      <c r="AB257" s="83"/>
      <c r="AC257" s="83"/>
      <c r="AD257" s="83"/>
    </row>
    <row r="258">
      <c r="A258" s="428"/>
      <c r="B258" s="444"/>
      <c r="C258" s="428"/>
      <c r="D258" s="428"/>
      <c r="E258" s="428"/>
      <c r="F258" s="428"/>
      <c r="G258" s="428"/>
      <c r="H258" s="428"/>
      <c r="I258" s="428"/>
      <c r="J258" s="428"/>
      <c r="K258" s="441"/>
      <c r="L258" s="442"/>
      <c r="M258" s="443"/>
      <c r="N258" s="438"/>
      <c r="O258" s="438"/>
      <c r="P258" s="438"/>
      <c r="Q258" s="428"/>
      <c r="R258" s="428"/>
      <c r="S258" s="83"/>
      <c r="T258" s="83"/>
      <c r="U258" s="83"/>
      <c r="V258" s="83"/>
      <c r="W258" s="83"/>
      <c r="X258" s="83"/>
      <c r="Y258" s="83"/>
      <c r="Z258" s="83"/>
      <c r="AA258" s="83"/>
      <c r="AB258" s="83"/>
      <c r="AC258" s="83"/>
      <c r="AD258" s="83"/>
    </row>
    <row r="259">
      <c r="A259" s="428"/>
      <c r="B259" s="444"/>
      <c r="C259" s="428"/>
      <c r="D259" s="428"/>
      <c r="E259" s="428"/>
      <c r="F259" s="428"/>
      <c r="G259" s="428"/>
      <c r="H259" s="428"/>
      <c r="I259" s="428"/>
      <c r="J259" s="428"/>
      <c r="K259" s="441"/>
      <c r="L259" s="442"/>
      <c r="M259" s="443"/>
      <c r="N259" s="438"/>
      <c r="O259" s="438"/>
      <c r="P259" s="438"/>
      <c r="Q259" s="428"/>
      <c r="R259" s="428"/>
      <c r="S259" s="83"/>
      <c r="T259" s="83"/>
      <c r="U259" s="83"/>
      <c r="V259" s="83"/>
      <c r="W259" s="83"/>
      <c r="X259" s="83"/>
      <c r="Y259" s="83"/>
      <c r="Z259" s="83"/>
      <c r="AA259" s="83"/>
      <c r="AB259" s="83"/>
      <c r="AC259" s="83"/>
      <c r="AD259" s="83"/>
    </row>
    <row r="260">
      <c r="A260" s="428"/>
      <c r="B260" s="444"/>
      <c r="C260" s="428"/>
      <c r="D260" s="428"/>
      <c r="E260" s="428"/>
      <c r="F260" s="428"/>
      <c r="G260" s="428"/>
      <c r="H260" s="428"/>
      <c r="I260" s="428"/>
      <c r="J260" s="428"/>
      <c r="K260" s="441"/>
      <c r="L260" s="442"/>
      <c r="M260" s="443"/>
      <c r="N260" s="438"/>
      <c r="O260" s="438"/>
      <c r="P260" s="438"/>
      <c r="Q260" s="428"/>
      <c r="R260" s="428"/>
      <c r="S260" s="83"/>
      <c r="T260" s="83"/>
      <c r="U260" s="83"/>
      <c r="V260" s="83"/>
      <c r="W260" s="83"/>
      <c r="X260" s="83"/>
      <c r="Y260" s="83"/>
      <c r="Z260" s="83"/>
      <c r="AA260" s="83"/>
      <c r="AB260" s="83"/>
      <c r="AC260" s="83"/>
      <c r="AD260" s="83"/>
    </row>
    <row r="261">
      <c r="A261" s="428"/>
      <c r="B261" s="444"/>
      <c r="C261" s="428"/>
      <c r="D261" s="428"/>
      <c r="E261" s="428"/>
      <c r="F261" s="428"/>
      <c r="G261" s="428"/>
      <c r="H261" s="428"/>
      <c r="I261" s="428"/>
      <c r="J261" s="428"/>
      <c r="K261" s="441"/>
      <c r="L261" s="442"/>
      <c r="M261" s="443"/>
      <c r="N261" s="438"/>
      <c r="O261" s="438"/>
      <c r="P261" s="438"/>
      <c r="Q261" s="428"/>
      <c r="R261" s="428"/>
      <c r="S261" s="83"/>
      <c r="T261" s="83"/>
      <c r="U261" s="83"/>
      <c r="V261" s="83"/>
      <c r="W261" s="83"/>
      <c r="X261" s="83"/>
      <c r="Y261" s="83"/>
      <c r="Z261" s="83"/>
      <c r="AA261" s="83"/>
      <c r="AB261" s="83"/>
      <c r="AC261" s="83"/>
      <c r="AD261" s="83"/>
    </row>
    <row r="262">
      <c r="A262" s="428"/>
      <c r="B262" s="444"/>
      <c r="C262" s="428"/>
      <c r="D262" s="428"/>
      <c r="E262" s="428"/>
      <c r="F262" s="428"/>
      <c r="G262" s="428"/>
      <c r="H262" s="428"/>
      <c r="I262" s="428"/>
      <c r="J262" s="428"/>
      <c r="K262" s="441"/>
      <c r="L262" s="442"/>
      <c r="M262" s="443"/>
      <c r="N262" s="438"/>
      <c r="O262" s="438"/>
      <c r="P262" s="438"/>
      <c r="Q262" s="428"/>
      <c r="R262" s="428"/>
      <c r="S262" s="83"/>
      <c r="T262" s="83"/>
      <c r="U262" s="83"/>
      <c r="V262" s="83"/>
      <c r="W262" s="83"/>
      <c r="X262" s="83"/>
      <c r="Y262" s="83"/>
      <c r="Z262" s="83"/>
      <c r="AA262" s="83"/>
      <c r="AB262" s="83"/>
      <c r="AC262" s="83"/>
      <c r="AD262" s="83"/>
    </row>
    <row r="263">
      <c r="A263" s="428"/>
      <c r="B263" s="444"/>
      <c r="C263" s="428"/>
      <c r="D263" s="428"/>
      <c r="E263" s="428"/>
      <c r="F263" s="428"/>
      <c r="G263" s="428"/>
      <c r="H263" s="428"/>
      <c r="I263" s="428"/>
      <c r="J263" s="428"/>
      <c r="K263" s="441"/>
      <c r="L263" s="442"/>
      <c r="M263" s="443"/>
      <c r="N263" s="438"/>
      <c r="O263" s="438"/>
      <c r="P263" s="438"/>
      <c r="Q263" s="428"/>
      <c r="R263" s="428"/>
      <c r="S263" s="83"/>
      <c r="T263" s="83"/>
      <c r="U263" s="83"/>
      <c r="V263" s="83"/>
      <c r="W263" s="83"/>
      <c r="X263" s="83"/>
      <c r="Y263" s="83"/>
      <c r="Z263" s="83"/>
      <c r="AA263" s="83"/>
      <c r="AB263" s="83"/>
      <c r="AC263" s="83"/>
      <c r="AD263" s="83"/>
    </row>
    <row r="264">
      <c r="A264" s="428"/>
      <c r="B264" s="444"/>
      <c r="C264" s="428"/>
      <c r="D264" s="428"/>
      <c r="E264" s="428"/>
      <c r="F264" s="428"/>
      <c r="G264" s="428"/>
      <c r="H264" s="428"/>
      <c r="I264" s="428"/>
      <c r="J264" s="428"/>
      <c r="K264" s="441"/>
      <c r="L264" s="442"/>
      <c r="M264" s="443"/>
      <c r="N264" s="438"/>
      <c r="O264" s="438"/>
      <c r="P264" s="438"/>
      <c r="Q264" s="428"/>
      <c r="R264" s="428"/>
      <c r="S264" s="83"/>
      <c r="T264" s="83"/>
      <c r="U264" s="83"/>
      <c r="V264" s="83"/>
      <c r="W264" s="83"/>
      <c r="X264" s="83"/>
      <c r="Y264" s="83"/>
      <c r="Z264" s="83"/>
      <c r="AA264" s="83"/>
      <c r="AB264" s="83"/>
      <c r="AC264" s="83"/>
      <c r="AD264" s="83"/>
    </row>
    <row r="265">
      <c r="A265" s="428"/>
      <c r="B265" s="444"/>
      <c r="C265" s="428"/>
      <c r="D265" s="428"/>
      <c r="E265" s="428"/>
      <c r="F265" s="428"/>
      <c r="G265" s="428"/>
      <c r="H265" s="428"/>
      <c r="I265" s="428"/>
      <c r="J265" s="428"/>
      <c r="K265" s="441"/>
      <c r="L265" s="442"/>
      <c r="M265" s="443"/>
      <c r="N265" s="438"/>
      <c r="O265" s="438"/>
      <c r="P265" s="438"/>
      <c r="Q265" s="428"/>
      <c r="R265" s="428"/>
      <c r="S265" s="83"/>
      <c r="T265" s="83"/>
      <c r="U265" s="83"/>
      <c r="V265" s="83"/>
      <c r="W265" s="83"/>
      <c r="X265" s="83"/>
      <c r="Y265" s="83"/>
      <c r="Z265" s="83"/>
      <c r="AA265" s="83"/>
      <c r="AB265" s="83"/>
      <c r="AC265" s="83"/>
      <c r="AD265" s="83"/>
    </row>
    <row r="266">
      <c r="A266" s="428"/>
      <c r="B266" s="444"/>
      <c r="C266" s="428"/>
      <c r="D266" s="428"/>
      <c r="E266" s="428"/>
      <c r="F266" s="428"/>
      <c r="G266" s="428"/>
      <c r="H266" s="428"/>
      <c r="I266" s="428"/>
      <c r="J266" s="428"/>
      <c r="K266" s="441"/>
      <c r="L266" s="442"/>
      <c r="M266" s="443"/>
      <c r="N266" s="438"/>
      <c r="O266" s="438"/>
      <c r="P266" s="438"/>
      <c r="Q266" s="428"/>
      <c r="R266" s="428"/>
      <c r="S266" s="83"/>
      <c r="T266" s="83"/>
      <c r="U266" s="83"/>
      <c r="V266" s="83"/>
      <c r="W266" s="83"/>
      <c r="X266" s="83"/>
      <c r="Y266" s="83"/>
      <c r="Z266" s="83"/>
      <c r="AA266" s="83"/>
      <c r="AB266" s="83"/>
      <c r="AC266" s="83"/>
      <c r="AD266" s="83"/>
    </row>
    <row r="267">
      <c r="A267" s="428"/>
      <c r="B267" s="444"/>
      <c r="C267" s="428"/>
      <c r="D267" s="428"/>
      <c r="E267" s="428"/>
      <c r="F267" s="428"/>
      <c r="G267" s="428"/>
      <c r="H267" s="428"/>
      <c r="I267" s="428"/>
      <c r="J267" s="428"/>
      <c r="K267" s="441"/>
      <c r="L267" s="442"/>
      <c r="M267" s="443"/>
      <c r="N267" s="438"/>
      <c r="O267" s="438"/>
      <c r="P267" s="438"/>
      <c r="Q267" s="428"/>
      <c r="R267" s="428"/>
      <c r="S267" s="83"/>
      <c r="T267" s="83"/>
      <c r="U267" s="83"/>
      <c r="V267" s="83"/>
      <c r="W267" s="83"/>
      <c r="X267" s="83"/>
      <c r="Y267" s="83"/>
      <c r="Z267" s="83"/>
      <c r="AA267" s="83"/>
      <c r="AB267" s="83"/>
      <c r="AC267" s="83"/>
      <c r="AD267" s="83"/>
    </row>
    <row r="268">
      <c r="A268" s="428"/>
      <c r="B268" s="444"/>
      <c r="C268" s="428"/>
      <c r="D268" s="428"/>
      <c r="E268" s="428"/>
      <c r="F268" s="428"/>
      <c r="G268" s="428"/>
      <c r="H268" s="428"/>
      <c r="I268" s="428"/>
      <c r="J268" s="428"/>
      <c r="K268" s="441"/>
      <c r="L268" s="442"/>
      <c r="M268" s="443"/>
      <c r="N268" s="438"/>
      <c r="O268" s="438"/>
      <c r="P268" s="438"/>
      <c r="Q268" s="428"/>
      <c r="R268" s="428"/>
      <c r="S268" s="83"/>
      <c r="T268" s="83"/>
      <c r="U268" s="83"/>
      <c r="V268" s="83"/>
      <c r="W268" s="83"/>
      <c r="X268" s="83"/>
      <c r="Y268" s="83"/>
      <c r="Z268" s="83"/>
      <c r="AA268" s="83"/>
      <c r="AB268" s="83"/>
      <c r="AC268" s="83"/>
      <c r="AD268" s="83"/>
    </row>
    <row r="269">
      <c r="A269" s="428"/>
      <c r="B269" s="444"/>
      <c r="C269" s="428"/>
      <c r="D269" s="428"/>
      <c r="E269" s="428"/>
      <c r="F269" s="428"/>
      <c r="G269" s="428"/>
      <c r="H269" s="428"/>
      <c r="I269" s="428"/>
      <c r="J269" s="428"/>
      <c r="K269" s="441"/>
      <c r="L269" s="442"/>
      <c r="M269" s="443"/>
      <c r="N269" s="438"/>
      <c r="O269" s="438"/>
      <c r="P269" s="438"/>
      <c r="Q269" s="428"/>
      <c r="R269" s="428"/>
      <c r="S269" s="83"/>
      <c r="T269" s="83"/>
      <c r="U269" s="83"/>
      <c r="V269" s="83"/>
      <c r="W269" s="83"/>
      <c r="X269" s="83"/>
      <c r="Y269" s="83"/>
      <c r="Z269" s="83"/>
      <c r="AA269" s="83"/>
      <c r="AB269" s="83"/>
      <c r="AC269" s="83"/>
      <c r="AD269" s="83"/>
    </row>
    <row r="270">
      <c r="A270" s="428"/>
      <c r="B270" s="444"/>
      <c r="C270" s="428"/>
      <c r="D270" s="428"/>
      <c r="E270" s="428"/>
      <c r="F270" s="428"/>
      <c r="G270" s="428"/>
      <c r="H270" s="428"/>
      <c r="I270" s="428"/>
      <c r="J270" s="428"/>
      <c r="K270" s="441"/>
      <c r="L270" s="442"/>
      <c r="M270" s="443"/>
      <c r="N270" s="438"/>
      <c r="O270" s="438"/>
      <c r="P270" s="438"/>
      <c r="Q270" s="428"/>
      <c r="R270" s="428"/>
      <c r="S270" s="83"/>
      <c r="T270" s="83"/>
      <c r="U270" s="83"/>
      <c r="V270" s="83"/>
      <c r="W270" s="83"/>
      <c r="X270" s="83"/>
      <c r="Y270" s="83"/>
      <c r="Z270" s="83"/>
      <c r="AA270" s="83"/>
      <c r="AB270" s="83"/>
      <c r="AC270" s="83"/>
      <c r="AD270" s="83"/>
    </row>
    <row r="271">
      <c r="A271" s="428"/>
      <c r="B271" s="444"/>
      <c r="C271" s="428"/>
      <c r="D271" s="428"/>
      <c r="E271" s="428"/>
      <c r="F271" s="428"/>
      <c r="G271" s="428"/>
      <c r="H271" s="428"/>
      <c r="I271" s="428"/>
      <c r="J271" s="428"/>
      <c r="K271" s="441"/>
      <c r="L271" s="442"/>
      <c r="M271" s="443"/>
      <c r="N271" s="438"/>
      <c r="O271" s="438"/>
      <c r="P271" s="438"/>
      <c r="Q271" s="428"/>
      <c r="R271" s="428"/>
      <c r="S271" s="83"/>
      <c r="T271" s="83"/>
      <c r="U271" s="83"/>
      <c r="V271" s="83"/>
      <c r="W271" s="83"/>
      <c r="X271" s="83"/>
      <c r="Y271" s="83"/>
      <c r="Z271" s="83"/>
      <c r="AA271" s="83"/>
      <c r="AB271" s="83"/>
      <c r="AC271" s="83"/>
      <c r="AD271" s="83"/>
    </row>
    <row r="272">
      <c r="A272" s="428"/>
      <c r="B272" s="444"/>
      <c r="C272" s="428"/>
      <c r="D272" s="428"/>
      <c r="E272" s="428"/>
      <c r="F272" s="428"/>
      <c r="G272" s="428"/>
      <c r="H272" s="428"/>
      <c r="I272" s="428"/>
      <c r="J272" s="428"/>
      <c r="K272" s="441"/>
      <c r="L272" s="442"/>
      <c r="M272" s="443"/>
      <c r="N272" s="438"/>
      <c r="O272" s="438"/>
      <c r="P272" s="438"/>
      <c r="Q272" s="428"/>
      <c r="R272" s="428"/>
      <c r="S272" s="83"/>
      <c r="T272" s="83"/>
      <c r="U272" s="83"/>
      <c r="V272" s="83"/>
      <c r="W272" s="83"/>
      <c r="X272" s="83"/>
      <c r="Y272" s="83"/>
      <c r="Z272" s="83"/>
      <c r="AA272" s="83"/>
      <c r="AB272" s="83"/>
      <c r="AC272" s="83"/>
      <c r="AD272" s="83"/>
    </row>
    <row r="273">
      <c r="A273" s="428"/>
      <c r="B273" s="440"/>
      <c r="C273" s="428"/>
      <c r="D273" s="428"/>
      <c r="E273" s="428"/>
      <c r="F273" s="428"/>
      <c r="G273" s="428"/>
      <c r="H273" s="428"/>
      <c r="I273" s="428"/>
      <c r="J273" s="428"/>
      <c r="K273" s="441"/>
      <c r="L273" s="442"/>
      <c r="M273" s="443"/>
      <c r="N273" s="438"/>
      <c r="O273" s="438"/>
      <c r="P273" s="438"/>
      <c r="Q273" s="428"/>
      <c r="R273" s="446"/>
      <c r="S273" s="83"/>
      <c r="T273" s="83"/>
      <c r="U273" s="83"/>
      <c r="V273" s="83"/>
      <c r="W273" s="83"/>
      <c r="X273" s="83"/>
      <c r="Y273" s="83"/>
      <c r="Z273" s="83"/>
      <c r="AA273" s="83"/>
      <c r="AB273" s="83"/>
      <c r="AC273" s="83"/>
      <c r="AD273" s="83"/>
    </row>
    <row r="274">
      <c r="A274" s="428"/>
      <c r="B274" s="440"/>
      <c r="C274" s="428"/>
      <c r="D274" s="428"/>
      <c r="E274" s="428"/>
      <c r="F274" s="428"/>
      <c r="G274" s="428"/>
      <c r="H274" s="428"/>
      <c r="I274" s="428"/>
      <c r="J274" s="428"/>
      <c r="K274" s="441"/>
      <c r="L274" s="442"/>
      <c r="M274" s="443"/>
      <c r="N274" s="438"/>
      <c r="O274" s="438"/>
      <c r="P274" s="438"/>
      <c r="Q274" s="428"/>
      <c r="R274" s="446"/>
      <c r="S274" s="83"/>
      <c r="T274" s="83"/>
      <c r="U274" s="83"/>
      <c r="V274" s="83"/>
      <c r="W274" s="83"/>
      <c r="X274" s="83"/>
      <c r="Y274" s="83"/>
      <c r="Z274" s="83"/>
      <c r="AA274" s="83"/>
      <c r="AB274" s="83"/>
      <c r="AC274" s="83"/>
      <c r="AD274" s="83"/>
    </row>
    <row r="275">
      <c r="A275" s="428"/>
      <c r="B275" s="440"/>
      <c r="C275" s="428"/>
      <c r="D275" s="428"/>
      <c r="E275" s="428"/>
      <c r="F275" s="428"/>
      <c r="G275" s="428"/>
      <c r="H275" s="428"/>
      <c r="I275" s="428"/>
      <c r="J275" s="428"/>
      <c r="K275" s="441"/>
      <c r="L275" s="442"/>
      <c r="M275" s="443"/>
      <c r="N275" s="438"/>
      <c r="O275" s="438"/>
      <c r="P275" s="438"/>
      <c r="Q275" s="428"/>
      <c r="R275" s="446"/>
      <c r="S275" s="83"/>
      <c r="T275" s="83"/>
      <c r="U275" s="83"/>
      <c r="V275" s="83"/>
      <c r="W275" s="83"/>
      <c r="X275" s="83"/>
      <c r="Y275" s="83"/>
      <c r="Z275" s="83"/>
      <c r="AA275" s="83"/>
      <c r="AB275" s="83"/>
      <c r="AC275" s="83"/>
      <c r="AD275" s="83"/>
    </row>
    <row r="276">
      <c r="A276" s="428"/>
      <c r="B276" s="440"/>
      <c r="C276" s="428"/>
      <c r="D276" s="428"/>
      <c r="E276" s="428"/>
      <c r="F276" s="428"/>
      <c r="G276" s="428"/>
      <c r="H276" s="428"/>
      <c r="I276" s="428"/>
      <c r="J276" s="428"/>
      <c r="K276" s="441"/>
      <c r="L276" s="442"/>
      <c r="M276" s="443"/>
      <c r="N276" s="438"/>
      <c r="O276" s="438"/>
      <c r="P276" s="438"/>
      <c r="Q276" s="428"/>
      <c r="R276" s="446"/>
      <c r="S276" s="83"/>
      <c r="T276" s="83"/>
      <c r="U276" s="83"/>
      <c r="V276" s="83"/>
      <c r="W276" s="83"/>
      <c r="X276" s="83"/>
      <c r="Y276" s="83"/>
      <c r="Z276" s="83"/>
      <c r="AA276" s="83"/>
      <c r="AB276" s="83"/>
      <c r="AC276" s="83"/>
      <c r="AD276" s="83"/>
    </row>
    <row r="277">
      <c r="A277" s="428"/>
      <c r="B277" s="440"/>
      <c r="C277" s="428"/>
      <c r="D277" s="428"/>
      <c r="E277" s="428"/>
      <c r="F277" s="428"/>
      <c r="G277" s="428"/>
      <c r="H277" s="428"/>
      <c r="I277" s="428"/>
      <c r="J277" s="428"/>
      <c r="K277" s="441"/>
      <c r="L277" s="442"/>
      <c r="M277" s="443"/>
      <c r="N277" s="438"/>
      <c r="O277" s="438"/>
      <c r="P277" s="438"/>
      <c r="Q277" s="428"/>
      <c r="R277" s="446"/>
      <c r="S277" s="83"/>
      <c r="T277" s="83"/>
      <c r="U277" s="83"/>
      <c r="V277" s="83"/>
      <c r="W277" s="83"/>
      <c r="X277" s="83"/>
      <c r="Y277" s="83"/>
      <c r="Z277" s="83"/>
      <c r="AA277" s="83"/>
      <c r="AB277" s="83"/>
      <c r="AC277" s="83"/>
      <c r="AD277" s="83"/>
    </row>
    <row r="278">
      <c r="A278" s="428"/>
      <c r="B278" s="440"/>
      <c r="C278" s="428"/>
      <c r="D278" s="428"/>
      <c r="E278" s="428"/>
      <c r="F278" s="428"/>
      <c r="G278" s="428"/>
      <c r="H278" s="428"/>
      <c r="I278" s="428"/>
      <c r="J278" s="428"/>
      <c r="K278" s="441"/>
      <c r="L278" s="442"/>
      <c r="M278" s="443"/>
      <c r="N278" s="438"/>
      <c r="O278" s="438"/>
      <c r="P278" s="438"/>
      <c r="Q278" s="428"/>
      <c r="R278" s="446"/>
      <c r="S278" s="83"/>
      <c r="T278" s="83"/>
      <c r="U278" s="83"/>
      <c r="V278" s="83"/>
      <c r="W278" s="83"/>
      <c r="X278" s="83"/>
      <c r="Y278" s="83"/>
      <c r="Z278" s="83"/>
      <c r="AA278" s="83"/>
      <c r="AB278" s="83"/>
      <c r="AC278" s="83"/>
      <c r="AD278" s="83"/>
    </row>
    <row r="279">
      <c r="A279" s="428"/>
      <c r="B279" s="440"/>
      <c r="C279" s="428"/>
      <c r="D279" s="428"/>
      <c r="E279" s="428"/>
      <c r="F279" s="428"/>
      <c r="G279" s="428"/>
      <c r="H279" s="428"/>
      <c r="I279" s="428"/>
      <c r="J279" s="428"/>
      <c r="K279" s="441"/>
      <c r="L279" s="442"/>
      <c r="M279" s="443"/>
      <c r="N279" s="438"/>
      <c r="O279" s="438"/>
      <c r="P279" s="438"/>
      <c r="Q279" s="428"/>
      <c r="R279" s="446"/>
      <c r="S279" s="83"/>
      <c r="T279" s="83"/>
      <c r="U279" s="83"/>
      <c r="V279" s="83"/>
      <c r="W279" s="83"/>
      <c r="X279" s="83"/>
      <c r="Y279" s="83"/>
      <c r="Z279" s="83"/>
      <c r="AA279" s="83"/>
      <c r="AB279" s="83"/>
      <c r="AC279" s="83"/>
      <c r="AD279" s="83"/>
    </row>
    <row r="280">
      <c r="A280" s="428"/>
      <c r="B280" s="440"/>
      <c r="C280" s="428"/>
      <c r="D280" s="428"/>
      <c r="E280" s="428"/>
      <c r="F280" s="428"/>
      <c r="G280" s="428"/>
      <c r="H280" s="428"/>
      <c r="I280" s="428"/>
      <c r="J280" s="428"/>
      <c r="K280" s="441"/>
      <c r="L280" s="442"/>
      <c r="M280" s="443"/>
      <c r="N280" s="438"/>
      <c r="O280" s="438"/>
      <c r="P280" s="438"/>
      <c r="Q280" s="428"/>
      <c r="R280" s="446"/>
      <c r="S280" s="83"/>
      <c r="T280" s="83"/>
      <c r="U280" s="83"/>
      <c r="V280" s="83"/>
      <c r="W280" s="83"/>
      <c r="X280" s="83"/>
      <c r="Y280" s="83"/>
      <c r="Z280" s="83"/>
      <c r="AA280" s="83"/>
      <c r="AB280" s="83"/>
      <c r="AC280" s="83"/>
      <c r="AD280" s="83"/>
    </row>
    <row r="281">
      <c r="A281" s="428"/>
      <c r="B281" s="440"/>
      <c r="C281" s="428"/>
      <c r="D281" s="428"/>
      <c r="E281" s="428"/>
      <c r="F281" s="428"/>
      <c r="G281" s="428"/>
      <c r="H281" s="428"/>
      <c r="I281" s="428"/>
      <c r="J281" s="428"/>
      <c r="K281" s="441"/>
      <c r="L281" s="442"/>
      <c r="M281" s="443"/>
      <c r="N281" s="438"/>
      <c r="O281" s="438"/>
      <c r="P281" s="438"/>
      <c r="Q281" s="428"/>
      <c r="R281" s="446"/>
      <c r="S281" s="83"/>
      <c r="T281" s="83"/>
      <c r="U281" s="83"/>
      <c r="V281" s="83"/>
      <c r="W281" s="83"/>
      <c r="X281" s="83"/>
      <c r="Y281" s="83"/>
      <c r="Z281" s="83"/>
      <c r="AA281" s="83"/>
      <c r="AB281" s="83"/>
      <c r="AC281" s="83"/>
      <c r="AD281" s="83"/>
    </row>
    <row r="282">
      <c r="A282" s="428"/>
      <c r="B282" s="440"/>
      <c r="C282" s="428"/>
      <c r="D282" s="428"/>
      <c r="E282" s="428"/>
      <c r="F282" s="428"/>
      <c r="G282" s="428"/>
      <c r="H282" s="428"/>
      <c r="I282" s="428"/>
      <c r="J282" s="428"/>
      <c r="K282" s="441"/>
      <c r="L282" s="442"/>
      <c r="M282" s="443"/>
      <c r="N282" s="438"/>
      <c r="O282" s="438"/>
      <c r="P282" s="438"/>
      <c r="Q282" s="428"/>
      <c r="R282" s="446"/>
      <c r="S282" s="83"/>
      <c r="T282" s="83"/>
      <c r="U282" s="83"/>
      <c r="V282" s="83"/>
      <c r="W282" s="83"/>
      <c r="X282" s="83"/>
      <c r="Y282" s="83"/>
      <c r="Z282" s="83"/>
      <c r="AA282" s="83"/>
      <c r="AB282" s="83"/>
      <c r="AC282" s="83"/>
      <c r="AD282" s="83"/>
    </row>
    <row r="283">
      <c r="A283" s="428"/>
      <c r="B283" s="440"/>
      <c r="C283" s="428"/>
      <c r="D283" s="428"/>
      <c r="E283" s="428"/>
      <c r="F283" s="428"/>
      <c r="G283" s="428"/>
      <c r="H283" s="428"/>
      <c r="I283" s="428"/>
      <c r="J283" s="428"/>
      <c r="K283" s="441"/>
      <c r="L283" s="442"/>
      <c r="M283" s="443"/>
      <c r="N283" s="438"/>
      <c r="O283" s="438"/>
      <c r="P283" s="438"/>
      <c r="Q283" s="428"/>
      <c r="R283" s="446"/>
      <c r="S283" s="83"/>
      <c r="T283" s="83"/>
      <c r="U283" s="83"/>
      <c r="V283" s="83"/>
      <c r="W283" s="83"/>
      <c r="X283" s="83"/>
      <c r="Y283" s="83"/>
      <c r="Z283" s="83"/>
      <c r="AA283" s="83"/>
      <c r="AB283" s="83"/>
      <c r="AC283" s="83"/>
      <c r="AD283" s="83"/>
    </row>
    <row r="284">
      <c r="A284" s="428"/>
      <c r="B284" s="440"/>
      <c r="C284" s="428"/>
      <c r="D284" s="428"/>
      <c r="E284" s="428"/>
      <c r="F284" s="428"/>
      <c r="G284" s="428"/>
      <c r="H284" s="428"/>
      <c r="I284" s="428"/>
      <c r="J284" s="428"/>
      <c r="K284" s="441"/>
      <c r="L284" s="442"/>
      <c r="M284" s="443"/>
      <c r="N284" s="438"/>
      <c r="O284" s="438"/>
      <c r="P284" s="438"/>
      <c r="Q284" s="428"/>
      <c r="R284" s="446"/>
      <c r="S284" s="83"/>
      <c r="T284" s="83"/>
      <c r="U284" s="83"/>
      <c r="V284" s="83"/>
      <c r="W284" s="83"/>
      <c r="X284" s="83"/>
      <c r="Y284" s="83"/>
      <c r="Z284" s="83"/>
      <c r="AA284" s="83"/>
      <c r="AB284" s="83"/>
      <c r="AC284" s="83"/>
      <c r="AD284" s="83"/>
    </row>
    <row r="285">
      <c r="A285" s="428"/>
      <c r="B285" s="440"/>
      <c r="C285" s="428"/>
      <c r="D285" s="428"/>
      <c r="E285" s="428"/>
      <c r="F285" s="428"/>
      <c r="G285" s="428"/>
      <c r="H285" s="428"/>
      <c r="I285" s="428"/>
      <c r="J285" s="428"/>
      <c r="K285" s="441"/>
      <c r="L285" s="442"/>
      <c r="M285" s="443"/>
      <c r="N285" s="438"/>
      <c r="O285" s="438"/>
      <c r="P285" s="438"/>
      <c r="Q285" s="428"/>
      <c r="R285" s="446"/>
      <c r="S285" s="83"/>
      <c r="T285" s="83"/>
      <c r="U285" s="83"/>
      <c r="V285" s="83"/>
      <c r="W285" s="83"/>
      <c r="X285" s="83"/>
      <c r="Y285" s="83"/>
      <c r="Z285" s="83"/>
      <c r="AA285" s="83"/>
      <c r="AB285" s="83"/>
      <c r="AC285" s="83"/>
      <c r="AD285" s="83"/>
    </row>
    <row r="286">
      <c r="A286" s="428"/>
      <c r="B286" s="440"/>
      <c r="C286" s="428"/>
      <c r="D286" s="428"/>
      <c r="E286" s="428"/>
      <c r="F286" s="428"/>
      <c r="G286" s="428"/>
      <c r="H286" s="428"/>
      <c r="I286" s="428"/>
      <c r="J286" s="428"/>
      <c r="K286" s="441"/>
      <c r="L286" s="442"/>
      <c r="M286" s="443"/>
      <c r="N286" s="438"/>
      <c r="O286" s="438"/>
      <c r="P286" s="438"/>
      <c r="Q286" s="428"/>
      <c r="R286" s="446"/>
      <c r="S286" s="83"/>
      <c r="T286" s="83"/>
      <c r="U286" s="83"/>
      <c r="V286" s="83"/>
      <c r="W286" s="83"/>
      <c r="X286" s="83"/>
      <c r="Y286" s="83"/>
      <c r="Z286" s="83"/>
      <c r="AA286" s="83"/>
      <c r="AB286" s="83"/>
      <c r="AC286" s="83"/>
      <c r="AD286" s="83"/>
    </row>
    <row r="287">
      <c r="A287" s="428"/>
      <c r="B287" s="440"/>
      <c r="C287" s="428"/>
      <c r="D287" s="428"/>
      <c r="E287" s="428"/>
      <c r="F287" s="428"/>
      <c r="G287" s="428"/>
      <c r="H287" s="428"/>
      <c r="I287" s="428"/>
      <c r="J287" s="428"/>
      <c r="K287" s="441"/>
      <c r="L287" s="442"/>
      <c r="M287" s="443"/>
      <c r="N287" s="438"/>
      <c r="O287" s="438"/>
      <c r="P287" s="438"/>
      <c r="Q287" s="428"/>
      <c r="R287" s="446"/>
      <c r="S287" s="83"/>
      <c r="T287" s="83"/>
      <c r="U287" s="83"/>
      <c r="V287" s="83"/>
      <c r="W287" s="83"/>
      <c r="X287" s="83"/>
      <c r="Y287" s="83"/>
      <c r="Z287" s="83"/>
      <c r="AA287" s="83"/>
      <c r="AB287" s="83"/>
      <c r="AC287" s="83"/>
      <c r="AD287" s="83"/>
    </row>
    <row r="288">
      <c r="A288" s="447"/>
      <c r="B288" s="446"/>
      <c r="C288" s="448"/>
      <c r="D288" s="448"/>
      <c r="E288" s="448"/>
      <c r="F288" s="448"/>
      <c r="G288" s="448"/>
      <c r="H288" s="448"/>
      <c r="I288" s="448"/>
      <c r="J288" s="448"/>
      <c r="K288" s="449"/>
      <c r="L288" s="448"/>
      <c r="M288" s="450"/>
      <c r="N288" s="451"/>
      <c r="O288" s="451"/>
      <c r="P288" s="451"/>
      <c r="Q288" s="448"/>
      <c r="R288" s="83"/>
      <c r="S288" s="83"/>
      <c r="T288" s="83"/>
      <c r="U288" s="83"/>
      <c r="V288" s="83"/>
      <c r="W288" s="83"/>
      <c r="X288" s="83"/>
      <c r="Y288" s="83"/>
      <c r="Z288" s="83"/>
      <c r="AA288" s="83"/>
      <c r="AB288" s="83"/>
      <c r="AC288" s="83"/>
      <c r="AD288" s="83"/>
    </row>
    <row r="289">
      <c r="A289" s="447"/>
      <c r="B289" s="446"/>
      <c r="C289" s="448"/>
      <c r="D289" s="448"/>
      <c r="E289" s="448"/>
      <c r="F289" s="448"/>
      <c r="G289" s="448"/>
      <c r="H289" s="448"/>
      <c r="I289" s="448"/>
      <c r="J289" s="448"/>
      <c r="K289" s="449"/>
      <c r="L289" s="448"/>
      <c r="M289" s="450"/>
      <c r="N289" s="451"/>
      <c r="O289" s="451"/>
      <c r="P289" s="451"/>
      <c r="Q289" s="448"/>
      <c r="R289" s="83"/>
      <c r="S289" s="83"/>
      <c r="T289" s="83"/>
      <c r="U289" s="83"/>
      <c r="V289" s="83"/>
      <c r="W289" s="83"/>
      <c r="X289" s="83"/>
      <c r="Y289" s="83"/>
      <c r="Z289" s="83"/>
      <c r="AA289" s="83"/>
      <c r="AB289" s="83"/>
      <c r="AC289" s="83"/>
      <c r="AD289" s="83"/>
    </row>
    <row r="290">
      <c r="A290" s="447"/>
      <c r="B290" s="446"/>
      <c r="C290" s="448"/>
      <c r="D290" s="448"/>
      <c r="E290" s="448"/>
      <c r="F290" s="448"/>
      <c r="G290" s="448"/>
      <c r="H290" s="448"/>
      <c r="I290" s="448"/>
      <c r="J290" s="448"/>
      <c r="K290" s="449"/>
      <c r="L290" s="448"/>
      <c r="M290" s="450"/>
      <c r="N290" s="451"/>
      <c r="O290" s="451"/>
      <c r="P290" s="451"/>
      <c r="Q290" s="448"/>
      <c r="R290" s="83"/>
      <c r="S290" s="83"/>
      <c r="T290" s="83"/>
      <c r="U290" s="83"/>
      <c r="V290" s="83"/>
      <c r="W290" s="83"/>
      <c r="X290" s="83"/>
      <c r="Y290" s="83"/>
      <c r="Z290" s="83"/>
      <c r="AA290" s="83"/>
      <c r="AB290" s="83"/>
      <c r="AC290" s="83"/>
      <c r="AD290" s="83"/>
    </row>
    <row r="291">
      <c r="A291" s="447"/>
      <c r="B291" s="446"/>
      <c r="C291" s="448"/>
      <c r="D291" s="448"/>
      <c r="E291" s="448"/>
      <c r="F291" s="448"/>
      <c r="G291" s="448"/>
      <c r="H291" s="448"/>
      <c r="I291" s="448"/>
      <c r="J291" s="448"/>
      <c r="K291" s="449"/>
      <c r="L291" s="448"/>
      <c r="M291" s="450"/>
      <c r="N291" s="451"/>
      <c r="O291" s="451"/>
      <c r="P291" s="451"/>
      <c r="Q291" s="448"/>
      <c r="R291" s="83"/>
      <c r="S291" s="83"/>
      <c r="T291" s="83"/>
      <c r="U291" s="83"/>
      <c r="V291" s="83"/>
      <c r="W291" s="83"/>
      <c r="X291" s="83"/>
      <c r="Y291" s="83"/>
      <c r="Z291" s="83"/>
      <c r="AA291" s="83"/>
      <c r="AB291" s="83"/>
      <c r="AC291" s="83"/>
      <c r="AD291" s="83"/>
    </row>
    <row r="292">
      <c r="A292" s="447"/>
      <c r="B292" s="446"/>
      <c r="C292" s="448"/>
      <c r="D292" s="448"/>
      <c r="E292" s="448"/>
      <c r="F292" s="448"/>
      <c r="G292" s="448"/>
      <c r="H292" s="448"/>
      <c r="I292" s="448"/>
      <c r="J292" s="448"/>
      <c r="K292" s="449"/>
      <c r="L292" s="448"/>
      <c r="M292" s="450"/>
      <c r="N292" s="451"/>
      <c r="O292" s="451"/>
      <c r="P292" s="451"/>
      <c r="Q292" s="448"/>
      <c r="R292" s="83"/>
      <c r="S292" s="83"/>
      <c r="T292" s="83"/>
      <c r="U292" s="83"/>
      <c r="V292" s="83"/>
      <c r="W292" s="83"/>
      <c r="X292" s="83"/>
      <c r="Y292" s="83"/>
      <c r="Z292" s="83"/>
      <c r="AA292" s="83"/>
      <c r="AB292" s="83"/>
      <c r="AC292" s="83"/>
      <c r="AD292" s="83"/>
    </row>
    <row r="293">
      <c r="A293" s="447"/>
      <c r="B293" s="446"/>
      <c r="C293" s="448"/>
      <c r="D293" s="448"/>
      <c r="E293" s="448"/>
      <c r="F293" s="448"/>
      <c r="G293" s="448"/>
      <c r="H293" s="448"/>
      <c r="I293" s="448"/>
      <c r="J293" s="448"/>
      <c r="K293" s="449"/>
      <c r="L293" s="448"/>
      <c r="M293" s="450"/>
      <c r="N293" s="451"/>
      <c r="O293" s="451"/>
      <c r="P293" s="451"/>
      <c r="Q293" s="448"/>
      <c r="R293" s="83"/>
      <c r="S293" s="83"/>
      <c r="T293" s="83"/>
      <c r="U293" s="83"/>
      <c r="V293" s="83"/>
      <c r="W293" s="83"/>
      <c r="X293" s="83"/>
      <c r="Y293" s="83"/>
      <c r="Z293" s="83"/>
      <c r="AA293" s="83"/>
      <c r="AB293" s="83"/>
      <c r="AC293" s="83"/>
      <c r="AD293" s="83"/>
    </row>
    <row r="294">
      <c r="A294" s="447"/>
      <c r="B294" s="446"/>
      <c r="C294" s="448"/>
      <c r="D294" s="448"/>
      <c r="E294" s="448"/>
      <c r="F294" s="448"/>
      <c r="G294" s="448"/>
      <c r="H294" s="448"/>
      <c r="I294" s="448"/>
      <c r="J294" s="448"/>
      <c r="K294" s="449"/>
      <c r="L294" s="448"/>
      <c r="M294" s="450"/>
      <c r="N294" s="451"/>
      <c r="O294" s="451"/>
      <c r="P294" s="451"/>
      <c r="Q294" s="448"/>
      <c r="R294" s="83"/>
      <c r="S294" s="83"/>
      <c r="T294" s="83"/>
      <c r="U294" s="83"/>
      <c r="V294" s="83"/>
      <c r="W294" s="83"/>
      <c r="X294" s="83"/>
      <c r="Y294" s="83"/>
      <c r="Z294" s="83"/>
      <c r="AA294" s="83"/>
      <c r="AB294" s="83"/>
      <c r="AC294" s="83"/>
      <c r="AD294" s="83"/>
    </row>
    <row r="295">
      <c r="A295" s="447"/>
      <c r="B295" s="446"/>
      <c r="C295" s="448"/>
      <c r="D295" s="448"/>
      <c r="E295" s="448"/>
      <c r="F295" s="448"/>
      <c r="G295" s="448"/>
      <c r="H295" s="448"/>
      <c r="I295" s="448"/>
      <c r="J295" s="448"/>
      <c r="K295" s="449"/>
      <c r="L295" s="448"/>
      <c r="M295" s="450"/>
      <c r="N295" s="451"/>
      <c r="O295" s="451"/>
      <c r="P295" s="451"/>
      <c r="Q295" s="448"/>
      <c r="R295" s="83"/>
      <c r="S295" s="83"/>
      <c r="T295" s="83"/>
      <c r="U295" s="83"/>
      <c r="V295" s="83"/>
      <c r="W295" s="83"/>
      <c r="X295" s="83"/>
      <c r="Y295" s="83"/>
      <c r="Z295" s="83"/>
      <c r="AA295" s="83"/>
      <c r="AB295" s="83"/>
      <c r="AC295" s="83"/>
      <c r="AD295" s="83"/>
    </row>
    <row r="296">
      <c r="A296" s="447"/>
      <c r="B296" s="446"/>
      <c r="C296" s="448"/>
      <c r="D296" s="448"/>
      <c r="E296" s="448"/>
      <c r="F296" s="448"/>
      <c r="G296" s="448"/>
      <c r="H296" s="448"/>
      <c r="I296" s="448"/>
      <c r="J296" s="448"/>
      <c r="K296" s="449"/>
      <c r="L296" s="448"/>
      <c r="M296" s="450"/>
      <c r="N296" s="451"/>
      <c r="O296" s="451"/>
      <c r="P296" s="451"/>
      <c r="Q296" s="448"/>
      <c r="R296" s="83"/>
      <c r="S296" s="83"/>
      <c r="T296" s="83"/>
      <c r="U296" s="83"/>
      <c r="V296" s="83"/>
      <c r="W296" s="83"/>
      <c r="X296" s="83"/>
      <c r="Y296" s="83"/>
      <c r="Z296" s="83"/>
      <c r="AA296" s="83"/>
      <c r="AB296" s="83"/>
      <c r="AC296" s="83"/>
      <c r="AD296" s="83"/>
    </row>
    <row r="297">
      <c r="A297" s="447"/>
      <c r="B297" s="446"/>
      <c r="C297" s="448"/>
      <c r="D297" s="448"/>
      <c r="E297" s="448"/>
      <c r="F297" s="448"/>
      <c r="G297" s="448"/>
      <c r="H297" s="448"/>
      <c r="I297" s="448"/>
      <c r="J297" s="448"/>
      <c r="K297" s="449"/>
      <c r="L297" s="448"/>
      <c r="M297" s="450"/>
      <c r="N297" s="451"/>
      <c r="O297" s="451"/>
      <c r="P297" s="451"/>
      <c r="Q297" s="448"/>
      <c r="R297" s="83"/>
      <c r="S297" s="83"/>
      <c r="T297" s="83"/>
      <c r="U297" s="83"/>
      <c r="V297" s="83"/>
      <c r="W297" s="83"/>
      <c r="X297" s="83"/>
      <c r="Y297" s="83"/>
      <c r="Z297" s="83"/>
      <c r="AA297" s="83"/>
      <c r="AB297" s="83"/>
      <c r="AC297" s="83"/>
      <c r="AD297" s="83"/>
    </row>
    <row r="298">
      <c r="A298" s="447"/>
      <c r="B298" s="446"/>
      <c r="C298" s="448"/>
      <c r="D298" s="448"/>
      <c r="E298" s="448"/>
      <c r="F298" s="448"/>
      <c r="G298" s="448"/>
      <c r="H298" s="448"/>
      <c r="I298" s="448"/>
      <c r="J298" s="448"/>
      <c r="K298" s="449"/>
      <c r="L298" s="448"/>
      <c r="M298" s="450"/>
      <c r="N298" s="451"/>
      <c r="O298" s="451"/>
      <c r="P298" s="451"/>
      <c r="Q298" s="448"/>
      <c r="R298" s="83"/>
      <c r="S298" s="83"/>
      <c r="T298" s="83"/>
      <c r="U298" s="83"/>
      <c r="V298" s="83"/>
      <c r="W298" s="83"/>
      <c r="X298" s="83"/>
      <c r="Y298" s="83"/>
      <c r="Z298" s="83"/>
      <c r="AA298" s="83"/>
      <c r="AB298" s="83"/>
      <c r="AC298" s="83"/>
      <c r="AD298" s="83"/>
    </row>
    <row r="299">
      <c r="A299" s="447"/>
      <c r="B299" s="446"/>
      <c r="C299" s="448"/>
      <c r="D299" s="448"/>
      <c r="E299" s="448"/>
      <c r="F299" s="448"/>
      <c r="G299" s="448"/>
      <c r="H299" s="448"/>
      <c r="I299" s="448"/>
      <c r="J299" s="448"/>
      <c r="K299" s="449"/>
      <c r="L299" s="448"/>
      <c r="M299" s="450"/>
      <c r="N299" s="451"/>
      <c r="O299" s="451"/>
      <c r="P299" s="451"/>
      <c r="Q299" s="448"/>
      <c r="R299" s="83"/>
      <c r="S299" s="83"/>
      <c r="T299" s="83"/>
      <c r="U299" s="83"/>
      <c r="V299" s="83"/>
      <c r="W299" s="83"/>
      <c r="X299" s="83"/>
      <c r="Y299" s="83"/>
      <c r="Z299" s="83"/>
      <c r="AA299" s="83"/>
      <c r="AB299" s="83"/>
      <c r="AC299" s="83"/>
      <c r="AD299" s="83"/>
    </row>
    <row r="300">
      <c r="A300" s="447"/>
      <c r="B300" s="446"/>
      <c r="C300" s="448"/>
      <c r="D300" s="448"/>
      <c r="E300" s="448"/>
      <c r="F300" s="448"/>
      <c r="G300" s="448"/>
      <c r="H300" s="448"/>
      <c r="I300" s="448"/>
      <c r="J300" s="448"/>
      <c r="K300" s="449"/>
      <c r="L300" s="448"/>
      <c r="M300" s="450"/>
      <c r="N300" s="451"/>
      <c r="O300" s="451"/>
      <c r="P300" s="451"/>
      <c r="Q300" s="448"/>
      <c r="R300" s="83"/>
      <c r="S300" s="83"/>
      <c r="T300" s="83"/>
      <c r="U300" s="83"/>
      <c r="V300" s="83"/>
      <c r="W300" s="83"/>
      <c r="X300" s="83"/>
      <c r="Y300" s="83"/>
      <c r="Z300" s="83"/>
      <c r="AA300" s="83"/>
      <c r="AB300" s="83"/>
      <c r="AC300" s="83"/>
      <c r="AD300" s="83"/>
    </row>
    <row r="301">
      <c r="A301" s="447"/>
      <c r="B301" s="446"/>
      <c r="C301" s="448"/>
      <c r="D301" s="448"/>
      <c r="E301" s="448"/>
      <c r="F301" s="448"/>
      <c r="G301" s="448"/>
      <c r="H301" s="448"/>
      <c r="I301" s="448"/>
      <c r="J301" s="448"/>
      <c r="K301" s="449"/>
      <c r="L301" s="448"/>
      <c r="M301" s="450"/>
      <c r="N301" s="451"/>
      <c r="O301" s="451"/>
      <c r="P301" s="451"/>
      <c r="Q301" s="448"/>
      <c r="R301" s="83"/>
      <c r="S301" s="83"/>
      <c r="T301" s="83"/>
      <c r="U301" s="83"/>
      <c r="V301" s="83"/>
      <c r="W301" s="83"/>
      <c r="X301" s="83"/>
      <c r="Y301" s="83"/>
      <c r="Z301" s="83"/>
      <c r="AA301" s="83"/>
      <c r="AB301" s="83"/>
      <c r="AC301" s="83"/>
      <c r="AD301" s="83"/>
    </row>
    <row r="302">
      <c r="A302" s="447"/>
      <c r="B302" s="446"/>
      <c r="C302" s="448"/>
      <c r="D302" s="448"/>
      <c r="E302" s="448"/>
      <c r="F302" s="448"/>
      <c r="G302" s="448"/>
      <c r="H302" s="448"/>
      <c r="I302" s="448"/>
      <c r="J302" s="448"/>
      <c r="K302" s="449"/>
      <c r="L302" s="448"/>
      <c r="M302" s="450"/>
      <c r="N302" s="451"/>
      <c r="O302" s="451"/>
      <c r="P302" s="451"/>
      <c r="Q302" s="448"/>
      <c r="R302" s="83"/>
      <c r="S302" s="83"/>
      <c r="T302" s="83"/>
      <c r="U302" s="83"/>
      <c r="V302" s="83"/>
      <c r="W302" s="83"/>
      <c r="X302" s="83"/>
      <c r="Y302" s="83"/>
      <c r="Z302" s="83"/>
      <c r="AA302" s="83"/>
      <c r="AB302" s="83"/>
      <c r="AC302" s="83"/>
      <c r="AD302" s="83"/>
    </row>
    <row r="303">
      <c r="A303" s="447"/>
      <c r="B303" s="446"/>
      <c r="C303" s="448"/>
      <c r="D303" s="448"/>
      <c r="E303" s="448"/>
      <c r="F303" s="448"/>
      <c r="G303" s="448"/>
      <c r="H303" s="448"/>
      <c r="I303" s="448"/>
      <c r="J303" s="448"/>
      <c r="K303" s="449"/>
      <c r="L303" s="448"/>
      <c r="M303" s="450"/>
      <c r="N303" s="451"/>
      <c r="O303" s="451"/>
      <c r="P303" s="451"/>
      <c r="Q303" s="448"/>
      <c r="R303" s="83"/>
      <c r="S303" s="83"/>
      <c r="T303" s="83"/>
      <c r="U303" s="83"/>
      <c r="V303" s="83"/>
      <c r="W303" s="83"/>
      <c r="X303" s="83"/>
      <c r="Y303" s="83"/>
      <c r="Z303" s="83"/>
      <c r="AA303" s="83"/>
      <c r="AB303" s="83"/>
      <c r="AC303" s="83"/>
      <c r="AD303" s="83"/>
    </row>
    <row r="304">
      <c r="A304" s="447"/>
      <c r="B304" s="448"/>
      <c r="C304" s="448"/>
      <c r="D304" s="448"/>
      <c r="E304" s="448"/>
      <c r="F304" s="448"/>
      <c r="G304" s="448"/>
      <c r="H304" s="448"/>
      <c r="I304" s="448"/>
      <c r="J304" s="448"/>
      <c r="K304" s="449"/>
      <c r="L304" s="448"/>
      <c r="M304" s="450"/>
      <c r="N304" s="451"/>
      <c r="O304" s="451"/>
      <c r="P304" s="451"/>
      <c r="Q304" s="448"/>
      <c r="R304" s="83"/>
      <c r="S304" s="83"/>
      <c r="T304" s="83"/>
      <c r="U304" s="83"/>
      <c r="V304" s="83"/>
      <c r="W304" s="83"/>
      <c r="X304" s="83"/>
      <c r="Y304" s="83"/>
      <c r="Z304" s="83"/>
      <c r="AA304" s="83"/>
      <c r="AB304" s="83"/>
      <c r="AC304" s="83"/>
      <c r="AD304" s="83"/>
    </row>
    <row r="305">
      <c r="A305" s="447"/>
      <c r="B305" s="448"/>
      <c r="C305" s="448"/>
      <c r="D305" s="448"/>
      <c r="E305" s="448"/>
      <c r="F305" s="448"/>
      <c r="G305" s="448"/>
      <c r="H305" s="448"/>
      <c r="I305" s="448"/>
      <c r="J305" s="448"/>
      <c r="K305" s="449"/>
      <c r="L305" s="448"/>
      <c r="M305" s="450"/>
      <c r="N305" s="451"/>
      <c r="O305" s="451"/>
      <c r="P305" s="451"/>
      <c r="Q305" s="448"/>
      <c r="R305" s="83"/>
      <c r="S305" s="83"/>
      <c r="T305" s="83"/>
      <c r="U305" s="83"/>
      <c r="V305" s="83"/>
      <c r="W305" s="83"/>
      <c r="X305" s="83"/>
      <c r="Y305" s="83"/>
      <c r="Z305" s="83"/>
      <c r="AA305" s="83"/>
      <c r="AB305" s="83"/>
      <c r="AC305" s="83"/>
      <c r="AD305" s="83"/>
    </row>
    <row r="306">
      <c r="A306" s="447"/>
      <c r="B306" s="448"/>
      <c r="C306" s="448"/>
      <c r="D306" s="448"/>
      <c r="E306" s="448"/>
      <c r="F306" s="448"/>
      <c r="G306" s="448"/>
      <c r="H306" s="448"/>
      <c r="I306" s="448"/>
      <c r="J306" s="448"/>
      <c r="K306" s="449"/>
      <c r="L306" s="448"/>
      <c r="M306" s="450"/>
      <c r="N306" s="451"/>
      <c r="O306" s="451"/>
      <c r="P306" s="451"/>
      <c r="Q306" s="448"/>
      <c r="R306" s="83"/>
      <c r="S306" s="83"/>
      <c r="T306" s="83"/>
      <c r="U306" s="83"/>
      <c r="V306" s="83"/>
      <c r="W306" s="83"/>
      <c r="X306" s="83"/>
      <c r="Y306" s="83"/>
      <c r="Z306" s="83"/>
      <c r="AA306" s="83"/>
      <c r="AB306" s="83"/>
      <c r="AC306" s="83"/>
      <c r="AD306" s="83"/>
    </row>
    <row r="307">
      <c r="A307" s="447"/>
      <c r="B307" s="448"/>
      <c r="C307" s="448"/>
      <c r="D307" s="448"/>
      <c r="E307" s="448"/>
      <c r="F307" s="448"/>
      <c r="G307" s="448"/>
      <c r="H307" s="448"/>
      <c r="I307" s="448"/>
      <c r="J307" s="448"/>
      <c r="K307" s="449"/>
      <c r="L307" s="448"/>
      <c r="M307" s="450"/>
      <c r="N307" s="451"/>
      <c r="O307" s="451"/>
      <c r="P307" s="451"/>
      <c r="Q307" s="448"/>
      <c r="R307" s="83"/>
      <c r="S307" s="83"/>
      <c r="T307" s="83"/>
      <c r="U307" s="83"/>
      <c r="V307" s="83"/>
      <c r="W307" s="83"/>
      <c r="X307" s="83"/>
      <c r="Y307" s="83"/>
      <c r="Z307" s="83"/>
      <c r="AA307" s="83"/>
      <c r="AB307" s="83"/>
      <c r="AC307" s="83"/>
      <c r="AD307" s="83"/>
    </row>
    <row r="308">
      <c r="A308" s="447"/>
      <c r="B308" s="448"/>
      <c r="C308" s="448"/>
      <c r="D308" s="448"/>
      <c r="E308" s="448"/>
      <c r="F308" s="448"/>
      <c r="G308" s="448"/>
      <c r="H308" s="448"/>
      <c r="I308" s="448"/>
      <c r="J308" s="448"/>
      <c r="K308" s="449"/>
      <c r="L308" s="448"/>
      <c r="M308" s="450"/>
      <c r="N308" s="451"/>
      <c r="O308" s="451"/>
      <c r="P308" s="451"/>
      <c r="Q308" s="448"/>
      <c r="R308" s="83"/>
      <c r="S308" s="83"/>
      <c r="T308" s="83"/>
      <c r="U308" s="83"/>
      <c r="V308" s="83"/>
      <c r="W308" s="83"/>
      <c r="X308" s="83"/>
      <c r="Y308" s="83"/>
      <c r="Z308" s="83"/>
      <c r="AA308" s="83"/>
      <c r="AB308" s="83"/>
      <c r="AC308" s="83"/>
      <c r="AD308" s="83"/>
    </row>
    <row r="309">
      <c r="A309" s="447"/>
      <c r="B309" s="448"/>
      <c r="C309" s="448"/>
      <c r="D309" s="448"/>
      <c r="E309" s="448"/>
      <c r="F309" s="448"/>
      <c r="G309" s="448"/>
      <c r="H309" s="448"/>
      <c r="I309" s="448"/>
      <c r="J309" s="448"/>
      <c r="K309" s="449"/>
      <c r="L309" s="448"/>
      <c r="M309" s="450"/>
      <c r="N309" s="451"/>
      <c r="O309" s="451"/>
      <c r="P309" s="451"/>
      <c r="Q309" s="448"/>
      <c r="R309" s="83"/>
      <c r="S309" s="83"/>
      <c r="T309" s="83"/>
      <c r="U309" s="83"/>
      <c r="V309" s="83"/>
      <c r="W309" s="83"/>
      <c r="X309" s="83"/>
      <c r="Y309" s="83"/>
      <c r="Z309" s="83"/>
      <c r="AA309" s="83"/>
      <c r="AB309" s="83"/>
      <c r="AC309" s="83"/>
      <c r="AD309" s="83"/>
    </row>
    <row r="310">
      <c r="A310" s="447"/>
      <c r="B310" s="448"/>
      <c r="C310" s="448"/>
      <c r="D310" s="448"/>
      <c r="E310" s="448"/>
      <c r="F310" s="448"/>
      <c r="G310" s="448"/>
      <c r="H310" s="448"/>
      <c r="I310" s="448"/>
      <c r="J310" s="448"/>
      <c r="K310" s="449"/>
      <c r="L310" s="448"/>
      <c r="M310" s="450"/>
      <c r="N310" s="451"/>
      <c r="O310" s="451"/>
      <c r="P310" s="451"/>
      <c r="Q310" s="448"/>
      <c r="R310" s="83"/>
      <c r="S310" s="83"/>
      <c r="T310" s="83"/>
      <c r="U310" s="83"/>
      <c r="V310" s="83"/>
      <c r="W310" s="83"/>
      <c r="X310" s="83"/>
      <c r="Y310" s="83"/>
      <c r="Z310" s="83"/>
      <c r="AA310" s="83"/>
      <c r="AB310" s="83"/>
      <c r="AC310" s="83"/>
      <c r="AD310" s="83"/>
    </row>
    <row r="311">
      <c r="A311" s="447"/>
      <c r="B311" s="448"/>
      <c r="C311" s="448"/>
      <c r="D311" s="448"/>
      <c r="E311" s="448"/>
      <c r="F311" s="448"/>
      <c r="G311" s="448"/>
      <c r="H311" s="448"/>
      <c r="I311" s="448"/>
      <c r="J311" s="448"/>
      <c r="K311" s="449"/>
      <c r="L311" s="448"/>
      <c r="M311" s="450"/>
      <c r="N311" s="451"/>
      <c r="O311" s="451"/>
      <c r="P311" s="451"/>
      <c r="Q311" s="448"/>
      <c r="R311" s="83"/>
      <c r="S311" s="83"/>
      <c r="T311" s="83"/>
      <c r="U311" s="83"/>
      <c r="V311" s="83"/>
      <c r="W311" s="83"/>
      <c r="X311" s="83"/>
      <c r="Y311" s="83"/>
      <c r="Z311" s="83"/>
      <c r="AA311" s="83"/>
      <c r="AB311" s="83"/>
      <c r="AC311" s="83"/>
      <c r="AD311" s="83"/>
    </row>
    <row r="312">
      <c r="A312" s="447"/>
      <c r="B312" s="448"/>
      <c r="C312" s="448"/>
      <c r="D312" s="448"/>
      <c r="E312" s="448"/>
      <c r="F312" s="448"/>
      <c r="G312" s="448"/>
      <c r="H312" s="448"/>
      <c r="I312" s="448"/>
      <c r="J312" s="448"/>
      <c r="K312" s="449"/>
      <c r="L312" s="448"/>
      <c r="M312" s="450"/>
      <c r="N312" s="451"/>
      <c r="O312" s="451"/>
      <c r="P312" s="451"/>
      <c r="Q312" s="448"/>
      <c r="R312" s="83"/>
      <c r="S312" s="83"/>
      <c r="T312" s="83"/>
      <c r="U312" s="83"/>
      <c r="V312" s="83"/>
      <c r="W312" s="83"/>
      <c r="X312" s="83"/>
      <c r="Y312" s="83"/>
      <c r="Z312" s="83"/>
      <c r="AA312" s="83"/>
      <c r="AB312" s="83"/>
      <c r="AC312" s="83"/>
      <c r="AD312" s="83"/>
    </row>
    <row r="313">
      <c r="A313" s="447"/>
      <c r="B313" s="448"/>
      <c r="C313" s="448"/>
      <c r="D313" s="448"/>
      <c r="E313" s="448"/>
      <c r="F313" s="448"/>
      <c r="G313" s="448"/>
      <c r="H313" s="448"/>
      <c r="I313" s="448"/>
      <c r="J313" s="448"/>
      <c r="K313" s="449"/>
      <c r="L313" s="448"/>
      <c r="M313" s="450"/>
      <c r="N313" s="451"/>
      <c r="O313" s="451"/>
      <c r="P313" s="451"/>
      <c r="Q313" s="448"/>
      <c r="R313" s="83"/>
      <c r="S313" s="83"/>
      <c r="T313" s="83"/>
      <c r="U313" s="83"/>
      <c r="V313" s="83"/>
      <c r="W313" s="83"/>
      <c r="X313" s="83"/>
      <c r="Y313" s="83"/>
      <c r="Z313" s="83"/>
      <c r="AA313" s="83"/>
      <c r="AB313" s="83"/>
      <c r="AC313" s="83"/>
      <c r="AD313" s="83"/>
    </row>
    <row r="314">
      <c r="A314" s="447"/>
      <c r="B314" s="448"/>
      <c r="C314" s="448"/>
      <c r="D314" s="448"/>
      <c r="E314" s="448"/>
      <c r="F314" s="448"/>
      <c r="G314" s="448"/>
      <c r="H314" s="448"/>
      <c r="I314" s="448"/>
      <c r="J314" s="448"/>
      <c r="K314" s="449"/>
      <c r="L314" s="448"/>
      <c r="M314" s="450"/>
      <c r="N314" s="451"/>
      <c r="O314" s="451"/>
      <c r="P314" s="451"/>
      <c r="Q314" s="448"/>
      <c r="R314" s="83"/>
      <c r="S314" s="83"/>
      <c r="T314" s="83"/>
      <c r="U314" s="83"/>
      <c r="V314" s="83"/>
      <c r="W314" s="83"/>
      <c r="X314" s="83"/>
      <c r="Y314" s="83"/>
      <c r="Z314" s="83"/>
      <c r="AA314" s="83"/>
      <c r="AB314" s="83"/>
      <c r="AC314" s="83"/>
      <c r="AD314" s="83"/>
    </row>
    <row r="315">
      <c r="A315" s="447"/>
      <c r="B315" s="448"/>
      <c r="C315" s="448"/>
      <c r="D315" s="448"/>
      <c r="E315" s="448"/>
      <c r="F315" s="448"/>
      <c r="G315" s="448"/>
      <c r="H315" s="448"/>
      <c r="I315" s="448"/>
      <c r="J315" s="448"/>
      <c r="K315" s="449"/>
      <c r="L315" s="448"/>
      <c r="M315" s="450"/>
      <c r="N315" s="451"/>
      <c r="O315" s="451"/>
      <c r="P315" s="451"/>
      <c r="Q315" s="448"/>
      <c r="R315" s="83"/>
      <c r="S315" s="83"/>
      <c r="T315" s="83"/>
      <c r="U315" s="83"/>
      <c r="V315" s="83"/>
      <c r="W315" s="83"/>
      <c r="X315" s="83"/>
      <c r="Y315" s="83"/>
      <c r="Z315" s="83"/>
      <c r="AA315" s="83"/>
      <c r="AB315" s="83"/>
      <c r="AC315" s="83"/>
      <c r="AD315" s="83"/>
    </row>
    <row r="316">
      <c r="A316" s="447"/>
      <c r="B316" s="448"/>
      <c r="C316" s="448"/>
      <c r="D316" s="448"/>
      <c r="E316" s="448"/>
      <c r="F316" s="448"/>
      <c r="G316" s="448"/>
      <c r="H316" s="448"/>
      <c r="I316" s="448"/>
      <c r="J316" s="448"/>
      <c r="K316" s="449"/>
      <c r="L316" s="448"/>
      <c r="M316" s="450"/>
      <c r="N316" s="451"/>
      <c r="O316" s="451"/>
      <c r="P316" s="451"/>
      <c r="Q316" s="448"/>
      <c r="R316" s="83"/>
      <c r="S316" s="83"/>
      <c r="T316" s="83"/>
      <c r="U316" s="83"/>
      <c r="V316" s="83"/>
      <c r="W316" s="83"/>
      <c r="X316" s="83"/>
      <c r="Y316" s="83"/>
      <c r="Z316" s="83"/>
      <c r="AA316" s="83"/>
      <c r="AB316" s="83"/>
      <c r="AC316" s="83"/>
      <c r="AD316" s="83"/>
    </row>
    <row r="317">
      <c r="A317" s="447"/>
      <c r="B317" s="448"/>
      <c r="C317" s="448"/>
      <c r="D317" s="448"/>
      <c r="E317" s="448"/>
      <c r="F317" s="448"/>
      <c r="G317" s="448"/>
      <c r="H317" s="448"/>
      <c r="I317" s="448"/>
      <c r="J317" s="448"/>
      <c r="K317" s="449"/>
      <c r="L317" s="448"/>
      <c r="M317" s="450"/>
      <c r="N317" s="451"/>
      <c r="O317" s="451"/>
      <c r="P317" s="451"/>
      <c r="Q317" s="448"/>
      <c r="R317" s="83"/>
      <c r="S317" s="83"/>
      <c r="T317" s="83"/>
      <c r="U317" s="83"/>
      <c r="V317" s="83"/>
      <c r="W317" s="83"/>
      <c r="X317" s="83"/>
      <c r="Y317" s="83"/>
      <c r="Z317" s="83"/>
      <c r="AA317" s="83"/>
      <c r="AB317" s="83"/>
      <c r="AC317" s="83"/>
      <c r="AD317" s="83"/>
    </row>
    <row r="318">
      <c r="A318" s="447"/>
      <c r="B318" s="448"/>
      <c r="C318" s="448"/>
      <c r="D318" s="448"/>
      <c r="E318" s="448"/>
      <c r="F318" s="448"/>
      <c r="G318" s="448"/>
      <c r="H318" s="448"/>
      <c r="I318" s="448"/>
      <c r="J318" s="448"/>
      <c r="K318" s="449"/>
      <c r="L318" s="448"/>
      <c r="M318" s="450"/>
      <c r="N318" s="451"/>
      <c r="O318" s="451"/>
      <c r="P318" s="451"/>
      <c r="Q318" s="448"/>
      <c r="R318" s="83"/>
      <c r="S318" s="83"/>
      <c r="T318" s="83"/>
      <c r="U318" s="83"/>
      <c r="V318" s="83"/>
      <c r="W318" s="83"/>
      <c r="X318" s="83"/>
      <c r="Y318" s="83"/>
      <c r="Z318" s="83"/>
      <c r="AA318" s="83"/>
      <c r="AB318" s="83"/>
      <c r="AC318" s="83"/>
      <c r="AD318" s="83"/>
    </row>
    <row r="319">
      <c r="A319" s="447"/>
      <c r="B319" s="448"/>
      <c r="C319" s="448"/>
      <c r="D319" s="448"/>
      <c r="E319" s="448"/>
      <c r="F319" s="448"/>
      <c r="G319" s="448"/>
      <c r="H319" s="448"/>
      <c r="I319" s="448"/>
      <c r="J319" s="448"/>
      <c r="K319" s="449"/>
      <c r="L319" s="448"/>
      <c r="M319" s="450"/>
      <c r="N319" s="451"/>
      <c r="O319" s="451"/>
      <c r="P319" s="451"/>
      <c r="Q319" s="448"/>
      <c r="R319" s="83"/>
      <c r="S319" s="83"/>
      <c r="T319" s="83"/>
      <c r="U319" s="83"/>
      <c r="V319" s="83"/>
      <c r="W319" s="83"/>
      <c r="X319" s="83"/>
      <c r="Y319" s="83"/>
      <c r="Z319" s="83"/>
      <c r="AA319" s="83"/>
      <c r="AB319" s="83"/>
      <c r="AC319" s="83"/>
      <c r="AD319" s="83"/>
    </row>
    <row r="320">
      <c r="A320" s="447"/>
      <c r="B320" s="448"/>
      <c r="C320" s="448"/>
      <c r="D320" s="448"/>
      <c r="E320" s="448"/>
      <c r="F320" s="448"/>
      <c r="G320" s="448"/>
      <c r="H320" s="448"/>
      <c r="I320" s="448"/>
      <c r="J320" s="448"/>
      <c r="K320" s="449"/>
      <c r="L320" s="448"/>
      <c r="M320" s="450"/>
      <c r="N320" s="451"/>
      <c r="O320" s="451"/>
      <c r="P320" s="451"/>
      <c r="Q320" s="448"/>
      <c r="R320" s="83"/>
      <c r="S320" s="83"/>
      <c r="T320" s="83"/>
      <c r="U320" s="83"/>
      <c r="V320" s="83"/>
      <c r="W320" s="83"/>
      <c r="X320" s="83"/>
      <c r="Y320" s="83"/>
      <c r="Z320" s="83"/>
      <c r="AA320" s="83"/>
      <c r="AB320" s="83"/>
      <c r="AC320" s="83"/>
      <c r="AD320" s="83"/>
    </row>
    <row r="321">
      <c r="A321" s="447"/>
      <c r="B321" s="448"/>
      <c r="C321" s="448"/>
      <c r="D321" s="448"/>
      <c r="E321" s="448"/>
      <c r="F321" s="448"/>
      <c r="G321" s="448"/>
      <c r="H321" s="448"/>
      <c r="I321" s="448"/>
      <c r="J321" s="448"/>
      <c r="K321" s="449"/>
      <c r="L321" s="448"/>
      <c r="M321" s="450"/>
      <c r="N321" s="451"/>
      <c r="O321" s="451"/>
      <c r="P321" s="451"/>
      <c r="Q321" s="448"/>
      <c r="R321" s="83"/>
      <c r="S321" s="83"/>
      <c r="T321" s="83"/>
      <c r="U321" s="83"/>
      <c r="V321" s="83"/>
      <c r="W321" s="83"/>
      <c r="X321" s="83"/>
      <c r="Y321" s="83"/>
      <c r="Z321" s="83"/>
      <c r="AA321" s="83"/>
      <c r="AB321" s="83"/>
      <c r="AC321" s="83"/>
      <c r="AD321" s="83"/>
    </row>
    <row r="322">
      <c r="A322" s="447"/>
      <c r="B322" s="448"/>
      <c r="C322" s="448"/>
      <c r="D322" s="448"/>
      <c r="E322" s="448"/>
      <c r="F322" s="448"/>
      <c r="G322" s="448"/>
      <c r="H322" s="448"/>
      <c r="I322" s="448"/>
      <c r="J322" s="448"/>
      <c r="K322" s="449"/>
      <c r="L322" s="448"/>
      <c r="M322" s="450"/>
      <c r="N322" s="451"/>
      <c r="O322" s="451"/>
      <c r="P322" s="451"/>
      <c r="Q322" s="448"/>
      <c r="R322" s="83"/>
      <c r="S322" s="83"/>
      <c r="T322" s="83"/>
      <c r="U322" s="83"/>
      <c r="V322" s="83"/>
      <c r="W322" s="83"/>
      <c r="X322" s="83"/>
      <c r="Y322" s="83"/>
      <c r="Z322" s="83"/>
      <c r="AA322" s="83"/>
      <c r="AB322" s="83"/>
      <c r="AC322" s="83"/>
      <c r="AD322" s="83"/>
    </row>
    <row r="323">
      <c r="A323" s="447"/>
      <c r="B323" s="448"/>
      <c r="C323" s="448"/>
      <c r="D323" s="448"/>
      <c r="E323" s="448"/>
      <c r="F323" s="448"/>
      <c r="G323" s="448"/>
      <c r="H323" s="448"/>
      <c r="I323" s="448"/>
      <c r="J323" s="448"/>
      <c r="K323" s="449"/>
      <c r="L323" s="448"/>
      <c r="M323" s="450"/>
      <c r="N323" s="451"/>
      <c r="O323" s="451"/>
      <c r="P323" s="451"/>
      <c r="Q323" s="448"/>
      <c r="R323" s="83"/>
      <c r="S323" s="83"/>
      <c r="T323" s="83"/>
      <c r="U323" s="83"/>
      <c r="V323" s="83"/>
      <c r="W323" s="83"/>
      <c r="X323" s="83"/>
      <c r="Y323" s="83"/>
      <c r="Z323" s="83"/>
      <c r="AA323" s="83"/>
      <c r="AB323" s="83"/>
      <c r="AC323" s="83"/>
      <c r="AD323" s="83"/>
    </row>
    <row r="324">
      <c r="A324" s="447"/>
      <c r="B324" s="448"/>
      <c r="C324" s="448"/>
      <c r="D324" s="448"/>
      <c r="E324" s="448"/>
      <c r="F324" s="448"/>
      <c r="G324" s="448"/>
      <c r="H324" s="448"/>
      <c r="I324" s="448"/>
      <c r="J324" s="448"/>
      <c r="K324" s="449"/>
      <c r="L324" s="448"/>
      <c r="M324" s="450"/>
      <c r="N324" s="451"/>
      <c r="O324" s="451"/>
      <c r="P324" s="451"/>
      <c r="Q324" s="448"/>
      <c r="R324" s="83"/>
      <c r="S324" s="83"/>
      <c r="T324" s="83"/>
      <c r="U324" s="83"/>
      <c r="V324" s="83"/>
      <c r="W324" s="83"/>
      <c r="X324" s="83"/>
      <c r="Y324" s="83"/>
      <c r="Z324" s="83"/>
      <c r="AA324" s="83"/>
      <c r="AB324" s="83"/>
      <c r="AC324" s="83"/>
      <c r="AD324" s="83"/>
    </row>
    <row r="325">
      <c r="A325" s="447"/>
      <c r="B325" s="448"/>
      <c r="C325" s="448"/>
      <c r="D325" s="448"/>
      <c r="E325" s="448"/>
      <c r="F325" s="448"/>
      <c r="G325" s="448"/>
      <c r="H325" s="448"/>
      <c r="I325" s="448"/>
      <c r="J325" s="448"/>
      <c r="K325" s="449"/>
      <c r="L325" s="448"/>
      <c r="M325" s="450"/>
      <c r="N325" s="451"/>
      <c r="O325" s="451"/>
      <c r="P325" s="451"/>
      <c r="Q325" s="448"/>
      <c r="R325" s="83"/>
      <c r="S325" s="83"/>
      <c r="T325" s="83"/>
      <c r="U325" s="83"/>
      <c r="V325" s="83"/>
      <c r="W325" s="83"/>
      <c r="X325" s="83"/>
      <c r="Y325" s="83"/>
      <c r="Z325" s="83"/>
      <c r="AA325" s="83"/>
      <c r="AB325" s="83"/>
      <c r="AC325" s="83"/>
      <c r="AD325" s="83"/>
    </row>
    <row r="326">
      <c r="A326" s="447"/>
      <c r="B326" s="448"/>
      <c r="C326" s="448"/>
      <c r="D326" s="448"/>
      <c r="E326" s="448"/>
      <c r="F326" s="448"/>
      <c r="G326" s="448"/>
      <c r="H326" s="448"/>
      <c r="I326" s="448"/>
      <c r="J326" s="448"/>
      <c r="K326" s="449"/>
      <c r="L326" s="448"/>
      <c r="M326" s="450"/>
      <c r="N326" s="451"/>
      <c r="O326" s="451"/>
      <c r="P326" s="451"/>
      <c r="Q326" s="448"/>
      <c r="R326" s="83"/>
      <c r="S326" s="83"/>
      <c r="T326" s="83"/>
      <c r="U326" s="83"/>
      <c r="V326" s="83"/>
      <c r="W326" s="83"/>
      <c r="X326" s="83"/>
      <c r="Y326" s="83"/>
      <c r="Z326" s="83"/>
      <c r="AA326" s="83"/>
      <c r="AB326" s="83"/>
      <c r="AC326" s="83"/>
      <c r="AD326" s="83"/>
    </row>
    <row r="327">
      <c r="A327" s="447"/>
      <c r="B327" s="448"/>
      <c r="C327" s="448"/>
      <c r="D327" s="448"/>
      <c r="E327" s="448"/>
      <c r="F327" s="448"/>
      <c r="G327" s="448"/>
      <c r="H327" s="448"/>
      <c r="I327" s="448"/>
      <c r="J327" s="448"/>
      <c r="K327" s="449"/>
      <c r="L327" s="448"/>
      <c r="M327" s="450"/>
      <c r="N327" s="451"/>
      <c r="O327" s="451"/>
      <c r="P327" s="451"/>
      <c r="Q327" s="448"/>
      <c r="R327" s="83"/>
      <c r="S327" s="83"/>
      <c r="T327" s="83"/>
      <c r="U327" s="83"/>
      <c r="V327" s="83"/>
      <c r="W327" s="83"/>
      <c r="X327" s="83"/>
      <c r="Y327" s="83"/>
      <c r="Z327" s="83"/>
      <c r="AA327" s="83"/>
      <c r="AB327" s="83"/>
      <c r="AC327" s="83"/>
      <c r="AD327" s="83"/>
    </row>
    <row r="328">
      <c r="A328" s="447"/>
      <c r="B328" s="448"/>
      <c r="C328" s="448"/>
      <c r="D328" s="448"/>
      <c r="E328" s="448"/>
      <c r="F328" s="448"/>
      <c r="G328" s="448"/>
      <c r="H328" s="448"/>
      <c r="I328" s="448"/>
      <c r="J328" s="448"/>
      <c r="K328" s="449"/>
      <c r="L328" s="448"/>
      <c r="M328" s="450"/>
      <c r="N328" s="451"/>
      <c r="O328" s="451"/>
      <c r="P328" s="451"/>
      <c r="Q328" s="448"/>
      <c r="R328" s="83"/>
      <c r="S328" s="83"/>
      <c r="T328" s="83"/>
      <c r="U328" s="83"/>
      <c r="V328" s="83"/>
      <c r="W328" s="83"/>
      <c r="X328" s="83"/>
      <c r="Y328" s="83"/>
      <c r="Z328" s="83"/>
      <c r="AA328" s="83"/>
      <c r="AB328" s="83"/>
      <c r="AC328" s="83"/>
      <c r="AD328" s="83"/>
    </row>
    <row r="329">
      <c r="A329" s="447"/>
      <c r="B329" s="448"/>
      <c r="C329" s="448"/>
      <c r="D329" s="448"/>
      <c r="E329" s="448"/>
      <c r="F329" s="448"/>
      <c r="G329" s="448"/>
      <c r="H329" s="448"/>
      <c r="I329" s="448"/>
      <c r="J329" s="448"/>
      <c r="K329" s="449"/>
      <c r="L329" s="448"/>
      <c r="M329" s="450"/>
      <c r="N329" s="451"/>
      <c r="O329" s="451"/>
      <c r="P329" s="451"/>
      <c r="Q329" s="448"/>
      <c r="R329" s="83"/>
      <c r="S329" s="83"/>
      <c r="T329" s="83"/>
      <c r="U329" s="83"/>
      <c r="V329" s="83"/>
      <c r="W329" s="83"/>
      <c r="X329" s="83"/>
      <c r="Y329" s="83"/>
      <c r="Z329" s="83"/>
      <c r="AA329" s="83"/>
      <c r="AB329" s="83"/>
      <c r="AC329" s="83"/>
      <c r="AD329" s="83"/>
    </row>
    <row r="330">
      <c r="A330" s="447"/>
      <c r="B330" s="448"/>
      <c r="C330" s="448"/>
      <c r="D330" s="448"/>
      <c r="E330" s="448"/>
      <c r="F330" s="448"/>
      <c r="G330" s="448"/>
      <c r="H330" s="448"/>
      <c r="I330" s="448"/>
      <c r="J330" s="448"/>
      <c r="K330" s="449"/>
      <c r="L330" s="448"/>
      <c r="M330" s="450"/>
      <c r="N330" s="451"/>
      <c r="O330" s="451"/>
      <c r="P330" s="451"/>
      <c r="Q330" s="448"/>
      <c r="R330" s="83"/>
      <c r="S330" s="83"/>
      <c r="T330" s="83"/>
      <c r="U330" s="83"/>
      <c r="V330" s="83"/>
      <c r="W330" s="83"/>
      <c r="X330" s="83"/>
      <c r="Y330" s="83"/>
      <c r="Z330" s="83"/>
      <c r="AA330" s="83"/>
      <c r="AB330" s="83"/>
      <c r="AC330" s="83"/>
      <c r="AD330" s="83"/>
    </row>
    <row r="331">
      <c r="A331" s="447"/>
      <c r="B331" s="448"/>
      <c r="C331" s="448"/>
      <c r="D331" s="448"/>
      <c r="E331" s="448"/>
      <c r="F331" s="448"/>
      <c r="G331" s="448"/>
      <c r="H331" s="448"/>
      <c r="I331" s="448"/>
      <c r="J331" s="448"/>
      <c r="K331" s="449"/>
      <c r="L331" s="448"/>
      <c r="M331" s="450"/>
      <c r="N331" s="451"/>
      <c r="O331" s="451"/>
      <c r="P331" s="451"/>
      <c r="Q331" s="448"/>
      <c r="R331" s="83"/>
      <c r="S331" s="83"/>
      <c r="T331" s="83"/>
      <c r="U331" s="83"/>
      <c r="V331" s="83"/>
      <c r="W331" s="83"/>
      <c r="X331" s="83"/>
      <c r="Y331" s="83"/>
      <c r="Z331" s="83"/>
      <c r="AA331" s="83"/>
      <c r="AB331" s="83"/>
      <c r="AC331" s="83"/>
      <c r="AD331" s="83"/>
    </row>
    <row r="332">
      <c r="A332" s="447"/>
      <c r="B332" s="448"/>
      <c r="C332" s="448"/>
      <c r="D332" s="448"/>
      <c r="E332" s="448"/>
      <c r="F332" s="448"/>
      <c r="G332" s="448"/>
      <c r="H332" s="448"/>
      <c r="I332" s="448"/>
      <c r="J332" s="448"/>
      <c r="K332" s="449"/>
      <c r="L332" s="448"/>
      <c r="M332" s="450"/>
      <c r="N332" s="451"/>
      <c r="O332" s="451"/>
      <c r="P332" s="451"/>
      <c r="Q332" s="448"/>
      <c r="R332" s="83"/>
      <c r="S332" s="83"/>
      <c r="T332" s="83"/>
      <c r="U332" s="83"/>
      <c r="V332" s="83"/>
      <c r="W332" s="83"/>
      <c r="X332" s="83"/>
      <c r="Y332" s="83"/>
      <c r="Z332" s="83"/>
      <c r="AA332" s="83"/>
      <c r="AB332" s="83"/>
      <c r="AC332" s="83"/>
      <c r="AD332" s="83"/>
    </row>
    <row r="333">
      <c r="A333" s="447"/>
      <c r="B333" s="448"/>
      <c r="C333" s="448"/>
      <c r="D333" s="448"/>
      <c r="E333" s="448"/>
      <c r="F333" s="448"/>
      <c r="G333" s="448"/>
      <c r="H333" s="448"/>
      <c r="I333" s="448"/>
      <c r="J333" s="448"/>
      <c r="K333" s="449"/>
      <c r="L333" s="448"/>
      <c r="M333" s="450"/>
      <c r="N333" s="451"/>
      <c r="O333" s="451"/>
      <c r="P333" s="451"/>
      <c r="Q333" s="448"/>
      <c r="R333" s="83"/>
      <c r="S333" s="83"/>
      <c r="T333" s="83"/>
      <c r="U333" s="83"/>
      <c r="V333" s="83"/>
      <c r="W333" s="83"/>
      <c r="X333" s="83"/>
      <c r="Y333" s="83"/>
      <c r="Z333" s="83"/>
      <c r="AA333" s="83"/>
      <c r="AB333" s="83"/>
      <c r="AC333" s="83"/>
      <c r="AD333" s="83"/>
    </row>
    <row r="334">
      <c r="A334" s="447"/>
      <c r="B334" s="448"/>
      <c r="C334" s="448"/>
      <c r="D334" s="448"/>
      <c r="E334" s="448"/>
      <c r="F334" s="448"/>
      <c r="G334" s="448"/>
      <c r="H334" s="448"/>
      <c r="I334" s="448"/>
      <c r="J334" s="448"/>
      <c r="K334" s="449"/>
      <c r="L334" s="448"/>
      <c r="M334" s="450"/>
      <c r="N334" s="451"/>
      <c r="O334" s="451"/>
      <c r="P334" s="451"/>
      <c r="Q334" s="448"/>
      <c r="R334" s="83"/>
      <c r="S334" s="83"/>
      <c r="T334" s="83"/>
      <c r="U334" s="83"/>
      <c r="V334" s="83"/>
      <c r="W334" s="83"/>
      <c r="X334" s="83"/>
      <c r="Y334" s="83"/>
      <c r="Z334" s="83"/>
      <c r="AA334" s="83"/>
      <c r="AB334" s="83"/>
      <c r="AC334" s="83"/>
      <c r="AD334" s="83"/>
    </row>
    <row r="335">
      <c r="A335" s="447"/>
      <c r="B335" s="448"/>
      <c r="C335" s="448"/>
      <c r="D335" s="448"/>
      <c r="E335" s="448"/>
      <c r="F335" s="448"/>
      <c r="G335" s="448"/>
      <c r="H335" s="448"/>
      <c r="I335" s="448"/>
      <c r="J335" s="448"/>
      <c r="K335" s="449"/>
      <c r="L335" s="448"/>
      <c r="M335" s="450"/>
      <c r="N335" s="451"/>
      <c r="O335" s="451"/>
      <c r="P335" s="451"/>
      <c r="Q335" s="448"/>
      <c r="R335" s="83"/>
      <c r="S335" s="83"/>
      <c r="T335" s="83"/>
      <c r="U335" s="83"/>
      <c r="V335" s="83"/>
      <c r="W335" s="83"/>
      <c r="X335" s="83"/>
      <c r="Y335" s="83"/>
      <c r="Z335" s="83"/>
      <c r="AA335" s="83"/>
      <c r="AB335" s="83"/>
      <c r="AC335" s="83"/>
      <c r="AD335" s="83"/>
    </row>
    <row r="336">
      <c r="A336" s="447"/>
      <c r="B336" s="448"/>
      <c r="C336" s="448"/>
      <c r="D336" s="448"/>
      <c r="E336" s="448"/>
      <c r="F336" s="448"/>
      <c r="G336" s="448"/>
      <c r="H336" s="448"/>
      <c r="I336" s="448"/>
      <c r="J336" s="448"/>
      <c r="K336" s="449"/>
      <c r="L336" s="448"/>
      <c r="M336" s="450"/>
      <c r="N336" s="451"/>
      <c r="O336" s="451"/>
      <c r="P336" s="451"/>
      <c r="Q336" s="448"/>
      <c r="R336" s="83"/>
      <c r="S336" s="83"/>
      <c r="T336" s="83"/>
      <c r="U336" s="83"/>
      <c r="V336" s="83"/>
      <c r="W336" s="83"/>
      <c r="X336" s="83"/>
      <c r="Y336" s="83"/>
      <c r="Z336" s="83"/>
      <c r="AA336" s="83"/>
      <c r="AB336" s="83"/>
      <c r="AC336" s="83"/>
      <c r="AD336" s="83"/>
    </row>
    <row r="337">
      <c r="A337" s="447"/>
      <c r="B337" s="448"/>
      <c r="C337" s="448"/>
      <c r="D337" s="448"/>
      <c r="E337" s="448"/>
      <c r="F337" s="448"/>
      <c r="G337" s="448"/>
      <c r="H337" s="448"/>
      <c r="I337" s="448"/>
      <c r="J337" s="448"/>
      <c r="K337" s="449"/>
      <c r="L337" s="448"/>
      <c r="M337" s="450"/>
      <c r="N337" s="451"/>
      <c r="O337" s="451"/>
      <c r="P337" s="451"/>
      <c r="Q337" s="448"/>
      <c r="R337" s="83"/>
      <c r="S337" s="83"/>
      <c r="T337" s="83"/>
      <c r="U337" s="83"/>
      <c r="V337" s="83"/>
      <c r="W337" s="83"/>
      <c r="X337" s="83"/>
      <c r="Y337" s="83"/>
      <c r="Z337" s="83"/>
      <c r="AA337" s="83"/>
      <c r="AB337" s="83"/>
      <c r="AC337" s="83"/>
      <c r="AD337" s="83"/>
    </row>
    <row r="338">
      <c r="A338" s="447"/>
      <c r="B338" s="448"/>
      <c r="C338" s="448"/>
      <c r="D338" s="448"/>
      <c r="E338" s="448"/>
      <c r="F338" s="448"/>
      <c r="G338" s="448"/>
      <c r="H338" s="448"/>
      <c r="I338" s="448"/>
      <c r="J338" s="448"/>
      <c r="K338" s="449"/>
      <c r="L338" s="448"/>
      <c r="M338" s="450"/>
      <c r="N338" s="451"/>
      <c r="O338" s="451"/>
      <c r="P338" s="451"/>
      <c r="Q338" s="448"/>
      <c r="R338" s="83"/>
      <c r="S338" s="83"/>
      <c r="T338" s="83"/>
      <c r="U338" s="83"/>
      <c r="V338" s="83"/>
      <c r="W338" s="83"/>
      <c r="X338" s="83"/>
      <c r="Y338" s="83"/>
      <c r="Z338" s="83"/>
      <c r="AA338" s="83"/>
      <c r="AB338" s="83"/>
      <c r="AC338" s="83"/>
      <c r="AD338" s="83"/>
    </row>
    <row r="339">
      <c r="A339" s="447"/>
      <c r="B339" s="448"/>
      <c r="C339" s="448"/>
      <c r="D339" s="448"/>
      <c r="E339" s="448"/>
      <c r="F339" s="448"/>
      <c r="G339" s="448"/>
      <c r="H339" s="448"/>
      <c r="I339" s="448"/>
      <c r="J339" s="448"/>
      <c r="K339" s="449"/>
      <c r="L339" s="448"/>
      <c r="M339" s="450"/>
      <c r="N339" s="451"/>
      <c r="O339" s="451"/>
      <c r="P339" s="451"/>
      <c r="Q339" s="448"/>
      <c r="R339" s="83"/>
      <c r="S339" s="83"/>
      <c r="T339" s="83"/>
      <c r="U339" s="83"/>
      <c r="V339" s="83"/>
      <c r="W339" s="83"/>
      <c r="X339" s="83"/>
      <c r="Y339" s="83"/>
      <c r="Z339" s="83"/>
      <c r="AA339" s="83"/>
      <c r="AB339" s="83"/>
      <c r="AC339" s="83"/>
      <c r="AD339" s="83"/>
    </row>
    <row r="340">
      <c r="A340" s="447"/>
      <c r="B340" s="448"/>
      <c r="C340" s="448"/>
      <c r="D340" s="448"/>
      <c r="E340" s="448"/>
      <c r="F340" s="448"/>
      <c r="G340" s="448"/>
      <c r="H340" s="448"/>
      <c r="I340" s="448"/>
      <c r="J340" s="448"/>
      <c r="K340" s="449"/>
      <c r="L340" s="448"/>
      <c r="M340" s="450"/>
      <c r="N340" s="451"/>
      <c r="O340" s="451"/>
      <c r="P340" s="451"/>
      <c r="Q340" s="448"/>
      <c r="R340" s="83"/>
      <c r="S340" s="83"/>
      <c r="T340" s="83"/>
      <c r="U340" s="83"/>
      <c r="V340" s="83"/>
      <c r="W340" s="83"/>
      <c r="X340" s="83"/>
      <c r="Y340" s="83"/>
      <c r="Z340" s="83"/>
      <c r="AA340" s="83"/>
      <c r="AB340" s="83"/>
      <c r="AC340" s="83"/>
      <c r="AD340" s="83"/>
    </row>
    <row r="341">
      <c r="A341" s="447"/>
      <c r="B341" s="448"/>
      <c r="C341" s="448"/>
      <c r="D341" s="448"/>
      <c r="E341" s="448"/>
      <c r="F341" s="448"/>
      <c r="G341" s="448"/>
      <c r="H341" s="448"/>
      <c r="I341" s="448"/>
      <c r="J341" s="448"/>
      <c r="K341" s="449"/>
      <c r="L341" s="448"/>
      <c r="M341" s="450"/>
      <c r="N341" s="451"/>
      <c r="O341" s="451"/>
      <c r="P341" s="451"/>
      <c r="Q341" s="448"/>
      <c r="R341" s="83"/>
      <c r="S341" s="83"/>
      <c r="T341" s="83"/>
      <c r="U341" s="83"/>
      <c r="V341" s="83"/>
      <c r="W341" s="83"/>
      <c r="X341" s="83"/>
      <c r="Y341" s="83"/>
      <c r="Z341" s="83"/>
      <c r="AA341" s="83"/>
      <c r="AB341" s="83"/>
      <c r="AC341" s="83"/>
      <c r="AD341" s="83"/>
    </row>
    <row r="342">
      <c r="A342" s="447"/>
      <c r="B342" s="448"/>
      <c r="C342" s="448"/>
      <c r="D342" s="448"/>
      <c r="E342" s="448"/>
      <c r="F342" s="448"/>
      <c r="G342" s="448"/>
      <c r="H342" s="448"/>
      <c r="I342" s="448"/>
      <c r="J342" s="448"/>
      <c r="K342" s="449"/>
      <c r="L342" s="448"/>
      <c r="M342" s="450"/>
      <c r="N342" s="451"/>
      <c r="O342" s="451"/>
      <c r="P342" s="451"/>
      <c r="Q342" s="448"/>
      <c r="R342" s="83"/>
      <c r="S342" s="83"/>
      <c r="T342" s="83"/>
      <c r="U342" s="83"/>
      <c r="V342" s="83"/>
      <c r="W342" s="83"/>
      <c r="X342" s="83"/>
      <c r="Y342" s="83"/>
      <c r="Z342" s="83"/>
      <c r="AA342" s="83"/>
      <c r="AB342" s="83"/>
      <c r="AC342" s="83"/>
      <c r="AD342" s="83"/>
    </row>
    <row r="343">
      <c r="A343" s="447"/>
      <c r="B343" s="448"/>
      <c r="C343" s="448"/>
      <c r="D343" s="448"/>
      <c r="E343" s="448"/>
      <c r="F343" s="448"/>
      <c r="G343" s="448"/>
      <c r="H343" s="448"/>
      <c r="I343" s="448"/>
      <c r="J343" s="448"/>
      <c r="K343" s="449"/>
      <c r="L343" s="448"/>
      <c r="M343" s="450"/>
      <c r="N343" s="451"/>
      <c r="O343" s="451"/>
      <c r="P343" s="451"/>
      <c r="Q343" s="448"/>
      <c r="R343" s="83"/>
      <c r="S343" s="83"/>
      <c r="T343" s="83"/>
      <c r="U343" s="83"/>
      <c r="V343" s="83"/>
      <c r="W343" s="83"/>
      <c r="X343" s="83"/>
      <c r="Y343" s="83"/>
      <c r="Z343" s="83"/>
      <c r="AA343" s="83"/>
      <c r="AB343" s="83"/>
      <c r="AC343" s="83"/>
      <c r="AD343" s="83"/>
    </row>
    <row r="344">
      <c r="A344" s="447"/>
      <c r="B344" s="448"/>
      <c r="C344" s="448"/>
      <c r="D344" s="448"/>
      <c r="E344" s="448"/>
      <c r="F344" s="448"/>
      <c r="G344" s="448"/>
      <c r="H344" s="448"/>
      <c r="I344" s="448"/>
      <c r="J344" s="448"/>
      <c r="K344" s="449"/>
      <c r="L344" s="448"/>
      <c r="M344" s="450"/>
      <c r="N344" s="451"/>
      <c r="O344" s="451"/>
      <c r="P344" s="451"/>
      <c r="Q344" s="448"/>
      <c r="R344" s="83"/>
      <c r="S344" s="83"/>
      <c r="T344" s="83"/>
      <c r="U344" s="83"/>
      <c r="V344" s="83"/>
      <c r="W344" s="83"/>
      <c r="X344" s="83"/>
      <c r="Y344" s="83"/>
      <c r="Z344" s="83"/>
      <c r="AA344" s="83"/>
      <c r="AB344" s="83"/>
      <c r="AC344" s="83"/>
      <c r="AD344" s="83"/>
    </row>
    <row r="345">
      <c r="A345" s="447"/>
      <c r="B345" s="448"/>
      <c r="C345" s="448"/>
      <c r="D345" s="448"/>
      <c r="E345" s="448"/>
      <c r="F345" s="448"/>
      <c r="G345" s="448"/>
      <c r="H345" s="448"/>
      <c r="I345" s="448"/>
      <c r="J345" s="448"/>
      <c r="K345" s="449"/>
      <c r="L345" s="448"/>
      <c r="M345" s="450"/>
      <c r="N345" s="451"/>
      <c r="O345" s="451"/>
      <c r="P345" s="451"/>
      <c r="Q345" s="448"/>
      <c r="R345" s="83"/>
      <c r="S345" s="83"/>
      <c r="T345" s="83"/>
      <c r="U345" s="83"/>
      <c r="V345" s="83"/>
      <c r="W345" s="83"/>
      <c r="X345" s="83"/>
      <c r="Y345" s="83"/>
      <c r="Z345" s="83"/>
      <c r="AA345" s="83"/>
      <c r="AB345" s="83"/>
      <c r="AC345" s="83"/>
      <c r="AD345" s="83"/>
    </row>
    <row r="346">
      <c r="A346" s="447"/>
      <c r="B346" s="448"/>
      <c r="C346" s="448"/>
      <c r="D346" s="448"/>
      <c r="E346" s="448"/>
      <c r="F346" s="448"/>
      <c r="G346" s="448"/>
      <c r="H346" s="448"/>
      <c r="I346" s="448"/>
      <c r="J346" s="448"/>
      <c r="K346" s="449"/>
      <c r="L346" s="448"/>
      <c r="M346" s="450"/>
      <c r="N346" s="451"/>
      <c r="O346" s="451"/>
      <c r="P346" s="451"/>
      <c r="Q346" s="448"/>
      <c r="R346" s="83"/>
      <c r="S346" s="83"/>
      <c r="T346" s="83"/>
      <c r="U346" s="83"/>
      <c r="V346" s="83"/>
      <c r="W346" s="83"/>
      <c r="X346" s="83"/>
      <c r="Y346" s="83"/>
      <c r="Z346" s="83"/>
      <c r="AA346" s="83"/>
      <c r="AB346" s="83"/>
      <c r="AC346" s="83"/>
      <c r="AD346" s="83"/>
    </row>
    <row r="347">
      <c r="A347" s="447"/>
      <c r="B347" s="448"/>
      <c r="C347" s="448"/>
      <c r="D347" s="448"/>
      <c r="E347" s="448"/>
      <c r="F347" s="448"/>
      <c r="G347" s="448"/>
      <c r="H347" s="448"/>
      <c r="I347" s="448"/>
      <c r="J347" s="448"/>
      <c r="K347" s="449"/>
      <c r="L347" s="448"/>
      <c r="M347" s="450"/>
      <c r="N347" s="451"/>
      <c r="O347" s="451"/>
      <c r="P347" s="451"/>
      <c r="Q347" s="448"/>
      <c r="R347" s="83"/>
      <c r="S347" s="83"/>
      <c r="T347" s="83"/>
      <c r="U347" s="83"/>
      <c r="V347" s="83"/>
      <c r="W347" s="83"/>
      <c r="X347" s="83"/>
      <c r="Y347" s="83"/>
      <c r="Z347" s="83"/>
      <c r="AA347" s="83"/>
      <c r="AB347" s="83"/>
      <c r="AC347" s="83"/>
      <c r="AD347" s="83"/>
    </row>
    <row r="348">
      <c r="A348" s="447"/>
      <c r="B348" s="448"/>
      <c r="C348" s="448"/>
      <c r="D348" s="448"/>
      <c r="E348" s="448"/>
      <c r="F348" s="448"/>
      <c r="G348" s="448"/>
      <c r="H348" s="448"/>
      <c r="I348" s="448"/>
      <c r="J348" s="448"/>
      <c r="K348" s="449"/>
      <c r="L348" s="448"/>
      <c r="M348" s="450"/>
      <c r="N348" s="451"/>
      <c r="O348" s="451"/>
      <c r="P348" s="451"/>
      <c r="Q348" s="448"/>
      <c r="R348" s="83"/>
      <c r="S348" s="83"/>
      <c r="T348" s="83"/>
      <c r="U348" s="83"/>
      <c r="V348" s="83"/>
      <c r="W348" s="83"/>
      <c r="X348" s="83"/>
      <c r="Y348" s="83"/>
      <c r="Z348" s="83"/>
      <c r="AA348" s="83"/>
      <c r="AB348" s="83"/>
      <c r="AC348" s="83"/>
      <c r="AD348" s="83"/>
    </row>
    <row r="349">
      <c r="A349" s="447"/>
      <c r="B349" s="448"/>
      <c r="C349" s="448"/>
      <c r="D349" s="448"/>
      <c r="E349" s="448"/>
      <c r="F349" s="448"/>
      <c r="G349" s="448"/>
      <c r="H349" s="448"/>
      <c r="I349" s="448"/>
      <c r="J349" s="448"/>
      <c r="K349" s="449"/>
      <c r="L349" s="448"/>
      <c r="M349" s="450"/>
      <c r="N349" s="451"/>
      <c r="O349" s="451"/>
      <c r="P349" s="451"/>
      <c r="Q349" s="448"/>
      <c r="R349" s="83"/>
      <c r="S349" s="83"/>
      <c r="T349" s="83"/>
      <c r="U349" s="83"/>
      <c r="V349" s="83"/>
      <c r="W349" s="83"/>
      <c r="X349" s="83"/>
      <c r="Y349" s="83"/>
      <c r="Z349" s="83"/>
      <c r="AA349" s="83"/>
      <c r="AB349" s="83"/>
      <c r="AC349" s="83"/>
      <c r="AD349" s="83"/>
    </row>
    <row r="350">
      <c r="A350" s="447"/>
      <c r="B350" s="448"/>
      <c r="C350" s="448"/>
      <c r="D350" s="448"/>
      <c r="E350" s="448"/>
      <c r="F350" s="448"/>
      <c r="G350" s="448"/>
      <c r="H350" s="448"/>
      <c r="I350" s="448"/>
      <c r="J350" s="448"/>
      <c r="K350" s="449"/>
      <c r="L350" s="448"/>
      <c r="M350" s="450"/>
      <c r="N350" s="451"/>
      <c r="O350" s="451"/>
      <c r="P350" s="451"/>
      <c r="Q350" s="448"/>
      <c r="R350" s="83"/>
      <c r="S350" s="83"/>
      <c r="T350" s="83"/>
      <c r="U350" s="83"/>
      <c r="V350" s="83"/>
      <c r="W350" s="83"/>
      <c r="X350" s="83"/>
      <c r="Y350" s="83"/>
      <c r="Z350" s="83"/>
      <c r="AA350" s="83"/>
      <c r="AB350" s="83"/>
      <c r="AC350" s="83"/>
      <c r="AD350" s="83"/>
    </row>
    <row r="351">
      <c r="A351" s="447"/>
      <c r="B351" s="448"/>
      <c r="C351" s="448"/>
      <c r="D351" s="448"/>
      <c r="E351" s="448"/>
      <c r="F351" s="448"/>
      <c r="G351" s="448"/>
      <c r="H351" s="448"/>
      <c r="I351" s="448"/>
      <c r="J351" s="448"/>
      <c r="K351" s="449"/>
      <c r="L351" s="448"/>
      <c r="M351" s="450"/>
      <c r="N351" s="451"/>
      <c r="O351" s="451"/>
      <c r="P351" s="451"/>
      <c r="Q351" s="448"/>
      <c r="R351" s="83"/>
      <c r="S351" s="83"/>
      <c r="T351" s="83"/>
      <c r="U351" s="83"/>
      <c r="V351" s="83"/>
      <c r="W351" s="83"/>
      <c r="X351" s="83"/>
      <c r="Y351" s="83"/>
      <c r="Z351" s="83"/>
      <c r="AA351" s="83"/>
      <c r="AB351" s="83"/>
      <c r="AC351" s="83"/>
      <c r="AD351" s="83"/>
    </row>
    <row r="352">
      <c r="A352" s="447"/>
      <c r="B352" s="448"/>
      <c r="C352" s="448"/>
      <c r="D352" s="448"/>
      <c r="E352" s="448"/>
      <c r="F352" s="448"/>
      <c r="G352" s="448"/>
      <c r="H352" s="448"/>
      <c r="I352" s="448"/>
      <c r="J352" s="448"/>
      <c r="K352" s="449"/>
      <c r="L352" s="448"/>
      <c r="M352" s="450"/>
      <c r="N352" s="451"/>
      <c r="O352" s="451"/>
      <c r="P352" s="451"/>
      <c r="Q352" s="448"/>
      <c r="R352" s="83"/>
      <c r="S352" s="83"/>
      <c r="T352" s="83"/>
      <c r="U352" s="83"/>
      <c r="V352" s="83"/>
      <c r="W352" s="83"/>
      <c r="X352" s="83"/>
      <c r="Y352" s="83"/>
      <c r="Z352" s="83"/>
      <c r="AA352" s="83"/>
      <c r="AB352" s="83"/>
      <c r="AC352" s="83"/>
      <c r="AD352" s="83"/>
    </row>
    <row r="353">
      <c r="A353" s="447"/>
      <c r="B353" s="448"/>
      <c r="C353" s="448"/>
      <c r="D353" s="448"/>
      <c r="E353" s="448"/>
      <c r="F353" s="448"/>
      <c r="G353" s="448"/>
      <c r="H353" s="448"/>
      <c r="I353" s="448"/>
      <c r="J353" s="448"/>
      <c r="K353" s="449"/>
      <c r="L353" s="448"/>
      <c r="M353" s="450"/>
      <c r="N353" s="451"/>
      <c r="O353" s="451"/>
      <c r="P353" s="451"/>
      <c r="Q353" s="448"/>
      <c r="R353" s="83"/>
      <c r="S353" s="83"/>
      <c r="T353" s="83"/>
      <c r="U353" s="83"/>
      <c r="V353" s="83"/>
      <c r="W353" s="83"/>
      <c r="X353" s="83"/>
      <c r="Y353" s="83"/>
      <c r="Z353" s="83"/>
      <c r="AA353" s="83"/>
      <c r="AB353" s="83"/>
      <c r="AC353" s="83"/>
      <c r="AD353" s="83"/>
    </row>
    <row r="354">
      <c r="A354" s="447"/>
      <c r="B354" s="448"/>
      <c r="C354" s="448"/>
      <c r="D354" s="448"/>
      <c r="E354" s="448"/>
      <c r="F354" s="448"/>
      <c r="G354" s="448"/>
      <c r="H354" s="448"/>
      <c r="I354" s="448"/>
      <c r="J354" s="448"/>
      <c r="K354" s="449"/>
      <c r="L354" s="448"/>
      <c r="M354" s="450"/>
      <c r="N354" s="451"/>
      <c r="O354" s="451"/>
      <c r="P354" s="451"/>
      <c r="Q354" s="448"/>
      <c r="R354" s="83"/>
      <c r="S354" s="83"/>
      <c r="T354" s="83"/>
      <c r="U354" s="83"/>
      <c r="V354" s="83"/>
      <c r="W354" s="83"/>
      <c r="X354" s="83"/>
      <c r="Y354" s="83"/>
      <c r="Z354" s="83"/>
      <c r="AA354" s="83"/>
      <c r="AB354" s="83"/>
      <c r="AC354" s="83"/>
      <c r="AD354" s="83"/>
    </row>
    <row r="355">
      <c r="A355" s="447"/>
      <c r="B355" s="448"/>
      <c r="C355" s="448"/>
      <c r="D355" s="448"/>
      <c r="E355" s="448"/>
      <c r="F355" s="448"/>
      <c r="G355" s="448"/>
      <c r="H355" s="448"/>
      <c r="I355" s="448"/>
      <c r="J355" s="448"/>
      <c r="K355" s="449"/>
      <c r="L355" s="448"/>
      <c r="M355" s="450"/>
      <c r="N355" s="451"/>
      <c r="O355" s="451"/>
      <c r="P355" s="451"/>
      <c r="Q355" s="448"/>
      <c r="R355" s="83"/>
      <c r="S355" s="83"/>
      <c r="T355" s="83"/>
      <c r="U355" s="83"/>
      <c r="V355" s="83"/>
      <c r="W355" s="83"/>
      <c r="X355" s="83"/>
      <c r="Y355" s="83"/>
      <c r="Z355" s="83"/>
      <c r="AA355" s="83"/>
      <c r="AB355" s="83"/>
      <c r="AC355" s="83"/>
      <c r="AD355" s="83"/>
    </row>
    <row r="356">
      <c r="A356" s="447"/>
      <c r="B356" s="448"/>
      <c r="C356" s="448"/>
      <c r="D356" s="448"/>
      <c r="E356" s="448"/>
      <c r="F356" s="448"/>
      <c r="G356" s="448"/>
      <c r="H356" s="448"/>
      <c r="I356" s="448"/>
      <c r="J356" s="448"/>
      <c r="K356" s="449"/>
      <c r="L356" s="448"/>
      <c r="M356" s="450"/>
      <c r="N356" s="451"/>
      <c r="O356" s="451"/>
      <c r="P356" s="451"/>
      <c r="Q356" s="448"/>
      <c r="R356" s="83"/>
      <c r="S356" s="83"/>
      <c r="T356" s="83"/>
      <c r="U356" s="83"/>
      <c r="V356" s="83"/>
      <c r="W356" s="83"/>
      <c r="X356" s="83"/>
      <c r="Y356" s="83"/>
      <c r="Z356" s="83"/>
      <c r="AA356" s="83"/>
      <c r="AB356" s="83"/>
      <c r="AC356" s="83"/>
      <c r="AD356" s="83"/>
    </row>
    <row r="357">
      <c r="A357" s="447"/>
      <c r="B357" s="448"/>
      <c r="C357" s="448"/>
      <c r="D357" s="448"/>
      <c r="E357" s="448"/>
      <c r="F357" s="448"/>
      <c r="G357" s="448"/>
      <c r="H357" s="448"/>
      <c r="I357" s="448"/>
      <c r="J357" s="448"/>
      <c r="K357" s="449"/>
      <c r="L357" s="448"/>
      <c r="M357" s="450"/>
      <c r="N357" s="451"/>
      <c r="O357" s="451"/>
      <c r="P357" s="451"/>
      <c r="Q357" s="448"/>
      <c r="R357" s="83"/>
      <c r="S357" s="83"/>
      <c r="T357" s="83"/>
      <c r="U357" s="83"/>
      <c r="V357" s="83"/>
      <c r="W357" s="83"/>
      <c r="X357" s="83"/>
      <c r="Y357" s="83"/>
      <c r="Z357" s="83"/>
      <c r="AA357" s="83"/>
      <c r="AB357" s="83"/>
      <c r="AC357" s="83"/>
      <c r="AD357" s="83"/>
    </row>
    <row r="358">
      <c r="A358" s="447"/>
      <c r="B358" s="448"/>
      <c r="C358" s="448"/>
      <c r="D358" s="448"/>
      <c r="E358" s="448"/>
      <c r="F358" s="448"/>
      <c r="G358" s="448"/>
      <c r="H358" s="448"/>
      <c r="I358" s="448"/>
      <c r="J358" s="448"/>
      <c r="K358" s="449"/>
      <c r="L358" s="448"/>
      <c r="M358" s="450"/>
      <c r="N358" s="451"/>
      <c r="O358" s="451"/>
      <c r="P358" s="451"/>
      <c r="Q358" s="448"/>
      <c r="R358" s="83"/>
      <c r="S358" s="83"/>
      <c r="T358" s="83"/>
      <c r="U358" s="83"/>
      <c r="V358" s="83"/>
      <c r="W358" s="83"/>
      <c r="X358" s="83"/>
      <c r="Y358" s="83"/>
      <c r="Z358" s="83"/>
      <c r="AA358" s="83"/>
      <c r="AB358" s="83"/>
      <c r="AC358" s="83"/>
      <c r="AD358" s="83"/>
    </row>
    <row r="359">
      <c r="A359" s="447"/>
      <c r="B359" s="448"/>
      <c r="C359" s="448"/>
      <c r="D359" s="448"/>
      <c r="E359" s="448"/>
      <c r="F359" s="448"/>
      <c r="G359" s="448"/>
      <c r="H359" s="448"/>
      <c r="I359" s="448"/>
      <c r="J359" s="448"/>
      <c r="K359" s="449"/>
      <c r="L359" s="448"/>
      <c r="M359" s="450"/>
      <c r="N359" s="451"/>
      <c r="O359" s="451"/>
      <c r="P359" s="451"/>
      <c r="Q359" s="448"/>
      <c r="R359" s="83"/>
      <c r="S359" s="83"/>
      <c r="T359" s="83"/>
      <c r="U359" s="83"/>
      <c r="V359" s="83"/>
      <c r="W359" s="83"/>
      <c r="X359" s="83"/>
      <c r="Y359" s="83"/>
      <c r="Z359" s="83"/>
      <c r="AA359" s="83"/>
      <c r="AB359" s="83"/>
      <c r="AC359" s="83"/>
      <c r="AD359" s="83"/>
    </row>
    <row r="360">
      <c r="A360" s="447"/>
      <c r="B360" s="448"/>
      <c r="C360" s="448"/>
      <c r="D360" s="448"/>
      <c r="E360" s="448"/>
      <c r="F360" s="448"/>
      <c r="G360" s="448"/>
      <c r="H360" s="448"/>
      <c r="I360" s="448"/>
      <c r="J360" s="448"/>
      <c r="K360" s="449"/>
      <c r="L360" s="448"/>
      <c r="M360" s="450"/>
      <c r="N360" s="451"/>
      <c r="O360" s="451"/>
      <c r="P360" s="451"/>
      <c r="Q360" s="448"/>
      <c r="R360" s="83"/>
      <c r="S360" s="83"/>
      <c r="T360" s="83"/>
      <c r="U360" s="83"/>
      <c r="V360" s="83"/>
      <c r="W360" s="83"/>
      <c r="X360" s="83"/>
      <c r="Y360" s="83"/>
      <c r="Z360" s="83"/>
      <c r="AA360" s="83"/>
      <c r="AB360" s="83"/>
      <c r="AC360" s="83"/>
      <c r="AD360" s="83"/>
    </row>
    <row r="361">
      <c r="A361" s="447"/>
      <c r="B361" s="448"/>
      <c r="C361" s="448"/>
      <c r="D361" s="448"/>
      <c r="E361" s="448"/>
      <c r="F361" s="448"/>
      <c r="G361" s="448"/>
      <c r="H361" s="448"/>
      <c r="I361" s="448"/>
      <c r="J361" s="448"/>
      <c r="K361" s="449"/>
      <c r="L361" s="448"/>
      <c r="M361" s="450"/>
      <c r="N361" s="451"/>
      <c r="O361" s="451"/>
      <c r="P361" s="451"/>
      <c r="Q361" s="448"/>
      <c r="R361" s="83"/>
      <c r="S361" s="83"/>
      <c r="T361" s="83"/>
      <c r="U361" s="83"/>
      <c r="V361" s="83"/>
      <c r="W361" s="83"/>
      <c r="X361" s="83"/>
      <c r="Y361" s="83"/>
      <c r="Z361" s="83"/>
      <c r="AA361" s="83"/>
      <c r="AB361" s="83"/>
      <c r="AC361" s="83"/>
      <c r="AD361" s="83"/>
    </row>
    <row r="362">
      <c r="A362" s="447"/>
      <c r="B362" s="448"/>
      <c r="C362" s="448"/>
      <c r="D362" s="448"/>
      <c r="E362" s="448"/>
      <c r="F362" s="448"/>
      <c r="G362" s="448"/>
      <c r="H362" s="448"/>
      <c r="I362" s="448"/>
      <c r="J362" s="448"/>
      <c r="K362" s="449"/>
      <c r="L362" s="448"/>
      <c r="M362" s="450"/>
      <c r="N362" s="451"/>
      <c r="O362" s="451"/>
      <c r="P362" s="451"/>
      <c r="Q362" s="448"/>
      <c r="R362" s="83"/>
      <c r="S362" s="83"/>
      <c r="T362" s="83"/>
      <c r="U362" s="83"/>
      <c r="V362" s="83"/>
      <c r="W362" s="83"/>
      <c r="X362" s="83"/>
      <c r="Y362" s="83"/>
      <c r="Z362" s="83"/>
      <c r="AA362" s="83"/>
      <c r="AB362" s="83"/>
      <c r="AC362" s="83"/>
      <c r="AD362" s="83"/>
    </row>
    <row r="363">
      <c r="A363" s="447"/>
      <c r="B363" s="448"/>
      <c r="C363" s="448"/>
      <c r="D363" s="448"/>
      <c r="E363" s="448"/>
      <c r="F363" s="448"/>
      <c r="G363" s="448"/>
      <c r="H363" s="448"/>
      <c r="I363" s="448"/>
      <c r="J363" s="448"/>
      <c r="K363" s="449"/>
      <c r="L363" s="448"/>
      <c r="M363" s="450"/>
      <c r="N363" s="451"/>
      <c r="O363" s="451"/>
      <c r="P363" s="451"/>
      <c r="Q363" s="448"/>
      <c r="R363" s="83"/>
      <c r="S363" s="83"/>
      <c r="T363" s="83"/>
      <c r="U363" s="83"/>
      <c r="V363" s="83"/>
      <c r="W363" s="83"/>
      <c r="X363" s="83"/>
      <c r="Y363" s="83"/>
      <c r="Z363" s="83"/>
      <c r="AA363" s="83"/>
      <c r="AB363" s="83"/>
      <c r="AC363" s="83"/>
      <c r="AD363" s="83"/>
    </row>
    <row r="364">
      <c r="A364" s="447"/>
      <c r="B364" s="448"/>
      <c r="C364" s="448"/>
      <c r="D364" s="448"/>
      <c r="E364" s="448"/>
      <c r="F364" s="448"/>
      <c r="G364" s="448"/>
      <c r="H364" s="448"/>
      <c r="I364" s="448"/>
      <c r="J364" s="448"/>
      <c r="K364" s="449"/>
      <c r="L364" s="448"/>
      <c r="M364" s="450"/>
      <c r="N364" s="451"/>
      <c r="O364" s="451"/>
      <c r="P364" s="451"/>
      <c r="Q364" s="448"/>
      <c r="R364" s="83"/>
      <c r="S364" s="83"/>
      <c r="T364" s="83"/>
      <c r="U364" s="83"/>
      <c r="V364" s="83"/>
      <c r="W364" s="83"/>
      <c r="X364" s="83"/>
      <c r="Y364" s="83"/>
      <c r="Z364" s="83"/>
      <c r="AA364" s="83"/>
      <c r="AB364" s="83"/>
      <c r="AC364" s="83"/>
      <c r="AD364" s="83"/>
    </row>
    <row r="365">
      <c r="A365" s="447"/>
      <c r="B365" s="448"/>
      <c r="C365" s="448"/>
      <c r="D365" s="448"/>
      <c r="E365" s="448"/>
      <c r="F365" s="448"/>
      <c r="G365" s="448"/>
      <c r="H365" s="448"/>
      <c r="I365" s="448"/>
      <c r="J365" s="448"/>
      <c r="K365" s="449"/>
      <c r="L365" s="448"/>
      <c r="M365" s="450"/>
      <c r="N365" s="451"/>
      <c r="O365" s="451"/>
      <c r="P365" s="451"/>
      <c r="Q365" s="448"/>
      <c r="R365" s="83"/>
      <c r="S365" s="83"/>
      <c r="T365" s="83"/>
      <c r="U365" s="83"/>
      <c r="V365" s="83"/>
      <c r="W365" s="83"/>
      <c r="X365" s="83"/>
      <c r="Y365" s="83"/>
      <c r="Z365" s="83"/>
      <c r="AA365" s="83"/>
      <c r="AB365" s="83"/>
      <c r="AC365" s="83"/>
      <c r="AD365" s="83"/>
    </row>
    <row r="366">
      <c r="A366" s="447"/>
      <c r="B366" s="448"/>
      <c r="C366" s="448"/>
      <c r="D366" s="448"/>
      <c r="E366" s="448"/>
      <c r="F366" s="448"/>
      <c r="G366" s="448"/>
      <c r="H366" s="448"/>
      <c r="I366" s="448"/>
      <c r="J366" s="448"/>
      <c r="K366" s="449"/>
      <c r="L366" s="448"/>
      <c r="M366" s="450"/>
      <c r="N366" s="451"/>
      <c r="O366" s="451"/>
      <c r="P366" s="451"/>
      <c r="Q366" s="448"/>
      <c r="R366" s="83"/>
      <c r="S366" s="83"/>
      <c r="T366" s="83"/>
      <c r="U366" s="83"/>
      <c r="V366" s="83"/>
      <c r="W366" s="83"/>
      <c r="X366" s="83"/>
      <c r="Y366" s="83"/>
      <c r="Z366" s="83"/>
      <c r="AA366" s="83"/>
      <c r="AB366" s="83"/>
      <c r="AC366" s="83"/>
      <c r="AD366" s="83"/>
    </row>
    <row r="367">
      <c r="A367" s="447"/>
      <c r="B367" s="448"/>
      <c r="C367" s="448"/>
      <c r="D367" s="448"/>
      <c r="E367" s="448"/>
      <c r="F367" s="448"/>
      <c r="G367" s="448"/>
      <c r="H367" s="448"/>
      <c r="I367" s="448"/>
      <c r="J367" s="448"/>
      <c r="K367" s="449"/>
      <c r="L367" s="448"/>
      <c r="M367" s="450"/>
      <c r="N367" s="451"/>
      <c r="O367" s="451"/>
      <c r="P367" s="451"/>
      <c r="Q367" s="448"/>
      <c r="R367" s="83"/>
      <c r="S367" s="83"/>
      <c r="T367" s="83"/>
      <c r="U367" s="83"/>
      <c r="V367" s="83"/>
      <c r="W367" s="83"/>
      <c r="X367" s="83"/>
      <c r="Y367" s="83"/>
      <c r="Z367" s="83"/>
      <c r="AA367" s="83"/>
      <c r="AB367" s="83"/>
      <c r="AC367" s="83"/>
      <c r="AD367" s="83"/>
    </row>
    <row r="368">
      <c r="A368" s="447"/>
      <c r="B368" s="448"/>
      <c r="C368" s="448"/>
      <c r="D368" s="448"/>
      <c r="E368" s="448"/>
      <c r="F368" s="448"/>
      <c r="G368" s="448"/>
      <c r="H368" s="448"/>
      <c r="I368" s="448"/>
      <c r="J368" s="448"/>
      <c r="K368" s="449"/>
      <c r="L368" s="448"/>
      <c r="M368" s="450"/>
      <c r="N368" s="451"/>
      <c r="O368" s="451"/>
      <c r="P368" s="451"/>
      <c r="Q368" s="448"/>
      <c r="R368" s="83"/>
      <c r="S368" s="83"/>
      <c r="T368" s="83"/>
      <c r="U368" s="83"/>
      <c r="V368" s="83"/>
      <c r="W368" s="83"/>
      <c r="X368" s="83"/>
      <c r="Y368" s="83"/>
      <c r="Z368" s="83"/>
      <c r="AA368" s="83"/>
      <c r="AB368" s="83"/>
      <c r="AC368" s="83"/>
      <c r="AD368" s="83"/>
    </row>
    <row r="369">
      <c r="A369" s="447"/>
      <c r="B369" s="448"/>
      <c r="C369" s="448"/>
      <c r="D369" s="448"/>
      <c r="E369" s="448"/>
      <c r="F369" s="448"/>
      <c r="G369" s="448"/>
      <c r="H369" s="448"/>
      <c r="I369" s="448"/>
      <c r="J369" s="448"/>
      <c r="K369" s="449"/>
      <c r="L369" s="448"/>
      <c r="M369" s="450"/>
      <c r="N369" s="451"/>
      <c r="O369" s="451"/>
      <c r="P369" s="451"/>
      <c r="Q369" s="448"/>
      <c r="R369" s="83"/>
      <c r="S369" s="83"/>
      <c r="T369" s="83"/>
      <c r="U369" s="83"/>
      <c r="V369" s="83"/>
      <c r="W369" s="83"/>
      <c r="X369" s="83"/>
      <c r="Y369" s="83"/>
      <c r="Z369" s="83"/>
      <c r="AA369" s="83"/>
      <c r="AB369" s="83"/>
      <c r="AC369" s="83"/>
      <c r="AD369" s="83"/>
    </row>
    <row r="370">
      <c r="A370" s="447"/>
      <c r="B370" s="448"/>
      <c r="C370" s="448"/>
      <c r="D370" s="448"/>
      <c r="E370" s="448"/>
      <c r="F370" s="448"/>
      <c r="G370" s="448"/>
      <c r="H370" s="448"/>
      <c r="I370" s="448"/>
      <c r="J370" s="448"/>
      <c r="K370" s="449"/>
      <c r="L370" s="448"/>
      <c r="M370" s="450"/>
      <c r="N370" s="451"/>
      <c r="O370" s="451"/>
      <c r="P370" s="451"/>
      <c r="Q370" s="448"/>
      <c r="R370" s="83"/>
      <c r="S370" s="83"/>
      <c r="T370" s="83"/>
      <c r="U370" s="83"/>
      <c r="V370" s="83"/>
      <c r="W370" s="83"/>
      <c r="X370" s="83"/>
      <c r="Y370" s="83"/>
      <c r="Z370" s="83"/>
      <c r="AA370" s="83"/>
      <c r="AB370" s="83"/>
      <c r="AC370" s="83"/>
      <c r="AD370" s="83"/>
    </row>
    <row r="371">
      <c r="A371" s="447"/>
      <c r="B371" s="448"/>
      <c r="C371" s="448"/>
      <c r="D371" s="448"/>
      <c r="E371" s="448"/>
      <c r="F371" s="448"/>
      <c r="G371" s="448"/>
      <c r="H371" s="448"/>
      <c r="I371" s="448"/>
      <c r="J371" s="448"/>
      <c r="K371" s="449"/>
      <c r="L371" s="448"/>
      <c r="M371" s="450"/>
      <c r="N371" s="451"/>
      <c r="O371" s="451"/>
      <c r="P371" s="451"/>
      <c r="Q371" s="448"/>
      <c r="R371" s="83"/>
      <c r="S371" s="83"/>
      <c r="T371" s="83"/>
      <c r="U371" s="83"/>
      <c r="V371" s="83"/>
      <c r="W371" s="83"/>
      <c r="X371" s="83"/>
      <c r="Y371" s="83"/>
      <c r="Z371" s="83"/>
      <c r="AA371" s="83"/>
      <c r="AB371" s="83"/>
      <c r="AC371" s="83"/>
      <c r="AD371" s="83"/>
    </row>
    <row r="372">
      <c r="A372" s="447"/>
      <c r="B372" s="448"/>
      <c r="C372" s="448"/>
      <c r="D372" s="448"/>
      <c r="E372" s="448"/>
      <c r="F372" s="448"/>
      <c r="G372" s="448"/>
      <c r="H372" s="448"/>
      <c r="I372" s="448"/>
      <c r="J372" s="448"/>
      <c r="K372" s="449"/>
      <c r="L372" s="448"/>
      <c r="M372" s="450"/>
      <c r="N372" s="451"/>
      <c r="O372" s="451"/>
      <c r="P372" s="451"/>
      <c r="Q372" s="448"/>
      <c r="R372" s="83"/>
      <c r="S372" s="83"/>
      <c r="T372" s="83"/>
      <c r="U372" s="83"/>
      <c r="V372" s="83"/>
      <c r="W372" s="83"/>
      <c r="X372" s="83"/>
      <c r="Y372" s="83"/>
      <c r="Z372" s="83"/>
      <c r="AA372" s="83"/>
      <c r="AB372" s="83"/>
      <c r="AC372" s="83"/>
      <c r="AD372" s="83"/>
    </row>
    <row r="373">
      <c r="A373" s="447"/>
      <c r="B373" s="448"/>
      <c r="C373" s="448"/>
      <c r="D373" s="448"/>
      <c r="E373" s="448"/>
      <c r="F373" s="448"/>
      <c r="G373" s="448"/>
      <c r="H373" s="448"/>
      <c r="I373" s="448"/>
      <c r="J373" s="448"/>
      <c r="K373" s="449"/>
      <c r="L373" s="448"/>
      <c r="M373" s="450"/>
      <c r="N373" s="451"/>
      <c r="O373" s="451"/>
      <c r="P373" s="451"/>
      <c r="Q373" s="448"/>
      <c r="R373" s="83"/>
      <c r="S373" s="83"/>
      <c r="T373" s="83"/>
      <c r="U373" s="83"/>
      <c r="V373" s="83"/>
      <c r="W373" s="83"/>
      <c r="X373" s="83"/>
      <c r="Y373" s="83"/>
      <c r="Z373" s="83"/>
      <c r="AA373" s="83"/>
      <c r="AB373" s="83"/>
      <c r="AC373" s="83"/>
      <c r="AD373" s="83"/>
    </row>
    <row r="374">
      <c r="A374" s="447"/>
      <c r="B374" s="448"/>
      <c r="C374" s="448"/>
      <c r="D374" s="448"/>
      <c r="E374" s="448"/>
      <c r="F374" s="448"/>
      <c r="G374" s="448"/>
      <c r="H374" s="448"/>
      <c r="I374" s="448"/>
      <c r="J374" s="448"/>
      <c r="K374" s="449"/>
      <c r="L374" s="448"/>
      <c r="M374" s="450"/>
      <c r="N374" s="451"/>
      <c r="O374" s="451"/>
      <c r="P374" s="451"/>
      <c r="Q374" s="448"/>
      <c r="R374" s="83"/>
      <c r="S374" s="83"/>
      <c r="T374" s="83"/>
      <c r="U374" s="83"/>
      <c r="V374" s="83"/>
      <c r="W374" s="83"/>
      <c r="X374" s="83"/>
      <c r="Y374" s="83"/>
      <c r="Z374" s="83"/>
      <c r="AA374" s="83"/>
      <c r="AB374" s="83"/>
      <c r="AC374" s="83"/>
      <c r="AD374" s="83"/>
    </row>
    <row r="375">
      <c r="A375" s="447"/>
      <c r="B375" s="448"/>
      <c r="C375" s="448"/>
      <c r="D375" s="448"/>
      <c r="E375" s="448"/>
      <c r="F375" s="448"/>
      <c r="G375" s="448"/>
      <c r="H375" s="448"/>
      <c r="I375" s="448"/>
      <c r="J375" s="448"/>
      <c r="K375" s="449"/>
      <c r="L375" s="448"/>
      <c r="M375" s="450"/>
      <c r="N375" s="451"/>
      <c r="O375" s="451"/>
      <c r="P375" s="451"/>
      <c r="Q375" s="448"/>
      <c r="R375" s="83"/>
      <c r="S375" s="83"/>
      <c r="T375" s="83"/>
      <c r="U375" s="83"/>
      <c r="V375" s="83"/>
      <c r="W375" s="83"/>
      <c r="X375" s="83"/>
      <c r="Y375" s="83"/>
      <c r="Z375" s="83"/>
      <c r="AA375" s="83"/>
      <c r="AB375" s="83"/>
      <c r="AC375" s="83"/>
      <c r="AD375" s="83"/>
    </row>
    <row r="376">
      <c r="A376" s="447"/>
      <c r="B376" s="448"/>
      <c r="C376" s="448"/>
      <c r="D376" s="448"/>
      <c r="E376" s="448"/>
      <c r="F376" s="448"/>
      <c r="G376" s="448"/>
      <c r="H376" s="448"/>
      <c r="I376" s="448"/>
      <c r="J376" s="448"/>
      <c r="K376" s="449"/>
      <c r="L376" s="448"/>
      <c r="M376" s="450"/>
      <c r="N376" s="451"/>
      <c r="O376" s="451"/>
      <c r="P376" s="451"/>
      <c r="Q376" s="448"/>
      <c r="R376" s="83"/>
      <c r="S376" s="83"/>
      <c r="T376" s="83"/>
      <c r="U376" s="83"/>
      <c r="V376" s="83"/>
      <c r="W376" s="83"/>
      <c r="X376" s="83"/>
      <c r="Y376" s="83"/>
      <c r="Z376" s="83"/>
      <c r="AA376" s="83"/>
      <c r="AB376" s="83"/>
      <c r="AC376" s="83"/>
      <c r="AD376" s="83"/>
    </row>
    <row r="377">
      <c r="A377" s="447"/>
      <c r="B377" s="448"/>
      <c r="C377" s="448"/>
      <c r="D377" s="448"/>
      <c r="E377" s="448"/>
      <c r="F377" s="448"/>
      <c r="G377" s="448"/>
      <c r="H377" s="448"/>
      <c r="I377" s="448"/>
      <c r="J377" s="448"/>
      <c r="K377" s="449"/>
      <c r="L377" s="448"/>
      <c r="M377" s="450"/>
      <c r="N377" s="451"/>
      <c r="O377" s="451"/>
      <c r="P377" s="451"/>
      <c r="Q377" s="448"/>
      <c r="R377" s="83"/>
      <c r="S377" s="83"/>
      <c r="T377" s="83"/>
      <c r="U377" s="83"/>
      <c r="V377" s="83"/>
      <c r="W377" s="83"/>
      <c r="X377" s="83"/>
      <c r="Y377" s="83"/>
      <c r="Z377" s="83"/>
      <c r="AA377" s="83"/>
      <c r="AB377" s="83"/>
      <c r="AC377" s="83"/>
      <c r="AD377" s="83"/>
    </row>
    <row r="378">
      <c r="A378" s="447"/>
      <c r="B378" s="448"/>
      <c r="C378" s="448"/>
      <c r="D378" s="448"/>
      <c r="E378" s="448"/>
      <c r="F378" s="448"/>
      <c r="G378" s="448"/>
      <c r="H378" s="448"/>
      <c r="I378" s="448"/>
      <c r="J378" s="448"/>
      <c r="K378" s="449"/>
      <c r="L378" s="448"/>
      <c r="M378" s="450"/>
      <c r="N378" s="451"/>
      <c r="O378" s="451"/>
      <c r="P378" s="451"/>
      <c r="Q378" s="448"/>
      <c r="R378" s="83"/>
      <c r="S378" s="83"/>
      <c r="T378" s="83"/>
      <c r="U378" s="83"/>
      <c r="V378" s="83"/>
      <c r="W378" s="83"/>
      <c r="X378" s="83"/>
      <c r="Y378" s="83"/>
      <c r="Z378" s="83"/>
      <c r="AA378" s="83"/>
      <c r="AB378" s="83"/>
      <c r="AC378" s="83"/>
      <c r="AD378" s="83"/>
    </row>
    <row r="379">
      <c r="A379" s="447"/>
      <c r="B379" s="448"/>
      <c r="C379" s="448"/>
      <c r="D379" s="448"/>
      <c r="E379" s="448"/>
      <c r="F379" s="448"/>
      <c r="G379" s="448"/>
      <c r="H379" s="448"/>
      <c r="I379" s="448"/>
      <c r="J379" s="448"/>
      <c r="K379" s="449"/>
      <c r="L379" s="448"/>
      <c r="M379" s="450"/>
      <c r="N379" s="451"/>
      <c r="O379" s="451"/>
      <c r="P379" s="451"/>
      <c r="Q379" s="448"/>
      <c r="R379" s="83"/>
      <c r="S379" s="83"/>
      <c r="T379" s="83"/>
      <c r="U379" s="83"/>
      <c r="V379" s="83"/>
      <c r="W379" s="83"/>
      <c r="X379" s="83"/>
      <c r="Y379" s="83"/>
      <c r="Z379" s="83"/>
      <c r="AA379" s="83"/>
      <c r="AB379" s="83"/>
      <c r="AC379" s="83"/>
      <c r="AD379" s="83"/>
    </row>
    <row r="380">
      <c r="A380" s="447"/>
      <c r="B380" s="448"/>
      <c r="C380" s="448"/>
      <c r="D380" s="448"/>
      <c r="E380" s="448"/>
      <c r="F380" s="448"/>
      <c r="G380" s="448"/>
      <c r="H380" s="448"/>
      <c r="I380" s="448"/>
      <c r="J380" s="448"/>
      <c r="K380" s="449"/>
      <c r="L380" s="448"/>
      <c r="M380" s="450"/>
      <c r="N380" s="451"/>
      <c r="O380" s="451"/>
      <c r="P380" s="451"/>
      <c r="Q380" s="448"/>
      <c r="R380" s="83"/>
      <c r="S380" s="83"/>
      <c r="T380" s="83"/>
      <c r="U380" s="83"/>
      <c r="V380" s="83"/>
      <c r="W380" s="83"/>
      <c r="X380" s="83"/>
      <c r="Y380" s="83"/>
      <c r="Z380" s="83"/>
      <c r="AA380" s="83"/>
      <c r="AB380" s="83"/>
      <c r="AC380" s="83"/>
      <c r="AD380" s="83"/>
    </row>
    <row r="381">
      <c r="A381" s="447"/>
      <c r="B381" s="448"/>
      <c r="C381" s="448"/>
      <c r="D381" s="448"/>
      <c r="E381" s="448"/>
      <c r="F381" s="448"/>
      <c r="G381" s="448"/>
      <c r="H381" s="448"/>
      <c r="I381" s="448"/>
      <c r="J381" s="448"/>
      <c r="K381" s="449"/>
      <c r="L381" s="448"/>
      <c r="M381" s="450"/>
      <c r="N381" s="451"/>
      <c r="O381" s="451"/>
      <c r="P381" s="451"/>
      <c r="Q381" s="448"/>
      <c r="R381" s="83"/>
      <c r="S381" s="83"/>
      <c r="T381" s="83"/>
      <c r="U381" s="83"/>
      <c r="V381" s="83"/>
      <c r="W381" s="83"/>
      <c r="X381" s="83"/>
      <c r="Y381" s="83"/>
      <c r="Z381" s="83"/>
      <c r="AA381" s="83"/>
      <c r="AB381" s="83"/>
      <c r="AC381" s="83"/>
      <c r="AD381" s="83"/>
    </row>
    <row r="382">
      <c r="A382" s="447"/>
      <c r="B382" s="448"/>
      <c r="C382" s="448"/>
      <c r="D382" s="448"/>
      <c r="E382" s="448"/>
      <c r="F382" s="448"/>
      <c r="G382" s="448"/>
      <c r="H382" s="448"/>
      <c r="I382" s="448"/>
      <c r="J382" s="448"/>
      <c r="K382" s="449"/>
      <c r="L382" s="448"/>
      <c r="M382" s="450"/>
      <c r="N382" s="451"/>
      <c r="O382" s="451"/>
      <c r="P382" s="451"/>
      <c r="Q382" s="448"/>
      <c r="R382" s="83"/>
      <c r="S382" s="83"/>
      <c r="T382" s="83"/>
      <c r="U382" s="83"/>
      <c r="V382" s="83"/>
      <c r="W382" s="83"/>
      <c r="X382" s="83"/>
      <c r="Y382" s="83"/>
      <c r="Z382" s="83"/>
      <c r="AA382" s="83"/>
      <c r="AB382" s="83"/>
      <c r="AC382" s="83"/>
      <c r="AD382" s="83"/>
    </row>
    <row r="383">
      <c r="A383" s="447"/>
      <c r="B383" s="448"/>
      <c r="C383" s="448"/>
      <c r="D383" s="448"/>
      <c r="E383" s="448"/>
      <c r="F383" s="448"/>
      <c r="G383" s="448"/>
      <c r="H383" s="448"/>
      <c r="I383" s="448"/>
      <c r="J383" s="448"/>
      <c r="K383" s="449"/>
      <c r="L383" s="448"/>
      <c r="M383" s="450"/>
      <c r="N383" s="451"/>
      <c r="O383" s="451"/>
      <c r="P383" s="451"/>
      <c r="Q383" s="448"/>
      <c r="R383" s="83"/>
      <c r="S383" s="83"/>
      <c r="T383" s="83"/>
      <c r="U383" s="83"/>
      <c r="V383" s="83"/>
      <c r="W383" s="83"/>
      <c r="X383" s="83"/>
      <c r="Y383" s="83"/>
      <c r="Z383" s="83"/>
      <c r="AA383" s="83"/>
      <c r="AB383" s="83"/>
      <c r="AC383" s="83"/>
      <c r="AD383" s="83"/>
    </row>
    <row r="384">
      <c r="A384" s="447"/>
      <c r="B384" s="448"/>
      <c r="C384" s="448"/>
      <c r="D384" s="448"/>
      <c r="E384" s="448"/>
      <c r="F384" s="448"/>
      <c r="G384" s="448"/>
      <c r="H384" s="448"/>
      <c r="I384" s="448"/>
      <c r="J384" s="448"/>
      <c r="K384" s="449"/>
      <c r="L384" s="448"/>
      <c r="M384" s="450"/>
      <c r="N384" s="451"/>
      <c r="O384" s="451"/>
      <c r="P384" s="451"/>
      <c r="Q384" s="448"/>
      <c r="R384" s="83"/>
      <c r="S384" s="83"/>
      <c r="T384" s="83"/>
      <c r="U384" s="83"/>
      <c r="V384" s="83"/>
      <c r="W384" s="83"/>
      <c r="X384" s="83"/>
      <c r="Y384" s="83"/>
      <c r="Z384" s="83"/>
      <c r="AA384" s="83"/>
      <c r="AB384" s="83"/>
      <c r="AC384" s="83"/>
      <c r="AD384" s="83"/>
    </row>
    <row r="385">
      <c r="A385" s="447"/>
      <c r="B385" s="448"/>
      <c r="C385" s="448"/>
      <c r="D385" s="448"/>
      <c r="E385" s="448"/>
      <c r="F385" s="448"/>
      <c r="G385" s="448"/>
      <c r="H385" s="448"/>
      <c r="I385" s="448"/>
      <c r="J385" s="448"/>
      <c r="K385" s="449"/>
      <c r="L385" s="448"/>
      <c r="M385" s="450"/>
      <c r="N385" s="451"/>
      <c r="O385" s="451"/>
      <c r="P385" s="451"/>
      <c r="Q385" s="448"/>
      <c r="R385" s="83"/>
      <c r="S385" s="83"/>
      <c r="T385" s="83"/>
      <c r="U385" s="83"/>
      <c r="V385" s="83"/>
      <c r="W385" s="83"/>
      <c r="X385" s="83"/>
      <c r="Y385" s="83"/>
      <c r="Z385" s="83"/>
      <c r="AA385" s="83"/>
      <c r="AB385" s="83"/>
      <c r="AC385" s="83"/>
      <c r="AD385" s="83"/>
    </row>
    <row r="386">
      <c r="A386" s="447"/>
      <c r="B386" s="448"/>
      <c r="C386" s="448"/>
      <c r="D386" s="448"/>
      <c r="E386" s="448"/>
      <c r="F386" s="448"/>
      <c r="G386" s="448"/>
      <c r="H386" s="448"/>
      <c r="I386" s="448"/>
      <c r="J386" s="448"/>
      <c r="K386" s="449"/>
      <c r="L386" s="448"/>
      <c r="M386" s="450"/>
      <c r="N386" s="451"/>
      <c r="O386" s="451"/>
      <c r="P386" s="451"/>
      <c r="Q386" s="448"/>
      <c r="R386" s="83"/>
      <c r="S386" s="83"/>
      <c r="T386" s="83"/>
      <c r="U386" s="83"/>
      <c r="V386" s="83"/>
      <c r="W386" s="83"/>
      <c r="X386" s="83"/>
      <c r="Y386" s="83"/>
      <c r="Z386" s="83"/>
      <c r="AA386" s="83"/>
      <c r="AB386" s="83"/>
      <c r="AC386" s="83"/>
      <c r="AD386" s="83"/>
    </row>
    <row r="387">
      <c r="A387" s="447"/>
      <c r="B387" s="448"/>
      <c r="C387" s="448"/>
      <c r="D387" s="448"/>
      <c r="E387" s="448"/>
      <c r="F387" s="448"/>
      <c r="G387" s="448"/>
      <c r="H387" s="448"/>
      <c r="I387" s="448"/>
      <c r="J387" s="448"/>
      <c r="K387" s="449"/>
      <c r="L387" s="448"/>
      <c r="M387" s="450"/>
      <c r="N387" s="451"/>
      <c r="O387" s="451"/>
      <c r="P387" s="451"/>
      <c r="Q387" s="448"/>
      <c r="R387" s="83"/>
      <c r="S387" s="83"/>
      <c r="T387" s="83"/>
      <c r="U387" s="83"/>
      <c r="V387" s="83"/>
      <c r="W387" s="83"/>
      <c r="X387" s="83"/>
      <c r="Y387" s="83"/>
      <c r="Z387" s="83"/>
      <c r="AA387" s="83"/>
      <c r="AB387" s="83"/>
      <c r="AC387" s="83"/>
      <c r="AD387" s="83"/>
    </row>
    <row r="388">
      <c r="A388" s="447"/>
      <c r="B388" s="448"/>
      <c r="C388" s="448"/>
      <c r="D388" s="448"/>
      <c r="E388" s="448"/>
      <c r="F388" s="448"/>
      <c r="G388" s="448"/>
      <c r="H388" s="448"/>
      <c r="I388" s="448"/>
      <c r="J388" s="448"/>
      <c r="K388" s="449"/>
      <c r="L388" s="448"/>
      <c r="M388" s="450"/>
      <c r="N388" s="451"/>
      <c r="O388" s="451"/>
      <c r="P388" s="451"/>
      <c r="Q388" s="448"/>
      <c r="R388" s="83"/>
      <c r="S388" s="83"/>
      <c r="T388" s="83"/>
      <c r="U388" s="83"/>
      <c r="V388" s="83"/>
      <c r="W388" s="83"/>
      <c r="X388" s="83"/>
      <c r="Y388" s="83"/>
      <c r="Z388" s="83"/>
      <c r="AA388" s="83"/>
      <c r="AB388" s="83"/>
      <c r="AC388" s="83"/>
      <c r="AD388" s="83"/>
    </row>
    <row r="389">
      <c r="A389" s="447"/>
      <c r="B389" s="448"/>
      <c r="C389" s="448"/>
      <c r="D389" s="448"/>
      <c r="E389" s="448"/>
      <c r="F389" s="448"/>
      <c r="G389" s="448"/>
      <c r="H389" s="448"/>
      <c r="I389" s="448"/>
      <c r="J389" s="448"/>
      <c r="K389" s="449"/>
      <c r="L389" s="448"/>
      <c r="M389" s="450"/>
      <c r="N389" s="451"/>
      <c r="O389" s="451"/>
      <c r="P389" s="451"/>
      <c r="Q389" s="448"/>
      <c r="R389" s="83"/>
      <c r="S389" s="83"/>
      <c r="T389" s="83"/>
      <c r="U389" s="83"/>
      <c r="V389" s="83"/>
      <c r="W389" s="83"/>
      <c r="X389" s="83"/>
      <c r="Y389" s="83"/>
      <c r="Z389" s="83"/>
      <c r="AA389" s="83"/>
      <c r="AB389" s="83"/>
      <c r="AC389" s="83"/>
      <c r="AD389" s="83"/>
    </row>
    <row r="390">
      <c r="A390" s="447"/>
      <c r="B390" s="448"/>
      <c r="C390" s="448"/>
      <c r="D390" s="448"/>
      <c r="E390" s="448"/>
      <c r="F390" s="448"/>
      <c r="G390" s="448"/>
      <c r="H390" s="448"/>
      <c r="I390" s="448"/>
      <c r="J390" s="448"/>
      <c r="K390" s="449"/>
      <c r="L390" s="448"/>
      <c r="M390" s="450"/>
      <c r="N390" s="451"/>
      <c r="O390" s="451"/>
      <c r="P390" s="451"/>
      <c r="Q390" s="448"/>
      <c r="R390" s="83"/>
      <c r="S390" s="83"/>
      <c r="T390" s="83"/>
      <c r="U390" s="83"/>
      <c r="V390" s="83"/>
      <c r="W390" s="83"/>
      <c r="X390" s="83"/>
      <c r="Y390" s="83"/>
      <c r="Z390" s="83"/>
      <c r="AA390" s="83"/>
      <c r="AB390" s="83"/>
      <c r="AC390" s="83"/>
      <c r="AD390" s="83"/>
    </row>
    <row r="391">
      <c r="A391" s="447"/>
      <c r="B391" s="448"/>
      <c r="C391" s="448"/>
      <c r="D391" s="448"/>
      <c r="E391" s="448"/>
      <c r="F391" s="448"/>
      <c r="G391" s="448"/>
      <c r="H391" s="448"/>
      <c r="I391" s="448"/>
      <c r="J391" s="448"/>
      <c r="K391" s="449"/>
      <c r="L391" s="448"/>
      <c r="M391" s="450"/>
      <c r="N391" s="451"/>
      <c r="O391" s="451"/>
      <c r="P391" s="451"/>
      <c r="Q391" s="448"/>
      <c r="R391" s="83"/>
      <c r="S391" s="83"/>
      <c r="T391" s="83"/>
      <c r="U391" s="83"/>
      <c r="V391" s="83"/>
      <c r="W391" s="83"/>
      <c r="X391" s="83"/>
      <c r="Y391" s="83"/>
      <c r="Z391" s="83"/>
      <c r="AA391" s="83"/>
      <c r="AB391" s="83"/>
      <c r="AC391" s="83"/>
      <c r="AD391" s="83"/>
    </row>
    <row r="392">
      <c r="A392" s="447"/>
      <c r="B392" s="448"/>
      <c r="C392" s="448"/>
      <c r="D392" s="448"/>
      <c r="E392" s="448"/>
      <c r="F392" s="448"/>
      <c r="G392" s="448"/>
      <c r="H392" s="448"/>
      <c r="I392" s="448"/>
      <c r="J392" s="448"/>
      <c r="K392" s="449"/>
      <c r="L392" s="448"/>
      <c r="M392" s="450"/>
      <c r="N392" s="451"/>
      <c r="O392" s="451"/>
      <c r="P392" s="451"/>
      <c r="Q392" s="448"/>
      <c r="R392" s="83"/>
      <c r="S392" s="83"/>
      <c r="T392" s="83"/>
      <c r="U392" s="83"/>
      <c r="V392" s="83"/>
      <c r="W392" s="83"/>
      <c r="X392" s="83"/>
      <c r="Y392" s="83"/>
      <c r="Z392" s="83"/>
      <c r="AA392" s="83"/>
      <c r="AB392" s="83"/>
      <c r="AC392" s="83"/>
      <c r="AD392" s="83"/>
    </row>
    <row r="393">
      <c r="A393" s="447"/>
      <c r="B393" s="448"/>
      <c r="C393" s="448"/>
      <c r="D393" s="448"/>
      <c r="E393" s="448"/>
      <c r="F393" s="448"/>
      <c r="G393" s="448"/>
      <c r="H393" s="448"/>
      <c r="I393" s="448"/>
      <c r="J393" s="448"/>
      <c r="K393" s="449"/>
      <c r="L393" s="448"/>
      <c r="M393" s="450"/>
      <c r="N393" s="451"/>
      <c r="O393" s="451"/>
      <c r="P393" s="451"/>
      <c r="Q393" s="448"/>
      <c r="R393" s="83"/>
      <c r="S393" s="83"/>
      <c r="T393" s="83"/>
      <c r="U393" s="83"/>
      <c r="V393" s="83"/>
      <c r="W393" s="83"/>
      <c r="X393" s="83"/>
      <c r="Y393" s="83"/>
      <c r="Z393" s="83"/>
      <c r="AA393" s="83"/>
      <c r="AB393" s="83"/>
      <c r="AC393" s="83"/>
      <c r="AD393" s="83"/>
    </row>
    <row r="394">
      <c r="A394" s="447"/>
      <c r="B394" s="448"/>
      <c r="C394" s="448"/>
      <c r="D394" s="448"/>
      <c r="E394" s="448"/>
      <c r="F394" s="448"/>
      <c r="G394" s="448"/>
      <c r="H394" s="448"/>
      <c r="I394" s="448"/>
      <c r="J394" s="448"/>
      <c r="K394" s="449"/>
      <c r="L394" s="448"/>
      <c r="M394" s="450"/>
      <c r="N394" s="451"/>
      <c r="O394" s="451"/>
      <c r="P394" s="451"/>
      <c r="Q394" s="448"/>
      <c r="R394" s="83"/>
      <c r="S394" s="83"/>
      <c r="T394" s="83"/>
      <c r="U394" s="83"/>
      <c r="V394" s="83"/>
      <c r="W394" s="83"/>
      <c r="X394" s="83"/>
      <c r="Y394" s="83"/>
      <c r="Z394" s="83"/>
      <c r="AA394" s="83"/>
      <c r="AB394" s="83"/>
      <c r="AC394" s="83"/>
      <c r="AD394" s="83"/>
    </row>
    <row r="395">
      <c r="A395" s="447"/>
      <c r="B395" s="448"/>
      <c r="C395" s="448"/>
      <c r="D395" s="448"/>
      <c r="E395" s="448"/>
      <c r="F395" s="448"/>
      <c r="G395" s="448"/>
      <c r="H395" s="448"/>
      <c r="I395" s="448"/>
      <c r="J395" s="448"/>
      <c r="K395" s="449"/>
      <c r="L395" s="448"/>
      <c r="M395" s="450"/>
      <c r="N395" s="451"/>
      <c r="O395" s="451"/>
      <c r="P395" s="451"/>
      <c r="Q395" s="448"/>
      <c r="R395" s="83"/>
      <c r="S395" s="83"/>
      <c r="T395" s="83"/>
      <c r="U395" s="83"/>
      <c r="V395" s="83"/>
      <c r="W395" s="83"/>
      <c r="X395" s="83"/>
      <c r="Y395" s="83"/>
      <c r="Z395" s="83"/>
      <c r="AA395" s="83"/>
      <c r="AB395" s="83"/>
      <c r="AC395" s="83"/>
      <c r="AD395" s="83"/>
    </row>
    <row r="396">
      <c r="A396" s="447"/>
      <c r="B396" s="448"/>
      <c r="C396" s="448"/>
      <c r="D396" s="448"/>
      <c r="E396" s="448"/>
      <c r="F396" s="448"/>
      <c r="G396" s="448"/>
      <c r="H396" s="448"/>
      <c r="I396" s="448"/>
      <c r="J396" s="448"/>
      <c r="K396" s="449"/>
      <c r="L396" s="448"/>
      <c r="M396" s="450"/>
      <c r="N396" s="451"/>
      <c r="O396" s="451"/>
      <c r="P396" s="451"/>
      <c r="Q396" s="448"/>
      <c r="R396" s="83"/>
      <c r="S396" s="83"/>
      <c r="T396" s="83"/>
      <c r="U396" s="83"/>
      <c r="V396" s="83"/>
      <c r="W396" s="83"/>
      <c r="X396" s="83"/>
      <c r="Y396" s="83"/>
      <c r="Z396" s="83"/>
      <c r="AA396" s="83"/>
      <c r="AB396" s="83"/>
      <c r="AC396" s="83"/>
      <c r="AD396" s="83"/>
    </row>
    <row r="397">
      <c r="A397" s="447"/>
      <c r="B397" s="448"/>
      <c r="C397" s="448"/>
      <c r="D397" s="448"/>
      <c r="E397" s="448"/>
      <c r="F397" s="448"/>
      <c r="G397" s="448"/>
      <c r="H397" s="448"/>
      <c r="I397" s="448"/>
      <c r="J397" s="448"/>
      <c r="K397" s="449"/>
      <c r="L397" s="448"/>
      <c r="M397" s="450"/>
      <c r="N397" s="451"/>
      <c r="O397" s="451"/>
      <c r="P397" s="451"/>
      <c r="Q397" s="448"/>
      <c r="R397" s="83"/>
      <c r="S397" s="83"/>
      <c r="T397" s="83"/>
      <c r="U397" s="83"/>
      <c r="V397" s="83"/>
      <c r="W397" s="83"/>
      <c r="X397" s="83"/>
      <c r="Y397" s="83"/>
      <c r="Z397" s="83"/>
      <c r="AA397" s="83"/>
      <c r="AB397" s="83"/>
      <c r="AC397" s="83"/>
      <c r="AD397" s="83"/>
    </row>
    <row r="398">
      <c r="A398" s="447"/>
      <c r="B398" s="448"/>
      <c r="C398" s="448"/>
      <c r="D398" s="448"/>
      <c r="E398" s="448"/>
      <c r="F398" s="448"/>
      <c r="G398" s="448"/>
      <c r="H398" s="448"/>
      <c r="I398" s="448"/>
      <c r="J398" s="448"/>
      <c r="K398" s="449"/>
      <c r="L398" s="448"/>
      <c r="M398" s="450"/>
      <c r="N398" s="451"/>
      <c r="O398" s="451"/>
      <c r="P398" s="451"/>
      <c r="Q398" s="448"/>
      <c r="R398" s="83"/>
      <c r="S398" s="83"/>
      <c r="T398" s="83"/>
      <c r="U398" s="83"/>
      <c r="V398" s="83"/>
      <c r="W398" s="83"/>
      <c r="X398" s="83"/>
      <c r="Y398" s="83"/>
      <c r="Z398" s="83"/>
      <c r="AA398" s="83"/>
      <c r="AB398" s="83"/>
      <c r="AC398" s="83"/>
      <c r="AD398" s="83"/>
    </row>
    <row r="399">
      <c r="A399" s="447"/>
      <c r="B399" s="448"/>
      <c r="C399" s="448"/>
      <c r="D399" s="448"/>
      <c r="E399" s="448"/>
      <c r="F399" s="448"/>
      <c r="G399" s="448"/>
      <c r="H399" s="448"/>
      <c r="I399" s="448"/>
      <c r="J399" s="448"/>
      <c r="K399" s="449"/>
      <c r="L399" s="448"/>
      <c r="M399" s="450"/>
      <c r="N399" s="451"/>
      <c r="O399" s="451"/>
      <c r="P399" s="451"/>
      <c r="Q399" s="448"/>
      <c r="R399" s="83"/>
      <c r="S399" s="83"/>
      <c r="T399" s="83"/>
      <c r="U399" s="83"/>
      <c r="V399" s="83"/>
      <c r="W399" s="83"/>
      <c r="X399" s="83"/>
      <c r="Y399" s="83"/>
      <c r="Z399" s="83"/>
      <c r="AA399" s="83"/>
      <c r="AB399" s="83"/>
      <c r="AC399" s="83"/>
      <c r="AD399" s="83"/>
    </row>
    <row r="400">
      <c r="A400" s="447"/>
      <c r="B400" s="448"/>
      <c r="C400" s="448"/>
      <c r="D400" s="448"/>
      <c r="E400" s="448"/>
      <c r="F400" s="448"/>
      <c r="G400" s="448"/>
      <c r="H400" s="448"/>
      <c r="I400" s="448"/>
      <c r="J400" s="448"/>
      <c r="K400" s="449"/>
      <c r="L400" s="448"/>
      <c r="M400" s="450"/>
      <c r="N400" s="451"/>
      <c r="O400" s="451"/>
      <c r="P400" s="451"/>
      <c r="Q400" s="448"/>
      <c r="R400" s="83"/>
      <c r="S400" s="83"/>
      <c r="T400" s="83"/>
      <c r="U400" s="83"/>
      <c r="V400" s="83"/>
      <c r="W400" s="83"/>
      <c r="X400" s="83"/>
      <c r="Y400" s="83"/>
      <c r="Z400" s="83"/>
      <c r="AA400" s="83"/>
      <c r="AB400" s="83"/>
      <c r="AC400" s="83"/>
      <c r="AD400" s="83"/>
    </row>
    <row r="401">
      <c r="A401" s="447"/>
      <c r="B401" s="448"/>
      <c r="C401" s="448"/>
      <c r="D401" s="448"/>
      <c r="E401" s="448"/>
      <c r="F401" s="448"/>
      <c r="G401" s="448"/>
      <c r="H401" s="448"/>
      <c r="I401" s="448"/>
      <c r="J401" s="448"/>
      <c r="K401" s="449"/>
      <c r="L401" s="448"/>
      <c r="M401" s="450"/>
      <c r="N401" s="451"/>
      <c r="O401" s="451"/>
      <c r="P401" s="451"/>
      <c r="Q401" s="448"/>
      <c r="R401" s="83"/>
      <c r="S401" s="83"/>
      <c r="T401" s="83"/>
      <c r="U401" s="83"/>
      <c r="V401" s="83"/>
      <c r="W401" s="83"/>
      <c r="X401" s="83"/>
      <c r="Y401" s="83"/>
      <c r="Z401" s="83"/>
      <c r="AA401" s="83"/>
      <c r="AB401" s="83"/>
      <c r="AC401" s="83"/>
      <c r="AD401" s="83"/>
    </row>
    <row r="402">
      <c r="A402" s="447"/>
      <c r="B402" s="448"/>
      <c r="C402" s="448"/>
      <c r="D402" s="448"/>
      <c r="E402" s="448"/>
      <c r="F402" s="448"/>
      <c r="G402" s="448"/>
      <c r="H402" s="448"/>
      <c r="I402" s="448"/>
      <c r="J402" s="448"/>
      <c r="K402" s="449"/>
      <c r="L402" s="448"/>
      <c r="M402" s="450"/>
      <c r="N402" s="451"/>
      <c r="O402" s="451"/>
      <c r="P402" s="451"/>
      <c r="Q402" s="448"/>
      <c r="R402" s="83"/>
      <c r="S402" s="83"/>
      <c r="T402" s="83"/>
      <c r="U402" s="83"/>
      <c r="V402" s="83"/>
      <c r="W402" s="83"/>
      <c r="X402" s="83"/>
      <c r="Y402" s="83"/>
      <c r="Z402" s="83"/>
      <c r="AA402" s="83"/>
      <c r="AB402" s="83"/>
      <c r="AC402" s="83"/>
      <c r="AD402" s="83"/>
    </row>
    <row r="403">
      <c r="A403" s="447"/>
      <c r="B403" s="448"/>
      <c r="C403" s="448"/>
      <c r="D403" s="448"/>
      <c r="E403" s="448"/>
      <c r="F403" s="448"/>
      <c r="G403" s="448"/>
      <c r="H403" s="448"/>
      <c r="I403" s="448"/>
      <c r="J403" s="448"/>
      <c r="K403" s="449"/>
      <c r="L403" s="448"/>
      <c r="M403" s="450"/>
      <c r="N403" s="451"/>
      <c r="O403" s="451"/>
      <c r="P403" s="451"/>
      <c r="Q403" s="448"/>
      <c r="R403" s="83"/>
      <c r="S403" s="83"/>
      <c r="T403" s="83"/>
      <c r="U403" s="83"/>
      <c r="V403" s="83"/>
      <c r="W403" s="83"/>
      <c r="X403" s="83"/>
      <c r="Y403" s="83"/>
      <c r="Z403" s="83"/>
      <c r="AA403" s="83"/>
      <c r="AB403" s="83"/>
      <c r="AC403" s="83"/>
      <c r="AD403" s="83"/>
    </row>
    <row r="404">
      <c r="A404" s="447"/>
      <c r="B404" s="448"/>
      <c r="C404" s="448"/>
      <c r="D404" s="448"/>
      <c r="E404" s="448"/>
      <c r="F404" s="448"/>
      <c r="G404" s="448"/>
      <c r="H404" s="448"/>
      <c r="I404" s="448"/>
      <c r="J404" s="448"/>
      <c r="K404" s="449"/>
      <c r="L404" s="448"/>
      <c r="M404" s="450"/>
      <c r="N404" s="451"/>
      <c r="O404" s="451"/>
      <c r="P404" s="451"/>
      <c r="Q404" s="448"/>
      <c r="R404" s="83"/>
      <c r="S404" s="83"/>
      <c r="T404" s="83"/>
      <c r="U404" s="83"/>
      <c r="V404" s="83"/>
      <c r="W404" s="83"/>
      <c r="X404" s="83"/>
      <c r="Y404" s="83"/>
      <c r="Z404" s="83"/>
      <c r="AA404" s="83"/>
      <c r="AB404" s="83"/>
      <c r="AC404" s="83"/>
      <c r="AD404" s="83"/>
    </row>
    <row r="405">
      <c r="A405" s="447"/>
      <c r="B405" s="448"/>
      <c r="C405" s="448"/>
      <c r="D405" s="448"/>
      <c r="E405" s="448"/>
      <c r="F405" s="448"/>
      <c r="G405" s="448"/>
      <c r="H405" s="448"/>
      <c r="I405" s="448"/>
      <c r="J405" s="448"/>
      <c r="K405" s="449"/>
      <c r="L405" s="448"/>
      <c r="M405" s="450"/>
      <c r="N405" s="451"/>
      <c r="O405" s="451"/>
      <c r="P405" s="451"/>
      <c r="Q405" s="448"/>
      <c r="R405" s="83"/>
      <c r="S405" s="83"/>
      <c r="T405" s="83"/>
      <c r="U405" s="83"/>
      <c r="V405" s="83"/>
      <c r="W405" s="83"/>
      <c r="X405" s="83"/>
      <c r="Y405" s="83"/>
      <c r="Z405" s="83"/>
      <c r="AA405" s="83"/>
      <c r="AB405" s="83"/>
      <c r="AC405" s="83"/>
      <c r="AD405" s="83"/>
    </row>
    <row r="406">
      <c r="A406" s="447"/>
      <c r="B406" s="448"/>
      <c r="C406" s="448"/>
      <c r="D406" s="448"/>
      <c r="E406" s="448"/>
      <c r="F406" s="448"/>
      <c r="G406" s="448"/>
      <c r="H406" s="448"/>
      <c r="I406" s="448"/>
      <c r="J406" s="448"/>
      <c r="K406" s="449"/>
      <c r="L406" s="448"/>
      <c r="M406" s="450"/>
      <c r="N406" s="451"/>
      <c r="O406" s="451"/>
      <c r="P406" s="451"/>
      <c r="Q406" s="448"/>
      <c r="R406" s="83"/>
      <c r="S406" s="83"/>
      <c r="T406" s="83"/>
      <c r="U406" s="83"/>
      <c r="V406" s="83"/>
      <c r="W406" s="83"/>
      <c r="X406" s="83"/>
      <c r="Y406" s="83"/>
      <c r="Z406" s="83"/>
      <c r="AA406" s="83"/>
      <c r="AB406" s="83"/>
      <c r="AC406" s="83"/>
      <c r="AD406" s="83"/>
    </row>
    <row r="407">
      <c r="A407" s="447"/>
      <c r="B407" s="448"/>
      <c r="C407" s="448"/>
      <c r="D407" s="448"/>
      <c r="E407" s="448"/>
      <c r="F407" s="448"/>
      <c r="G407" s="448"/>
      <c r="H407" s="448"/>
      <c r="I407" s="448"/>
      <c r="J407" s="448"/>
      <c r="K407" s="449"/>
      <c r="L407" s="448"/>
      <c r="M407" s="450"/>
      <c r="N407" s="451"/>
      <c r="O407" s="451"/>
      <c r="P407" s="451"/>
      <c r="Q407" s="448"/>
      <c r="R407" s="83"/>
      <c r="S407" s="83"/>
      <c r="T407" s="83"/>
      <c r="U407" s="83"/>
      <c r="V407" s="83"/>
      <c r="W407" s="83"/>
      <c r="X407" s="83"/>
      <c r="Y407" s="83"/>
      <c r="Z407" s="83"/>
      <c r="AA407" s="83"/>
      <c r="AB407" s="83"/>
      <c r="AC407" s="83"/>
      <c r="AD407" s="83"/>
    </row>
    <row r="408">
      <c r="A408" s="447"/>
      <c r="B408" s="448"/>
      <c r="C408" s="448"/>
      <c r="D408" s="448"/>
      <c r="E408" s="448"/>
      <c r="F408" s="448"/>
      <c r="G408" s="448"/>
      <c r="H408" s="448"/>
      <c r="I408" s="448"/>
      <c r="J408" s="448"/>
      <c r="K408" s="449"/>
      <c r="L408" s="448"/>
      <c r="M408" s="450"/>
      <c r="N408" s="451"/>
      <c r="O408" s="451"/>
      <c r="P408" s="451"/>
      <c r="Q408" s="448"/>
      <c r="R408" s="83"/>
      <c r="S408" s="83"/>
      <c r="T408" s="83"/>
      <c r="U408" s="83"/>
      <c r="V408" s="83"/>
      <c r="W408" s="83"/>
      <c r="X408" s="83"/>
      <c r="Y408" s="83"/>
      <c r="Z408" s="83"/>
      <c r="AA408" s="83"/>
      <c r="AB408" s="83"/>
      <c r="AC408" s="83"/>
      <c r="AD408" s="83"/>
    </row>
    <row r="409">
      <c r="A409" s="447"/>
      <c r="B409" s="448"/>
      <c r="C409" s="448"/>
      <c r="D409" s="448"/>
      <c r="E409" s="448"/>
      <c r="F409" s="448"/>
      <c r="G409" s="448"/>
      <c r="H409" s="448"/>
      <c r="I409" s="448"/>
      <c r="J409" s="448"/>
      <c r="K409" s="449"/>
      <c r="L409" s="448"/>
      <c r="M409" s="450"/>
      <c r="N409" s="451"/>
      <c r="O409" s="451"/>
      <c r="P409" s="451"/>
      <c r="Q409" s="448"/>
      <c r="R409" s="83"/>
      <c r="S409" s="83"/>
      <c r="T409" s="83"/>
      <c r="U409" s="83"/>
      <c r="V409" s="83"/>
      <c r="W409" s="83"/>
      <c r="X409" s="83"/>
      <c r="Y409" s="83"/>
      <c r="Z409" s="83"/>
      <c r="AA409" s="83"/>
      <c r="AB409" s="83"/>
      <c r="AC409" s="83"/>
      <c r="AD409" s="83"/>
    </row>
    <row r="410">
      <c r="A410" s="447"/>
      <c r="B410" s="448"/>
      <c r="C410" s="448"/>
      <c r="D410" s="448"/>
      <c r="E410" s="448"/>
      <c r="F410" s="448"/>
      <c r="G410" s="448"/>
      <c r="H410" s="448"/>
      <c r="I410" s="448"/>
      <c r="J410" s="448"/>
      <c r="K410" s="449"/>
      <c r="L410" s="448"/>
      <c r="M410" s="450"/>
      <c r="N410" s="451"/>
      <c r="O410" s="451"/>
      <c r="P410" s="451"/>
      <c r="Q410" s="448"/>
      <c r="R410" s="83"/>
      <c r="S410" s="83"/>
      <c r="T410" s="83"/>
      <c r="U410" s="83"/>
      <c r="V410" s="83"/>
      <c r="W410" s="83"/>
      <c r="X410" s="83"/>
      <c r="Y410" s="83"/>
      <c r="Z410" s="83"/>
      <c r="AA410" s="83"/>
      <c r="AB410" s="83"/>
      <c r="AC410" s="83"/>
      <c r="AD410" s="83"/>
    </row>
    <row r="411">
      <c r="A411" s="447"/>
      <c r="B411" s="448"/>
      <c r="C411" s="448"/>
      <c r="D411" s="448"/>
      <c r="E411" s="448"/>
      <c r="F411" s="448"/>
      <c r="G411" s="448"/>
      <c r="H411" s="448"/>
      <c r="I411" s="448"/>
      <c r="J411" s="448"/>
      <c r="K411" s="449"/>
      <c r="L411" s="448"/>
      <c r="M411" s="450"/>
      <c r="N411" s="451"/>
      <c r="O411" s="451"/>
      <c r="P411" s="451"/>
      <c r="Q411" s="448"/>
      <c r="R411" s="83"/>
      <c r="S411" s="83"/>
      <c r="T411" s="83"/>
      <c r="U411" s="83"/>
      <c r="V411" s="83"/>
      <c r="W411" s="83"/>
      <c r="X411" s="83"/>
      <c r="Y411" s="83"/>
      <c r="Z411" s="83"/>
      <c r="AA411" s="83"/>
      <c r="AB411" s="83"/>
      <c r="AC411" s="83"/>
      <c r="AD411" s="83"/>
    </row>
    <row r="412">
      <c r="A412" s="447"/>
      <c r="B412" s="448"/>
      <c r="C412" s="448"/>
      <c r="D412" s="448"/>
      <c r="E412" s="448"/>
      <c r="F412" s="448"/>
      <c r="G412" s="448"/>
      <c r="H412" s="448"/>
      <c r="I412" s="448"/>
      <c r="J412" s="448"/>
      <c r="K412" s="449"/>
      <c r="L412" s="448"/>
      <c r="M412" s="450"/>
      <c r="N412" s="451"/>
      <c r="O412" s="451"/>
      <c r="P412" s="451"/>
      <c r="Q412" s="448"/>
      <c r="R412" s="83"/>
      <c r="S412" s="83"/>
      <c r="T412" s="83"/>
      <c r="U412" s="83"/>
      <c r="V412" s="83"/>
      <c r="W412" s="83"/>
      <c r="X412" s="83"/>
      <c r="Y412" s="83"/>
      <c r="Z412" s="83"/>
      <c r="AA412" s="83"/>
      <c r="AB412" s="83"/>
      <c r="AC412" s="83"/>
      <c r="AD412" s="83"/>
    </row>
    <row r="413">
      <c r="A413" s="447"/>
      <c r="B413" s="448"/>
      <c r="C413" s="448"/>
      <c r="D413" s="448"/>
      <c r="E413" s="448"/>
      <c r="F413" s="448"/>
      <c r="G413" s="448"/>
      <c r="H413" s="448"/>
      <c r="I413" s="448"/>
      <c r="J413" s="448"/>
      <c r="K413" s="449"/>
      <c r="L413" s="448"/>
      <c r="M413" s="450"/>
      <c r="N413" s="451"/>
      <c r="O413" s="451"/>
      <c r="P413" s="451"/>
      <c r="Q413" s="448"/>
      <c r="R413" s="83"/>
      <c r="S413" s="83"/>
      <c r="T413" s="83"/>
      <c r="U413" s="83"/>
      <c r="V413" s="83"/>
      <c r="W413" s="83"/>
      <c r="X413" s="83"/>
      <c r="Y413" s="83"/>
      <c r="Z413" s="83"/>
      <c r="AA413" s="83"/>
      <c r="AB413" s="83"/>
      <c r="AC413" s="83"/>
      <c r="AD413" s="83"/>
    </row>
    <row r="414">
      <c r="A414" s="447"/>
      <c r="B414" s="448"/>
      <c r="C414" s="448"/>
      <c r="D414" s="448"/>
      <c r="E414" s="448"/>
      <c r="F414" s="448"/>
      <c r="G414" s="448"/>
      <c r="H414" s="448"/>
      <c r="I414" s="448"/>
      <c r="J414" s="448"/>
      <c r="K414" s="449"/>
      <c r="L414" s="448"/>
      <c r="M414" s="450"/>
      <c r="N414" s="451"/>
      <c r="O414" s="451"/>
      <c r="P414" s="451"/>
      <c r="Q414" s="448"/>
      <c r="R414" s="83"/>
      <c r="S414" s="83"/>
      <c r="T414" s="83"/>
      <c r="U414" s="83"/>
      <c r="V414" s="83"/>
      <c r="W414" s="83"/>
      <c r="X414" s="83"/>
      <c r="Y414" s="83"/>
      <c r="Z414" s="83"/>
      <c r="AA414" s="83"/>
      <c r="AB414" s="83"/>
      <c r="AC414" s="83"/>
      <c r="AD414" s="83"/>
    </row>
    <row r="415">
      <c r="A415" s="447"/>
      <c r="B415" s="448"/>
      <c r="C415" s="448"/>
      <c r="D415" s="448"/>
      <c r="E415" s="448"/>
      <c r="F415" s="448"/>
      <c r="G415" s="448"/>
      <c r="H415" s="448"/>
      <c r="I415" s="448"/>
      <c r="J415" s="448"/>
      <c r="K415" s="449"/>
      <c r="L415" s="448"/>
      <c r="M415" s="450"/>
      <c r="N415" s="451"/>
      <c r="O415" s="451"/>
      <c r="P415" s="451"/>
      <c r="Q415" s="448"/>
      <c r="R415" s="83"/>
      <c r="S415" s="83"/>
      <c r="T415" s="83"/>
      <c r="U415" s="83"/>
      <c r="V415" s="83"/>
      <c r="W415" s="83"/>
      <c r="X415" s="83"/>
      <c r="Y415" s="83"/>
      <c r="Z415" s="83"/>
      <c r="AA415" s="83"/>
      <c r="AB415" s="83"/>
      <c r="AC415" s="83"/>
      <c r="AD415" s="83"/>
    </row>
    <row r="416">
      <c r="A416" s="447"/>
      <c r="B416" s="448"/>
      <c r="C416" s="448"/>
      <c r="D416" s="448"/>
      <c r="E416" s="448"/>
      <c r="F416" s="448"/>
      <c r="G416" s="448"/>
      <c r="H416" s="448"/>
      <c r="I416" s="448"/>
      <c r="J416" s="448"/>
      <c r="K416" s="449"/>
      <c r="L416" s="448"/>
      <c r="M416" s="450"/>
      <c r="N416" s="451"/>
      <c r="O416" s="451"/>
      <c r="P416" s="451"/>
      <c r="Q416" s="448"/>
      <c r="R416" s="83"/>
      <c r="S416" s="83"/>
      <c r="T416" s="83"/>
      <c r="U416" s="83"/>
      <c r="V416" s="83"/>
      <c r="W416" s="83"/>
      <c r="X416" s="83"/>
      <c r="Y416" s="83"/>
      <c r="Z416" s="83"/>
      <c r="AA416" s="83"/>
      <c r="AB416" s="83"/>
      <c r="AC416" s="83"/>
      <c r="AD416" s="83"/>
    </row>
    <row r="417">
      <c r="A417" s="447"/>
      <c r="B417" s="448"/>
      <c r="C417" s="448"/>
      <c r="D417" s="448"/>
      <c r="E417" s="448"/>
      <c r="F417" s="448"/>
      <c r="G417" s="448"/>
      <c r="H417" s="448"/>
      <c r="I417" s="448"/>
      <c r="J417" s="448"/>
      <c r="K417" s="449"/>
      <c r="L417" s="448"/>
      <c r="M417" s="450"/>
      <c r="N417" s="451"/>
      <c r="O417" s="451"/>
      <c r="P417" s="451"/>
      <c r="Q417" s="448"/>
      <c r="R417" s="83"/>
      <c r="S417" s="83"/>
      <c r="T417" s="83"/>
      <c r="U417" s="83"/>
      <c r="V417" s="83"/>
      <c r="W417" s="83"/>
      <c r="X417" s="83"/>
      <c r="Y417" s="83"/>
      <c r="Z417" s="83"/>
      <c r="AA417" s="83"/>
      <c r="AB417" s="83"/>
      <c r="AC417" s="83"/>
      <c r="AD417" s="83"/>
    </row>
    <row r="418">
      <c r="A418" s="447"/>
      <c r="B418" s="448"/>
      <c r="C418" s="448"/>
      <c r="D418" s="448"/>
      <c r="E418" s="448"/>
      <c r="F418" s="448"/>
      <c r="G418" s="448"/>
      <c r="H418" s="448"/>
      <c r="I418" s="448"/>
      <c r="J418" s="448"/>
      <c r="K418" s="449"/>
      <c r="L418" s="448"/>
      <c r="M418" s="450"/>
      <c r="N418" s="451"/>
      <c r="O418" s="451"/>
      <c r="P418" s="451"/>
      <c r="Q418" s="448"/>
      <c r="R418" s="83"/>
      <c r="S418" s="83"/>
      <c r="T418" s="83"/>
      <c r="U418" s="83"/>
      <c r="V418" s="83"/>
      <c r="W418" s="83"/>
      <c r="X418" s="83"/>
      <c r="Y418" s="83"/>
      <c r="Z418" s="83"/>
      <c r="AA418" s="83"/>
      <c r="AB418" s="83"/>
      <c r="AC418" s="83"/>
      <c r="AD418" s="83"/>
    </row>
    <row r="419">
      <c r="A419" s="447"/>
      <c r="B419" s="448"/>
      <c r="C419" s="448"/>
      <c r="D419" s="448"/>
      <c r="E419" s="448"/>
      <c r="F419" s="448"/>
      <c r="G419" s="448"/>
      <c r="H419" s="448"/>
      <c r="I419" s="448"/>
      <c r="J419" s="448"/>
      <c r="K419" s="449"/>
      <c r="L419" s="448"/>
      <c r="M419" s="450"/>
      <c r="N419" s="451"/>
      <c r="O419" s="451"/>
      <c r="P419" s="451"/>
      <c r="Q419" s="448"/>
      <c r="R419" s="83"/>
      <c r="S419" s="83"/>
      <c r="T419" s="83"/>
      <c r="U419" s="83"/>
      <c r="V419" s="83"/>
      <c r="W419" s="83"/>
      <c r="X419" s="83"/>
      <c r="Y419" s="83"/>
      <c r="Z419" s="83"/>
      <c r="AA419" s="83"/>
      <c r="AB419" s="83"/>
      <c r="AC419" s="83"/>
      <c r="AD419" s="83"/>
    </row>
    <row r="420">
      <c r="A420" s="447"/>
      <c r="B420" s="448"/>
      <c r="C420" s="448"/>
      <c r="D420" s="448"/>
      <c r="E420" s="448"/>
      <c r="F420" s="448"/>
      <c r="G420" s="448"/>
      <c r="H420" s="448"/>
      <c r="I420" s="448"/>
      <c r="J420" s="448"/>
      <c r="K420" s="449"/>
      <c r="L420" s="448"/>
      <c r="M420" s="450"/>
      <c r="N420" s="451"/>
      <c r="O420" s="451"/>
      <c r="P420" s="451"/>
      <c r="Q420" s="448"/>
      <c r="R420" s="83"/>
      <c r="S420" s="83"/>
      <c r="T420" s="83"/>
      <c r="U420" s="83"/>
      <c r="V420" s="83"/>
      <c r="W420" s="83"/>
      <c r="X420" s="83"/>
      <c r="Y420" s="83"/>
      <c r="Z420" s="83"/>
      <c r="AA420" s="83"/>
      <c r="AB420" s="83"/>
      <c r="AC420" s="83"/>
      <c r="AD420" s="83"/>
    </row>
    <row r="421">
      <c r="A421" s="447"/>
      <c r="B421" s="448"/>
      <c r="C421" s="448"/>
      <c r="D421" s="448"/>
      <c r="E421" s="448"/>
      <c r="F421" s="448"/>
      <c r="G421" s="448"/>
      <c r="H421" s="448"/>
      <c r="I421" s="448"/>
      <c r="J421" s="448"/>
      <c r="K421" s="449"/>
      <c r="L421" s="448"/>
      <c r="M421" s="450"/>
      <c r="N421" s="451"/>
      <c r="O421" s="451"/>
      <c r="P421" s="451"/>
      <c r="Q421" s="448"/>
      <c r="R421" s="83"/>
      <c r="S421" s="83"/>
      <c r="T421" s="83"/>
      <c r="U421" s="83"/>
      <c r="V421" s="83"/>
      <c r="W421" s="83"/>
      <c r="X421" s="83"/>
      <c r="Y421" s="83"/>
      <c r="Z421" s="83"/>
      <c r="AA421" s="83"/>
      <c r="AB421" s="83"/>
      <c r="AC421" s="83"/>
      <c r="AD421" s="83"/>
    </row>
    <row r="422">
      <c r="A422" s="447"/>
      <c r="B422" s="448"/>
      <c r="C422" s="448"/>
      <c r="D422" s="448"/>
      <c r="E422" s="448"/>
      <c r="F422" s="448"/>
      <c r="G422" s="448"/>
      <c r="H422" s="448"/>
      <c r="I422" s="448"/>
      <c r="J422" s="448"/>
      <c r="K422" s="449"/>
      <c r="L422" s="448"/>
      <c r="M422" s="450"/>
      <c r="N422" s="451"/>
      <c r="O422" s="451"/>
      <c r="P422" s="451"/>
      <c r="Q422" s="448"/>
      <c r="R422" s="83"/>
      <c r="S422" s="83"/>
      <c r="T422" s="83"/>
      <c r="U422" s="83"/>
      <c r="V422" s="83"/>
      <c r="W422" s="83"/>
      <c r="X422" s="83"/>
      <c r="Y422" s="83"/>
      <c r="Z422" s="83"/>
      <c r="AA422" s="83"/>
      <c r="AB422" s="83"/>
      <c r="AC422" s="83"/>
      <c r="AD422" s="83"/>
    </row>
    <row r="423">
      <c r="A423" s="447"/>
      <c r="B423" s="448"/>
      <c r="C423" s="448"/>
      <c r="D423" s="448"/>
      <c r="E423" s="448"/>
      <c r="F423" s="448"/>
      <c r="G423" s="448"/>
      <c r="H423" s="448"/>
      <c r="I423" s="448"/>
      <c r="J423" s="448"/>
      <c r="K423" s="449"/>
      <c r="L423" s="448"/>
      <c r="M423" s="450"/>
      <c r="N423" s="451"/>
      <c r="O423" s="451"/>
      <c r="P423" s="451"/>
      <c r="Q423" s="448"/>
      <c r="R423" s="83"/>
      <c r="S423" s="83"/>
      <c r="T423" s="83"/>
      <c r="U423" s="83"/>
      <c r="V423" s="83"/>
      <c r="W423" s="83"/>
      <c r="X423" s="83"/>
      <c r="Y423" s="83"/>
      <c r="Z423" s="83"/>
      <c r="AA423" s="83"/>
      <c r="AB423" s="83"/>
      <c r="AC423" s="83"/>
      <c r="AD423" s="83"/>
    </row>
    <row r="424">
      <c r="A424" s="447"/>
      <c r="B424" s="448"/>
      <c r="C424" s="448"/>
      <c r="D424" s="448"/>
      <c r="E424" s="448"/>
      <c r="F424" s="448"/>
      <c r="G424" s="448"/>
      <c r="H424" s="448"/>
      <c r="I424" s="448"/>
      <c r="J424" s="448"/>
      <c r="K424" s="449"/>
      <c r="L424" s="448"/>
      <c r="M424" s="450"/>
      <c r="N424" s="451"/>
      <c r="O424" s="451"/>
      <c r="P424" s="451"/>
      <c r="Q424" s="448"/>
      <c r="R424" s="83"/>
      <c r="S424" s="83"/>
      <c r="T424" s="83"/>
      <c r="U424" s="83"/>
      <c r="V424" s="83"/>
      <c r="W424" s="83"/>
      <c r="X424" s="83"/>
      <c r="Y424" s="83"/>
      <c r="Z424" s="83"/>
      <c r="AA424" s="83"/>
      <c r="AB424" s="83"/>
      <c r="AC424" s="83"/>
      <c r="AD424" s="83"/>
    </row>
    <row r="425">
      <c r="A425" s="447"/>
      <c r="B425" s="448"/>
      <c r="C425" s="448"/>
      <c r="D425" s="448"/>
      <c r="E425" s="448"/>
      <c r="F425" s="448"/>
      <c r="G425" s="448"/>
      <c r="H425" s="448"/>
      <c r="I425" s="448"/>
      <c r="J425" s="448"/>
      <c r="K425" s="449"/>
      <c r="L425" s="448"/>
      <c r="M425" s="450"/>
      <c r="N425" s="451"/>
      <c r="O425" s="451"/>
      <c r="P425" s="451"/>
      <c r="Q425" s="448"/>
      <c r="R425" s="83"/>
      <c r="S425" s="83"/>
      <c r="T425" s="83"/>
      <c r="U425" s="83"/>
      <c r="V425" s="83"/>
      <c r="W425" s="83"/>
      <c r="X425" s="83"/>
      <c r="Y425" s="83"/>
      <c r="Z425" s="83"/>
      <c r="AA425" s="83"/>
      <c r="AB425" s="83"/>
      <c r="AC425" s="83"/>
      <c r="AD425" s="83"/>
    </row>
    <row r="426">
      <c r="A426" s="447"/>
      <c r="B426" s="448"/>
      <c r="C426" s="448"/>
      <c r="D426" s="448"/>
      <c r="E426" s="448"/>
      <c r="F426" s="448"/>
      <c r="G426" s="448"/>
      <c r="H426" s="448"/>
      <c r="I426" s="448"/>
      <c r="J426" s="448"/>
      <c r="K426" s="449"/>
      <c r="L426" s="448"/>
      <c r="M426" s="450"/>
      <c r="N426" s="451"/>
      <c r="O426" s="451"/>
      <c r="P426" s="451"/>
      <c r="Q426" s="448"/>
      <c r="R426" s="83"/>
      <c r="S426" s="83"/>
      <c r="T426" s="83"/>
      <c r="U426" s="83"/>
      <c r="V426" s="83"/>
      <c r="W426" s="83"/>
      <c r="X426" s="83"/>
      <c r="Y426" s="83"/>
      <c r="Z426" s="83"/>
      <c r="AA426" s="83"/>
      <c r="AB426" s="83"/>
      <c r="AC426" s="83"/>
      <c r="AD426" s="83"/>
    </row>
    <row r="427">
      <c r="A427" s="447"/>
      <c r="B427" s="448"/>
      <c r="C427" s="448"/>
      <c r="D427" s="448"/>
      <c r="E427" s="448"/>
      <c r="F427" s="448"/>
      <c r="G427" s="448"/>
      <c r="H427" s="448"/>
      <c r="I427" s="448"/>
      <c r="J427" s="448"/>
      <c r="K427" s="449"/>
      <c r="L427" s="448"/>
      <c r="M427" s="450"/>
      <c r="N427" s="451"/>
      <c r="O427" s="451"/>
      <c r="P427" s="451"/>
      <c r="Q427" s="448"/>
      <c r="R427" s="83"/>
      <c r="S427" s="83"/>
      <c r="T427" s="83"/>
      <c r="U427" s="83"/>
      <c r="V427" s="83"/>
      <c r="W427" s="83"/>
      <c r="X427" s="83"/>
      <c r="Y427" s="83"/>
      <c r="Z427" s="83"/>
      <c r="AA427" s="83"/>
      <c r="AB427" s="83"/>
      <c r="AC427" s="83"/>
      <c r="AD427" s="83"/>
    </row>
    <row r="428">
      <c r="A428" s="447"/>
      <c r="B428" s="448"/>
      <c r="C428" s="448"/>
      <c r="D428" s="448"/>
      <c r="E428" s="448"/>
      <c r="F428" s="448"/>
      <c r="G428" s="448"/>
      <c r="H428" s="448"/>
      <c r="I428" s="448"/>
      <c r="J428" s="448"/>
      <c r="K428" s="449"/>
      <c r="L428" s="448"/>
      <c r="M428" s="450"/>
      <c r="N428" s="451"/>
      <c r="O428" s="451"/>
      <c r="P428" s="451"/>
      <c r="Q428" s="448"/>
      <c r="R428" s="83"/>
      <c r="S428" s="83"/>
      <c r="T428" s="83"/>
      <c r="U428" s="83"/>
      <c r="V428" s="83"/>
      <c r="W428" s="83"/>
      <c r="X428" s="83"/>
      <c r="Y428" s="83"/>
      <c r="Z428" s="83"/>
      <c r="AA428" s="83"/>
      <c r="AB428" s="83"/>
      <c r="AC428" s="83"/>
      <c r="AD428" s="83"/>
    </row>
    <row r="429">
      <c r="A429" s="447"/>
      <c r="B429" s="448"/>
      <c r="C429" s="448"/>
      <c r="D429" s="448"/>
      <c r="E429" s="448"/>
      <c r="F429" s="448"/>
      <c r="G429" s="448"/>
      <c r="H429" s="448"/>
      <c r="I429" s="448"/>
      <c r="J429" s="448"/>
      <c r="K429" s="449"/>
      <c r="L429" s="448"/>
      <c r="M429" s="450"/>
      <c r="N429" s="451"/>
      <c r="O429" s="451"/>
      <c r="P429" s="451"/>
      <c r="Q429" s="448"/>
      <c r="R429" s="83"/>
      <c r="S429" s="83"/>
      <c r="T429" s="83"/>
      <c r="U429" s="83"/>
      <c r="V429" s="83"/>
      <c r="W429" s="83"/>
      <c r="X429" s="83"/>
      <c r="Y429" s="83"/>
      <c r="Z429" s="83"/>
      <c r="AA429" s="83"/>
      <c r="AB429" s="83"/>
      <c r="AC429" s="83"/>
      <c r="AD429" s="83"/>
    </row>
    <row r="430">
      <c r="A430" s="447"/>
      <c r="B430" s="448"/>
      <c r="C430" s="448"/>
      <c r="D430" s="448"/>
      <c r="E430" s="448"/>
      <c r="F430" s="448"/>
      <c r="G430" s="448"/>
      <c r="H430" s="448"/>
      <c r="I430" s="448"/>
      <c r="J430" s="448"/>
      <c r="K430" s="449"/>
      <c r="L430" s="448"/>
      <c r="M430" s="450"/>
      <c r="N430" s="451"/>
      <c r="O430" s="451"/>
      <c r="P430" s="451"/>
      <c r="Q430" s="448"/>
      <c r="R430" s="83"/>
      <c r="S430" s="83"/>
      <c r="T430" s="83"/>
      <c r="U430" s="83"/>
      <c r="V430" s="83"/>
      <c r="W430" s="83"/>
      <c r="X430" s="83"/>
      <c r="Y430" s="83"/>
      <c r="Z430" s="83"/>
      <c r="AA430" s="83"/>
      <c r="AB430" s="83"/>
      <c r="AC430" s="83"/>
      <c r="AD430" s="83"/>
    </row>
    <row r="431">
      <c r="A431" s="447"/>
      <c r="B431" s="448"/>
      <c r="C431" s="448"/>
      <c r="D431" s="448"/>
      <c r="E431" s="448"/>
      <c r="F431" s="448"/>
      <c r="G431" s="448"/>
      <c r="H431" s="448"/>
      <c r="I431" s="448"/>
      <c r="J431" s="448"/>
      <c r="K431" s="449"/>
      <c r="L431" s="448"/>
      <c r="M431" s="450"/>
      <c r="N431" s="451"/>
      <c r="O431" s="451"/>
      <c r="P431" s="451"/>
      <c r="Q431" s="448"/>
      <c r="R431" s="83"/>
      <c r="S431" s="83"/>
      <c r="T431" s="83"/>
      <c r="U431" s="83"/>
      <c r="V431" s="83"/>
      <c r="W431" s="83"/>
      <c r="X431" s="83"/>
      <c r="Y431" s="83"/>
      <c r="Z431" s="83"/>
      <c r="AA431" s="83"/>
      <c r="AB431" s="83"/>
      <c r="AC431" s="83"/>
      <c r="AD431" s="83"/>
    </row>
    <row r="432">
      <c r="A432" s="447"/>
      <c r="B432" s="448"/>
      <c r="C432" s="448"/>
      <c r="D432" s="448"/>
      <c r="E432" s="448"/>
      <c r="F432" s="448"/>
      <c r="G432" s="448"/>
      <c r="H432" s="448"/>
      <c r="I432" s="448"/>
      <c r="J432" s="448"/>
      <c r="K432" s="449"/>
      <c r="L432" s="448"/>
      <c r="M432" s="450"/>
      <c r="N432" s="451"/>
      <c r="O432" s="451"/>
      <c r="P432" s="451"/>
      <c r="Q432" s="448"/>
      <c r="R432" s="83"/>
      <c r="S432" s="83"/>
      <c r="T432" s="83"/>
      <c r="U432" s="83"/>
      <c r="V432" s="83"/>
      <c r="W432" s="83"/>
      <c r="X432" s="83"/>
      <c r="Y432" s="83"/>
      <c r="Z432" s="83"/>
      <c r="AA432" s="83"/>
      <c r="AB432" s="83"/>
      <c r="AC432" s="83"/>
      <c r="AD432" s="83"/>
    </row>
    <row r="433">
      <c r="A433" s="447"/>
      <c r="B433" s="448"/>
      <c r="C433" s="448"/>
      <c r="D433" s="448"/>
      <c r="E433" s="448"/>
      <c r="F433" s="448"/>
      <c r="G433" s="448"/>
      <c r="H433" s="448"/>
      <c r="I433" s="448"/>
      <c r="J433" s="448"/>
      <c r="K433" s="449"/>
      <c r="L433" s="448"/>
      <c r="M433" s="450"/>
      <c r="N433" s="451"/>
      <c r="O433" s="451"/>
      <c r="P433" s="451"/>
      <c r="Q433" s="448"/>
      <c r="R433" s="83"/>
      <c r="S433" s="83"/>
      <c r="T433" s="83"/>
      <c r="U433" s="83"/>
      <c r="V433" s="83"/>
      <c r="W433" s="83"/>
      <c r="X433" s="83"/>
      <c r="Y433" s="83"/>
      <c r="Z433" s="83"/>
      <c r="AA433" s="83"/>
      <c r="AB433" s="83"/>
      <c r="AC433" s="83"/>
      <c r="AD433" s="83"/>
    </row>
    <row r="434">
      <c r="A434" s="447"/>
      <c r="B434" s="448"/>
      <c r="C434" s="448"/>
      <c r="D434" s="448"/>
      <c r="E434" s="448"/>
      <c r="F434" s="448"/>
      <c r="G434" s="448"/>
      <c r="H434" s="448"/>
      <c r="I434" s="448"/>
      <c r="J434" s="448"/>
      <c r="K434" s="449"/>
      <c r="L434" s="448"/>
      <c r="M434" s="450"/>
      <c r="N434" s="451"/>
      <c r="O434" s="451"/>
      <c r="P434" s="451"/>
      <c r="Q434" s="448"/>
      <c r="R434" s="83"/>
      <c r="S434" s="83"/>
      <c r="T434" s="83"/>
      <c r="U434" s="83"/>
      <c r="V434" s="83"/>
      <c r="W434" s="83"/>
      <c r="X434" s="83"/>
      <c r="Y434" s="83"/>
      <c r="Z434" s="83"/>
      <c r="AA434" s="83"/>
      <c r="AB434" s="83"/>
      <c r="AC434" s="83"/>
      <c r="AD434" s="83"/>
    </row>
    <row r="435">
      <c r="A435" s="447"/>
      <c r="B435" s="448"/>
      <c r="C435" s="448"/>
      <c r="D435" s="448"/>
      <c r="E435" s="448"/>
      <c r="F435" s="448"/>
      <c r="G435" s="448"/>
      <c r="H435" s="448"/>
      <c r="I435" s="448"/>
      <c r="J435" s="448"/>
      <c r="K435" s="449"/>
      <c r="L435" s="448"/>
      <c r="M435" s="450"/>
      <c r="N435" s="451"/>
      <c r="O435" s="451"/>
      <c r="P435" s="451"/>
      <c r="Q435" s="448"/>
      <c r="R435" s="83"/>
      <c r="S435" s="83"/>
      <c r="T435" s="83"/>
      <c r="U435" s="83"/>
      <c r="V435" s="83"/>
      <c r="W435" s="83"/>
      <c r="X435" s="83"/>
      <c r="Y435" s="83"/>
      <c r="Z435" s="83"/>
      <c r="AA435" s="83"/>
      <c r="AB435" s="83"/>
      <c r="AC435" s="83"/>
      <c r="AD435" s="83"/>
    </row>
    <row r="436">
      <c r="A436" s="447"/>
      <c r="B436" s="448"/>
      <c r="C436" s="448"/>
      <c r="D436" s="448"/>
      <c r="E436" s="448"/>
      <c r="F436" s="448"/>
      <c r="G436" s="448"/>
      <c r="H436" s="448"/>
      <c r="I436" s="448"/>
      <c r="J436" s="448"/>
      <c r="K436" s="449"/>
      <c r="L436" s="448"/>
      <c r="M436" s="450"/>
      <c r="N436" s="451"/>
      <c r="O436" s="451"/>
      <c r="P436" s="451"/>
      <c r="Q436" s="448"/>
      <c r="R436" s="83"/>
      <c r="S436" s="83"/>
      <c r="T436" s="83"/>
      <c r="U436" s="83"/>
      <c r="V436" s="83"/>
      <c r="W436" s="83"/>
      <c r="X436" s="83"/>
      <c r="Y436" s="83"/>
      <c r="Z436" s="83"/>
      <c r="AA436" s="83"/>
      <c r="AB436" s="83"/>
      <c r="AC436" s="83"/>
      <c r="AD436" s="83"/>
    </row>
    <row r="437">
      <c r="A437" s="447"/>
      <c r="B437" s="448"/>
      <c r="C437" s="448"/>
      <c r="D437" s="448"/>
      <c r="E437" s="448"/>
      <c r="F437" s="448"/>
      <c r="G437" s="448"/>
      <c r="H437" s="448"/>
      <c r="I437" s="448"/>
      <c r="J437" s="448"/>
      <c r="K437" s="449"/>
      <c r="L437" s="448"/>
      <c r="M437" s="450"/>
      <c r="N437" s="451"/>
      <c r="O437" s="451"/>
      <c r="P437" s="451"/>
      <c r="Q437" s="448"/>
      <c r="R437" s="83"/>
      <c r="S437" s="83"/>
      <c r="T437" s="83"/>
      <c r="U437" s="83"/>
      <c r="V437" s="83"/>
      <c r="W437" s="83"/>
      <c r="X437" s="83"/>
      <c r="Y437" s="83"/>
      <c r="Z437" s="83"/>
      <c r="AA437" s="83"/>
      <c r="AB437" s="83"/>
      <c r="AC437" s="83"/>
      <c r="AD437" s="83"/>
    </row>
    <row r="438">
      <c r="A438" s="447"/>
      <c r="B438" s="448"/>
      <c r="C438" s="448"/>
      <c r="D438" s="448"/>
      <c r="E438" s="448"/>
      <c r="F438" s="448"/>
      <c r="G438" s="448"/>
      <c r="H438" s="448"/>
      <c r="I438" s="448"/>
      <c r="J438" s="448"/>
      <c r="K438" s="449"/>
      <c r="L438" s="448"/>
      <c r="M438" s="450"/>
      <c r="N438" s="451"/>
      <c r="O438" s="451"/>
      <c r="P438" s="451"/>
      <c r="Q438" s="448"/>
      <c r="R438" s="83"/>
      <c r="S438" s="83"/>
      <c r="T438" s="83"/>
      <c r="U438" s="83"/>
      <c r="V438" s="83"/>
      <c r="W438" s="83"/>
      <c r="X438" s="83"/>
      <c r="Y438" s="83"/>
      <c r="Z438" s="83"/>
      <c r="AA438" s="83"/>
      <c r="AB438" s="83"/>
      <c r="AC438" s="83"/>
      <c r="AD438" s="83"/>
    </row>
    <row r="439">
      <c r="A439" s="447"/>
      <c r="B439" s="448"/>
      <c r="C439" s="448"/>
      <c r="D439" s="448"/>
      <c r="E439" s="448"/>
      <c r="F439" s="448"/>
      <c r="G439" s="448"/>
      <c r="H439" s="448"/>
      <c r="I439" s="448"/>
      <c r="J439" s="448"/>
      <c r="K439" s="449"/>
      <c r="L439" s="448"/>
      <c r="M439" s="450"/>
      <c r="N439" s="451"/>
      <c r="O439" s="451"/>
      <c r="P439" s="451"/>
      <c r="Q439" s="448"/>
      <c r="R439" s="83"/>
      <c r="S439" s="83"/>
      <c r="T439" s="83"/>
      <c r="U439" s="83"/>
      <c r="V439" s="83"/>
      <c r="W439" s="83"/>
      <c r="X439" s="83"/>
      <c r="Y439" s="83"/>
      <c r="Z439" s="83"/>
      <c r="AA439" s="83"/>
      <c r="AB439" s="83"/>
      <c r="AC439" s="83"/>
      <c r="AD439" s="83"/>
    </row>
    <row r="440">
      <c r="A440" s="447"/>
      <c r="B440" s="448"/>
      <c r="C440" s="448"/>
      <c r="D440" s="448"/>
      <c r="E440" s="448"/>
      <c r="F440" s="448"/>
      <c r="G440" s="448"/>
      <c r="H440" s="448"/>
      <c r="I440" s="448"/>
      <c r="J440" s="448"/>
      <c r="K440" s="449"/>
      <c r="L440" s="448"/>
      <c r="M440" s="450"/>
      <c r="N440" s="451"/>
      <c r="O440" s="451"/>
      <c r="P440" s="451"/>
      <c r="Q440" s="448"/>
      <c r="R440" s="83"/>
      <c r="S440" s="83"/>
      <c r="T440" s="83"/>
      <c r="U440" s="83"/>
      <c r="V440" s="83"/>
      <c r="W440" s="83"/>
      <c r="X440" s="83"/>
      <c r="Y440" s="83"/>
      <c r="Z440" s="83"/>
      <c r="AA440" s="83"/>
      <c r="AB440" s="83"/>
      <c r="AC440" s="83"/>
      <c r="AD440" s="83"/>
    </row>
    <row r="441">
      <c r="A441" s="447"/>
      <c r="B441" s="448"/>
      <c r="C441" s="448"/>
      <c r="D441" s="448"/>
      <c r="E441" s="448"/>
      <c r="F441" s="448"/>
      <c r="G441" s="448"/>
      <c r="H441" s="448"/>
      <c r="I441" s="448"/>
      <c r="J441" s="448"/>
      <c r="K441" s="449"/>
      <c r="L441" s="448"/>
      <c r="M441" s="450"/>
      <c r="N441" s="451"/>
      <c r="O441" s="451"/>
      <c r="P441" s="451"/>
      <c r="Q441" s="448"/>
      <c r="R441" s="83"/>
      <c r="S441" s="83"/>
      <c r="T441" s="83"/>
      <c r="U441" s="83"/>
      <c r="V441" s="83"/>
      <c r="W441" s="83"/>
      <c r="X441" s="83"/>
      <c r="Y441" s="83"/>
      <c r="Z441" s="83"/>
      <c r="AA441" s="83"/>
      <c r="AB441" s="83"/>
      <c r="AC441" s="83"/>
      <c r="AD441" s="83"/>
    </row>
    <row r="442">
      <c r="A442" s="447"/>
      <c r="B442" s="448"/>
      <c r="C442" s="448"/>
      <c r="D442" s="448"/>
      <c r="E442" s="448"/>
      <c r="F442" s="448"/>
      <c r="G442" s="448"/>
      <c r="H442" s="448"/>
      <c r="I442" s="448"/>
      <c r="J442" s="448"/>
      <c r="K442" s="449"/>
      <c r="L442" s="448"/>
      <c r="M442" s="450"/>
      <c r="N442" s="451"/>
      <c r="O442" s="451"/>
      <c r="P442" s="451"/>
      <c r="Q442" s="448"/>
      <c r="R442" s="83"/>
      <c r="S442" s="83"/>
      <c r="T442" s="83"/>
      <c r="U442" s="83"/>
      <c r="V442" s="83"/>
      <c r="W442" s="83"/>
      <c r="X442" s="83"/>
      <c r="Y442" s="83"/>
      <c r="Z442" s="83"/>
      <c r="AA442" s="83"/>
      <c r="AB442" s="83"/>
      <c r="AC442" s="83"/>
      <c r="AD442" s="83"/>
    </row>
    <row r="443">
      <c r="A443" s="447"/>
      <c r="B443" s="448"/>
      <c r="C443" s="448"/>
      <c r="D443" s="448"/>
      <c r="E443" s="448"/>
      <c r="F443" s="448"/>
      <c r="G443" s="448"/>
      <c r="H443" s="448"/>
      <c r="I443" s="448"/>
      <c r="J443" s="448"/>
      <c r="K443" s="449"/>
      <c r="L443" s="448"/>
      <c r="M443" s="450"/>
      <c r="N443" s="451"/>
      <c r="O443" s="451"/>
      <c r="P443" s="451"/>
      <c r="Q443" s="448"/>
      <c r="R443" s="83"/>
      <c r="S443" s="83"/>
      <c r="T443" s="83"/>
      <c r="U443" s="83"/>
      <c r="V443" s="83"/>
      <c r="W443" s="83"/>
      <c r="X443" s="83"/>
      <c r="Y443" s="83"/>
      <c r="Z443" s="83"/>
      <c r="AA443" s="83"/>
      <c r="AB443" s="83"/>
      <c r="AC443" s="83"/>
      <c r="AD443" s="83"/>
    </row>
    <row r="444">
      <c r="A444" s="447"/>
      <c r="B444" s="448"/>
      <c r="C444" s="448"/>
      <c r="D444" s="448"/>
      <c r="E444" s="448"/>
      <c r="F444" s="448"/>
      <c r="G444" s="448"/>
      <c r="H444" s="448"/>
      <c r="I444" s="448"/>
      <c r="J444" s="448"/>
      <c r="K444" s="449"/>
      <c r="L444" s="448"/>
      <c r="M444" s="450"/>
      <c r="N444" s="451"/>
      <c r="O444" s="451"/>
      <c r="P444" s="451"/>
      <c r="Q444" s="448"/>
      <c r="R444" s="83"/>
      <c r="S444" s="83"/>
      <c r="T444" s="83"/>
      <c r="U444" s="83"/>
      <c r="V444" s="83"/>
      <c r="W444" s="83"/>
      <c r="X444" s="83"/>
      <c r="Y444" s="83"/>
      <c r="Z444" s="83"/>
      <c r="AA444" s="83"/>
      <c r="AB444" s="83"/>
      <c r="AC444" s="83"/>
      <c r="AD444" s="83"/>
    </row>
    <row r="445">
      <c r="A445" s="447"/>
      <c r="B445" s="448"/>
      <c r="C445" s="448"/>
      <c r="D445" s="448"/>
      <c r="E445" s="448"/>
      <c r="F445" s="448"/>
      <c r="G445" s="448"/>
      <c r="H445" s="448"/>
      <c r="I445" s="448"/>
      <c r="J445" s="448"/>
      <c r="K445" s="449"/>
      <c r="L445" s="448"/>
      <c r="M445" s="450"/>
      <c r="N445" s="451"/>
      <c r="O445" s="451"/>
      <c r="P445" s="451"/>
      <c r="Q445" s="448"/>
      <c r="R445" s="83"/>
      <c r="S445" s="83"/>
      <c r="T445" s="83"/>
      <c r="U445" s="83"/>
      <c r="V445" s="83"/>
      <c r="W445" s="83"/>
      <c r="X445" s="83"/>
      <c r="Y445" s="83"/>
      <c r="Z445" s="83"/>
      <c r="AA445" s="83"/>
      <c r="AB445" s="83"/>
      <c r="AC445" s="83"/>
      <c r="AD445" s="83"/>
    </row>
    <row r="446">
      <c r="A446" s="447"/>
      <c r="B446" s="448"/>
      <c r="C446" s="448"/>
      <c r="D446" s="448"/>
      <c r="E446" s="448"/>
      <c r="F446" s="448"/>
      <c r="G446" s="448"/>
      <c r="H446" s="448"/>
      <c r="I446" s="448"/>
      <c r="J446" s="448"/>
      <c r="K446" s="449"/>
      <c r="L446" s="448"/>
      <c r="M446" s="450"/>
      <c r="N446" s="451"/>
      <c r="O446" s="451"/>
      <c r="P446" s="451"/>
      <c r="Q446" s="448"/>
      <c r="R446" s="83"/>
      <c r="S446" s="83"/>
      <c r="T446" s="83"/>
      <c r="U446" s="83"/>
      <c r="V446" s="83"/>
      <c r="W446" s="83"/>
      <c r="X446" s="83"/>
      <c r="Y446" s="83"/>
      <c r="Z446" s="83"/>
      <c r="AA446" s="83"/>
      <c r="AB446" s="83"/>
      <c r="AC446" s="83"/>
      <c r="AD446" s="83"/>
    </row>
    <row r="447">
      <c r="A447" s="447"/>
      <c r="B447" s="448"/>
      <c r="C447" s="448"/>
      <c r="D447" s="448"/>
      <c r="E447" s="448"/>
      <c r="F447" s="448"/>
      <c r="G447" s="448"/>
      <c r="H447" s="448"/>
      <c r="I447" s="448"/>
      <c r="J447" s="448"/>
      <c r="K447" s="449"/>
      <c r="L447" s="448"/>
      <c r="M447" s="450"/>
      <c r="N447" s="451"/>
      <c r="O447" s="451"/>
      <c r="P447" s="451"/>
      <c r="Q447" s="448"/>
      <c r="R447" s="83"/>
      <c r="S447" s="83"/>
      <c r="T447" s="83"/>
      <c r="U447" s="83"/>
      <c r="V447" s="83"/>
      <c r="W447" s="83"/>
      <c r="X447" s="83"/>
      <c r="Y447" s="83"/>
      <c r="Z447" s="83"/>
      <c r="AA447" s="83"/>
      <c r="AB447" s="83"/>
      <c r="AC447" s="83"/>
      <c r="AD447" s="83"/>
    </row>
    <row r="448">
      <c r="A448" s="447"/>
      <c r="B448" s="448"/>
      <c r="C448" s="448"/>
      <c r="D448" s="448"/>
      <c r="E448" s="448"/>
      <c r="F448" s="448"/>
      <c r="G448" s="448"/>
      <c r="H448" s="448"/>
      <c r="I448" s="448"/>
      <c r="J448" s="448"/>
      <c r="K448" s="449"/>
      <c r="L448" s="448"/>
      <c r="M448" s="450"/>
      <c r="N448" s="451"/>
      <c r="O448" s="451"/>
      <c r="P448" s="451"/>
      <c r="Q448" s="448"/>
      <c r="R448" s="83"/>
      <c r="S448" s="83"/>
      <c r="T448" s="83"/>
      <c r="U448" s="83"/>
      <c r="V448" s="83"/>
      <c r="W448" s="83"/>
      <c r="X448" s="83"/>
      <c r="Y448" s="83"/>
      <c r="Z448" s="83"/>
      <c r="AA448" s="83"/>
      <c r="AB448" s="83"/>
      <c r="AC448" s="83"/>
      <c r="AD448" s="83"/>
    </row>
    <row r="449">
      <c r="A449" s="447"/>
      <c r="B449" s="448"/>
      <c r="C449" s="448"/>
      <c r="D449" s="448"/>
      <c r="E449" s="448"/>
      <c r="F449" s="448"/>
      <c r="G449" s="448"/>
      <c r="H449" s="448"/>
      <c r="I449" s="448"/>
      <c r="J449" s="448"/>
      <c r="K449" s="449"/>
      <c r="L449" s="448"/>
      <c r="M449" s="450"/>
      <c r="N449" s="451"/>
      <c r="O449" s="451"/>
      <c r="P449" s="451"/>
      <c r="Q449" s="448"/>
      <c r="R449" s="83"/>
      <c r="S449" s="83"/>
      <c r="T449" s="83"/>
      <c r="U449" s="83"/>
      <c r="V449" s="83"/>
      <c r="W449" s="83"/>
      <c r="X449" s="83"/>
      <c r="Y449" s="83"/>
      <c r="Z449" s="83"/>
      <c r="AA449" s="83"/>
      <c r="AB449" s="83"/>
      <c r="AC449" s="83"/>
      <c r="AD449" s="83"/>
    </row>
    <row r="450">
      <c r="A450" s="447"/>
      <c r="B450" s="448"/>
      <c r="C450" s="448"/>
      <c r="D450" s="448"/>
      <c r="E450" s="448"/>
      <c r="F450" s="448"/>
      <c r="G450" s="448"/>
      <c r="H450" s="448"/>
      <c r="I450" s="448"/>
      <c r="J450" s="448"/>
      <c r="K450" s="449"/>
      <c r="L450" s="448"/>
      <c r="M450" s="450"/>
      <c r="N450" s="451"/>
      <c r="O450" s="451"/>
      <c r="P450" s="451"/>
      <c r="Q450" s="448"/>
      <c r="R450" s="83"/>
      <c r="S450" s="83"/>
      <c r="T450" s="83"/>
      <c r="U450" s="83"/>
      <c r="V450" s="83"/>
      <c r="W450" s="83"/>
      <c r="X450" s="83"/>
      <c r="Y450" s="83"/>
      <c r="Z450" s="83"/>
      <c r="AA450" s="83"/>
      <c r="AB450" s="83"/>
      <c r="AC450" s="83"/>
      <c r="AD450" s="83"/>
    </row>
    <row r="451">
      <c r="A451" s="447"/>
      <c r="B451" s="448"/>
      <c r="C451" s="448"/>
      <c r="D451" s="448"/>
      <c r="E451" s="448"/>
      <c r="F451" s="448"/>
      <c r="G451" s="448"/>
      <c r="H451" s="448"/>
      <c r="I451" s="448"/>
      <c r="J451" s="448"/>
      <c r="K451" s="449"/>
      <c r="L451" s="448"/>
      <c r="M451" s="450"/>
      <c r="N451" s="451"/>
      <c r="O451" s="451"/>
      <c r="P451" s="451"/>
      <c r="Q451" s="448"/>
      <c r="R451" s="83"/>
      <c r="S451" s="83"/>
      <c r="T451" s="83"/>
      <c r="U451" s="83"/>
      <c r="V451" s="83"/>
      <c r="W451" s="83"/>
      <c r="X451" s="83"/>
      <c r="Y451" s="83"/>
      <c r="Z451" s="83"/>
      <c r="AA451" s="83"/>
      <c r="AB451" s="83"/>
      <c r="AC451" s="83"/>
      <c r="AD451" s="83"/>
    </row>
    <row r="452">
      <c r="A452" s="447"/>
      <c r="B452" s="448"/>
      <c r="C452" s="448"/>
      <c r="D452" s="448"/>
      <c r="E452" s="448"/>
      <c r="F452" s="448"/>
      <c r="G452" s="448"/>
      <c r="H452" s="448"/>
      <c r="I452" s="448"/>
      <c r="J452" s="448"/>
      <c r="K452" s="449"/>
      <c r="L452" s="448"/>
      <c r="M452" s="450"/>
      <c r="N452" s="451"/>
      <c r="O452" s="451"/>
      <c r="P452" s="451"/>
      <c r="Q452" s="448"/>
      <c r="R452" s="83"/>
      <c r="S452" s="83"/>
      <c r="T452" s="83"/>
      <c r="U452" s="83"/>
      <c r="V452" s="83"/>
      <c r="W452" s="83"/>
      <c r="X452" s="83"/>
      <c r="Y452" s="83"/>
      <c r="Z452" s="83"/>
      <c r="AA452" s="83"/>
      <c r="AB452" s="83"/>
      <c r="AC452" s="83"/>
      <c r="AD452" s="83"/>
    </row>
    <row r="453">
      <c r="A453" s="447"/>
      <c r="B453" s="448"/>
      <c r="C453" s="448"/>
      <c r="D453" s="448"/>
      <c r="E453" s="448"/>
      <c r="F453" s="448"/>
      <c r="G453" s="448"/>
      <c r="H453" s="448"/>
      <c r="I453" s="448"/>
      <c r="J453" s="448"/>
      <c r="K453" s="449"/>
      <c r="L453" s="448"/>
      <c r="M453" s="450"/>
      <c r="N453" s="451"/>
      <c r="O453" s="451"/>
      <c r="P453" s="451"/>
      <c r="Q453" s="448"/>
      <c r="R453" s="83"/>
      <c r="S453" s="83"/>
      <c r="T453" s="83"/>
      <c r="U453" s="83"/>
      <c r="V453" s="83"/>
      <c r="W453" s="83"/>
      <c r="X453" s="83"/>
      <c r="Y453" s="83"/>
      <c r="Z453" s="83"/>
      <c r="AA453" s="83"/>
      <c r="AB453" s="83"/>
      <c r="AC453" s="83"/>
      <c r="AD453" s="83"/>
    </row>
    <row r="454">
      <c r="A454" s="447"/>
      <c r="B454" s="448"/>
      <c r="C454" s="448"/>
      <c r="D454" s="448"/>
      <c r="E454" s="448"/>
      <c r="F454" s="448"/>
      <c r="G454" s="448"/>
      <c r="H454" s="448"/>
      <c r="I454" s="448"/>
      <c r="J454" s="448"/>
      <c r="K454" s="449"/>
      <c r="L454" s="448"/>
      <c r="M454" s="450"/>
      <c r="N454" s="451"/>
      <c r="O454" s="451"/>
      <c r="P454" s="451"/>
      <c r="Q454" s="448"/>
      <c r="R454" s="83"/>
      <c r="S454" s="83"/>
      <c r="T454" s="83"/>
      <c r="U454" s="83"/>
      <c r="V454" s="83"/>
      <c r="W454" s="83"/>
      <c r="X454" s="83"/>
      <c r="Y454" s="83"/>
      <c r="Z454" s="83"/>
      <c r="AA454" s="83"/>
      <c r="AB454" s="83"/>
      <c r="AC454" s="83"/>
      <c r="AD454" s="83"/>
    </row>
    <row r="455">
      <c r="A455" s="447"/>
      <c r="B455" s="448"/>
      <c r="C455" s="448"/>
      <c r="D455" s="448"/>
      <c r="E455" s="448"/>
      <c r="F455" s="448"/>
      <c r="G455" s="448"/>
      <c r="H455" s="448"/>
      <c r="I455" s="448"/>
      <c r="J455" s="448"/>
      <c r="K455" s="449"/>
      <c r="L455" s="448"/>
      <c r="M455" s="450"/>
      <c r="N455" s="451"/>
      <c r="O455" s="451"/>
      <c r="P455" s="451"/>
      <c r="Q455" s="448"/>
      <c r="R455" s="83"/>
      <c r="S455" s="83"/>
      <c r="T455" s="83"/>
      <c r="U455" s="83"/>
      <c r="V455" s="83"/>
      <c r="W455" s="83"/>
      <c r="X455" s="83"/>
      <c r="Y455" s="83"/>
      <c r="Z455" s="83"/>
      <c r="AA455" s="83"/>
      <c r="AB455" s="83"/>
      <c r="AC455" s="83"/>
      <c r="AD455" s="83"/>
    </row>
    <row r="456">
      <c r="A456" s="447"/>
      <c r="B456" s="448"/>
      <c r="C456" s="448"/>
      <c r="D456" s="448"/>
      <c r="E456" s="448"/>
      <c r="F456" s="448"/>
      <c r="G456" s="448"/>
      <c r="H456" s="448"/>
      <c r="I456" s="448"/>
      <c r="J456" s="448"/>
      <c r="K456" s="449"/>
      <c r="L456" s="448"/>
      <c r="M456" s="450"/>
      <c r="N456" s="451"/>
      <c r="O456" s="451"/>
      <c r="P456" s="451"/>
      <c r="Q456" s="448"/>
      <c r="R456" s="83"/>
      <c r="S456" s="83"/>
      <c r="T456" s="83"/>
      <c r="U456" s="83"/>
      <c r="V456" s="83"/>
      <c r="W456" s="83"/>
      <c r="X456" s="83"/>
      <c r="Y456" s="83"/>
      <c r="Z456" s="83"/>
      <c r="AA456" s="83"/>
      <c r="AB456" s="83"/>
      <c r="AC456" s="83"/>
      <c r="AD456" s="83"/>
    </row>
    <row r="457">
      <c r="A457" s="447"/>
      <c r="B457" s="448"/>
      <c r="C457" s="448"/>
      <c r="D457" s="448"/>
      <c r="E457" s="448"/>
      <c r="F457" s="448"/>
      <c r="G457" s="448"/>
      <c r="H457" s="448"/>
      <c r="I457" s="448"/>
      <c r="J457" s="448"/>
      <c r="K457" s="449"/>
      <c r="L457" s="448"/>
      <c r="M457" s="450"/>
      <c r="N457" s="451"/>
      <c r="O457" s="451"/>
      <c r="P457" s="451"/>
      <c r="Q457" s="448"/>
      <c r="R457" s="83"/>
      <c r="S457" s="83"/>
      <c r="T457" s="83"/>
      <c r="U457" s="83"/>
      <c r="V457" s="83"/>
      <c r="W457" s="83"/>
      <c r="X457" s="83"/>
      <c r="Y457" s="83"/>
      <c r="Z457" s="83"/>
      <c r="AA457" s="83"/>
      <c r="AB457" s="83"/>
      <c r="AC457" s="83"/>
      <c r="AD457" s="83"/>
    </row>
    <row r="458">
      <c r="A458" s="447"/>
      <c r="B458" s="448"/>
      <c r="C458" s="448"/>
      <c r="D458" s="448"/>
      <c r="E458" s="448"/>
      <c r="F458" s="448"/>
      <c r="G458" s="448"/>
      <c r="H458" s="448"/>
      <c r="I458" s="448"/>
      <c r="J458" s="448"/>
      <c r="K458" s="449"/>
      <c r="L458" s="448"/>
      <c r="M458" s="450"/>
      <c r="N458" s="451"/>
      <c r="O458" s="451"/>
      <c r="P458" s="451"/>
      <c r="Q458" s="448"/>
      <c r="R458" s="83"/>
      <c r="S458" s="83"/>
      <c r="T458" s="83"/>
      <c r="U458" s="83"/>
      <c r="V458" s="83"/>
      <c r="W458" s="83"/>
      <c r="X458" s="83"/>
      <c r="Y458" s="83"/>
      <c r="Z458" s="83"/>
      <c r="AA458" s="83"/>
      <c r="AB458" s="83"/>
      <c r="AC458" s="83"/>
      <c r="AD458" s="83"/>
    </row>
    <row r="459">
      <c r="A459" s="447"/>
      <c r="B459" s="448"/>
      <c r="C459" s="448"/>
      <c r="D459" s="448"/>
      <c r="E459" s="448"/>
      <c r="F459" s="448"/>
      <c r="G459" s="448"/>
      <c r="H459" s="448"/>
      <c r="I459" s="448"/>
      <c r="J459" s="448"/>
      <c r="K459" s="449"/>
      <c r="L459" s="448"/>
      <c r="M459" s="450"/>
      <c r="N459" s="451"/>
      <c r="O459" s="451"/>
      <c r="P459" s="451"/>
      <c r="Q459" s="448"/>
      <c r="R459" s="83"/>
      <c r="S459" s="83"/>
      <c r="T459" s="83"/>
      <c r="U459" s="83"/>
      <c r="V459" s="83"/>
      <c r="W459" s="83"/>
      <c r="X459" s="83"/>
      <c r="Y459" s="83"/>
      <c r="Z459" s="83"/>
      <c r="AA459" s="83"/>
      <c r="AB459" s="83"/>
      <c r="AC459" s="83"/>
      <c r="AD459" s="83"/>
    </row>
    <row r="460">
      <c r="A460" s="447"/>
      <c r="B460" s="448"/>
      <c r="C460" s="448"/>
      <c r="D460" s="448"/>
      <c r="E460" s="448"/>
      <c r="F460" s="448"/>
      <c r="G460" s="448"/>
      <c r="H460" s="448"/>
      <c r="I460" s="448"/>
      <c r="J460" s="448"/>
      <c r="K460" s="449"/>
      <c r="L460" s="448"/>
      <c r="M460" s="450"/>
      <c r="N460" s="451"/>
      <c r="O460" s="451"/>
      <c r="P460" s="451"/>
      <c r="Q460" s="448"/>
      <c r="R460" s="83"/>
      <c r="S460" s="83"/>
      <c r="T460" s="83"/>
      <c r="U460" s="83"/>
      <c r="V460" s="83"/>
      <c r="W460" s="83"/>
      <c r="X460" s="83"/>
      <c r="Y460" s="83"/>
      <c r="Z460" s="83"/>
      <c r="AA460" s="83"/>
      <c r="AB460" s="83"/>
      <c r="AC460" s="83"/>
      <c r="AD460" s="83"/>
    </row>
    <row r="461">
      <c r="A461" s="447"/>
      <c r="B461" s="448"/>
      <c r="C461" s="448"/>
      <c r="D461" s="448"/>
      <c r="E461" s="448"/>
      <c r="F461" s="448"/>
      <c r="G461" s="448"/>
      <c r="H461" s="448"/>
      <c r="I461" s="448"/>
      <c r="J461" s="448"/>
      <c r="K461" s="449"/>
      <c r="L461" s="448"/>
      <c r="M461" s="450"/>
      <c r="N461" s="451"/>
      <c r="O461" s="451"/>
      <c r="P461" s="451"/>
      <c r="Q461" s="448"/>
      <c r="R461" s="83"/>
      <c r="S461" s="83"/>
      <c r="T461" s="83"/>
      <c r="U461" s="83"/>
      <c r="V461" s="83"/>
      <c r="W461" s="83"/>
      <c r="X461" s="83"/>
      <c r="Y461" s="83"/>
      <c r="Z461" s="83"/>
      <c r="AA461" s="83"/>
      <c r="AB461" s="83"/>
      <c r="AC461" s="83"/>
      <c r="AD461" s="83"/>
    </row>
    <row r="462">
      <c r="A462" s="447"/>
      <c r="B462" s="448"/>
      <c r="C462" s="448"/>
      <c r="D462" s="448"/>
      <c r="E462" s="448"/>
      <c r="F462" s="448"/>
      <c r="G462" s="448"/>
      <c r="H462" s="448"/>
      <c r="I462" s="448"/>
      <c r="J462" s="448"/>
      <c r="K462" s="449"/>
      <c r="L462" s="448"/>
      <c r="M462" s="450"/>
      <c r="N462" s="451"/>
      <c r="O462" s="451"/>
      <c r="P462" s="451"/>
      <c r="Q462" s="448"/>
      <c r="R462" s="83"/>
      <c r="S462" s="83"/>
      <c r="T462" s="83"/>
      <c r="U462" s="83"/>
      <c r="V462" s="83"/>
      <c r="W462" s="83"/>
      <c r="X462" s="83"/>
      <c r="Y462" s="83"/>
      <c r="Z462" s="83"/>
      <c r="AA462" s="83"/>
      <c r="AB462" s="83"/>
      <c r="AC462" s="83"/>
      <c r="AD462" s="83"/>
    </row>
    <row r="463">
      <c r="A463" s="447"/>
      <c r="B463" s="448"/>
      <c r="C463" s="448"/>
      <c r="D463" s="448"/>
      <c r="E463" s="448"/>
      <c r="F463" s="448"/>
      <c r="G463" s="448"/>
      <c r="H463" s="448"/>
      <c r="I463" s="448"/>
      <c r="J463" s="448"/>
      <c r="K463" s="449"/>
      <c r="L463" s="448"/>
      <c r="M463" s="450"/>
      <c r="N463" s="451"/>
      <c r="O463" s="451"/>
      <c r="P463" s="451"/>
      <c r="Q463" s="448"/>
      <c r="R463" s="83"/>
      <c r="S463" s="83"/>
      <c r="T463" s="83"/>
      <c r="U463" s="83"/>
      <c r="V463" s="83"/>
      <c r="W463" s="83"/>
      <c r="X463" s="83"/>
      <c r="Y463" s="83"/>
      <c r="Z463" s="83"/>
      <c r="AA463" s="83"/>
      <c r="AB463" s="83"/>
      <c r="AC463" s="83"/>
      <c r="AD463" s="83"/>
    </row>
    <row r="464">
      <c r="A464" s="447"/>
      <c r="B464" s="448"/>
      <c r="C464" s="448"/>
      <c r="D464" s="448"/>
      <c r="E464" s="448"/>
      <c r="F464" s="448"/>
      <c r="G464" s="448"/>
      <c r="H464" s="448"/>
      <c r="I464" s="448"/>
      <c r="J464" s="448"/>
      <c r="K464" s="449"/>
      <c r="L464" s="448"/>
      <c r="M464" s="450"/>
      <c r="N464" s="451"/>
      <c r="O464" s="451"/>
      <c r="P464" s="451"/>
      <c r="Q464" s="448"/>
      <c r="R464" s="83"/>
      <c r="S464" s="83"/>
      <c r="T464" s="83"/>
      <c r="U464" s="83"/>
      <c r="V464" s="83"/>
      <c r="W464" s="83"/>
      <c r="X464" s="83"/>
      <c r="Y464" s="83"/>
      <c r="Z464" s="83"/>
      <c r="AA464" s="83"/>
      <c r="AB464" s="83"/>
      <c r="AC464" s="83"/>
      <c r="AD464" s="83"/>
    </row>
    <row r="465">
      <c r="A465" s="447"/>
      <c r="B465" s="448"/>
      <c r="C465" s="448"/>
      <c r="D465" s="448"/>
      <c r="E465" s="448"/>
      <c r="F465" s="448"/>
      <c r="G465" s="448"/>
      <c r="H465" s="448"/>
      <c r="I465" s="448"/>
      <c r="J465" s="448"/>
      <c r="K465" s="449"/>
      <c r="L465" s="448"/>
      <c r="M465" s="450"/>
      <c r="N465" s="451"/>
      <c r="O465" s="451"/>
      <c r="P465" s="451"/>
      <c r="Q465" s="448"/>
      <c r="R465" s="83"/>
      <c r="S465" s="83"/>
      <c r="T465" s="83"/>
      <c r="U465" s="83"/>
      <c r="V465" s="83"/>
      <c r="W465" s="83"/>
      <c r="X465" s="83"/>
      <c r="Y465" s="83"/>
      <c r="Z465" s="83"/>
      <c r="AA465" s="83"/>
      <c r="AB465" s="83"/>
      <c r="AC465" s="83"/>
      <c r="AD465" s="83"/>
    </row>
    <row r="466">
      <c r="A466" s="447"/>
      <c r="B466" s="448"/>
      <c r="C466" s="448"/>
      <c r="D466" s="448"/>
      <c r="E466" s="448"/>
      <c r="F466" s="448"/>
      <c r="G466" s="448"/>
      <c r="H466" s="448"/>
      <c r="I466" s="448"/>
      <c r="J466" s="448"/>
      <c r="K466" s="449"/>
      <c r="L466" s="448"/>
      <c r="M466" s="450"/>
      <c r="N466" s="451"/>
      <c r="O466" s="451"/>
      <c r="P466" s="451"/>
      <c r="Q466" s="448"/>
      <c r="R466" s="83"/>
      <c r="S466" s="83"/>
      <c r="T466" s="83"/>
      <c r="U466" s="83"/>
      <c r="V466" s="83"/>
      <c r="W466" s="83"/>
      <c r="X466" s="83"/>
      <c r="Y466" s="83"/>
      <c r="Z466" s="83"/>
      <c r="AA466" s="83"/>
      <c r="AB466" s="83"/>
      <c r="AC466" s="83"/>
      <c r="AD466" s="83"/>
    </row>
    <row r="467">
      <c r="A467" s="447"/>
      <c r="B467" s="448"/>
      <c r="C467" s="448"/>
      <c r="D467" s="448"/>
      <c r="E467" s="448"/>
      <c r="F467" s="448"/>
      <c r="G467" s="448"/>
      <c r="H467" s="448"/>
      <c r="I467" s="448"/>
      <c r="J467" s="448"/>
      <c r="K467" s="449"/>
      <c r="L467" s="448"/>
      <c r="M467" s="450"/>
      <c r="N467" s="451"/>
      <c r="O467" s="451"/>
      <c r="P467" s="451"/>
      <c r="Q467" s="448"/>
      <c r="R467" s="83"/>
      <c r="S467" s="83"/>
      <c r="T467" s="83"/>
      <c r="U467" s="83"/>
      <c r="V467" s="83"/>
      <c r="W467" s="83"/>
      <c r="X467" s="83"/>
      <c r="Y467" s="83"/>
      <c r="Z467" s="83"/>
      <c r="AA467" s="83"/>
      <c r="AB467" s="83"/>
      <c r="AC467" s="83"/>
      <c r="AD467" s="83"/>
    </row>
    <row r="468">
      <c r="A468" s="447"/>
      <c r="B468" s="448"/>
      <c r="C468" s="448"/>
      <c r="D468" s="448"/>
      <c r="E468" s="448"/>
      <c r="F468" s="448"/>
      <c r="G468" s="448"/>
      <c r="H468" s="448"/>
      <c r="I468" s="448"/>
      <c r="J468" s="448"/>
      <c r="K468" s="449"/>
      <c r="L468" s="448"/>
      <c r="M468" s="450"/>
      <c r="N468" s="451"/>
      <c r="O468" s="451"/>
      <c r="P468" s="451"/>
      <c r="Q468" s="448"/>
      <c r="R468" s="83"/>
      <c r="S468" s="83"/>
      <c r="T468" s="83"/>
      <c r="U468" s="83"/>
      <c r="V468" s="83"/>
      <c r="W468" s="83"/>
      <c r="X468" s="83"/>
      <c r="Y468" s="83"/>
      <c r="Z468" s="83"/>
      <c r="AA468" s="83"/>
      <c r="AB468" s="83"/>
      <c r="AC468" s="83"/>
      <c r="AD468" s="83"/>
    </row>
    <row r="469">
      <c r="A469" s="447"/>
      <c r="B469" s="448"/>
      <c r="C469" s="448"/>
      <c r="D469" s="448"/>
      <c r="E469" s="448"/>
      <c r="F469" s="448"/>
      <c r="G469" s="448"/>
      <c r="H469" s="448"/>
      <c r="I469" s="448"/>
      <c r="J469" s="448"/>
      <c r="K469" s="449"/>
      <c r="L469" s="448"/>
      <c r="M469" s="450"/>
      <c r="N469" s="451"/>
      <c r="O469" s="451"/>
      <c r="P469" s="451"/>
      <c r="Q469" s="448"/>
      <c r="R469" s="83"/>
      <c r="S469" s="83"/>
      <c r="T469" s="83"/>
      <c r="U469" s="83"/>
      <c r="V469" s="83"/>
      <c r="W469" s="83"/>
      <c r="X469" s="83"/>
      <c r="Y469" s="83"/>
      <c r="Z469" s="83"/>
      <c r="AA469" s="83"/>
      <c r="AB469" s="83"/>
      <c r="AC469" s="83"/>
      <c r="AD469" s="83"/>
    </row>
    <row r="470">
      <c r="A470" s="447"/>
      <c r="B470" s="448"/>
      <c r="C470" s="448"/>
      <c r="D470" s="448"/>
      <c r="E470" s="448"/>
      <c r="F470" s="448"/>
      <c r="G470" s="448"/>
      <c r="H470" s="448"/>
      <c r="I470" s="448"/>
      <c r="J470" s="448"/>
      <c r="K470" s="449"/>
      <c r="L470" s="448"/>
      <c r="M470" s="450"/>
      <c r="N470" s="451"/>
      <c r="O470" s="451"/>
      <c r="P470" s="451"/>
      <c r="Q470" s="448"/>
      <c r="R470" s="83"/>
      <c r="S470" s="83"/>
      <c r="T470" s="83"/>
      <c r="U470" s="83"/>
      <c r="V470" s="83"/>
      <c r="W470" s="83"/>
      <c r="X470" s="83"/>
      <c r="Y470" s="83"/>
      <c r="Z470" s="83"/>
      <c r="AA470" s="83"/>
      <c r="AB470" s="83"/>
      <c r="AC470" s="83"/>
      <c r="AD470" s="83"/>
    </row>
    <row r="471">
      <c r="A471" s="447"/>
      <c r="B471" s="448"/>
      <c r="C471" s="448"/>
      <c r="D471" s="448"/>
      <c r="E471" s="448"/>
      <c r="F471" s="448"/>
      <c r="G471" s="448"/>
      <c r="H471" s="448"/>
      <c r="I471" s="448"/>
      <c r="J471" s="448"/>
      <c r="K471" s="449"/>
      <c r="L471" s="448"/>
      <c r="M471" s="450"/>
      <c r="N471" s="451"/>
      <c r="O471" s="451"/>
      <c r="P471" s="451"/>
      <c r="Q471" s="448"/>
      <c r="R471" s="83"/>
      <c r="S471" s="83"/>
      <c r="T471" s="83"/>
      <c r="U471" s="83"/>
      <c r="V471" s="83"/>
      <c r="W471" s="83"/>
      <c r="X471" s="83"/>
      <c r="Y471" s="83"/>
      <c r="Z471" s="83"/>
      <c r="AA471" s="83"/>
      <c r="AB471" s="83"/>
      <c r="AC471" s="83"/>
      <c r="AD471" s="83"/>
    </row>
    <row r="472">
      <c r="A472" s="447"/>
      <c r="B472" s="448"/>
      <c r="C472" s="448"/>
      <c r="D472" s="448"/>
      <c r="E472" s="448"/>
      <c r="F472" s="448"/>
      <c r="G472" s="448"/>
      <c r="H472" s="448"/>
      <c r="I472" s="448"/>
      <c r="J472" s="448"/>
      <c r="K472" s="449"/>
      <c r="L472" s="448"/>
      <c r="M472" s="450"/>
      <c r="N472" s="451"/>
      <c r="O472" s="451"/>
      <c r="P472" s="451"/>
      <c r="Q472" s="448"/>
      <c r="R472" s="83"/>
      <c r="S472" s="83"/>
      <c r="T472" s="83"/>
      <c r="U472" s="83"/>
      <c r="V472" s="83"/>
      <c r="W472" s="83"/>
      <c r="X472" s="83"/>
      <c r="Y472" s="83"/>
      <c r="Z472" s="83"/>
      <c r="AA472" s="83"/>
      <c r="AB472" s="83"/>
      <c r="AC472" s="83"/>
      <c r="AD472" s="83"/>
    </row>
    <row r="473">
      <c r="A473" s="447"/>
      <c r="B473" s="448"/>
      <c r="C473" s="448"/>
      <c r="D473" s="448"/>
      <c r="E473" s="448"/>
      <c r="F473" s="448"/>
      <c r="G473" s="448"/>
      <c r="H473" s="448"/>
      <c r="I473" s="448"/>
      <c r="J473" s="448"/>
      <c r="K473" s="449"/>
      <c r="L473" s="448"/>
      <c r="M473" s="450"/>
      <c r="N473" s="451"/>
      <c r="O473" s="451"/>
      <c r="P473" s="451"/>
      <c r="Q473" s="448"/>
      <c r="R473" s="83"/>
      <c r="S473" s="83"/>
      <c r="T473" s="83"/>
      <c r="U473" s="83"/>
      <c r="V473" s="83"/>
      <c r="W473" s="83"/>
      <c r="X473" s="83"/>
      <c r="Y473" s="83"/>
      <c r="Z473" s="83"/>
      <c r="AA473" s="83"/>
      <c r="AB473" s="83"/>
      <c r="AC473" s="83"/>
      <c r="AD473" s="83"/>
    </row>
    <row r="474">
      <c r="A474" s="447"/>
      <c r="B474" s="448"/>
      <c r="C474" s="448"/>
      <c r="D474" s="448"/>
      <c r="E474" s="448"/>
      <c r="F474" s="448"/>
      <c r="G474" s="448"/>
      <c r="H474" s="448"/>
      <c r="I474" s="448"/>
      <c r="J474" s="448"/>
      <c r="K474" s="449"/>
      <c r="L474" s="448"/>
      <c r="M474" s="450"/>
      <c r="N474" s="451"/>
      <c r="O474" s="451"/>
      <c r="P474" s="451"/>
      <c r="Q474" s="448"/>
      <c r="R474" s="83"/>
      <c r="S474" s="83"/>
      <c r="T474" s="83"/>
      <c r="U474" s="83"/>
      <c r="V474" s="83"/>
      <c r="W474" s="83"/>
      <c r="X474" s="83"/>
      <c r="Y474" s="83"/>
      <c r="Z474" s="83"/>
      <c r="AA474" s="83"/>
      <c r="AB474" s="83"/>
      <c r="AC474" s="83"/>
      <c r="AD474" s="83"/>
    </row>
    <row r="475">
      <c r="A475" s="447"/>
      <c r="B475" s="448"/>
      <c r="C475" s="448"/>
      <c r="D475" s="448"/>
      <c r="E475" s="448"/>
      <c r="F475" s="448"/>
      <c r="G475" s="448"/>
      <c r="H475" s="448"/>
      <c r="I475" s="448"/>
      <c r="J475" s="448"/>
      <c r="K475" s="449"/>
      <c r="L475" s="448"/>
      <c r="M475" s="450"/>
      <c r="N475" s="451"/>
      <c r="O475" s="451"/>
      <c r="P475" s="451"/>
      <c r="Q475" s="448"/>
      <c r="R475" s="83"/>
      <c r="S475" s="83"/>
      <c r="T475" s="83"/>
      <c r="U475" s="83"/>
      <c r="V475" s="83"/>
      <c r="W475" s="83"/>
      <c r="X475" s="83"/>
      <c r="Y475" s="83"/>
      <c r="Z475" s="83"/>
      <c r="AA475" s="83"/>
      <c r="AB475" s="83"/>
      <c r="AC475" s="83"/>
      <c r="AD475" s="83"/>
    </row>
    <row r="476">
      <c r="A476" s="447"/>
      <c r="B476" s="448"/>
      <c r="C476" s="448"/>
      <c r="D476" s="448"/>
      <c r="E476" s="448"/>
      <c r="F476" s="448"/>
      <c r="G476" s="448"/>
      <c r="H476" s="448"/>
      <c r="I476" s="448"/>
      <c r="J476" s="448"/>
      <c r="K476" s="449"/>
      <c r="L476" s="448"/>
      <c r="M476" s="450"/>
      <c r="N476" s="451"/>
      <c r="O476" s="451"/>
      <c r="P476" s="451"/>
      <c r="Q476" s="448"/>
      <c r="R476" s="83"/>
      <c r="S476" s="83"/>
      <c r="T476" s="83"/>
      <c r="U476" s="83"/>
      <c r="V476" s="83"/>
      <c r="W476" s="83"/>
      <c r="X476" s="83"/>
      <c r="Y476" s="83"/>
      <c r="Z476" s="83"/>
      <c r="AA476" s="83"/>
      <c r="AB476" s="83"/>
      <c r="AC476" s="83"/>
      <c r="AD476" s="83"/>
    </row>
    <row r="477">
      <c r="A477" s="447"/>
      <c r="B477" s="448"/>
      <c r="C477" s="448"/>
      <c r="D477" s="448"/>
      <c r="E477" s="448"/>
      <c r="F477" s="448"/>
      <c r="G477" s="448"/>
      <c r="H477" s="448"/>
      <c r="I477" s="448"/>
      <c r="J477" s="448"/>
      <c r="K477" s="449"/>
      <c r="L477" s="448"/>
      <c r="M477" s="450"/>
      <c r="N477" s="451"/>
      <c r="O477" s="451"/>
      <c r="P477" s="451"/>
      <c r="Q477" s="448"/>
      <c r="R477" s="83"/>
      <c r="S477" s="83"/>
      <c r="T477" s="83"/>
      <c r="U477" s="83"/>
      <c r="V477" s="83"/>
      <c r="W477" s="83"/>
      <c r="X477" s="83"/>
      <c r="Y477" s="83"/>
      <c r="Z477" s="83"/>
      <c r="AA477" s="83"/>
      <c r="AB477" s="83"/>
      <c r="AC477" s="83"/>
      <c r="AD477" s="83"/>
    </row>
    <row r="478">
      <c r="A478" s="447"/>
      <c r="B478" s="448"/>
      <c r="C478" s="448"/>
      <c r="D478" s="448"/>
      <c r="E478" s="448"/>
      <c r="F478" s="448"/>
      <c r="G478" s="448"/>
      <c r="H478" s="448"/>
      <c r="I478" s="448"/>
      <c r="J478" s="448"/>
      <c r="K478" s="449"/>
      <c r="L478" s="448"/>
      <c r="M478" s="450"/>
      <c r="N478" s="451"/>
      <c r="O478" s="451"/>
      <c r="P478" s="451"/>
      <c r="Q478" s="448"/>
      <c r="R478" s="83"/>
      <c r="S478" s="83"/>
      <c r="T478" s="83"/>
      <c r="U478" s="83"/>
      <c r="V478" s="83"/>
      <c r="W478" s="83"/>
      <c r="X478" s="83"/>
      <c r="Y478" s="83"/>
      <c r="Z478" s="83"/>
      <c r="AA478" s="83"/>
      <c r="AB478" s="83"/>
      <c r="AC478" s="83"/>
      <c r="AD478" s="83"/>
    </row>
    <row r="479">
      <c r="A479" s="447"/>
      <c r="B479" s="448"/>
      <c r="C479" s="448"/>
      <c r="D479" s="448"/>
      <c r="E479" s="448"/>
      <c r="F479" s="448"/>
      <c r="G479" s="448"/>
      <c r="H479" s="448"/>
      <c r="I479" s="448"/>
      <c r="J479" s="448"/>
      <c r="K479" s="449"/>
      <c r="L479" s="448"/>
      <c r="M479" s="450"/>
      <c r="N479" s="451"/>
      <c r="O479" s="451"/>
      <c r="P479" s="451"/>
      <c r="Q479" s="448"/>
      <c r="R479" s="83"/>
      <c r="S479" s="83"/>
      <c r="T479" s="83"/>
      <c r="U479" s="83"/>
      <c r="V479" s="83"/>
      <c r="W479" s="83"/>
      <c r="X479" s="83"/>
      <c r="Y479" s="83"/>
      <c r="Z479" s="83"/>
      <c r="AA479" s="83"/>
      <c r="AB479" s="83"/>
      <c r="AC479" s="83"/>
      <c r="AD479" s="83"/>
    </row>
    <row r="480">
      <c r="A480" s="447"/>
      <c r="B480" s="448"/>
      <c r="C480" s="448"/>
      <c r="D480" s="448"/>
      <c r="E480" s="448"/>
      <c r="F480" s="448"/>
      <c r="G480" s="448"/>
      <c r="H480" s="448"/>
      <c r="I480" s="448"/>
      <c r="J480" s="448"/>
      <c r="K480" s="449"/>
      <c r="L480" s="448"/>
      <c r="M480" s="450"/>
      <c r="N480" s="451"/>
      <c r="O480" s="451"/>
      <c r="P480" s="451"/>
      <c r="Q480" s="448"/>
      <c r="R480" s="83"/>
      <c r="S480" s="83"/>
      <c r="T480" s="83"/>
      <c r="U480" s="83"/>
      <c r="V480" s="83"/>
      <c r="W480" s="83"/>
      <c r="X480" s="83"/>
      <c r="Y480" s="83"/>
      <c r="Z480" s="83"/>
      <c r="AA480" s="83"/>
      <c r="AB480" s="83"/>
      <c r="AC480" s="83"/>
      <c r="AD480" s="83"/>
    </row>
    <row r="481">
      <c r="A481" s="447"/>
      <c r="B481" s="448"/>
      <c r="C481" s="448"/>
      <c r="D481" s="448"/>
      <c r="E481" s="448"/>
      <c r="F481" s="448"/>
      <c r="G481" s="448"/>
      <c r="H481" s="448"/>
      <c r="I481" s="448"/>
      <c r="J481" s="448"/>
      <c r="K481" s="449"/>
      <c r="L481" s="448"/>
      <c r="M481" s="450"/>
      <c r="N481" s="451"/>
      <c r="O481" s="451"/>
      <c r="P481" s="451"/>
      <c r="Q481" s="448"/>
      <c r="R481" s="83"/>
      <c r="S481" s="83"/>
      <c r="T481" s="83"/>
      <c r="U481" s="83"/>
      <c r="V481" s="83"/>
      <c r="W481" s="83"/>
      <c r="X481" s="83"/>
      <c r="Y481" s="83"/>
      <c r="Z481" s="83"/>
      <c r="AA481" s="83"/>
      <c r="AB481" s="83"/>
      <c r="AC481" s="83"/>
      <c r="AD481" s="83"/>
    </row>
    <row r="482">
      <c r="A482" s="447"/>
      <c r="B482" s="448"/>
      <c r="C482" s="448"/>
      <c r="D482" s="448"/>
      <c r="E482" s="448"/>
      <c r="F482" s="448"/>
      <c r="G482" s="448"/>
      <c r="H482" s="448"/>
      <c r="I482" s="448"/>
      <c r="J482" s="448"/>
      <c r="K482" s="449"/>
      <c r="L482" s="448"/>
      <c r="M482" s="450"/>
      <c r="N482" s="451"/>
      <c r="O482" s="451"/>
      <c r="P482" s="451"/>
      <c r="Q482" s="448"/>
      <c r="R482" s="83"/>
      <c r="S482" s="83"/>
      <c r="T482" s="83"/>
      <c r="U482" s="83"/>
      <c r="V482" s="83"/>
      <c r="W482" s="83"/>
      <c r="X482" s="83"/>
      <c r="Y482" s="83"/>
      <c r="Z482" s="83"/>
      <c r="AA482" s="83"/>
      <c r="AB482" s="83"/>
      <c r="AC482" s="83"/>
      <c r="AD482" s="83"/>
    </row>
    <row r="483">
      <c r="A483" s="447"/>
      <c r="B483" s="448"/>
      <c r="C483" s="448"/>
      <c r="D483" s="448"/>
      <c r="E483" s="448"/>
      <c r="F483" s="448"/>
      <c r="G483" s="448"/>
      <c r="H483" s="448"/>
      <c r="I483" s="448"/>
      <c r="J483" s="448"/>
      <c r="K483" s="449"/>
      <c r="L483" s="448"/>
      <c r="M483" s="450"/>
      <c r="N483" s="451"/>
      <c r="O483" s="451"/>
      <c r="P483" s="451"/>
      <c r="Q483" s="448"/>
      <c r="R483" s="83"/>
      <c r="S483" s="83"/>
      <c r="T483" s="83"/>
      <c r="U483" s="83"/>
      <c r="V483" s="83"/>
      <c r="W483" s="83"/>
      <c r="X483" s="83"/>
      <c r="Y483" s="83"/>
      <c r="Z483" s="83"/>
      <c r="AA483" s="83"/>
      <c r="AB483" s="83"/>
      <c r="AC483" s="83"/>
      <c r="AD483" s="83"/>
    </row>
    <row r="484">
      <c r="A484" s="447"/>
      <c r="B484" s="448"/>
      <c r="C484" s="448"/>
      <c r="D484" s="448"/>
      <c r="E484" s="448"/>
      <c r="F484" s="448"/>
      <c r="G484" s="448"/>
      <c r="H484" s="448"/>
      <c r="I484" s="448"/>
      <c r="J484" s="448"/>
      <c r="K484" s="449"/>
      <c r="L484" s="448"/>
      <c r="M484" s="450"/>
      <c r="N484" s="451"/>
      <c r="O484" s="451"/>
      <c r="P484" s="451"/>
      <c r="Q484" s="448"/>
      <c r="R484" s="83"/>
      <c r="S484" s="83"/>
      <c r="T484" s="83"/>
      <c r="U484" s="83"/>
      <c r="V484" s="83"/>
      <c r="W484" s="83"/>
      <c r="X484" s="83"/>
      <c r="Y484" s="83"/>
      <c r="Z484" s="83"/>
      <c r="AA484" s="83"/>
      <c r="AB484" s="83"/>
      <c r="AC484" s="83"/>
      <c r="AD484" s="83"/>
    </row>
    <row r="485">
      <c r="A485" s="447"/>
      <c r="B485" s="448"/>
      <c r="C485" s="448"/>
      <c r="D485" s="448"/>
      <c r="E485" s="448"/>
      <c r="F485" s="448"/>
      <c r="G485" s="448"/>
      <c r="H485" s="448"/>
      <c r="I485" s="448"/>
      <c r="J485" s="448"/>
      <c r="K485" s="449"/>
      <c r="L485" s="448"/>
      <c r="M485" s="450"/>
      <c r="N485" s="451"/>
      <c r="O485" s="451"/>
      <c r="P485" s="451"/>
      <c r="Q485" s="448"/>
      <c r="R485" s="83"/>
      <c r="S485" s="83"/>
      <c r="T485" s="83"/>
      <c r="U485" s="83"/>
      <c r="V485" s="83"/>
      <c r="W485" s="83"/>
      <c r="X485" s="83"/>
      <c r="Y485" s="83"/>
      <c r="Z485" s="83"/>
      <c r="AA485" s="83"/>
      <c r="AB485" s="83"/>
      <c r="AC485" s="83"/>
      <c r="AD485" s="83"/>
    </row>
    <row r="486">
      <c r="A486" s="447"/>
      <c r="B486" s="448"/>
      <c r="C486" s="448"/>
      <c r="D486" s="448"/>
      <c r="E486" s="448"/>
      <c r="F486" s="448"/>
      <c r="G486" s="448"/>
      <c r="H486" s="448"/>
      <c r="I486" s="448"/>
      <c r="J486" s="448"/>
      <c r="K486" s="449"/>
      <c r="L486" s="448"/>
      <c r="M486" s="450"/>
      <c r="N486" s="451"/>
      <c r="O486" s="451"/>
      <c r="P486" s="451"/>
      <c r="Q486" s="448"/>
      <c r="R486" s="83"/>
      <c r="S486" s="83"/>
      <c r="T486" s="83"/>
      <c r="U486" s="83"/>
      <c r="V486" s="83"/>
      <c r="W486" s="83"/>
      <c r="X486" s="83"/>
      <c r="Y486" s="83"/>
      <c r="Z486" s="83"/>
      <c r="AA486" s="83"/>
      <c r="AB486" s="83"/>
      <c r="AC486" s="83"/>
      <c r="AD486" s="83"/>
    </row>
    <row r="487">
      <c r="A487" s="447"/>
      <c r="B487" s="448"/>
      <c r="C487" s="448"/>
      <c r="D487" s="448"/>
      <c r="E487" s="448"/>
      <c r="F487" s="448"/>
      <c r="G487" s="448"/>
      <c r="H487" s="448"/>
      <c r="I487" s="448"/>
      <c r="J487" s="448"/>
      <c r="K487" s="449"/>
      <c r="L487" s="448"/>
      <c r="M487" s="450"/>
      <c r="N487" s="451"/>
      <c r="O487" s="451"/>
      <c r="P487" s="451"/>
      <c r="Q487" s="448"/>
      <c r="R487" s="83"/>
      <c r="S487" s="83"/>
      <c r="T487" s="83"/>
      <c r="U487" s="83"/>
      <c r="V487" s="83"/>
      <c r="W487" s="83"/>
      <c r="X487" s="83"/>
      <c r="Y487" s="83"/>
      <c r="Z487" s="83"/>
      <c r="AA487" s="83"/>
      <c r="AB487" s="83"/>
      <c r="AC487" s="83"/>
      <c r="AD487" s="83"/>
    </row>
    <row r="488">
      <c r="A488" s="447"/>
      <c r="B488" s="448"/>
      <c r="C488" s="448"/>
      <c r="D488" s="448"/>
      <c r="E488" s="448"/>
      <c r="F488" s="448"/>
      <c r="G488" s="448"/>
      <c r="H488" s="448"/>
      <c r="I488" s="448"/>
      <c r="J488" s="448"/>
      <c r="K488" s="449"/>
      <c r="L488" s="448"/>
      <c r="M488" s="450"/>
      <c r="N488" s="451"/>
      <c r="O488" s="451"/>
      <c r="P488" s="451"/>
      <c r="Q488" s="448"/>
      <c r="R488" s="83"/>
      <c r="S488" s="83"/>
      <c r="T488" s="83"/>
      <c r="U488" s="83"/>
      <c r="V488" s="83"/>
      <c r="W488" s="83"/>
      <c r="X488" s="83"/>
      <c r="Y488" s="83"/>
      <c r="Z488" s="83"/>
      <c r="AA488" s="83"/>
      <c r="AB488" s="83"/>
      <c r="AC488" s="83"/>
      <c r="AD488" s="83"/>
    </row>
    <row r="489">
      <c r="A489" s="447"/>
      <c r="B489" s="448"/>
      <c r="C489" s="448"/>
      <c r="D489" s="448"/>
      <c r="E489" s="448"/>
      <c r="F489" s="448"/>
      <c r="G489" s="448"/>
      <c r="H489" s="448"/>
      <c r="I489" s="448"/>
      <c r="J489" s="448"/>
      <c r="K489" s="449"/>
      <c r="L489" s="448"/>
      <c r="M489" s="450"/>
      <c r="N489" s="451"/>
      <c r="O489" s="451"/>
      <c r="P489" s="451"/>
      <c r="Q489" s="448"/>
      <c r="R489" s="83"/>
      <c r="S489" s="83"/>
      <c r="T489" s="83"/>
      <c r="U489" s="83"/>
      <c r="V489" s="83"/>
      <c r="W489" s="83"/>
      <c r="X489" s="83"/>
      <c r="Y489" s="83"/>
      <c r="Z489" s="83"/>
      <c r="AA489" s="83"/>
      <c r="AB489" s="83"/>
      <c r="AC489" s="83"/>
      <c r="AD489" s="83"/>
    </row>
    <row r="490">
      <c r="A490" s="447"/>
      <c r="B490" s="448"/>
      <c r="C490" s="448"/>
      <c r="D490" s="448"/>
      <c r="E490" s="448"/>
      <c r="F490" s="448"/>
      <c r="G490" s="448"/>
      <c r="H490" s="448"/>
      <c r="I490" s="448"/>
      <c r="J490" s="448"/>
      <c r="K490" s="449"/>
      <c r="L490" s="448"/>
      <c r="M490" s="450"/>
      <c r="N490" s="451"/>
      <c r="O490" s="451"/>
      <c r="P490" s="451"/>
      <c r="Q490" s="448"/>
      <c r="R490" s="83"/>
      <c r="S490" s="83"/>
      <c r="T490" s="83"/>
      <c r="U490" s="83"/>
      <c r="V490" s="83"/>
      <c r="W490" s="83"/>
      <c r="X490" s="83"/>
      <c r="Y490" s="83"/>
      <c r="Z490" s="83"/>
      <c r="AA490" s="83"/>
      <c r="AB490" s="83"/>
      <c r="AC490" s="83"/>
      <c r="AD490" s="83"/>
    </row>
    <row r="491">
      <c r="A491" s="447"/>
      <c r="B491" s="448"/>
      <c r="C491" s="448"/>
      <c r="D491" s="448"/>
      <c r="E491" s="448"/>
      <c r="F491" s="448"/>
      <c r="G491" s="448"/>
      <c r="H491" s="448"/>
      <c r="I491" s="448"/>
      <c r="J491" s="448"/>
      <c r="K491" s="449"/>
      <c r="L491" s="448"/>
      <c r="M491" s="450"/>
      <c r="N491" s="451"/>
      <c r="O491" s="451"/>
      <c r="P491" s="451"/>
      <c r="Q491" s="448"/>
      <c r="R491" s="83"/>
      <c r="S491" s="83"/>
      <c r="T491" s="83"/>
      <c r="U491" s="83"/>
      <c r="V491" s="83"/>
      <c r="W491" s="83"/>
      <c r="X491" s="83"/>
      <c r="Y491" s="83"/>
      <c r="Z491" s="83"/>
      <c r="AA491" s="83"/>
      <c r="AB491" s="83"/>
      <c r="AC491" s="83"/>
      <c r="AD491" s="83"/>
    </row>
    <row r="492">
      <c r="A492" s="447"/>
      <c r="B492" s="448"/>
      <c r="C492" s="448"/>
      <c r="D492" s="448"/>
      <c r="E492" s="448"/>
      <c r="F492" s="448"/>
      <c r="G492" s="448"/>
      <c r="H492" s="448"/>
      <c r="I492" s="448"/>
      <c r="J492" s="448"/>
      <c r="K492" s="449"/>
      <c r="L492" s="448"/>
      <c r="M492" s="450"/>
      <c r="N492" s="451"/>
      <c r="O492" s="451"/>
      <c r="P492" s="451"/>
      <c r="Q492" s="448"/>
      <c r="R492" s="83"/>
      <c r="S492" s="83"/>
      <c r="T492" s="83"/>
      <c r="U492" s="83"/>
      <c r="V492" s="83"/>
      <c r="W492" s="83"/>
      <c r="X492" s="83"/>
      <c r="Y492" s="83"/>
      <c r="Z492" s="83"/>
      <c r="AA492" s="83"/>
      <c r="AB492" s="83"/>
      <c r="AC492" s="83"/>
      <c r="AD492" s="83"/>
    </row>
    <row r="493">
      <c r="A493" s="447"/>
      <c r="B493" s="448"/>
      <c r="C493" s="448"/>
      <c r="D493" s="448"/>
      <c r="E493" s="448"/>
      <c r="F493" s="448"/>
      <c r="G493" s="448"/>
      <c r="H493" s="448"/>
      <c r="I493" s="448"/>
      <c r="J493" s="448"/>
      <c r="K493" s="449"/>
      <c r="L493" s="448"/>
      <c r="M493" s="450"/>
      <c r="N493" s="451"/>
      <c r="O493" s="451"/>
      <c r="P493" s="451"/>
      <c r="Q493" s="448"/>
      <c r="R493" s="83"/>
      <c r="S493" s="83"/>
      <c r="T493" s="83"/>
      <c r="U493" s="83"/>
      <c r="V493" s="83"/>
      <c r="W493" s="83"/>
      <c r="X493" s="83"/>
      <c r="Y493" s="83"/>
      <c r="Z493" s="83"/>
      <c r="AA493" s="83"/>
      <c r="AB493" s="83"/>
      <c r="AC493" s="83"/>
      <c r="AD493" s="83"/>
    </row>
    <row r="494">
      <c r="A494" s="447"/>
      <c r="B494" s="448"/>
      <c r="C494" s="448"/>
      <c r="D494" s="448"/>
      <c r="E494" s="448"/>
      <c r="F494" s="448"/>
      <c r="G494" s="448"/>
      <c r="H494" s="448"/>
      <c r="I494" s="448"/>
      <c r="J494" s="448"/>
      <c r="K494" s="449"/>
      <c r="L494" s="448"/>
      <c r="M494" s="450"/>
      <c r="N494" s="451"/>
      <c r="O494" s="451"/>
      <c r="P494" s="451"/>
      <c r="Q494" s="448"/>
      <c r="R494" s="83"/>
      <c r="S494" s="83"/>
      <c r="T494" s="83"/>
      <c r="U494" s="83"/>
      <c r="V494" s="83"/>
      <c r="W494" s="83"/>
      <c r="X494" s="83"/>
      <c r="Y494" s="83"/>
      <c r="Z494" s="83"/>
      <c r="AA494" s="83"/>
      <c r="AB494" s="83"/>
      <c r="AC494" s="83"/>
      <c r="AD494" s="83"/>
    </row>
    <row r="495">
      <c r="A495" s="447"/>
      <c r="B495" s="448"/>
      <c r="C495" s="448"/>
      <c r="D495" s="448"/>
      <c r="E495" s="448"/>
      <c r="F495" s="448"/>
      <c r="G495" s="448"/>
      <c r="H495" s="448"/>
      <c r="I495" s="448"/>
      <c r="J495" s="448"/>
      <c r="K495" s="449"/>
      <c r="L495" s="448"/>
      <c r="M495" s="450"/>
      <c r="N495" s="451"/>
      <c r="O495" s="451"/>
      <c r="P495" s="451"/>
      <c r="Q495" s="448"/>
      <c r="R495" s="83"/>
      <c r="S495" s="83"/>
      <c r="T495" s="83"/>
      <c r="U495" s="83"/>
      <c r="V495" s="83"/>
      <c r="W495" s="83"/>
      <c r="X495" s="83"/>
      <c r="Y495" s="83"/>
      <c r="Z495" s="83"/>
      <c r="AA495" s="83"/>
      <c r="AB495" s="83"/>
      <c r="AC495" s="83"/>
      <c r="AD495" s="83"/>
    </row>
    <row r="496">
      <c r="A496" s="447"/>
      <c r="B496" s="448"/>
      <c r="C496" s="448"/>
      <c r="D496" s="448"/>
      <c r="E496" s="448"/>
      <c r="F496" s="448"/>
      <c r="G496" s="448"/>
      <c r="H496" s="448"/>
      <c r="I496" s="448"/>
      <c r="J496" s="448"/>
      <c r="K496" s="449"/>
      <c r="L496" s="448"/>
      <c r="M496" s="450"/>
      <c r="N496" s="451"/>
      <c r="O496" s="451"/>
      <c r="P496" s="451"/>
      <c r="Q496" s="448"/>
      <c r="R496" s="83"/>
      <c r="S496" s="83"/>
      <c r="T496" s="83"/>
      <c r="U496" s="83"/>
      <c r="V496" s="83"/>
      <c r="W496" s="83"/>
      <c r="X496" s="83"/>
      <c r="Y496" s="83"/>
      <c r="Z496" s="83"/>
      <c r="AA496" s="83"/>
      <c r="AB496" s="83"/>
      <c r="AC496" s="83"/>
      <c r="AD496" s="83"/>
    </row>
    <row r="497">
      <c r="A497" s="447"/>
      <c r="B497" s="448"/>
      <c r="C497" s="448"/>
      <c r="D497" s="448"/>
      <c r="E497" s="448"/>
      <c r="F497" s="448"/>
      <c r="G497" s="448"/>
      <c r="H497" s="448"/>
      <c r="I497" s="448"/>
      <c r="J497" s="448"/>
      <c r="K497" s="449"/>
      <c r="L497" s="448"/>
      <c r="M497" s="450"/>
      <c r="N497" s="451"/>
      <c r="O497" s="451"/>
      <c r="P497" s="451"/>
      <c r="Q497" s="448"/>
      <c r="R497" s="83"/>
      <c r="S497" s="83"/>
      <c r="T497" s="83"/>
      <c r="U497" s="83"/>
      <c r="V497" s="83"/>
      <c r="W497" s="83"/>
      <c r="X497" s="83"/>
      <c r="Y497" s="83"/>
      <c r="Z497" s="83"/>
      <c r="AA497" s="83"/>
      <c r="AB497" s="83"/>
      <c r="AC497" s="83"/>
      <c r="AD497" s="83"/>
    </row>
    <row r="498">
      <c r="A498" s="447"/>
      <c r="B498" s="448"/>
      <c r="C498" s="448"/>
      <c r="D498" s="448"/>
      <c r="E498" s="448"/>
      <c r="F498" s="448"/>
      <c r="G498" s="448"/>
      <c r="H498" s="448"/>
      <c r="I498" s="448"/>
      <c r="J498" s="448"/>
      <c r="K498" s="449"/>
      <c r="L498" s="448"/>
      <c r="M498" s="450"/>
      <c r="N498" s="451"/>
      <c r="O498" s="451"/>
      <c r="P498" s="451"/>
      <c r="Q498" s="448"/>
      <c r="R498" s="83"/>
      <c r="S498" s="83"/>
      <c r="T498" s="83"/>
      <c r="U498" s="83"/>
      <c r="V498" s="83"/>
      <c r="W498" s="83"/>
      <c r="X498" s="83"/>
      <c r="Y498" s="83"/>
      <c r="Z498" s="83"/>
      <c r="AA498" s="83"/>
      <c r="AB498" s="83"/>
      <c r="AC498" s="83"/>
      <c r="AD498" s="83"/>
    </row>
    <row r="499">
      <c r="A499" s="447"/>
      <c r="B499" s="448"/>
      <c r="C499" s="448"/>
      <c r="D499" s="448"/>
      <c r="E499" s="448"/>
      <c r="F499" s="448"/>
      <c r="G499" s="448"/>
      <c r="H499" s="448"/>
      <c r="I499" s="448"/>
      <c r="J499" s="448"/>
      <c r="K499" s="449"/>
      <c r="L499" s="448"/>
      <c r="M499" s="450"/>
      <c r="N499" s="451"/>
      <c r="O499" s="451"/>
      <c r="P499" s="451"/>
      <c r="Q499" s="448"/>
      <c r="R499" s="83"/>
      <c r="S499" s="83"/>
      <c r="T499" s="83"/>
      <c r="U499" s="83"/>
      <c r="V499" s="83"/>
      <c r="W499" s="83"/>
      <c r="X499" s="83"/>
      <c r="Y499" s="83"/>
      <c r="Z499" s="83"/>
      <c r="AA499" s="83"/>
      <c r="AB499" s="83"/>
      <c r="AC499" s="83"/>
      <c r="AD499" s="83"/>
    </row>
    <row r="500">
      <c r="A500" s="447"/>
      <c r="B500" s="448"/>
      <c r="C500" s="448"/>
      <c r="D500" s="448"/>
      <c r="E500" s="448"/>
      <c r="F500" s="448"/>
      <c r="G500" s="448"/>
      <c r="H500" s="448"/>
      <c r="I500" s="448"/>
      <c r="J500" s="448"/>
      <c r="K500" s="449"/>
      <c r="L500" s="448"/>
      <c r="M500" s="450"/>
      <c r="N500" s="451"/>
      <c r="O500" s="451"/>
      <c r="P500" s="451"/>
      <c r="Q500" s="448"/>
      <c r="R500" s="83"/>
      <c r="S500" s="83"/>
      <c r="T500" s="83"/>
      <c r="U500" s="83"/>
      <c r="V500" s="83"/>
      <c r="W500" s="83"/>
      <c r="X500" s="83"/>
      <c r="Y500" s="83"/>
      <c r="Z500" s="83"/>
      <c r="AA500" s="83"/>
      <c r="AB500" s="83"/>
      <c r="AC500" s="83"/>
      <c r="AD500" s="83"/>
    </row>
    <row r="501">
      <c r="A501" s="447"/>
      <c r="B501" s="448"/>
      <c r="C501" s="448"/>
      <c r="D501" s="448"/>
      <c r="E501" s="448"/>
      <c r="F501" s="448"/>
      <c r="G501" s="448"/>
      <c r="H501" s="448"/>
      <c r="I501" s="448"/>
      <c r="J501" s="448"/>
      <c r="K501" s="449"/>
      <c r="L501" s="448"/>
      <c r="M501" s="450"/>
      <c r="N501" s="451"/>
      <c r="O501" s="451"/>
      <c r="P501" s="451"/>
      <c r="Q501" s="448"/>
      <c r="R501" s="83"/>
      <c r="S501" s="83"/>
      <c r="T501" s="83"/>
      <c r="U501" s="83"/>
      <c r="V501" s="83"/>
      <c r="W501" s="83"/>
      <c r="X501" s="83"/>
      <c r="Y501" s="83"/>
      <c r="Z501" s="83"/>
      <c r="AA501" s="83"/>
      <c r="AB501" s="83"/>
      <c r="AC501" s="83"/>
      <c r="AD501" s="83"/>
    </row>
    <row r="502">
      <c r="A502" s="447"/>
      <c r="B502" s="448"/>
      <c r="C502" s="448"/>
      <c r="D502" s="448"/>
      <c r="E502" s="448"/>
      <c r="F502" s="448"/>
      <c r="G502" s="448"/>
      <c r="H502" s="448"/>
      <c r="I502" s="448"/>
      <c r="J502" s="448"/>
      <c r="K502" s="449"/>
      <c r="L502" s="448"/>
      <c r="M502" s="450"/>
      <c r="N502" s="451"/>
      <c r="O502" s="451"/>
      <c r="P502" s="451"/>
      <c r="Q502" s="448"/>
      <c r="R502" s="83"/>
      <c r="S502" s="83"/>
      <c r="T502" s="83"/>
      <c r="U502" s="83"/>
      <c r="V502" s="83"/>
      <c r="W502" s="83"/>
      <c r="X502" s="83"/>
      <c r="Y502" s="83"/>
      <c r="Z502" s="83"/>
      <c r="AA502" s="83"/>
      <c r="AB502" s="83"/>
      <c r="AC502" s="83"/>
      <c r="AD502" s="83"/>
    </row>
    <row r="503">
      <c r="A503" s="447"/>
      <c r="B503" s="448"/>
      <c r="C503" s="448"/>
      <c r="D503" s="448"/>
      <c r="E503" s="448"/>
      <c r="F503" s="448"/>
      <c r="G503" s="448"/>
      <c r="H503" s="448"/>
      <c r="I503" s="448"/>
      <c r="J503" s="448"/>
      <c r="K503" s="449"/>
      <c r="L503" s="448"/>
      <c r="M503" s="450"/>
      <c r="N503" s="451"/>
      <c r="O503" s="451"/>
      <c r="P503" s="451"/>
      <c r="Q503" s="448"/>
      <c r="R503" s="83"/>
      <c r="S503" s="83"/>
      <c r="T503" s="83"/>
      <c r="U503" s="83"/>
      <c r="V503" s="83"/>
      <c r="W503" s="83"/>
      <c r="X503" s="83"/>
      <c r="Y503" s="83"/>
      <c r="Z503" s="83"/>
      <c r="AA503" s="83"/>
      <c r="AB503" s="83"/>
      <c r="AC503" s="83"/>
      <c r="AD503" s="83"/>
    </row>
    <row r="504">
      <c r="A504" s="447"/>
      <c r="B504" s="448"/>
      <c r="C504" s="448"/>
      <c r="D504" s="448"/>
      <c r="E504" s="448"/>
      <c r="F504" s="448"/>
      <c r="G504" s="448"/>
      <c r="H504" s="448"/>
      <c r="I504" s="448"/>
      <c r="J504" s="448"/>
      <c r="K504" s="449"/>
      <c r="L504" s="448"/>
      <c r="M504" s="450"/>
      <c r="N504" s="451"/>
      <c r="O504" s="451"/>
      <c r="P504" s="451"/>
      <c r="Q504" s="448"/>
      <c r="R504" s="83"/>
      <c r="S504" s="83"/>
      <c r="T504" s="83"/>
      <c r="U504" s="83"/>
      <c r="V504" s="83"/>
      <c r="W504" s="83"/>
      <c r="X504" s="83"/>
      <c r="Y504" s="83"/>
      <c r="Z504" s="83"/>
      <c r="AA504" s="83"/>
      <c r="AB504" s="83"/>
      <c r="AC504" s="83"/>
      <c r="AD504" s="83"/>
    </row>
    <row r="505">
      <c r="A505" s="447"/>
      <c r="B505" s="448"/>
      <c r="C505" s="448"/>
      <c r="D505" s="448"/>
      <c r="E505" s="448"/>
      <c r="F505" s="448"/>
      <c r="G505" s="448"/>
      <c r="H505" s="448"/>
      <c r="I505" s="448"/>
      <c r="J505" s="448"/>
      <c r="K505" s="449"/>
      <c r="L505" s="448"/>
      <c r="M505" s="450"/>
      <c r="N505" s="451"/>
      <c r="O505" s="451"/>
      <c r="P505" s="451"/>
      <c r="Q505" s="448"/>
      <c r="R505" s="83"/>
      <c r="S505" s="83"/>
      <c r="T505" s="83"/>
      <c r="U505" s="83"/>
      <c r="V505" s="83"/>
      <c r="W505" s="83"/>
      <c r="X505" s="83"/>
      <c r="Y505" s="83"/>
      <c r="Z505" s="83"/>
      <c r="AA505" s="83"/>
      <c r="AB505" s="83"/>
      <c r="AC505" s="83"/>
      <c r="AD505" s="83"/>
    </row>
    <row r="506">
      <c r="A506" s="447"/>
      <c r="B506" s="448"/>
      <c r="C506" s="448"/>
      <c r="D506" s="448"/>
      <c r="E506" s="448"/>
      <c r="F506" s="448"/>
      <c r="G506" s="448"/>
      <c r="H506" s="448"/>
      <c r="I506" s="448"/>
      <c r="J506" s="448"/>
      <c r="K506" s="449"/>
      <c r="L506" s="448"/>
      <c r="M506" s="450"/>
      <c r="N506" s="451"/>
      <c r="O506" s="451"/>
      <c r="P506" s="451"/>
      <c r="Q506" s="448"/>
      <c r="R506" s="83"/>
      <c r="S506" s="83"/>
      <c r="T506" s="83"/>
      <c r="U506" s="83"/>
      <c r="V506" s="83"/>
      <c r="W506" s="83"/>
      <c r="X506" s="83"/>
      <c r="Y506" s="83"/>
      <c r="Z506" s="83"/>
      <c r="AA506" s="83"/>
      <c r="AB506" s="83"/>
      <c r="AC506" s="83"/>
      <c r="AD506" s="83"/>
    </row>
    <row r="507">
      <c r="A507" s="447"/>
      <c r="B507" s="448"/>
      <c r="C507" s="448"/>
      <c r="D507" s="448"/>
      <c r="E507" s="448"/>
      <c r="F507" s="448"/>
      <c r="G507" s="448"/>
      <c r="H507" s="448"/>
      <c r="I507" s="448"/>
      <c r="J507" s="448"/>
      <c r="K507" s="449"/>
      <c r="L507" s="448"/>
      <c r="M507" s="450"/>
      <c r="N507" s="451"/>
      <c r="O507" s="451"/>
      <c r="P507" s="451"/>
      <c r="Q507" s="448"/>
      <c r="R507" s="83"/>
      <c r="S507" s="83"/>
      <c r="T507" s="83"/>
      <c r="U507" s="83"/>
      <c r="V507" s="83"/>
      <c r="W507" s="83"/>
      <c r="X507" s="83"/>
      <c r="Y507" s="83"/>
      <c r="Z507" s="83"/>
      <c r="AA507" s="83"/>
      <c r="AB507" s="83"/>
      <c r="AC507" s="83"/>
      <c r="AD507" s="83"/>
    </row>
    <row r="508">
      <c r="A508" s="447"/>
      <c r="B508" s="448"/>
      <c r="C508" s="448"/>
      <c r="D508" s="448"/>
      <c r="E508" s="448"/>
      <c r="F508" s="448"/>
      <c r="G508" s="448"/>
      <c r="H508" s="448"/>
      <c r="I508" s="448"/>
      <c r="J508" s="448"/>
      <c r="K508" s="449"/>
      <c r="L508" s="448"/>
      <c r="M508" s="450"/>
      <c r="N508" s="451"/>
      <c r="O508" s="451"/>
      <c r="P508" s="451"/>
      <c r="Q508" s="448"/>
      <c r="R508" s="83"/>
      <c r="S508" s="83"/>
      <c r="T508" s="83"/>
      <c r="U508" s="83"/>
      <c r="V508" s="83"/>
      <c r="W508" s="83"/>
      <c r="X508" s="83"/>
      <c r="Y508" s="83"/>
      <c r="Z508" s="83"/>
      <c r="AA508" s="83"/>
      <c r="AB508" s="83"/>
      <c r="AC508" s="83"/>
      <c r="AD508" s="83"/>
    </row>
    <row r="509">
      <c r="A509" s="447"/>
      <c r="B509" s="448"/>
      <c r="C509" s="448"/>
      <c r="D509" s="448"/>
      <c r="E509" s="448"/>
      <c r="F509" s="448"/>
      <c r="G509" s="448"/>
      <c r="H509" s="448"/>
      <c r="I509" s="448"/>
      <c r="J509" s="448"/>
      <c r="K509" s="449"/>
      <c r="L509" s="448"/>
      <c r="M509" s="450"/>
      <c r="N509" s="451"/>
      <c r="O509" s="451"/>
      <c r="P509" s="451"/>
      <c r="Q509" s="448"/>
      <c r="R509" s="83"/>
      <c r="S509" s="83"/>
      <c r="T509" s="83"/>
      <c r="U509" s="83"/>
      <c r="V509" s="83"/>
      <c r="W509" s="83"/>
      <c r="X509" s="83"/>
      <c r="Y509" s="83"/>
      <c r="Z509" s="83"/>
      <c r="AA509" s="83"/>
      <c r="AB509" s="83"/>
      <c r="AC509" s="83"/>
      <c r="AD509" s="83"/>
    </row>
    <row r="510">
      <c r="A510" s="447"/>
      <c r="B510" s="448"/>
      <c r="C510" s="448"/>
      <c r="D510" s="448"/>
      <c r="E510" s="448"/>
      <c r="F510" s="448"/>
      <c r="G510" s="448"/>
      <c r="H510" s="448"/>
      <c r="I510" s="448"/>
      <c r="J510" s="448"/>
      <c r="K510" s="449"/>
      <c r="L510" s="448"/>
      <c r="M510" s="450"/>
      <c r="N510" s="451"/>
      <c r="O510" s="451"/>
      <c r="P510" s="451"/>
      <c r="Q510" s="448"/>
      <c r="R510" s="83"/>
      <c r="S510" s="83"/>
      <c r="T510" s="83"/>
      <c r="U510" s="83"/>
      <c r="V510" s="83"/>
      <c r="W510" s="83"/>
      <c r="X510" s="83"/>
      <c r="Y510" s="83"/>
      <c r="Z510" s="83"/>
      <c r="AA510" s="83"/>
      <c r="AB510" s="83"/>
      <c r="AC510" s="83"/>
      <c r="AD510" s="83"/>
    </row>
    <row r="511">
      <c r="A511" s="447"/>
      <c r="B511" s="448"/>
      <c r="C511" s="448"/>
      <c r="D511" s="448"/>
      <c r="E511" s="448"/>
      <c r="F511" s="448"/>
      <c r="G511" s="448"/>
      <c r="H511" s="448"/>
      <c r="I511" s="448"/>
      <c r="J511" s="448"/>
      <c r="K511" s="449"/>
      <c r="L511" s="448"/>
      <c r="M511" s="450"/>
      <c r="N511" s="451"/>
      <c r="O511" s="451"/>
      <c r="P511" s="451"/>
      <c r="Q511" s="448"/>
      <c r="R511" s="83"/>
      <c r="S511" s="83"/>
      <c r="T511" s="83"/>
      <c r="U511" s="83"/>
      <c r="V511" s="83"/>
      <c r="W511" s="83"/>
      <c r="X511" s="83"/>
      <c r="Y511" s="83"/>
      <c r="Z511" s="83"/>
      <c r="AA511" s="83"/>
      <c r="AB511" s="83"/>
      <c r="AC511" s="83"/>
      <c r="AD511" s="83"/>
    </row>
    <row r="512">
      <c r="A512" s="447"/>
      <c r="B512" s="448"/>
      <c r="C512" s="448"/>
      <c r="D512" s="448"/>
      <c r="E512" s="448"/>
      <c r="F512" s="448"/>
      <c r="G512" s="448"/>
      <c r="H512" s="448"/>
      <c r="I512" s="448"/>
      <c r="J512" s="448"/>
      <c r="K512" s="449"/>
      <c r="L512" s="448"/>
      <c r="M512" s="450"/>
      <c r="N512" s="451"/>
      <c r="O512" s="451"/>
      <c r="P512" s="451"/>
      <c r="Q512" s="448"/>
      <c r="R512" s="83"/>
      <c r="S512" s="83"/>
      <c r="T512" s="83"/>
      <c r="U512" s="83"/>
      <c r="V512" s="83"/>
      <c r="W512" s="83"/>
      <c r="X512" s="83"/>
      <c r="Y512" s="83"/>
      <c r="Z512" s="83"/>
      <c r="AA512" s="83"/>
      <c r="AB512" s="83"/>
      <c r="AC512" s="83"/>
      <c r="AD512" s="83"/>
    </row>
    <row r="513">
      <c r="A513" s="447"/>
      <c r="B513" s="448"/>
      <c r="C513" s="448"/>
      <c r="D513" s="448"/>
      <c r="E513" s="448"/>
      <c r="F513" s="448"/>
      <c r="G513" s="448"/>
      <c r="H513" s="448"/>
      <c r="I513" s="448"/>
      <c r="J513" s="448"/>
      <c r="K513" s="449"/>
      <c r="L513" s="448"/>
      <c r="M513" s="450"/>
      <c r="N513" s="451"/>
      <c r="O513" s="451"/>
      <c r="P513" s="451"/>
      <c r="Q513" s="448"/>
      <c r="R513" s="83"/>
      <c r="S513" s="83"/>
      <c r="T513" s="83"/>
      <c r="U513" s="83"/>
      <c r="V513" s="83"/>
      <c r="W513" s="83"/>
      <c r="X513" s="83"/>
      <c r="Y513" s="83"/>
      <c r="Z513" s="83"/>
      <c r="AA513" s="83"/>
      <c r="AB513" s="83"/>
      <c r="AC513" s="83"/>
      <c r="AD513" s="83"/>
    </row>
    <row r="514">
      <c r="A514" s="447"/>
      <c r="B514" s="448"/>
      <c r="C514" s="448"/>
      <c r="D514" s="448"/>
      <c r="E514" s="448"/>
      <c r="F514" s="448"/>
      <c r="G514" s="448"/>
      <c r="H514" s="448"/>
      <c r="I514" s="448"/>
      <c r="J514" s="448"/>
      <c r="K514" s="449"/>
      <c r="L514" s="448"/>
      <c r="M514" s="450"/>
      <c r="N514" s="451"/>
      <c r="O514" s="451"/>
      <c r="P514" s="451"/>
      <c r="Q514" s="448"/>
      <c r="R514" s="83"/>
      <c r="S514" s="83"/>
      <c r="T514" s="83"/>
      <c r="U514" s="83"/>
      <c r="V514" s="83"/>
      <c r="W514" s="83"/>
      <c r="X514" s="83"/>
      <c r="Y514" s="83"/>
      <c r="Z514" s="83"/>
      <c r="AA514" s="83"/>
      <c r="AB514" s="83"/>
      <c r="AC514" s="83"/>
      <c r="AD514" s="83"/>
    </row>
    <row r="515">
      <c r="A515" s="447"/>
      <c r="B515" s="448"/>
      <c r="C515" s="448"/>
      <c r="D515" s="448"/>
      <c r="E515" s="448"/>
      <c r="F515" s="448"/>
      <c r="G515" s="448"/>
      <c r="H515" s="448"/>
      <c r="I515" s="448"/>
      <c r="J515" s="448"/>
      <c r="K515" s="449"/>
      <c r="L515" s="448"/>
      <c r="M515" s="450"/>
      <c r="N515" s="451"/>
      <c r="O515" s="451"/>
      <c r="P515" s="451"/>
      <c r="Q515" s="448"/>
      <c r="R515" s="83"/>
      <c r="S515" s="83"/>
      <c r="T515" s="83"/>
      <c r="U515" s="83"/>
      <c r="V515" s="83"/>
      <c r="W515" s="83"/>
      <c r="X515" s="83"/>
      <c r="Y515" s="83"/>
      <c r="Z515" s="83"/>
      <c r="AA515" s="83"/>
      <c r="AB515" s="83"/>
      <c r="AC515" s="83"/>
      <c r="AD515" s="83"/>
    </row>
    <row r="516">
      <c r="A516" s="447"/>
      <c r="B516" s="448"/>
      <c r="C516" s="448"/>
      <c r="D516" s="448"/>
      <c r="E516" s="448"/>
      <c r="F516" s="448"/>
      <c r="G516" s="448"/>
      <c r="H516" s="448"/>
      <c r="I516" s="448"/>
      <c r="J516" s="448"/>
      <c r="K516" s="449"/>
      <c r="L516" s="448"/>
      <c r="M516" s="450"/>
      <c r="N516" s="451"/>
      <c r="O516" s="451"/>
      <c r="P516" s="451"/>
      <c r="Q516" s="448"/>
      <c r="R516" s="83"/>
      <c r="S516" s="83"/>
      <c r="T516" s="83"/>
      <c r="U516" s="83"/>
      <c r="V516" s="83"/>
      <c r="W516" s="83"/>
      <c r="X516" s="83"/>
      <c r="Y516" s="83"/>
      <c r="Z516" s="83"/>
      <c r="AA516" s="83"/>
      <c r="AB516" s="83"/>
      <c r="AC516" s="83"/>
      <c r="AD516" s="83"/>
    </row>
    <row r="517">
      <c r="A517" s="447"/>
      <c r="B517" s="448"/>
      <c r="C517" s="448"/>
      <c r="D517" s="448"/>
      <c r="E517" s="448"/>
      <c r="F517" s="448"/>
      <c r="G517" s="448"/>
      <c r="H517" s="448"/>
      <c r="I517" s="448"/>
      <c r="J517" s="448"/>
      <c r="K517" s="449"/>
      <c r="L517" s="448"/>
      <c r="M517" s="450"/>
      <c r="N517" s="451"/>
      <c r="O517" s="451"/>
      <c r="P517" s="451"/>
      <c r="Q517" s="448"/>
      <c r="R517" s="83"/>
      <c r="S517" s="83"/>
      <c r="T517" s="83"/>
      <c r="U517" s="83"/>
      <c r="V517" s="83"/>
      <c r="W517" s="83"/>
      <c r="X517" s="83"/>
      <c r="Y517" s="83"/>
      <c r="Z517" s="83"/>
      <c r="AA517" s="83"/>
      <c r="AB517" s="83"/>
      <c r="AC517" s="83"/>
      <c r="AD517" s="83"/>
    </row>
    <row r="518">
      <c r="A518" s="447"/>
      <c r="B518" s="448"/>
      <c r="C518" s="448"/>
      <c r="D518" s="448"/>
      <c r="E518" s="448"/>
      <c r="F518" s="448"/>
      <c r="G518" s="448"/>
      <c r="H518" s="448"/>
      <c r="I518" s="448"/>
      <c r="J518" s="448"/>
      <c r="K518" s="449"/>
      <c r="L518" s="448"/>
      <c r="M518" s="450"/>
      <c r="N518" s="451"/>
      <c r="O518" s="451"/>
      <c r="P518" s="451"/>
      <c r="Q518" s="448"/>
      <c r="R518" s="83"/>
      <c r="S518" s="83"/>
      <c r="T518" s="83"/>
      <c r="U518" s="83"/>
      <c r="V518" s="83"/>
      <c r="W518" s="83"/>
      <c r="X518" s="83"/>
      <c r="Y518" s="83"/>
      <c r="Z518" s="83"/>
      <c r="AA518" s="83"/>
      <c r="AB518" s="83"/>
      <c r="AC518" s="83"/>
      <c r="AD518" s="83"/>
    </row>
    <row r="519">
      <c r="A519" s="447"/>
      <c r="B519" s="448"/>
      <c r="C519" s="448"/>
      <c r="D519" s="448"/>
      <c r="E519" s="448"/>
      <c r="F519" s="448"/>
      <c r="G519" s="448"/>
      <c r="H519" s="448"/>
      <c r="I519" s="448"/>
      <c r="J519" s="448"/>
      <c r="K519" s="449"/>
      <c r="L519" s="448"/>
      <c r="M519" s="450"/>
      <c r="N519" s="451"/>
      <c r="O519" s="451"/>
      <c r="P519" s="451"/>
      <c r="Q519" s="448"/>
      <c r="R519" s="83"/>
      <c r="S519" s="83"/>
      <c r="T519" s="83"/>
      <c r="U519" s="83"/>
      <c r="V519" s="83"/>
      <c r="W519" s="83"/>
      <c r="X519" s="83"/>
      <c r="Y519" s="83"/>
      <c r="Z519" s="83"/>
      <c r="AA519" s="83"/>
      <c r="AB519" s="83"/>
      <c r="AC519" s="83"/>
      <c r="AD519" s="83"/>
    </row>
    <row r="520">
      <c r="A520" s="447"/>
      <c r="B520" s="448"/>
      <c r="C520" s="448"/>
      <c r="D520" s="448"/>
      <c r="E520" s="448"/>
      <c r="F520" s="448"/>
      <c r="G520" s="448"/>
      <c r="H520" s="448"/>
      <c r="I520" s="448"/>
      <c r="J520" s="448"/>
      <c r="K520" s="449"/>
      <c r="L520" s="448"/>
      <c r="M520" s="450"/>
      <c r="N520" s="451"/>
      <c r="O520" s="451"/>
      <c r="P520" s="451"/>
      <c r="Q520" s="448"/>
      <c r="R520" s="83"/>
      <c r="S520" s="83"/>
      <c r="T520" s="83"/>
      <c r="U520" s="83"/>
      <c r="V520" s="83"/>
      <c r="W520" s="83"/>
      <c r="X520" s="83"/>
      <c r="Y520" s="83"/>
      <c r="Z520" s="83"/>
      <c r="AA520" s="83"/>
      <c r="AB520" s="83"/>
      <c r="AC520" s="83"/>
      <c r="AD520" s="83"/>
    </row>
    <row r="521">
      <c r="A521" s="447"/>
      <c r="B521" s="448"/>
      <c r="C521" s="448"/>
      <c r="D521" s="448"/>
      <c r="E521" s="448"/>
      <c r="F521" s="448"/>
      <c r="G521" s="448"/>
      <c r="H521" s="448"/>
      <c r="I521" s="448"/>
      <c r="J521" s="448"/>
      <c r="K521" s="449"/>
      <c r="L521" s="448"/>
      <c r="M521" s="450"/>
      <c r="N521" s="451"/>
      <c r="O521" s="451"/>
      <c r="P521" s="451"/>
      <c r="Q521" s="448"/>
      <c r="R521" s="83"/>
      <c r="S521" s="83"/>
      <c r="T521" s="83"/>
      <c r="U521" s="83"/>
      <c r="V521" s="83"/>
      <c r="W521" s="83"/>
      <c r="X521" s="83"/>
      <c r="Y521" s="83"/>
      <c r="Z521" s="83"/>
      <c r="AA521" s="83"/>
      <c r="AB521" s="83"/>
      <c r="AC521" s="83"/>
      <c r="AD521" s="83"/>
    </row>
    <row r="522">
      <c r="A522" s="447"/>
      <c r="B522" s="448"/>
      <c r="C522" s="448"/>
      <c r="D522" s="448"/>
      <c r="E522" s="448"/>
      <c r="F522" s="448"/>
      <c r="G522" s="448"/>
      <c r="H522" s="448"/>
      <c r="I522" s="448"/>
      <c r="J522" s="448"/>
      <c r="K522" s="449"/>
      <c r="L522" s="448"/>
      <c r="M522" s="450"/>
      <c r="N522" s="451"/>
      <c r="O522" s="451"/>
      <c r="P522" s="451"/>
      <c r="Q522" s="448"/>
      <c r="R522" s="83"/>
      <c r="S522" s="83"/>
      <c r="T522" s="83"/>
      <c r="U522" s="83"/>
      <c r="V522" s="83"/>
      <c r="W522" s="83"/>
      <c r="X522" s="83"/>
      <c r="Y522" s="83"/>
      <c r="Z522" s="83"/>
      <c r="AA522" s="83"/>
      <c r="AB522" s="83"/>
      <c r="AC522" s="83"/>
      <c r="AD522" s="83"/>
    </row>
    <row r="523">
      <c r="A523" s="447"/>
      <c r="B523" s="448"/>
      <c r="C523" s="448"/>
      <c r="D523" s="448"/>
      <c r="E523" s="448"/>
      <c r="F523" s="448"/>
      <c r="G523" s="448"/>
      <c r="H523" s="448"/>
      <c r="I523" s="448"/>
      <c r="J523" s="448"/>
      <c r="K523" s="449"/>
      <c r="L523" s="448"/>
      <c r="M523" s="450"/>
      <c r="N523" s="451"/>
      <c r="O523" s="451"/>
      <c r="P523" s="451"/>
      <c r="Q523" s="448"/>
      <c r="R523" s="83"/>
      <c r="S523" s="83"/>
      <c r="T523" s="83"/>
      <c r="U523" s="83"/>
      <c r="V523" s="83"/>
      <c r="W523" s="83"/>
      <c r="X523" s="83"/>
      <c r="Y523" s="83"/>
      <c r="Z523" s="83"/>
      <c r="AA523" s="83"/>
      <c r="AB523" s="83"/>
      <c r="AC523" s="83"/>
      <c r="AD523" s="83"/>
    </row>
    <row r="524">
      <c r="A524" s="447"/>
      <c r="B524" s="448"/>
      <c r="C524" s="448"/>
      <c r="D524" s="448"/>
      <c r="E524" s="448"/>
      <c r="F524" s="448"/>
      <c r="G524" s="448"/>
      <c r="H524" s="448"/>
      <c r="I524" s="448"/>
      <c r="J524" s="448"/>
      <c r="K524" s="449"/>
      <c r="L524" s="448"/>
      <c r="M524" s="450"/>
      <c r="N524" s="451"/>
      <c r="O524" s="451"/>
      <c r="P524" s="451"/>
      <c r="Q524" s="448"/>
      <c r="R524" s="83"/>
      <c r="S524" s="83"/>
      <c r="T524" s="83"/>
      <c r="U524" s="83"/>
      <c r="V524" s="83"/>
      <c r="W524" s="83"/>
      <c r="X524" s="83"/>
      <c r="Y524" s="83"/>
      <c r="Z524" s="83"/>
      <c r="AA524" s="83"/>
      <c r="AB524" s="83"/>
      <c r="AC524" s="83"/>
      <c r="AD524" s="83"/>
    </row>
    <row r="525">
      <c r="A525" s="447"/>
      <c r="B525" s="448"/>
      <c r="C525" s="448"/>
      <c r="D525" s="448"/>
      <c r="E525" s="448"/>
      <c r="F525" s="448"/>
      <c r="G525" s="448"/>
      <c r="H525" s="448"/>
      <c r="I525" s="448"/>
      <c r="J525" s="448"/>
      <c r="K525" s="449"/>
      <c r="L525" s="448"/>
      <c r="M525" s="450"/>
      <c r="N525" s="451"/>
      <c r="O525" s="451"/>
      <c r="P525" s="451"/>
      <c r="Q525" s="448"/>
      <c r="R525" s="83"/>
      <c r="S525" s="83"/>
      <c r="T525" s="83"/>
      <c r="U525" s="83"/>
      <c r="V525" s="83"/>
      <c r="W525" s="83"/>
      <c r="X525" s="83"/>
      <c r="Y525" s="83"/>
      <c r="Z525" s="83"/>
      <c r="AA525" s="83"/>
      <c r="AB525" s="83"/>
      <c r="AC525" s="83"/>
      <c r="AD525" s="83"/>
    </row>
    <row r="526">
      <c r="A526" s="447"/>
      <c r="B526" s="448"/>
      <c r="C526" s="448"/>
      <c r="D526" s="448"/>
      <c r="E526" s="448"/>
      <c r="F526" s="448"/>
      <c r="G526" s="448"/>
      <c r="H526" s="448"/>
      <c r="I526" s="448"/>
      <c r="J526" s="448"/>
      <c r="K526" s="449"/>
      <c r="L526" s="448"/>
      <c r="M526" s="450"/>
      <c r="N526" s="451"/>
      <c r="O526" s="451"/>
      <c r="P526" s="451"/>
      <c r="Q526" s="448"/>
      <c r="R526" s="83"/>
      <c r="S526" s="83"/>
      <c r="T526" s="83"/>
      <c r="U526" s="83"/>
      <c r="V526" s="83"/>
      <c r="W526" s="83"/>
      <c r="X526" s="83"/>
      <c r="Y526" s="83"/>
      <c r="Z526" s="83"/>
      <c r="AA526" s="83"/>
      <c r="AB526" s="83"/>
      <c r="AC526" s="83"/>
      <c r="AD526" s="83"/>
    </row>
    <row r="527">
      <c r="A527" s="447"/>
      <c r="B527" s="448"/>
      <c r="C527" s="448"/>
      <c r="D527" s="448"/>
      <c r="E527" s="448"/>
      <c r="F527" s="448"/>
      <c r="G527" s="448"/>
      <c r="H527" s="448"/>
      <c r="I527" s="448"/>
      <c r="J527" s="448"/>
      <c r="K527" s="449"/>
      <c r="L527" s="448"/>
      <c r="M527" s="450"/>
      <c r="N527" s="451"/>
      <c r="O527" s="451"/>
      <c r="P527" s="451"/>
      <c r="Q527" s="448"/>
      <c r="R527" s="83"/>
      <c r="S527" s="83"/>
      <c r="T527" s="83"/>
      <c r="U527" s="83"/>
      <c r="V527" s="83"/>
      <c r="W527" s="83"/>
      <c r="X527" s="83"/>
      <c r="Y527" s="83"/>
      <c r="Z527" s="83"/>
      <c r="AA527" s="83"/>
      <c r="AB527" s="83"/>
      <c r="AC527" s="83"/>
      <c r="AD527" s="83"/>
    </row>
    <row r="528">
      <c r="A528" s="447"/>
      <c r="B528" s="448"/>
      <c r="C528" s="448"/>
      <c r="D528" s="448"/>
      <c r="E528" s="448"/>
      <c r="F528" s="448"/>
      <c r="G528" s="448"/>
      <c r="H528" s="448"/>
      <c r="I528" s="448"/>
      <c r="J528" s="448"/>
      <c r="K528" s="449"/>
      <c r="L528" s="448"/>
      <c r="M528" s="450"/>
      <c r="N528" s="451"/>
      <c r="O528" s="451"/>
      <c r="P528" s="451"/>
      <c r="Q528" s="448"/>
      <c r="R528" s="83"/>
      <c r="S528" s="83"/>
      <c r="T528" s="83"/>
      <c r="U528" s="83"/>
      <c r="V528" s="83"/>
      <c r="W528" s="83"/>
      <c r="X528" s="83"/>
      <c r="Y528" s="83"/>
      <c r="Z528" s="83"/>
      <c r="AA528" s="83"/>
      <c r="AB528" s="83"/>
      <c r="AC528" s="83"/>
      <c r="AD528" s="83"/>
    </row>
    <row r="529">
      <c r="A529" s="447"/>
      <c r="B529" s="448"/>
      <c r="C529" s="448"/>
      <c r="D529" s="448"/>
      <c r="E529" s="448"/>
      <c r="F529" s="448"/>
      <c r="G529" s="448"/>
      <c r="H529" s="448"/>
      <c r="I529" s="448"/>
      <c r="J529" s="448"/>
      <c r="K529" s="449"/>
      <c r="L529" s="448"/>
      <c r="M529" s="450"/>
      <c r="N529" s="451"/>
      <c r="O529" s="451"/>
      <c r="P529" s="451"/>
      <c r="Q529" s="448"/>
      <c r="R529" s="83"/>
      <c r="S529" s="83"/>
      <c r="T529" s="83"/>
      <c r="U529" s="83"/>
      <c r="V529" s="83"/>
      <c r="W529" s="83"/>
      <c r="X529" s="83"/>
      <c r="Y529" s="83"/>
      <c r="Z529" s="83"/>
      <c r="AA529" s="83"/>
      <c r="AB529" s="83"/>
      <c r="AC529" s="83"/>
      <c r="AD529" s="83"/>
    </row>
    <row r="530">
      <c r="A530" s="447"/>
      <c r="B530" s="448"/>
      <c r="C530" s="448"/>
      <c r="D530" s="448"/>
      <c r="E530" s="448"/>
      <c r="F530" s="448"/>
      <c r="G530" s="448"/>
      <c r="H530" s="448"/>
      <c r="I530" s="448"/>
      <c r="J530" s="448"/>
      <c r="K530" s="449"/>
      <c r="L530" s="448"/>
      <c r="M530" s="450"/>
      <c r="N530" s="451"/>
      <c r="O530" s="451"/>
      <c r="P530" s="451"/>
      <c r="Q530" s="448"/>
      <c r="R530" s="83"/>
      <c r="S530" s="83"/>
      <c r="T530" s="83"/>
      <c r="U530" s="83"/>
      <c r="V530" s="83"/>
      <c r="W530" s="83"/>
      <c r="X530" s="83"/>
      <c r="Y530" s="83"/>
      <c r="Z530" s="83"/>
      <c r="AA530" s="83"/>
      <c r="AB530" s="83"/>
      <c r="AC530" s="83"/>
      <c r="AD530" s="83"/>
    </row>
    <row r="531">
      <c r="A531" s="447"/>
      <c r="B531" s="448"/>
      <c r="C531" s="448"/>
      <c r="D531" s="448"/>
      <c r="E531" s="448"/>
      <c r="F531" s="448"/>
      <c r="G531" s="448"/>
      <c r="H531" s="448"/>
      <c r="I531" s="448"/>
      <c r="J531" s="448"/>
      <c r="K531" s="449"/>
      <c r="L531" s="448"/>
      <c r="M531" s="450"/>
      <c r="N531" s="451"/>
      <c r="O531" s="451"/>
      <c r="P531" s="451"/>
      <c r="Q531" s="448"/>
      <c r="R531" s="83"/>
      <c r="S531" s="83"/>
      <c r="T531" s="83"/>
      <c r="U531" s="83"/>
      <c r="V531" s="83"/>
      <c r="W531" s="83"/>
      <c r="X531" s="83"/>
      <c r="Y531" s="83"/>
      <c r="Z531" s="83"/>
      <c r="AA531" s="83"/>
      <c r="AB531" s="83"/>
      <c r="AC531" s="83"/>
      <c r="AD531" s="83"/>
    </row>
    <row r="532">
      <c r="A532" s="447"/>
      <c r="B532" s="448"/>
      <c r="C532" s="448"/>
      <c r="D532" s="448"/>
      <c r="E532" s="448"/>
      <c r="F532" s="448"/>
      <c r="G532" s="448"/>
      <c r="H532" s="448"/>
      <c r="I532" s="448"/>
      <c r="J532" s="448"/>
      <c r="K532" s="449"/>
      <c r="L532" s="448"/>
      <c r="M532" s="450"/>
      <c r="N532" s="451"/>
      <c r="O532" s="451"/>
      <c r="P532" s="451"/>
      <c r="Q532" s="448"/>
      <c r="R532" s="83"/>
      <c r="S532" s="83"/>
      <c r="T532" s="83"/>
      <c r="U532" s="83"/>
      <c r="V532" s="83"/>
      <c r="W532" s="83"/>
      <c r="X532" s="83"/>
      <c r="Y532" s="83"/>
      <c r="Z532" s="83"/>
      <c r="AA532" s="83"/>
      <c r="AB532" s="83"/>
      <c r="AC532" s="83"/>
      <c r="AD532" s="83"/>
    </row>
    <row r="533">
      <c r="A533" s="447"/>
      <c r="B533" s="448"/>
      <c r="C533" s="448"/>
      <c r="D533" s="448"/>
      <c r="E533" s="448"/>
      <c r="F533" s="448"/>
      <c r="G533" s="448"/>
      <c r="H533" s="448"/>
      <c r="I533" s="448"/>
      <c r="J533" s="448"/>
      <c r="K533" s="449"/>
      <c r="L533" s="448"/>
      <c r="M533" s="450"/>
      <c r="N533" s="451"/>
      <c r="O533" s="451"/>
      <c r="P533" s="451"/>
      <c r="Q533" s="448"/>
      <c r="R533" s="83"/>
      <c r="S533" s="83"/>
      <c r="T533" s="83"/>
      <c r="U533" s="83"/>
      <c r="V533" s="83"/>
      <c r="W533" s="83"/>
      <c r="X533" s="83"/>
      <c r="Y533" s="83"/>
      <c r="Z533" s="83"/>
      <c r="AA533" s="83"/>
      <c r="AB533" s="83"/>
      <c r="AC533" s="83"/>
      <c r="AD533" s="83"/>
    </row>
    <row r="534">
      <c r="A534" s="447"/>
      <c r="B534" s="448"/>
      <c r="C534" s="448"/>
      <c r="D534" s="448"/>
      <c r="E534" s="448"/>
      <c r="F534" s="448"/>
      <c r="G534" s="448"/>
      <c r="H534" s="448"/>
      <c r="I534" s="448"/>
      <c r="J534" s="448"/>
      <c r="K534" s="449"/>
      <c r="L534" s="448"/>
      <c r="M534" s="450"/>
      <c r="N534" s="451"/>
      <c r="O534" s="451"/>
      <c r="P534" s="451"/>
      <c r="Q534" s="448"/>
      <c r="R534" s="83"/>
      <c r="S534" s="83"/>
      <c r="T534" s="83"/>
      <c r="U534" s="83"/>
      <c r="V534" s="83"/>
      <c r="W534" s="83"/>
      <c r="X534" s="83"/>
      <c r="Y534" s="83"/>
      <c r="Z534" s="83"/>
      <c r="AA534" s="83"/>
      <c r="AB534" s="83"/>
      <c r="AC534" s="83"/>
      <c r="AD534" s="83"/>
    </row>
    <row r="535">
      <c r="A535" s="447"/>
      <c r="B535" s="448"/>
      <c r="C535" s="448"/>
      <c r="D535" s="448"/>
      <c r="E535" s="448"/>
      <c r="F535" s="448"/>
      <c r="G535" s="448"/>
      <c r="H535" s="448"/>
      <c r="I535" s="448"/>
      <c r="J535" s="448"/>
      <c r="K535" s="449"/>
      <c r="L535" s="448"/>
      <c r="M535" s="450"/>
      <c r="N535" s="451"/>
      <c r="O535" s="451"/>
      <c r="P535" s="451"/>
      <c r="Q535" s="448"/>
      <c r="R535" s="83"/>
      <c r="S535" s="83"/>
      <c r="T535" s="83"/>
      <c r="U535" s="83"/>
      <c r="V535" s="83"/>
      <c r="W535" s="83"/>
      <c r="X535" s="83"/>
      <c r="Y535" s="83"/>
      <c r="Z535" s="83"/>
      <c r="AA535" s="83"/>
      <c r="AB535" s="83"/>
      <c r="AC535" s="83"/>
      <c r="AD535" s="83"/>
    </row>
    <row r="536">
      <c r="A536" s="447"/>
      <c r="B536" s="448"/>
      <c r="C536" s="448"/>
      <c r="D536" s="448"/>
      <c r="E536" s="448"/>
      <c r="F536" s="448"/>
      <c r="G536" s="448"/>
      <c r="H536" s="448"/>
      <c r="I536" s="448"/>
      <c r="J536" s="448"/>
      <c r="K536" s="449"/>
      <c r="L536" s="448"/>
      <c r="M536" s="450"/>
      <c r="N536" s="451"/>
      <c r="O536" s="451"/>
      <c r="P536" s="451"/>
      <c r="Q536" s="448"/>
      <c r="R536" s="83"/>
      <c r="S536" s="83"/>
      <c r="T536" s="83"/>
      <c r="U536" s="83"/>
      <c r="V536" s="83"/>
      <c r="W536" s="83"/>
      <c r="X536" s="83"/>
      <c r="Y536" s="83"/>
      <c r="Z536" s="83"/>
      <c r="AA536" s="83"/>
      <c r="AB536" s="83"/>
      <c r="AC536" s="83"/>
      <c r="AD536" s="83"/>
    </row>
    <row r="537">
      <c r="A537" s="447"/>
      <c r="B537" s="448"/>
      <c r="C537" s="448"/>
      <c r="D537" s="448"/>
      <c r="E537" s="448"/>
      <c r="F537" s="448"/>
      <c r="G537" s="448"/>
      <c r="H537" s="448"/>
      <c r="I537" s="448"/>
      <c r="J537" s="448"/>
      <c r="K537" s="449"/>
      <c r="L537" s="448"/>
      <c r="M537" s="450"/>
      <c r="N537" s="451"/>
      <c r="O537" s="451"/>
      <c r="P537" s="451"/>
      <c r="Q537" s="448"/>
      <c r="R537" s="83"/>
      <c r="S537" s="83"/>
      <c r="T537" s="83"/>
      <c r="U537" s="83"/>
      <c r="V537" s="83"/>
      <c r="W537" s="83"/>
      <c r="X537" s="83"/>
      <c r="Y537" s="83"/>
      <c r="Z537" s="83"/>
      <c r="AA537" s="83"/>
      <c r="AB537" s="83"/>
      <c r="AC537" s="83"/>
      <c r="AD537" s="83"/>
    </row>
    <row r="538">
      <c r="A538" s="447"/>
      <c r="B538" s="448"/>
      <c r="C538" s="448"/>
      <c r="D538" s="448"/>
      <c r="E538" s="448"/>
      <c r="F538" s="448"/>
      <c r="G538" s="448"/>
      <c r="H538" s="448"/>
      <c r="I538" s="448"/>
      <c r="J538" s="448"/>
      <c r="K538" s="449"/>
      <c r="L538" s="448"/>
      <c r="M538" s="450"/>
      <c r="N538" s="451"/>
      <c r="O538" s="451"/>
      <c r="P538" s="451"/>
      <c r="Q538" s="448"/>
      <c r="R538" s="83"/>
      <c r="S538" s="83"/>
      <c r="T538" s="83"/>
      <c r="U538" s="83"/>
      <c r="V538" s="83"/>
      <c r="W538" s="83"/>
      <c r="X538" s="83"/>
      <c r="Y538" s="83"/>
      <c r="Z538" s="83"/>
      <c r="AA538" s="83"/>
      <c r="AB538" s="83"/>
      <c r="AC538" s="83"/>
      <c r="AD538" s="83"/>
    </row>
    <row r="539">
      <c r="A539" s="447"/>
      <c r="B539" s="448"/>
      <c r="C539" s="448"/>
      <c r="D539" s="448"/>
      <c r="E539" s="448"/>
      <c r="F539" s="448"/>
      <c r="G539" s="448"/>
      <c r="H539" s="448"/>
      <c r="I539" s="448"/>
      <c r="J539" s="448"/>
      <c r="K539" s="449"/>
      <c r="L539" s="448"/>
      <c r="M539" s="450"/>
      <c r="N539" s="451"/>
      <c r="O539" s="451"/>
      <c r="P539" s="451"/>
      <c r="Q539" s="448"/>
      <c r="R539" s="83"/>
      <c r="S539" s="83"/>
      <c r="T539" s="83"/>
      <c r="U539" s="83"/>
      <c r="V539" s="83"/>
      <c r="W539" s="83"/>
      <c r="X539" s="83"/>
      <c r="Y539" s="83"/>
      <c r="Z539" s="83"/>
      <c r="AA539" s="83"/>
      <c r="AB539" s="83"/>
      <c r="AC539" s="83"/>
      <c r="AD539" s="83"/>
    </row>
    <row r="540">
      <c r="A540" s="447"/>
      <c r="B540" s="448"/>
      <c r="C540" s="448"/>
      <c r="D540" s="448"/>
      <c r="E540" s="448"/>
      <c r="F540" s="448"/>
      <c r="G540" s="448"/>
      <c r="H540" s="448"/>
      <c r="I540" s="448"/>
      <c r="J540" s="448"/>
      <c r="K540" s="449"/>
      <c r="L540" s="448"/>
      <c r="M540" s="450"/>
      <c r="N540" s="451"/>
      <c r="O540" s="451"/>
      <c r="P540" s="451"/>
      <c r="Q540" s="448"/>
      <c r="R540" s="83"/>
      <c r="S540" s="83"/>
      <c r="T540" s="83"/>
      <c r="U540" s="83"/>
      <c r="V540" s="83"/>
      <c r="W540" s="83"/>
      <c r="X540" s="83"/>
      <c r="Y540" s="83"/>
      <c r="Z540" s="83"/>
      <c r="AA540" s="83"/>
      <c r="AB540" s="83"/>
      <c r="AC540" s="83"/>
      <c r="AD540" s="83"/>
    </row>
    <row r="541">
      <c r="A541" s="447"/>
      <c r="B541" s="448"/>
      <c r="C541" s="448"/>
      <c r="D541" s="448"/>
      <c r="E541" s="448"/>
      <c r="F541" s="448"/>
      <c r="G541" s="448"/>
      <c r="H541" s="448"/>
      <c r="I541" s="448"/>
      <c r="J541" s="448"/>
      <c r="K541" s="449"/>
      <c r="L541" s="448"/>
      <c r="M541" s="450"/>
      <c r="N541" s="451"/>
      <c r="O541" s="451"/>
      <c r="P541" s="451"/>
      <c r="Q541" s="448"/>
      <c r="R541" s="83"/>
      <c r="S541" s="83"/>
      <c r="T541" s="83"/>
      <c r="U541" s="83"/>
      <c r="V541" s="83"/>
      <c r="W541" s="83"/>
      <c r="X541" s="83"/>
      <c r="Y541" s="83"/>
      <c r="Z541" s="83"/>
      <c r="AA541" s="83"/>
      <c r="AB541" s="83"/>
      <c r="AC541" s="83"/>
      <c r="AD541" s="83"/>
    </row>
    <row r="542">
      <c r="A542" s="447"/>
      <c r="B542" s="448"/>
      <c r="C542" s="448"/>
      <c r="D542" s="448"/>
      <c r="E542" s="448"/>
      <c r="F542" s="448"/>
      <c r="G542" s="448"/>
      <c r="H542" s="448"/>
      <c r="I542" s="448"/>
      <c r="J542" s="448"/>
      <c r="K542" s="449"/>
      <c r="L542" s="448"/>
      <c r="M542" s="450"/>
      <c r="N542" s="451"/>
      <c r="O542" s="451"/>
      <c r="P542" s="451"/>
      <c r="Q542" s="448"/>
      <c r="R542" s="83"/>
      <c r="S542" s="83"/>
      <c r="T542" s="83"/>
      <c r="U542" s="83"/>
      <c r="V542" s="83"/>
      <c r="W542" s="83"/>
      <c r="X542" s="83"/>
      <c r="Y542" s="83"/>
      <c r="Z542" s="83"/>
      <c r="AA542" s="83"/>
      <c r="AB542" s="83"/>
      <c r="AC542" s="83"/>
      <c r="AD542" s="83"/>
    </row>
    <row r="543">
      <c r="A543" s="447"/>
      <c r="B543" s="448"/>
      <c r="C543" s="448"/>
      <c r="D543" s="448"/>
      <c r="E543" s="448"/>
      <c r="F543" s="448"/>
      <c r="G543" s="448"/>
      <c r="H543" s="448"/>
      <c r="I543" s="448"/>
      <c r="J543" s="448"/>
      <c r="K543" s="449"/>
      <c r="L543" s="448"/>
      <c r="M543" s="450"/>
      <c r="N543" s="451"/>
      <c r="O543" s="451"/>
      <c r="P543" s="451"/>
      <c r="Q543" s="448"/>
      <c r="R543" s="83"/>
      <c r="S543" s="83"/>
      <c r="T543" s="83"/>
      <c r="U543" s="83"/>
      <c r="V543" s="83"/>
      <c r="W543" s="83"/>
      <c r="X543" s="83"/>
      <c r="Y543" s="83"/>
      <c r="Z543" s="83"/>
      <c r="AA543" s="83"/>
      <c r="AB543" s="83"/>
      <c r="AC543" s="83"/>
      <c r="AD543" s="83"/>
    </row>
    <row r="544">
      <c r="A544" s="447"/>
      <c r="B544" s="448"/>
      <c r="C544" s="448"/>
      <c r="D544" s="448"/>
      <c r="E544" s="448"/>
      <c r="F544" s="448"/>
      <c r="G544" s="448"/>
      <c r="H544" s="448"/>
      <c r="I544" s="448"/>
      <c r="J544" s="448"/>
      <c r="K544" s="449"/>
      <c r="L544" s="448"/>
      <c r="M544" s="450"/>
      <c r="N544" s="451"/>
      <c r="O544" s="451"/>
      <c r="P544" s="451"/>
      <c r="Q544" s="448"/>
      <c r="R544" s="83"/>
      <c r="S544" s="83"/>
      <c r="T544" s="83"/>
      <c r="U544" s="83"/>
      <c r="V544" s="83"/>
      <c r="W544" s="83"/>
      <c r="X544" s="83"/>
      <c r="Y544" s="83"/>
      <c r="Z544" s="83"/>
      <c r="AA544" s="83"/>
      <c r="AB544" s="83"/>
      <c r="AC544" s="83"/>
      <c r="AD544" s="83"/>
    </row>
    <row r="545">
      <c r="A545" s="447"/>
      <c r="B545" s="448"/>
      <c r="C545" s="448"/>
      <c r="D545" s="448"/>
      <c r="E545" s="448"/>
      <c r="F545" s="448"/>
      <c r="G545" s="448"/>
      <c r="H545" s="448"/>
      <c r="I545" s="448"/>
      <c r="J545" s="448"/>
      <c r="K545" s="449"/>
      <c r="L545" s="448"/>
      <c r="M545" s="450"/>
      <c r="N545" s="451"/>
      <c r="O545" s="451"/>
      <c r="P545" s="451"/>
      <c r="Q545" s="448"/>
      <c r="R545" s="83"/>
      <c r="S545" s="83"/>
      <c r="T545" s="83"/>
      <c r="U545" s="83"/>
      <c r="V545" s="83"/>
      <c r="W545" s="83"/>
      <c r="X545" s="83"/>
      <c r="Y545" s="83"/>
      <c r="Z545" s="83"/>
      <c r="AA545" s="83"/>
      <c r="AB545" s="83"/>
      <c r="AC545" s="83"/>
      <c r="AD545" s="83"/>
    </row>
    <row r="546">
      <c r="A546" s="447"/>
      <c r="B546" s="448"/>
      <c r="C546" s="448"/>
      <c r="D546" s="448"/>
      <c r="E546" s="448"/>
      <c r="F546" s="448"/>
      <c r="G546" s="448"/>
      <c r="H546" s="448"/>
      <c r="I546" s="448"/>
      <c r="J546" s="448"/>
      <c r="K546" s="449"/>
      <c r="L546" s="448"/>
      <c r="M546" s="450"/>
      <c r="N546" s="451"/>
      <c r="O546" s="451"/>
      <c r="P546" s="451"/>
      <c r="Q546" s="448"/>
      <c r="R546" s="83"/>
      <c r="S546" s="83"/>
      <c r="T546" s="83"/>
      <c r="U546" s="83"/>
      <c r="V546" s="83"/>
      <c r="W546" s="83"/>
      <c r="X546" s="83"/>
      <c r="Y546" s="83"/>
      <c r="Z546" s="83"/>
      <c r="AA546" s="83"/>
      <c r="AB546" s="83"/>
      <c r="AC546" s="83"/>
      <c r="AD546" s="83"/>
    </row>
    <row r="547">
      <c r="A547" s="447"/>
      <c r="B547" s="448"/>
      <c r="C547" s="448"/>
      <c r="D547" s="448"/>
      <c r="E547" s="448"/>
      <c r="F547" s="448"/>
      <c r="G547" s="448"/>
      <c r="H547" s="448"/>
      <c r="I547" s="448"/>
      <c r="J547" s="448"/>
      <c r="K547" s="449"/>
      <c r="L547" s="448"/>
      <c r="M547" s="450"/>
      <c r="N547" s="451"/>
      <c r="O547" s="451"/>
      <c r="P547" s="451"/>
      <c r="Q547" s="448"/>
      <c r="R547" s="83"/>
      <c r="S547" s="83"/>
      <c r="T547" s="83"/>
      <c r="U547" s="83"/>
      <c r="V547" s="83"/>
      <c r="W547" s="83"/>
      <c r="X547" s="83"/>
      <c r="Y547" s="83"/>
      <c r="Z547" s="83"/>
      <c r="AA547" s="83"/>
      <c r="AB547" s="83"/>
      <c r="AC547" s="83"/>
      <c r="AD547" s="83"/>
    </row>
    <row r="548">
      <c r="A548" s="447"/>
      <c r="B548" s="448"/>
      <c r="C548" s="448"/>
      <c r="D548" s="448"/>
      <c r="E548" s="448"/>
      <c r="F548" s="448"/>
      <c r="G548" s="448"/>
      <c r="H548" s="448"/>
      <c r="I548" s="448"/>
      <c r="J548" s="448"/>
      <c r="K548" s="449"/>
      <c r="L548" s="448"/>
      <c r="M548" s="450"/>
      <c r="N548" s="451"/>
      <c r="O548" s="451"/>
      <c r="P548" s="451"/>
      <c r="Q548" s="448"/>
      <c r="R548" s="83"/>
      <c r="S548" s="83"/>
      <c r="T548" s="83"/>
      <c r="U548" s="83"/>
      <c r="V548" s="83"/>
      <c r="W548" s="83"/>
      <c r="X548" s="83"/>
      <c r="Y548" s="83"/>
      <c r="Z548" s="83"/>
      <c r="AA548" s="83"/>
      <c r="AB548" s="83"/>
      <c r="AC548" s="83"/>
      <c r="AD548" s="83"/>
    </row>
    <row r="549">
      <c r="A549" s="447"/>
      <c r="B549" s="448"/>
      <c r="C549" s="448"/>
      <c r="D549" s="448"/>
      <c r="E549" s="448"/>
      <c r="F549" s="448"/>
      <c r="G549" s="448"/>
      <c r="H549" s="448"/>
      <c r="I549" s="448"/>
      <c r="J549" s="448"/>
      <c r="K549" s="449"/>
      <c r="L549" s="448"/>
      <c r="M549" s="450"/>
      <c r="N549" s="451"/>
      <c r="O549" s="451"/>
      <c r="P549" s="451"/>
      <c r="Q549" s="448"/>
      <c r="R549" s="83"/>
      <c r="S549" s="83"/>
      <c r="T549" s="83"/>
      <c r="U549" s="83"/>
      <c r="V549" s="83"/>
      <c r="W549" s="83"/>
      <c r="X549" s="83"/>
      <c r="Y549" s="83"/>
      <c r="Z549" s="83"/>
      <c r="AA549" s="83"/>
      <c r="AB549" s="83"/>
      <c r="AC549" s="83"/>
      <c r="AD549" s="83"/>
    </row>
    <row r="550">
      <c r="A550" s="447"/>
      <c r="B550" s="448"/>
      <c r="C550" s="448"/>
      <c r="D550" s="448"/>
      <c r="E550" s="448"/>
      <c r="F550" s="448"/>
      <c r="G550" s="448"/>
      <c r="H550" s="448"/>
      <c r="I550" s="448"/>
      <c r="J550" s="448"/>
      <c r="K550" s="449"/>
      <c r="L550" s="448"/>
      <c r="M550" s="450"/>
      <c r="N550" s="451"/>
      <c r="O550" s="451"/>
      <c r="P550" s="451"/>
      <c r="Q550" s="448"/>
      <c r="R550" s="83"/>
      <c r="S550" s="83"/>
      <c r="T550" s="83"/>
      <c r="U550" s="83"/>
      <c r="V550" s="83"/>
      <c r="W550" s="83"/>
      <c r="X550" s="83"/>
      <c r="Y550" s="83"/>
      <c r="Z550" s="83"/>
      <c r="AA550" s="83"/>
      <c r="AB550" s="83"/>
      <c r="AC550" s="83"/>
      <c r="AD550" s="83"/>
    </row>
    <row r="551">
      <c r="A551" s="447"/>
      <c r="B551" s="448"/>
      <c r="C551" s="448"/>
      <c r="D551" s="448"/>
      <c r="E551" s="448"/>
      <c r="F551" s="448"/>
      <c r="G551" s="448"/>
      <c r="H551" s="448"/>
      <c r="I551" s="448"/>
      <c r="J551" s="448"/>
      <c r="K551" s="449"/>
      <c r="L551" s="448"/>
      <c r="M551" s="450"/>
      <c r="N551" s="451"/>
      <c r="O551" s="451"/>
      <c r="P551" s="451"/>
      <c r="Q551" s="448"/>
      <c r="R551" s="83"/>
      <c r="S551" s="83"/>
      <c r="T551" s="83"/>
      <c r="U551" s="83"/>
      <c r="V551" s="83"/>
      <c r="W551" s="83"/>
      <c r="X551" s="83"/>
      <c r="Y551" s="83"/>
      <c r="Z551" s="83"/>
      <c r="AA551" s="83"/>
      <c r="AB551" s="83"/>
      <c r="AC551" s="83"/>
      <c r="AD551" s="83"/>
    </row>
    <row r="552">
      <c r="A552" s="447"/>
      <c r="B552" s="448"/>
      <c r="C552" s="448"/>
      <c r="D552" s="448"/>
      <c r="E552" s="448"/>
      <c r="F552" s="448"/>
      <c r="G552" s="448"/>
      <c r="H552" s="448"/>
      <c r="I552" s="448"/>
      <c r="J552" s="448"/>
      <c r="K552" s="449"/>
      <c r="L552" s="448"/>
      <c r="M552" s="450"/>
      <c r="N552" s="451"/>
      <c r="O552" s="451"/>
      <c r="P552" s="451"/>
      <c r="Q552" s="448"/>
      <c r="R552" s="83"/>
      <c r="S552" s="83"/>
      <c r="T552" s="83"/>
      <c r="U552" s="83"/>
      <c r="V552" s="83"/>
      <c r="W552" s="83"/>
      <c r="X552" s="83"/>
      <c r="Y552" s="83"/>
      <c r="Z552" s="83"/>
      <c r="AA552" s="83"/>
      <c r="AB552" s="83"/>
      <c r="AC552" s="83"/>
      <c r="AD552" s="83"/>
    </row>
    <row r="553">
      <c r="A553" s="447"/>
      <c r="B553" s="448"/>
      <c r="C553" s="448"/>
      <c r="D553" s="448"/>
      <c r="E553" s="448"/>
      <c r="F553" s="448"/>
      <c r="G553" s="448"/>
      <c r="H553" s="448"/>
      <c r="I553" s="448"/>
      <c r="J553" s="448"/>
      <c r="K553" s="449"/>
      <c r="L553" s="448"/>
      <c r="M553" s="450"/>
      <c r="N553" s="451"/>
      <c r="O553" s="451"/>
      <c r="P553" s="451"/>
      <c r="Q553" s="448"/>
      <c r="R553" s="83"/>
      <c r="S553" s="83"/>
      <c r="T553" s="83"/>
      <c r="U553" s="83"/>
      <c r="V553" s="83"/>
      <c r="W553" s="83"/>
      <c r="X553" s="83"/>
      <c r="Y553" s="83"/>
      <c r="Z553" s="83"/>
      <c r="AA553" s="83"/>
      <c r="AB553" s="83"/>
      <c r="AC553" s="83"/>
      <c r="AD553" s="83"/>
    </row>
    <row r="554">
      <c r="A554" s="447"/>
      <c r="B554" s="448"/>
      <c r="C554" s="448"/>
      <c r="D554" s="448"/>
      <c r="E554" s="448"/>
      <c r="F554" s="448"/>
      <c r="G554" s="448"/>
      <c r="H554" s="448"/>
      <c r="I554" s="448"/>
      <c r="J554" s="448"/>
      <c r="K554" s="449"/>
      <c r="L554" s="448"/>
      <c r="M554" s="450"/>
      <c r="N554" s="451"/>
      <c r="O554" s="451"/>
      <c r="P554" s="451"/>
      <c r="Q554" s="448"/>
      <c r="R554" s="83"/>
      <c r="S554" s="83"/>
      <c r="T554" s="83"/>
      <c r="U554" s="83"/>
      <c r="V554" s="83"/>
      <c r="W554" s="83"/>
      <c r="X554" s="83"/>
      <c r="Y554" s="83"/>
      <c r="Z554" s="83"/>
      <c r="AA554" s="83"/>
      <c r="AB554" s="83"/>
      <c r="AC554" s="83"/>
      <c r="AD554" s="83"/>
    </row>
    <row r="555">
      <c r="A555" s="447"/>
      <c r="B555" s="448"/>
      <c r="C555" s="448"/>
      <c r="D555" s="448"/>
      <c r="E555" s="448"/>
      <c r="F555" s="448"/>
      <c r="G555" s="448"/>
      <c r="H555" s="448"/>
      <c r="I555" s="448"/>
      <c r="J555" s="448"/>
      <c r="K555" s="449"/>
      <c r="L555" s="448"/>
      <c r="M555" s="450"/>
      <c r="N555" s="451"/>
      <c r="O555" s="451"/>
      <c r="P555" s="451"/>
      <c r="Q555" s="448"/>
      <c r="R555" s="83"/>
      <c r="S555" s="83"/>
      <c r="T555" s="83"/>
      <c r="U555" s="83"/>
      <c r="V555" s="83"/>
      <c r="W555" s="83"/>
      <c r="X555" s="83"/>
      <c r="Y555" s="83"/>
      <c r="Z555" s="83"/>
      <c r="AA555" s="83"/>
      <c r="AB555" s="83"/>
      <c r="AC555" s="83"/>
      <c r="AD555" s="83"/>
    </row>
    <row r="556">
      <c r="A556" s="447"/>
      <c r="B556" s="448"/>
      <c r="C556" s="448"/>
      <c r="D556" s="448"/>
      <c r="E556" s="448"/>
      <c r="F556" s="448"/>
      <c r="G556" s="448"/>
      <c r="H556" s="448"/>
      <c r="I556" s="448"/>
      <c r="J556" s="448"/>
      <c r="K556" s="449"/>
      <c r="L556" s="448"/>
      <c r="M556" s="450"/>
      <c r="N556" s="451"/>
      <c r="O556" s="451"/>
      <c r="P556" s="451"/>
      <c r="Q556" s="448"/>
      <c r="R556" s="83"/>
      <c r="S556" s="83"/>
      <c r="T556" s="83"/>
      <c r="U556" s="83"/>
      <c r="V556" s="83"/>
      <c r="W556" s="83"/>
      <c r="X556" s="83"/>
      <c r="Y556" s="83"/>
      <c r="Z556" s="83"/>
      <c r="AA556" s="83"/>
      <c r="AB556" s="83"/>
      <c r="AC556" s="83"/>
      <c r="AD556" s="83"/>
    </row>
    <row r="557">
      <c r="A557" s="447"/>
      <c r="B557" s="448"/>
      <c r="C557" s="448"/>
      <c r="D557" s="448"/>
      <c r="E557" s="448"/>
      <c r="F557" s="448"/>
      <c r="G557" s="448"/>
      <c r="H557" s="448"/>
      <c r="I557" s="448"/>
      <c r="J557" s="448"/>
      <c r="K557" s="449"/>
      <c r="L557" s="448"/>
      <c r="M557" s="450"/>
      <c r="N557" s="451"/>
      <c r="O557" s="451"/>
      <c r="P557" s="451"/>
      <c r="Q557" s="448"/>
      <c r="R557" s="83"/>
      <c r="S557" s="83"/>
      <c r="T557" s="83"/>
      <c r="U557" s="83"/>
      <c r="V557" s="83"/>
      <c r="W557" s="83"/>
      <c r="X557" s="83"/>
      <c r="Y557" s="83"/>
      <c r="Z557" s="83"/>
      <c r="AA557" s="83"/>
      <c r="AB557" s="83"/>
      <c r="AC557" s="83"/>
      <c r="AD557" s="83"/>
    </row>
    <row r="558">
      <c r="A558" s="447"/>
      <c r="B558" s="448"/>
      <c r="C558" s="448"/>
      <c r="D558" s="448"/>
      <c r="E558" s="448"/>
      <c r="F558" s="448"/>
      <c r="G558" s="448"/>
      <c r="H558" s="448"/>
      <c r="I558" s="448"/>
      <c r="J558" s="448"/>
      <c r="K558" s="449"/>
      <c r="L558" s="448"/>
      <c r="M558" s="450"/>
      <c r="N558" s="451"/>
      <c r="O558" s="451"/>
      <c r="P558" s="451"/>
      <c r="Q558" s="448"/>
      <c r="R558" s="83"/>
      <c r="S558" s="83"/>
      <c r="T558" s="83"/>
      <c r="U558" s="83"/>
      <c r="V558" s="83"/>
      <c r="W558" s="83"/>
      <c r="X558" s="83"/>
      <c r="Y558" s="83"/>
      <c r="Z558" s="83"/>
      <c r="AA558" s="83"/>
      <c r="AB558" s="83"/>
      <c r="AC558" s="83"/>
      <c r="AD558" s="83"/>
    </row>
    <row r="559">
      <c r="A559" s="447"/>
      <c r="B559" s="448"/>
      <c r="C559" s="448"/>
      <c r="D559" s="448"/>
      <c r="E559" s="448"/>
      <c r="F559" s="448"/>
      <c r="G559" s="448"/>
      <c r="H559" s="448"/>
      <c r="I559" s="448"/>
      <c r="J559" s="448"/>
      <c r="K559" s="449"/>
      <c r="L559" s="448"/>
      <c r="M559" s="450"/>
      <c r="N559" s="451"/>
      <c r="O559" s="451"/>
      <c r="P559" s="451"/>
      <c r="Q559" s="448"/>
      <c r="R559" s="83"/>
      <c r="S559" s="83"/>
      <c r="T559" s="83"/>
      <c r="U559" s="83"/>
      <c r="V559" s="83"/>
      <c r="W559" s="83"/>
      <c r="X559" s="83"/>
      <c r="Y559" s="83"/>
      <c r="Z559" s="83"/>
      <c r="AA559" s="83"/>
      <c r="AB559" s="83"/>
      <c r="AC559" s="83"/>
      <c r="AD559" s="83"/>
    </row>
    <row r="560">
      <c r="A560" s="447"/>
      <c r="B560" s="448"/>
      <c r="C560" s="448"/>
      <c r="D560" s="448"/>
      <c r="E560" s="448"/>
      <c r="F560" s="448"/>
      <c r="G560" s="448"/>
      <c r="H560" s="448"/>
      <c r="I560" s="448"/>
      <c r="J560" s="448"/>
      <c r="K560" s="449"/>
      <c r="L560" s="448"/>
      <c r="M560" s="450"/>
      <c r="N560" s="451"/>
      <c r="O560" s="451"/>
      <c r="P560" s="451"/>
      <c r="Q560" s="448"/>
      <c r="R560" s="83"/>
      <c r="S560" s="83"/>
      <c r="T560" s="83"/>
      <c r="U560" s="83"/>
      <c r="V560" s="83"/>
      <c r="W560" s="83"/>
      <c r="X560" s="83"/>
      <c r="Y560" s="83"/>
      <c r="Z560" s="83"/>
      <c r="AA560" s="83"/>
      <c r="AB560" s="83"/>
      <c r="AC560" s="83"/>
      <c r="AD560" s="83"/>
    </row>
    <row r="561">
      <c r="A561" s="447"/>
      <c r="B561" s="448"/>
      <c r="C561" s="448"/>
      <c r="D561" s="448"/>
      <c r="E561" s="448"/>
      <c r="F561" s="448"/>
      <c r="G561" s="448"/>
      <c r="H561" s="448"/>
      <c r="I561" s="448"/>
      <c r="J561" s="448"/>
      <c r="K561" s="449"/>
      <c r="L561" s="448"/>
      <c r="M561" s="450"/>
      <c r="N561" s="451"/>
      <c r="O561" s="451"/>
      <c r="P561" s="451"/>
      <c r="Q561" s="448"/>
      <c r="R561" s="83"/>
      <c r="S561" s="83"/>
      <c r="T561" s="83"/>
      <c r="U561" s="83"/>
      <c r="V561" s="83"/>
      <c r="W561" s="83"/>
      <c r="X561" s="83"/>
      <c r="Y561" s="83"/>
      <c r="Z561" s="83"/>
      <c r="AA561" s="83"/>
      <c r="AB561" s="83"/>
      <c r="AC561" s="83"/>
      <c r="AD561" s="83"/>
    </row>
    <row r="562">
      <c r="A562" s="447"/>
      <c r="B562" s="448"/>
      <c r="C562" s="448"/>
      <c r="D562" s="448"/>
      <c r="E562" s="448"/>
      <c r="F562" s="448"/>
      <c r="G562" s="448"/>
      <c r="H562" s="448"/>
      <c r="I562" s="448"/>
      <c r="J562" s="448"/>
      <c r="K562" s="449"/>
      <c r="L562" s="448"/>
      <c r="M562" s="450"/>
      <c r="N562" s="451"/>
      <c r="O562" s="451"/>
      <c r="P562" s="451"/>
      <c r="Q562" s="448"/>
      <c r="R562" s="83"/>
      <c r="S562" s="83"/>
      <c r="T562" s="83"/>
      <c r="U562" s="83"/>
      <c r="V562" s="83"/>
      <c r="W562" s="83"/>
      <c r="X562" s="83"/>
      <c r="Y562" s="83"/>
      <c r="Z562" s="83"/>
      <c r="AA562" s="83"/>
      <c r="AB562" s="83"/>
      <c r="AC562" s="83"/>
      <c r="AD562" s="83"/>
    </row>
    <row r="563">
      <c r="A563" s="447"/>
      <c r="B563" s="448"/>
      <c r="C563" s="448"/>
      <c r="D563" s="448"/>
      <c r="E563" s="448"/>
      <c r="F563" s="448"/>
      <c r="G563" s="448"/>
      <c r="H563" s="448"/>
      <c r="I563" s="448"/>
      <c r="J563" s="448"/>
      <c r="K563" s="449"/>
      <c r="L563" s="448"/>
      <c r="M563" s="450"/>
      <c r="N563" s="451"/>
      <c r="O563" s="451"/>
      <c r="P563" s="451"/>
      <c r="Q563" s="448"/>
      <c r="R563" s="83"/>
      <c r="S563" s="83"/>
      <c r="T563" s="83"/>
      <c r="U563" s="83"/>
      <c r="V563" s="83"/>
      <c r="W563" s="83"/>
      <c r="X563" s="83"/>
      <c r="Y563" s="83"/>
      <c r="Z563" s="83"/>
      <c r="AA563" s="83"/>
      <c r="AB563" s="83"/>
      <c r="AC563" s="83"/>
      <c r="AD563" s="83"/>
    </row>
    <row r="564">
      <c r="A564" s="447"/>
      <c r="B564" s="448"/>
      <c r="C564" s="448"/>
      <c r="D564" s="448"/>
      <c r="E564" s="448"/>
      <c r="F564" s="448"/>
      <c r="G564" s="448"/>
      <c r="H564" s="448"/>
      <c r="I564" s="448"/>
      <c r="J564" s="448"/>
      <c r="K564" s="449"/>
      <c r="L564" s="448"/>
      <c r="M564" s="450"/>
      <c r="N564" s="451"/>
      <c r="O564" s="451"/>
      <c r="P564" s="451"/>
      <c r="Q564" s="448"/>
      <c r="R564" s="83"/>
      <c r="S564" s="83"/>
      <c r="T564" s="83"/>
      <c r="U564" s="83"/>
      <c r="V564" s="83"/>
      <c r="W564" s="83"/>
      <c r="X564" s="83"/>
      <c r="Y564" s="83"/>
      <c r="Z564" s="83"/>
      <c r="AA564" s="83"/>
      <c r="AB564" s="83"/>
      <c r="AC564" s="83"/>
      <c r="AD564" s="83"/>
    </row>
    <row r="565">
      <c r="A565" s="447"/>
      <c r="B565" s="448"/>
      <c r="C565" s="448"/>
      <c r="D565" s="448"/>
      <c r="E565" s="448"/>
      <c r="F565" s="448"/>
      <c r="G565" s="448"/>
      <c r="H565" s="448"/>
      <c r="I565" s="448"/>
      <c r="J565" s="448"/>
      <c r="K565" s="449"/>
      <c r="L565" s="448"/>
      <c r="M565" s="450"/>
      <c r="N565" s="451"/>
      <c r="O565" s="451"/>
      <c r="P565" s="451"/>
      <c r="Q565" s="448"/>
      <c r="R565" s="83"/>
      <c r="S565" s="83"/>
      <c r="T565" s="83"/>
      <c r="U565" s="83"/>
      <c r="V565" s="83"/>
      <c r="W565" s="83"/>
      <c r="X565" s="83"/>
      <c r="Y565" s="83"/>
      <c r="Z565" s="83"/>
      <c r="AA565" s="83"/>
      <c r="AB565" s="83"/>
      <c r="AC565" s="83"/>
      <c r="AD565" s="83"/>
    </row>
    <row r="566">
      <c r="A566" s="447"/>
      <c r="B566" s="448"/>
      <c r="C566" s="448"/>
      <c r="D566" s="448"/>
      <c r="E566" s="448"/>
      <c r="F566" s="448"/>
      <c r="G566" s="448"/>
      <c r="H566" s="448"/>
      <c r="I566" s="448"/>
      <c r="J566" s="448"/>
      <c r="K566" s="449"/>
      <c r="L566" s="448"/>
      <c r="M566" s="450"/>
      <c r="N566" s="451"/>
      <c r="O566" s="451"/>
      <c r="P566" s="451"/>
      <c r="Q566" s="448"/>
      <c r="R566" s="83"/>
      <c r="S566" s="83"/>
      <c r="T566" s="83"/>
      <c r="U566" s="83"/>
      <c r="V566" s="83"/>
      <c r="W566" s="83"/>
      <c r="X566" s="83"/>
      <c r="Y566" s="83"/>
      <c r="Z566" s="83"/>
      <c r="AA566" s="83"/>
      <c r="AB566" s="83"/>
      <c r="AC566" s="83"/>
      <c r="AD566" s="83"/>
    </row>
    <row r="567">
      <c r="A567" s="447"/>
      <c r="B567" s="448"/>
      <c r="C567" s="448"/>
      <c r="D567" s="448"/>
      <c r="E567" s="448"/>
      <c r="F567" s="448"/>
      <c r="G567" s="448"/>
      <c r="H567" s="448"/>
      <c r="I567" s="448"/>
      <c r="J567" s="448"/>
      <c r="K567" s="449"/>
      <c r="L567" s="448"/>
      <c r="M567" s="450"/>
      <c r="N567" s="451"/>
      <c r="O567" s="451"/>
      <c r="P567" s="451"/>
      <c r="Q567" s="448"/>
      <c r="R567" s="83"/>
      <c r="S567" s="83"/>
      <c r="T567" s="83"/>
      <c r="U567" s="83"/>
      <c r="V567" s="83"/>
      <c r="W567" s="83"/>
      <c r="X567" s="83"/>
      <c r="Y567" s="83"/>
      <c r="Z567" s="83"/>
      <c r="AA567" s="83"/>
      <c r="AB567" s="83"/>
      <c r="AC567" s="83"/>
      <c r="AD567" s="83"/>
    </row>
    <row r="568">
      <c r="A568" s="447"/>
      <c r="B568" s="448"/>
      <c r="C568" s="448"/>
      <c r="D568" s="448"/>
      <c r="E568" s="448"/>
      <c r="F568" s="448"/>
      <c r="G568" s="448"/>
      <c r="H568" s="448"/>
      <c r="I568" s="448"/>
      <c r="J568" s="448"/>
      <c r="K568" s="449"/>
      <c r="L568" s="448"/>
      <c r="M568" s="450"/>
      <c r="N568" s="451"/>
      <c r="O568" s="451"/>
      <c r="P568" s="451"/>
      <c r="Q568" s="448"/>
      <c r="R568" s="83"/>
      <c r="S568" s="83"/>
      <c r="T568" s="83"/>
      <c r="U568" s="83"/>
      <c r="V568" s="83"/>
      <c r="W568" s="83"/>
      <c r="X568" s="83"/>
      <c r="Y568" s="83"/>
      <c r="Z568" s="83"/>
      <c r="AA568" s="83"/>
      <c r="AB568" s="83"/>
      <c r="AC568" s="83"/>
      <c r="AD568" s="83"/>
    </row>
    <row r="569">
      <c r="A569" s="447"/>
      <c r="B569" s="448"/>
      <c r="C569" s="448"/>
      <c r="D569" s="448"/>
      <c r="E569" s="448"/>
      <c r="F569" s="448"/>
      <c r="G569" s="448"/>
      <c r="H569" s="448"/>
      <c r="I569" s="448"/>
      <c r="J569" s="448"/>
      <c r="K569" s="449"/>
      <c r="L569" s="448"/>
      <c r="M569" s="450"/>
      <c r="N569" s="451"/>
      <c r="O569" s="451"/>
      <c r="P569" s="451"/>
      <c r="Q569" s="448"/>
      <c r="R569" s="83"/>
      <c r="S569" s="83"/>
      <c r="T569" s="83"/>
      <c r="U569" s="83"/>
      <c r="V569" s="83"/>
      <c r="W569" s="83"/>
      <c r="X569" s="83"/>
      <c r="Y569" s="83"/>
      <c r="Z569" s="83"/>
      <c r="AA569" s="83"/>
      <c r="AB569" s="83"/>
      <c r="AC569" s="83"/>
      <c r="AD569" s="83"/>
    </row>
    <row r="570">
      <c r="A570" s="447"/>
      <c r="B570" s="448"/>
      <c r="C570" s="448"/>
      <c r="D570" s="448"/>
      <c r="E570" s="448"/>
      <c r="F570" s="448"/>
      <c r="G570" s="448"/>
      <c r="H570" s="448"/>
      <c r="I570" s="448"/>
      <c r="J570" s="448"/>
      <c r="K570" s="449"/>
      <c r="L570" s="448"/>
      <c r="M570" s="450"/>
      <c r="N570" s="451"/>
      <c r="O570" s="451"/>
      <c r="P570" s="451"/>
      <c r="Q570" s="448"/>
      <c r="R570" s="83"/>
      <c r="S570" s="83"/>
      <c r="T570" s="83"/>
      <c r="U570" s="83"/>
      <c r="V570" s="83"/>
      <c r="W570" s="83"/>
      <c r="X570" s="83"/>
      <c r="Y570" s="83"/>
      <c r="Z570" s="83"/>
      <c r="AA570" s="83"/>
      <c r="AB570" s="83"/>
      <c r="AC570" s="83"/>
      <c r="AD570" s="83"/>
    </row>
    <row r="571">
      <c r="A571" s="447"/>
      <c r="B571" s="448"/>
      <c r="C571" s="448"/>
      <c r="D571" s="448"/>
      <c r="E571" s="448"/>
      <c r="F571" s="448"/>
      <c r="G571" s="448"/>
      <c r="H571" s="448"/>
      <c r="I571" s="448"/>
      <c r="J571" s="448"/>
      <c r="K571" s="449"/>
      <c r="L571" s="448"/>
      <c r="M571" s="450"/>
      <c r="N571" s="451"/>
      <c r="O571" s="451"/>
      <c r="P571" s="451"/>
      <c r="Q571" s="448"/>
      <c r="R571" s="83"/>
      <c r="S571" s="83"/>
      <c r="T571" s="83"/>
      <c r="U571" s="83"/>
      <c r="V571" s="83"/>
      <c r="W571" s="83"/>
      <c r="X571" s="83"/>
      <c r="Y571" s="83"/>
      <c r="Z571" s="83"/>
      <c r="AA571" s="83"/>
      <c r="AB571" s="83"/>
      <c r="AC571" s="83"/>
      <c r="AD571" s="83"/>
    </row>
    <row r="572">
      <c r="A572" s="447"/>
      <c r="B572" s="448"/>
      <c r="C572" s="448"/>
      <c r="D572" s="448"/>
      <c r="E572" s="448"/>
      <c r="F572" s="448"/>
      <c r="G572" s="448"/>
      <c r="H572" s="448"/>
      <c r="I572" s="448"/>
      <c r="J572" s="448"/>
      <c r="K572" s="449"/>
      <c r="L572" s="448"/>
      <c r="M572" s="450"/>
      <c r="N572" s="451"/>
      <c r="O572" s="451"/>
      <c r="P572" s="451"/>
      <c r="Q572" s="448"/>
      <c r="R572" s="83"/>
      <c r="S572" s="83"/>
      <c r="T572" s="83"/>
      <c r="U572" s="83"/>
      <c r="V572" s="83"/>
      <c r="W572" s="83"/>
      <c r="X572" s="83"/>
      <c r="Y572" s="83"/>
      <c r="Z572" s="83"/>
      <c r="AA572" s="83"/>
      <c r="AB572" s="83"/>
      <c r="AC572" s="83"/>
      <c r="AD572" s="83"/>
    </row>
    <row r="573">
      <c r="A573" s="447"/>
      <c r="B573" s="448"/>
      <c r="C573" s="448"/>
      <c r="D573" s="448"/>
      <c r="E573" s="448"/>
      <c r="F573" s="448"/>
      <c r="G573" s="448"/>
      <c r="H573" s="448"/>
      <c r="I573" s="448"/>
      <c r="J573" s="448"/>
      <c r="K573" s="449"/>
      <c r="L573" s="448"/>
      <c r="M573" s="450"/>
      <c r="N573" s="451"/>
      <c r="O573" s="451"/>
      <c r="P573" s="451"/>
      <c r="Q573" s="448"/>
      <c r="R573" s="83"/>
      <c r="S573" s="83"/>
      <c r="T573" s="83"/>
      <c r="U573" s="83"/>
      <c r="V573" s="83"/>
      <c r="W573" s="83"/>
      <c r="X573" s="83"/>
      <c r="Y573" s="83"/>
      <c r="Z573" s="83"/>
      <c r="AA573" s="83"/>
      <c r="AB573" s="83"/>
      <c r="AC573" s="83"/>
      <c r="AD573" s="83"/>
    </row>
    <row r="574">
      <c r="A574" s="447"/>
      <c r="B574" s="448"/>
      <c r="C574" s="448"/>
      <c r="D574" s="448"/>
      <c r="E574" s="448"/>
      <c r="F574" s="448"/>
      <c r="G574" s="448"/>
      <c r="H574" s="448"/>
      <c r="I574" s="448"/>
      <c r="J574" s="448"/>
      <c r="K574" s="449"/>
      <c r="L574" s="448"/>
      <c r="M574" s="450"/>
      <c r="N574" s="451"/>
      <c r="O574" s="451"/>
      <c r="P574" s="451"/>
      <c r="Q574" s="448"/>
      <c r="R574" s="83"/>
      <c r="S574" s="83"/>
      <c r="T574" s="83"/>
      <c r="U574" s="83"/>
      <c r="V574" s="83"/>
      <c r="W574" s="83"/>
      <c r="X574" s="83"/>
      <c r="Y574" s="83"/>
      <c r="Z574" s="83"/>
      <c r="AA574" s="83"/>
      <c r="AB574" s="83"/>
      <c r="AC574" s="83"/>
      <c r="AD574" s="83"/>
    </row>
    <row r="575">
      <c r="A575" s="447"/>
      <c r="B575" s="448"/>
      <c r="C575" s="448"/>
      <c r="D575" s="448"/>
      <c r="E575" s="448"/>
      <c r="F575" s="448"/>
      <c r="G575" s="448"/>
      <c r="H575" s="448"/>
      <c r="I575" s="448"/>
      <c r="J575" s="448"/>
      <c r="K575" s="449"/>
      <c r="L575" s="448"/>
      <c r="M575" s="450"/>
      <c r="N575" s="451"/>
      <c r="O575" s="451"/>
      <c r="P575" s="451"/>
      <c r="Q575" s="448"/>
      <c r="R575" s="83"/>
      <c r="S575" s="83"/>
      <c r="T575" s="83"/>
      <c r="U575" s="83"/>
      <c r="V575" s="83"/>
      <c r="W575" s="83"/>
      <c r="X575" s="83"/>
      <c r="Y575" s="83"/>
      <c r="Z575" s="83"/>
      <c r="AA575" s="83"/>
      <c r="AB575" s="83"/>
      <c r="AC575" s="83"/>
      <c r="AD575" s="83"/>
    </row>
    <row r="576">
      <c r="A576" s="447"/>
      <c r="B576" s="448"/>
      <c r="C576" s="448"/>
      <c r="D576" s="448"/>
      <c r="E576" s="448"/>
      <c r="F576" s="448"/>
      <c r="G576" s="448"/>
      <c r="H576" s="448"/>
      <c r="I576" s="448"/>
      <c r="J576" s="448"/>
      <c r="K576" s="449"/>
      <c r="L576" s="448"/>
      <c r="M576" s="450"/>
      <c r="N576" s="451"/>
      <c r="O576" s="451"/>
      <c r="P576" s="451"/>
      <c r="Q576" s="448"/>
      <c r="R576" s="83"/>
      <c r="S576" s="83"/>
      <c r="T576" s="83"/>
      <c r="U576" s="83"/>
      <c r="V576" s="83"/>
      <c r="W576" s="83"/>
      <c r="X576" s="83"/>
      <c r="Y576" s="83"/>
      <c r="Z576" s="83"/>
      <c r="AA576" s="83"/>
      <c r="AB576" s="83"/>
      <c r="AC576" s="83"/>
      <c r="AD576" s="83"/>
    </row>
    <row r="577">
      <c r="A577" s="447"/>
      <c r="B577" s="448"/>
      <c r="C577" s="448"/>
      <c r="D577" s="448"/>
      <c r="E577" s="448"/>
      <c r="F577" s="448"/>
      <c r="G577" s="448"/>
      <c r="H577" s="448"/>
      <c r="I577" s="448"/>
      <c r="J577" s="448"/>
      <c r="K577" s="449"/>
      <c r="L577" s="448"/>
      <c r="M577" s="450"/>
      <c r="N577" s="451"/>
      <c r="O577" s="451"/>
      <c r="P577" s="451"/>
      <c r="Q577" s="448"/>
      <c r="R577" s="83"/>
      <c r="S577" s="83"/>
      <c r="T577" s="83"/>
      <c r="U577" s="83"/>
      <c r="V577" s="83"/>
      <c r="W577" s="83"/>
      <c r="X577" s="83"/>
      <c r="Y577" s="83"/>
      <c r="Z577" s="83"/>
      <c r="AA577" s="83"/>
      <c r="AB577" s="83"/>
      <c r="AC577" s="83"/>
      <c r="AD577" s="83"/>
    </row>
    <row r="578">
      <c r="A578" s="447"/>
      <c r="B578" s="448"/>
      <c r="C578" s="448"/>
      <c r="D578" s="448"/>
      <c r="E578" s="448"/>
      <c r="F578" s="448"/>
      <c r="G578" s="448"/>
      <c r="H578" s="448"/>
      <c r="I578" s="448"/>
      <c r="J578" s="448"/>
      <c r="K578" s="449"/>
      <c r="L578" s="448"/>
      <c r="M578" s="450"/>
      <c r="N578" s="451"/>
      <c r="O578" s="451"/>
      <c r="P578" s="451"/>
      <c r="Q578" s="448"/>
      <c r="R578" s="83"/>
      <c r="S578" s="83"/>
      <c r="T578" s="83"/>
      <c r="U578" s="83"/>
      <c r="V578" s="83"/>
      <c r="W578" s="83"/>
      <c r="X578" s="83"/>
      <c r="Y578" s="83"/>
      <c r="Z578" s="83"/>
      <c r="AA578" s="83"/>
      <c r="AB578" s="83"/>
      <c r="AC578" s="83"/>
      <c r="AD578" s="83"/>
    </row>
    <row r="579">
      <c r="A579" s="447"/>
      <c r="B579" s="448"/>
      <c r="C579" s="448"/>
      <c r="D579" s="448"/>
      <c r="E579" s="448"/>
      <c r="F579" s="448"/>
      <c r="G579" s="448"/>
      <c r="H579" s="448"/>
      <c r="I579" s="448"/>
      <c r="J579" s="448"/>
      <c r="K579" s="449"/>
      <c r="L579" s="448"/>
      <c r="M579" s="450"/>
      <c r="N579" s="451"/>
      <c r="O579" s="451"/>
      <c r="P579" s="451"/>
      <c r="Q579" s="448"/>
      <c r="R579" s="83"/>
      <c r="S579" s="83"/>
      <c r="T579" s="83"/>
      <c r="U579" s="83"/>
      <c r="V579" s="83"/>
      <c r="W579" s="83"/>
      <c r="X579" s="83"/>
      <c r="Y579" s="83"/>
      <c r="Z579" s="83"/>
      <c r="AA579" s="83"/>
      <c r="AB579" s="83"/>
      <c r="AC579" s="83"/>
      <c r="AD579" s="83"/>
    </row>
    <row r="580">
      <c r="A580" s="447"/>
      <c r="B580" s="448"/>
      <c r="C580" s="448"/>
      <c r="D580" s="448"/>
      <c r="E580" s="448"/>
      <c r="F580" s="448"/>
      <c r="G580" s="448"/>
      <c r="H580" s="448"/>
      <c r="I580" s="448"/>
      <c r="J580" s="448"/>
      <c r="K580" s="449"/>
      <c r="L580" s="448"/>
      <c r="M580" s="450"/>
      <c r="N580" s="451"/>
      <c r="O580" s="451"/>
      <c r="P580" s="451"/>
      <c r="Q580" s="448"/>
      <c r="R580" s="83"/>
      <c r="S580" s="83"/>
      <c r="T580" s="83"/>
      <c r="U580" s="83"/>
      <c r="V580" s="83"/>
      <c r="W580" s="83"/>
      <c r="X580" s="83"/>
      <c r="Y580" s="83"/>
      <c r="Z580" s="83"/>
      <c r="AA580" s="83"/>
      <c r="AB580" s="83"/>
      <c r="AC580" s="83"/>
      <c r="AD580" s="83"/>
    </row>
    <row r="581">
      <c r="A581" s="447"/>
      <c r="B581" s="448"/>
      <c r="C581" s="448"/>
      <c r="D581" s="448"/>
      <c r="E581" s="448"/>
      <c r="F581" s="448"/>
      <c r="G581" s="448"/>
      <c r="H581" s="448"/>
      <c r="I581" s="448"/>
      <c r="J581" s="448"/>
      <c r="K581" s="449"/>
      <c r="L581" s="448"/>
      <c r="M581" s="450"/>
      <c r="N581" s="451"/>
      <c r="O581" s="451"/>
      <c r="P581" s="451"/>
      <c r="Q581" s="448"/>
      <c r="R581" s="83"/>
      <c r="S581" s="83"/>
      <c r="T581" s="83"/>
      <c r="U581" s="83"/>
      <c r="V581" s="83"/>
      <c r="W581" s="83"/>
      <c r="X581" s="83"/>
      <c r="Y581" s="83"/>
      <c r="Z581" s="83"/>
      <c r="AA581" s="83"/>
      <c r="AB581" s="83"/>
      <c r="AC581" s="83"/>
      <c r="AD581" s="83"/>
    </row>
    <row r="582">
      <c r="A582" s="447"/>
      <c r="B582" s="448"/>
      <c r="C582" s="448"/>
      <c r="D582" s="448"/>
      <c r="E582" s="448"/>
      <c r="F582" s="448"/>
      <c r="G582" s="448"/>
      <c r="H582" s="448"/>
      <c r="I582" s="448"/>
      <c r="J582" s="448"/>
      <c r="K582" s="449"/>
      <c r="L582" s="448"/>
      <c r="M582" s="450"/>
      <c r="N582" s="451"/>
      <c r="O582" s="451"/>
      <c r="P582" s="451"/>
      <c r="Q582" s="448"/>
      <c r="R582" s="83"/>
      <c r="S582" s="83"/>
      <c r="T582" s="83"/>
      <c r="U582" s="83"/>
      <c r="V582" s="83"/>
      <c r="W582" s="83"/>
      <c r="X582" s="83"/>
      <c r="Y582" s="83"/>
      <c r="Z582" s="83"/>
      <c r="AA582" s="83"/>
      <c r="AB582" s="83"/>
      <c r="AC582" s="83"/>
      <c r="AD582" s="83"/>
    </row>
    <row r="583">
      <c r="A583" s="447"/>
      <c r="B583" s="448"/>
      <c r="C583" s="448"/>
      <c r="D583" s="448"/>
      <c r="E583" s="448"/>
      <c r="F583" s="448"/>
      <c r="G583" s="448"/>
      <c r="H583" s="448"/>
      <c r="I583" s="448"/>
      <c r="J583" s="448"/>
      <c r="K583" s="449"/>
      <c r="L583" s="448"/>
      <c r="M583" s="450"/>
      <c r="N583" s="451"/>
      <c r="O583" s="451"/>
      <c r="P583" s="451"/>
      <c r="Q583" s="448"/>
      <c r="R583" s="83"/>
      <c r="S583" s="83"/>
      <c r="T583" s="83"/>
      <c r="U583" s="83"/>
      <c r="V583" s="83"/>
      <c r="W583" s="83"/>
      <c r="X583" s="83"/>
      <c r="Y583" s="83"/>
      <c r="Z583" s="83"/>
      <c r="AA583" s="83"/>
      <c r="AB583" s="83"/>
      <c r="AC583" s="83"/>
      <c r="AD583" s="83"/>
    </row>
    <row r="584">
      <c r="A584" s="447"/>
      <c r="B584" s="448"/>
      <c r="C584" s="448"/>
      <c r="D584" s="448"/>
      <c r="E584" s="448"/>
      <c r="F584" s="448"/>
      <c r="G584" s="448"/>
      <c r="H584" s="448"/>
      <c r="I584" s="448"/>
      <c r="J584" s="448"/>
      <c r="K584" s="449"/>
      <c r="L584" s="448"/>
      <c r="M584" s="450"/>
      <c r="N584" s="451"/>
      <c r="O584" s="451"/>
      <c r="P584" s="451"/>
      <c r="Q584" s="448"/>
      <c r="R584" s="83"/>
      <c r="S584" s="83"/>
      <c r="T584" s="83"/>
      <c r="U584" s="83"/>
      <c r="V584" s="83"/>
      <c r="W584" s="83"/>
      <c r="X584" s="83"/>
      <c r="Y584" s="83"/>
      <c r="Z584" s="83"/>
      <c r="AA584" s="83"/>
      <c r="AB584" s="83"/>
      <c r="AC584" s="83"/>
      <c r="AD584" s="83"/>
    </row>
    <row r="585">
      <c r="A585" s="447"/>
      <c r="B585" s="448"/>
      <c r="C585" s="448"/>
      <c r="D585" s="448"/>
      <c r="E585" s="448"/>
      <c r="F585" s="448"/>
      <c r="G585" s="448"/>
      <c r="H585" s="448"/>
      <c r="I585" s="448"/>
      <c r="J585" s="448"/>
      <c r="K585" s="449"/>
      <c r="L585" s="448"/>
      <c r="M585" s="450"/>
      <c r="N585" s="451"/>
      <c r="O585" s="451"/>
      <c r="P585" s="451"/>
      <c r="Q585" s="448"/>
      <c r="R585" s="83"/>
      <c r="S585" s="83"/>
      <c r="T585" s="83"/>
      <c r="U585" s="83"/>
      <c r="V585" s="83"/>
      <c r="W585" s="83"/>
      <c r="X585" s="83"/>
      <c r="Y585" s="83"/>
      <c r="Z585" s="83"/>
      <c r="AA585" s="83"/>
      <c r="AB585" s="83"/>
      <c r="AC585" s="83"/>
      <c r="AD585" s="83"/>
    </row>
    <row r="586">
      <c r="A586" s="447"/>
      <c r="B586" s="448"/>
      <c r="C586" s="448"/>
      <c r="D586" s="448"/>
      <c r="E586" s="448"/>
      <c r="F586" s="448"/>
      <c r="G586" s="448"/>
      <c r="H586" s="448"/>
      <c r="I586" s="448"/>
      <c r="J586" s="448"/>
      <c r="K586" s="449"/>
      <c r="L586" s="448"/>
      <c r="M586" s="450"/>
      <c r="N586" s="451"/>
      <c r="O586" s="451"/>
      <c r="P586" s="451"/>
      <c r="Q586" s="448"/>
      <c r="R586" s="83"/>
      <c r="S586" s="83"/>
      <c r="T586" s="83"/>
      <c r="U586" s="83"/>
      <c r="V586" s="83"/>
      <c r="W586" s="83"/>
      <c r="X586" s="83"/>
      <c r="Y586" s="83"/>
      <c r="Z586" s="83"/>
      <c r="AA586" s="83"/>
      <c r="AB586" s="83"/>
      <c r="AC586" s="83"/>
      <c r="AD586" s="83"/>
    </row>
    <row r="587">
      <c r="A587" s="447"/>
      <c r="B587" s="448"/>
      <c r="C587" s="448"/>
      <c r="D587" s="448"/>
      <c r="E587" s="448"/>
      <c r="F587" s="448"/>
      <c r="G587" s="448"/>
      <c r="H587" s="448"/>
      <c r="I587" s="448"/>
      <c r="J587" s="448"/>
      <c r="K587" s="449"/>
      <c r="L587" s="448"/>
      <c r="M587" s="450"/>
      <c r="N587" s="451"/>
      <c r="O587" s="451"/>
      <c r="P587" s="451"/>
      <c r="Q587" s="448"/>
      <c r="R587" s="83"/>
      <c r="S587" s="83"/>
      <c r="T587" s="83"/>
      <c r="U587" s="83"/>
      <c r="V587" s="83"/>
      <c r="W587" s="83"/>
      <c r="X587" s="83"/>
      <c r="Y587" s="83"/>
      <c r="Z587" s="83"/>
      <c r="AA587" s="83"/>
      <c r="AB587" s="83"/>
      <c r="AC587" s="83"/>
      <c r="AD587" s="83"/>
    </row>
    <row r="588">
      <c r="A588" s="447"/>
      <c r="B588" s="448"/>
      <c r="C588" s="448"/>
      <c r="D588" s="448"/>
      <c r="E588" s="448"/>
      <c r="F588" s="448"/>
      <c r="G588" s="448"/>
      <c r="H588" s="448"/>
      <c r="I588" s="448"/>
      <c r="J588" s="448"/>
      <c r="K588" s="449"/>
      <c r="L588" s="448"/>
      <c r="M588" s="450"/>
      <c r="N588" s="451"/>
      <c r="O588" s="451"/>
      <c r="P588" s="451"/>
      <c r="Q588" s="448"/>
      <c r="R588" s="83"/>
      <c r="S588" s="83"/>
      <c r="T588" s="83"/>
      <c r="U588" s="83"/>
      <c r="V588" s="83"/>
      <c r="W588" s="83"/>
      <c r="X588" s="83"/>
      <c r="Y588" s="83"/>
      <c r="Z588" s="83"/>
      <c r="AA588" s="83"/>
      <c r="AB588" s="83"/>
      <c r="AC588" s="83"/>
      <c r="AD588" s="83"/>
    </row>
    <row r="589">
      <c r="A589" s="447"/>
      <c r="B589" s="448"/>
      <c r="C589" s="448"/>
      <c r="D589" s="448"/>
      <c r="E589" s="448"/>
      <c r="F589" s="448"/>
      <c r="G589" s="448"/>
      <c r="H589" s="448"/>
      <c r="I589" s="448"/>
      <c r="J589" s="448"/>
      <c r="K589" s="449"/>
      <c r="L589" s="448"/>
      <c r="M589" s="450"/>
      <c r="N589" s="451"/>
      <c r="O589" s="451"/>
      <c r="P589" s="451"/>
      <c r="Q589" s="448"/>
      <c r="R589" s="83"/>
      <c r="S589" s="83"/>
      <c r="T589" s="83"/>
      <c r="U589" s="83"/>
      <c r="V589" s="83"/>
      <c r="W589" s="83"/>
      <c r="X589" s="83"/>
      <c r="Y589" s="83"/>
      <c r="Z589" s="83"/>
      <c r="AA589" s="83"/>
      <c r="AB589" s="83"/>
      <c r="AC589" s="83"/>
      <c r="AD589" s="83"/>
    </row>
    <row r="590">
      <c r="A590" s="447"/>
      <c r="B590" s="448"/>
      <c r="C590" s="448"/>
      <c r="D590" s="448"/>
      <c r="E590" s="448"/>
      <c r="F590" s="448"/>
      <c r="G590" s="448"/>
      <c r="H590" s="448"/>
      <c r="I590" s="448"/>
      <c r="J590" s="448"/>
      <c r="K590" s="449"/>
      <c r="L590" s="448"/>
      <c r="M590" s="450"/>
      <c r="N590" s="451"/>
      <c r="O590" s="451"/>
      <c r="P590" s="451"/>
      <c r="Q590" s="448"/>
      <c r="R590" s="83"/>
      <c r="S590" s="83"/>
      <c r="T590" s="83"/>
      <c r="U590" s="83"/>
      <c r="V590" s="83"/>
      <c r="W590" s="83"/>
      <c r="X590" s="83"/>
      <c r="Y590" s="83"/>
      <c r="Z590" s="83"/>
      <c r="AA590" s="83"/>
      <c r="AB590" s="83"/>
      <c r="AC590" s="83"/>
      <c r="AD590" s="83"/>
    </row>
    <row r="591">
      <c r="A591" s="447"/>
      <c r="B591" s="448"/>
      <c r="C591" s="448"/>
      <c r="D591" s="448"/>
      <c r="E591" s="448"/>
      <c r="F591" s="448"/>
      <c r="G591" s="448"/>
      <c r="H591" s="448"/>
      <c r="I591" s="448"/>
      <c r="J591" s="448"/>
      <c r="K591" s="449"/>
      <c r="L591" s="448"/>
      <c r="M591" s="450"/>
      <c r="N591" s="451"/>
      <c r="O591" s="451"/>
      <c r="P591" s="451"/>
      <c r="Q591" s="448"/>
      <c r="R591" s="83"/>
      <c r="S591" s="83"/>
      <c r="T591" s="83"/>
      <c r="U591" s="83"/>
      <c r="V591" s="83"/>
      <c r="W591" s="83"/>
      <c r="X591" s="83"/>
      <c r="Y591" s="83"/>
      <c r="Z591" s="83"/>
      <c r="AA591" s="83"/>
      <c r="AB591" s="83"/>
      <c r="AC591" s="83"/>
      <c r="AD591" s="83"/>
    </row>
    <row r="592">
      <c r="A592" s="447"/>
      <c r="B592" s="448"/>
      <c r="C592" s="448"/>
      <c r="D592" s="448"/>
      <c r="E592" s="448"/>
      <c r="F592" s="448"/>
      <c r="G592" s="448"/>
      <c r="H592" s="448"/>
      <c r="I592" s="448"/>
      <c r="J592" s="448"/>
      <c r="K592" s="449"/>
      <c r="L592" s="448"/>
      <c r="M592" s="450"/>
      <c r="N592" s="451"/>
      <c r="O592" s="451"/>
      <c r="P592" s="451"/>
      <c r="Q592" s="448"/>
      <c r="R592" s="83"/>
      <c r="S592" s="83"/>
      <c r="T592" s="83"/>
      <c r="U592" s="83"/>
      <c r="V592" s="83"/>
      <c r="W592" s="83"/>
      <c r="X592" s="83"/>
      <c r="Y592" s="83"/>
      <c r="Z592" s="83"/>
      <c r="AA592" s="83"/>
      <c r="AB592" s="83"/>
      <c r="AC592" s="83"/>
      <c r="AD592" s="83"/>
    </row>
    <row r="593">
      <c r="A593" s="447"/>
      <c r="B593" s="448"/>
      <c r="C593" s="448"/>
      <c r="D593" s="448"/>
      <c r="E593" s="448"/>
      <c r="F593" s="448"/>
      <c r="G593" s="448"/>
      <c r="H593" s="448"/>
      <c r="I593" s="448"/>
      <c r="J593" s="448"/>
      <c r="K593" s="449"/>
      <c r="L593" s="448"/>
      <c r="M593" s="450"/>
      <c r="N593" s="451"/>
      <c r="O593" s="451"/>
      <c r="P593" s="451"/>
      <c r="Q593" s="448"/>
      <c r="R593" s="83"/>
      <c r="S593" s="83"/>
      <c r="T593" s="83"/>
      <c r="U593" s="83"/>
      <c r="V593" s="83"/>
      <c r="W593" s="83"/>
      <c r="X593" s="83"/>
      <c r="Y593" s="83"/>
      <c r="Z593" s="83"/>
      <c r="AA593" s="83"/>
      <c r="AB593" s="83"/>
      <c r="AC593" s="83"/>
      <c r="AD593" s="83"/>
    </row>
    <row r="594">
      <c r="A594" s="447"/>
      <c r="B594" s="448"/>
      <c r="C594" s="448"/>
      <c r="D594" s="448"/>
      <c r="E594" s="448"/>
      <c r="F594" s="448"/>
      <c r="G594" s="448"/>
      <c r="H594" s="448"/>
      <c r="I594" s="448"/>
      <c r="J594" s="448"/>
      <c r="K594" s="449"/>
      <c r="L594" s="448"/>
      <c r="M594" s="450"/>
      <c r="N594" s="451"/>
      <c r="O594" s="451"/>
      <c r="P594" s="451"/>
      <c r="Q594" s="448"/>
      <c r="R594" s="83"/>
      <c r="S594" s="83"/>
      <c r="T594" s="83"/>
      <c r="U594" s="83"/>
      <c r="V594" s="83"/>
      <c r="W594" s="83"/>
      <c r="X594" s="83"/>
      <c r="Y594" s="83"/>
      <c r="Z594" s="83"/>
      <c r="AA594" s="83"/>
      <c r="AB594" s="83"/>
      <c r="AC594" s="83"/>
      <c r="AD594" s="83"/>
    </row>
    <row r="595">
      <c r="A595" s="447"/>
      <c r="B595" s="448"/>
      <c r="C595" s="448"/>
      <c r="D595" s="448"/>
      <c r="E595" s="448"/>
      <c r="F595" s="448"/>
      <c r="G595" s="448"/>
      <c r="H595" s="448"/>
      <c r="I595" s="448"/>
      <c r="J595" s="448"/>
      <c r="K595" s="449"/>
      <c r="L595" s="448"/>
      <c r="M595" s="450"/>
      <c r="N595" s="451"/>
      <c r="O595" s="451"/>
      <c r="P595" s="451"/>
      <c r="Q595" s="448"/>
      <c r="R595" s="83"/>
      <c r="S595" s="83"/>
      <c r="T595" s="83"/>
      <c r="U595" s="83"/>
      <c r="V595" s="83"/>
      <c r="W595" s="83"/>
      <c r="X595" s="83"/>
      <c r="Y595" s="83"/>
      <c r="Z595" s="83"/>
      <c r="AA595" s="83"/>
      <c r="AB595" s="83"/>
      <c r="AC595" s="83"/>
      <c r="AD595" s="83"/>
    </row>
    <row r="596">
      <c r="A596" s="447"/>
      <c r="B596" s="448"/>
      <c r="C596" s="448"/>
      <c r="D596" s="448"/>
      <c r="E596" s="448"/>
      <c r="F596" s="448"/>
      <c r="G596" s="448"/>
      <c r="H596" s="448"/>
      <c r="I596" s="448"/>
      <c r="J596" s="448"/>
      <c r="K596" s="449"/>
      <c r="L596" s="448"/>
      <c r="M596" s="450"/>
      <c r="N596" s="451"/>
      <c r="O596" s="451"/>
      <c r="P596" s="451"/>
      <c r="Q596" s="448"/>
      <c r="R596" s="83"/>
      <c r="S596" s="83"/>
      <c r="T596" s="83"/>
      <c r="U596" s="83"/>
      <c r="V596" s="83"/>
      <c r="W596" s="83"/>
      <c r="X596" s="83"/>
      <c r="Y596" s="83"/>
      <c r="Z596" s="83"/>
      <c r="AA596" s="83"/>
      <c r="AB596" s="83"/>
      <c r="AC596" s="83"/>
      <c r="AD596" s="83"/>
    </row>
    <row r="597">
      <c r="A597" s="447"/>
      <c r="B597" s="448"/>
      <c r="C597" s="448"/>
      <c r="D597" s="448"/>
      <c r="E597" s="448"/>
      <c r="F597" s="448"/>
      <c r="G597" s="448"/>
      <c r="H597" s="448"/>
      <c r="I597" s="448"/>
      <c r="J597" s="448"/>
      <c r="K597" s="449"/>
      <c r="L597" s="448"/>
      <c r="M597" s="450"/>
      <c r="N597" s="451"/>
      <c r="O597" s="451"/>
      <c r="P597" s="451"/>
      <c r="Q597" s="448"/>
      <c r="R597" s="83"/>
      <c r="S597" s="83"/>
      <c r="T597" s="83"/>
      <c r="U597" s="83"/>
      <c r="V597" s="83"/>
      <c r="W597" s="83"/>
      <c r="X597" s="83"/>
      <c r="Y597" s="83"/>
      <c r="Z597" s="83"/>
      <c r="AA597" s="83"/>
      <c r="AB597" s="83"/>
      <c r="AC597" s="83"/>
      <c r="AD597" s="83"/>
    </row>
    <row r="598">
      <c r="A598" s="447"/>
      <c r="B598" s="448"/>
      <c r="C598" s="448"/>
      <c r="D598" s="448"/>
      <c r="E598" s="448"/>
      <c r="F598" s="448"/>
      <c r="G598" s="448"/>
      <c r="H598" s="448"/>
      <c r="I598" s="448"/>
      <c r="J598" s="448"/>
      <c r="K598" s="449"/>
      <c r="L598" s="448"/>
      <c r="M598" s="450"/>
      <c r="N598" s="451"/>
      <c r="O598" s="451"/>
      <c r="P598" s="451"/>
      <c r="Q598" s="448"/>
      <c r="R598" s="83"/>
      <c r="S598" s="83"/>
      <c r="T598" s="83"/>
      <c r="U598" s="83"/>
      <c r="V598" s="83"/>
      <c r="W598" s="83"/>
      <c r="X598" s="83"/>
      <c r="Y598" s="83"/>
      <c r="Z598" s="83"/>
      <c r="AA598" s="83"/>
      <c r="AB598" s="83"/>
      <c r="AC598" s="83"/>
      <c r="AD598" s="83"/>
    </row>
    <row r="599">
      <c r="A599" s="447"/>
      <c r="B599" s="448"/>
      <c r="C599" s="448"/>
      <c r="D599" s="448"/>
      <c r="E599" s="448"/>
      <c r="F599" s="448"/>
      <c r="G599" s="448"/>
      <c r="H599" s="448"/>
      <c r="I599" s="448"/>
      <c r="J599" s="448"/>
      <c r="K599" s="449"/>
      <c r="L599" s="448"/>
      <c r="M599" s="450"/>
      <c r="N599" s="451"/>
      <c r="O599" s="451"/>
      <c r="P599" s="451"/>
      <c r="Q599" s="448"/>
      <c r="R599" s="83"/>
      <c r="S599" s="83"/>
      <c r="T599" s="83"/>
      <c r="U599" s="83"/>
      <c r="V599" s="83"/>
      <c r="W599" s="83"/>
      <c r="X599" s="83"/>
      <c r="Y599" s="83"/>
      <c r="Z599" s="83"/>
      <c r="AA599" s="83"/>
      <c r="AB599" s="83"/>
      <c r="AC599" s="83"/>
      <c r="AD599" s="83"/>
    </row>
    <row r="600">
      <c r="A600" s="447"/>
      <c r="B600" s="448"/>
      <c r="C600" s="448"/>
      <c r="D600" s="448"/>
      <c r="E600" s="448"/>
      <c r="F600" s="448"/>
      <c r="G600" s="448"/>
      <c r="H600" s="448"/>
      <c r="I600" s="448"/>
      <c r="J600" s="448"/>
      <c r="K600" s="449"/>
      <c r="L600" s="448"/>
      <c r="M600" s="450"/>
      <c r="N600" s="451"/>
      <c r="O600" s="451"/>
      <c r="P600" s="451"/>
      <c r="Q600" s="448"/>
      <c r="R600" s="83"/>
      <c r="S600" s="83"/>
      <c r="T600" s="83"/>
      <c r="U600" s="83"/>
      <c r="V600" s="83"/>
      <c r="W600" s="83"/>
      <c r="X600" s="83"/>
      <c r="Y600" s="83"/>
      <c r="Z600" s="83"/>
      <c r="AA600" s="83"/>
      <c r="AB600" s="83"/>
      <c r="AC600" s="83"/>
      <c r="AD600" s="83"/>
    </row>
    <row r="601">
      <c r="A601" s="447"/>
      <c r="B601" s="448"/>
      <c r="C601" s="448"/>
      <c r="D601" s="448"/>
      <c r="E601" s="448"/>
      <c r="F601" s="448"/>
      <c r="G601" s="448"/>
      <c r="H601" s="448"/>
      <c r="I601" s="448"/>
      <c r="J601" s="448"/>
      <c r="K601" s="449"/>
      <c r="L601" s="448"/>
      <c r="M601" s="450"/>
      <c r="N601" s="451"/>
      <c r="O601" s="451"/>
      <c r="P601" s="451"/>
      <c r="Q601" s="448"/>
      <c r="R601" s="83"/>
      <c r="S601" s="83"/>
      <c r="T601" s="83"/>
      <c r="U601" s="83"/>
      <c r="V601" s="83"/>
      <c r="W601" s="83"/>
      <c r="X601" s="83"/>
      <c r="Y601" s="83"/>
      <c r="Z601" s="83"/>
      <c r="AA601" s="83"/>
      <c r="AB601" s="83"/>
      <c r="AC601" s="83"/>
      <c r="AD601" s="83"/>
    </row>
    <row r="602">
      <c r="A602" s="447"/>
      <c r="B602" s="448"/>
      <c r="C602" s="448"/>
      <c r="D602" s="448"/>
      <c r="E602" s="448"/>
      <c r="F602" s="448"/>
      <c r="G602" s="448"/>
      <c r="H602" s="448"/>
      <c r="I602" s="448"/>
      <c r="J602" s="448"/>
      <c r="K602" s="449"/>
      <c r="L602" s="448"/>
      <c r="M602" s="450"/>
      <c r="N602" s="451"/>
      <c r="O602" s="451"/>
      <c r="P602" s="451"/>
      <c r="Q602" s="448"/>
      <c r="R602" s="83"/>
      <c r="S602" s="83"/>
      <c r="T602" s="83"/>
      <c r="U602" s="83"/>
      <c r="V602" s="83"/>
      <c r="W602" s="83"/>
      <c r="X602" s="83"/>
      <c r="Y602" s="83"/>
      <c r="Z602" s="83"/>
      <c r="AA602" s="83"/>
      <c r="AB602" s="83"/>
      <c r="AC602" s="83"/>
      <c r="AD602" s="83"/>
    </row>
    <row r="603">
      <c r="A603" s="447"/>
      <c r="B603" s="448"/>
      <c r="C603" s="448"/>
      <c r="D603" s="448"/>
      <c r="E603" s="448"/>
      <c r="F603" s="448"/>
      <c r="G603" s="448"/>
      <c r="H603" s="448"/>
      <c r="I603" s="448"/>
      <c r="J603" s="448"/>
      <c r="K603" s="449"/>
      <c r="L603" s="448"/>
      <c r="M603" s="450"/>
      <c r="N603" s="451"/>
      <c r="O603" s="451"/>
      <c r="P603" s="451"/>
      <c r="Q603" s="448"/>
      <c r="R603" s="83"/>
      <c r="S603" s="83"/>
      <c r="T603" s="83"/>
      <c r="U603" s="83"/>
      <c r="V603" s="83"/>
      <c r="W603" s="83"/>
      <c r="X603" s="83"/>
      <c r="Y603" s="83"/>
      <c r="Z603" s="83"/>
      <c r="AA603" s="83"/>
      <c r="AB603" s="83"/>
      <c r="AC603" s="83"/>
      <c r="AD603" s="83"/>
    </row>
    <row r="604">
      <c r="A604" s="447"/>
      <c r="B604" s="448"/>
      <c r="C604" s="448"/>
      <c r="D604" s="448"/>
      <c r="E604" s="448"/>
      <c r="F604" s="448"/>
      <c r="G604" s="448"/>
      <c r="H604" s="448"/>
      <c r="I604" s="448"/>
      <c r="J604" s="448"/>
      <c r="K604" s="449"/>
      <c r="L604" s="448"/>
      <c r="M604" s="450"/>
      <c r="N604" s="451"/>
      <c r="O604" s="451"/>
      <c r="P604" s="451"/>
      <c r="Q604" s="448"/>
      <c r="R604" s="83"/>
      <c r="S604" s="83"/>
      <c r="T604" s="83"/>
      <c r="U604" s="83"/>
      <c r="V604" s="83"/>
      <c r="W604" s="83"/>
      <c r="X604" s="83"/>
      <c r="Y604" s="83"/>
      <c r="Z604" s="83"/>
      <c r="AA604" s="83"/>
      <c r="AB604" s="83"/>
      <c r="AC604" s="83"/>
      <c r="AD604" s="83"/>
    </row>
    <row r="605">
      <c r="A605" s="447"/>
      <c r="B605" s="448"/>
      <c r="C605" s="448"/>
      <c r="D605" s="448"/>
      <c r="E605" s="448"/>
      <c r="F605" s="448"/>
      <c r="G605" s="448"/>
      <c r="H605" s="448"/>
      <c r="I605" s="448"/>
      <c r="J605" s="448"/>
      <c r="K605" s="449"/>
      <c r="L605" s="448"/>
      <c r="M605" s="450"/>
      <c r="N605" s="451"/>
      <c r="O605" s="451"/>
      <c r="P605" s="451"/>
      <c r="Q605" s="448"/>
      <c r="R605" s="83"/>
      <c r="S605" s="83"/>
      <c r="T605" s="83"/>
      <c r="U605" s="83"/>
      <c r="V605" s="83"/>
      <c r="W605" s="83"/>
      <c r="X605" s="83"/>
      <c r="Y605" s="83"/>
      <c r="Z605" s="83"/>
      <c r="AA605" s="83"/>
      <c r="AB605" s="83"/>
      <c r="AC605" s="83"/>
      <c r="AD605" s="83"/>
    </row>
    <row r="606">
      <c r="A606" s="447"/>
      <c r="B606" s="448"/>
      <c r="C606" s="448"/>
      <c r="D606" s="448"/>
      <c r="E606" s="448"/>
      <c r="F606" s="448"/>
      <c r="G606" s="448"/>
      <c r="H606" s="448"/>
      <c r="I606" s="448"/>
      <c r="J606" s="448"/>
      <c r="K606" s="449"/>
      <c r="L606" s="448"/>
      <c r="M606" s="450"/>
      <c r="N606" s="451"/>
      <c r="O606" s="451"/>
      <c r="P606" s="451"/>
      <c r="Q606" s="448"/>
      <c r="R606" s="83"/>
      <c r="S606" s="83"/>
      <c r="T606" s="83"/>
      <c r="U606" s="83"/>
      <c r="V606" s="83"/>
      <c r="W606" s="83"/>
      <c r="X606" s="83"/>
      <c r="Y606" s="83"/>
      <c r="Z606" s="83"/>
      <c r="AA606" s="83"/>
      <c r="AB606" s="83"/>
      <c r="AC606" s="83"/>
      <c r="AD606" s="83"/>
    </row>
    <row r="607">
      <c r="A607" s="447"/>
      <c r="B607" s="448"/>
      <c r="C607" s="448"/>
      <c r="D607" s="448"/>
      <c r="E607" s="448"/>
      <c r="F607" s="448"/>
      <c r="G607" s="448"/>
      <c r="H607" s="448"/>
      <c r="I607" s="448"/>
      <c r="J607" s="448"/>
      <c r="K607" s="449"/>
      <c r="L607" s="448"/>
      <c r="M607" s="450"/>
      <c r="N607" s="451"/>
      <c r="O607" s="451"/>
      <c r="P607" s="451"/>
      <c r="Q607" s="448"/>
      <c r="R607" s="83"/>
      <c r="S607" s="83"/>
      <c r="T607" s="83"/>
      <c r="U607" s="83"/>
      <c r="V607" s="83"/>
      <c r="W607" s="83"/>
      <c r="X607" s="83"/>
      <c r="Y607" s="83"/>
      <c r="Z607" s="83"/>
      <c r="AA607" s="83"/>
      <c r="AB607" s="83"/>
      <c r="AC607" s="83"/>
      <c r="AD607" s="83"/>
    </row>
    <row r="608">
      <c r="A608" s="447"/>
      <c r="B608" s="448"/>
      <c r="C608" s="448"/>
      <c r="D608" s="448"/>
      <c r="E608" s="448"/>
      <c r="F608" s="448"/>
      <c r="G608" s="448"/>
      <c r="H608" s="448"/>
      <c r="I608" s="448"/>
      <c r="J608" s="448"/>
      <c r="K608" s="449"/>
      <c r="L608" s="448"/>
      <c r="M608" s="450"/>
      <c r="N608" s="451"/>
      <c r="O608" s="451"/>
      <c r="P608" s="451"/>
      <c r="Q608" s="448"/>
      <c r="R608" s="83"/>
      <c r="S608" s="83"/>
      <c r="T608" s="83"/>
      <c r="U608" s="83"/>
      <c r="V608" s="83"/>
      <c r="W608" s="83"/>
      <c r="X608" s="83"/>
      <c r="Y608" s="83"/>
      <c r="Z608" s="83"/>
      <c r="AA608" s="83"/>
      <c r="AB608" s="83"/>
      <c r="AC608" s="83"/>
      <c r="AD608" s="83"/>
    </row>
    <row r="609">
      <c r="A609" s="447"/>
      <c r="B609" s="448"/>
      <c r="C609" s="448"/>
      <c r="D609" s="448"/>
      <c r="E609" s="448"/>
      <c r="F609" s="448"/>
      <c r="G609" s="448"/>
      <c r="H609" s="448"/>
      <c r="I609" s="448"/>
      <c r="J609" s="448"/>
      <c r="K609" s="449"/>
      <c r="L609" s="448"/>
      <c r="M609" s="450"/>
      <c r="N609" s="451"/>
      <c r="O609" s="451"/>
      <c r="P609" s="451"/>
      <c r="Q609" s="448"/>
      <c r="R609" s="83"/>
      <c r="S609" s="83"/>
      <c r="T609" s="83"/>
      <c r="U609" s="83"/>
      <c r="V609" s="83"/>
      <c r="W609" s="83"/>
      <c r="X609" s="83"/>
      <c r="Y609" s="83"/>
      <c r="Z609" s="83"/>
      <c r="AA609" s="83"/>
      <c r="AB609" s="83"/>
      <c r="AC609" s="83"/>
      <c r="AD609" s="83"/>
    </row>
    <row r="610">
      <c r="A610" s="447"/>
      <c r="B610" s="448"/>
      <c r="C610" s="448"/>
      <c r="D610" s="448"/>
      <c r="E610" s="448"/>
      <c r="F610" s="448"/>
      <c r="G610" s="448"/>
      <c r="H610" s="448"/>
      <c r="I610" s="448"/>
      <c r="J610" s="448"/>
      <c r="K610" s="449"/>
      <c r="L610" s="448"/>
      <c r="M610" s="450"/>
      <c r="N610" s="451"/>
      <c r="O610" s="451"/>
      <c r="P610" s="451"/>
      <c r="Q610" s="448"/>
      <c r="R610" s="83"/>
      <c r="S610" s="83"/>
      <c r="T610" s="83"/>
      <c r="U610" s="83"/>
      <c r="V610" s="83"/>
      <c r="W610" s="83"/>
      <c r="X610" s="83"/>
      <c r="Y610" s="83"/>
      <c r="Z610" s="83"/>
      <c r="AA610" s="83"/>
      <c r="AB610" s="83"/>
      <c r="AC610" s="83"/>
      <c r="AD610" s="83"/>
    </row>
    <row r="611">
      <c r="A611" s="447"/>
      <c r="B611" s="448"/>
      <c r="C611" s="448"/>
      <c r="D611" s="448"/>
      <c r="E611" s="448"/>
      <c r="F611" s="448"/>
      <c r="G611" s="448"/>
      <c r="H611" s="448"/>
      <c r="I611" s="448"/>
      <c r="J611" s="448"/>
      <c r="K611" s="449"/>
      <c r="L611" s="448"/>
      <c r="M611" s="450"/>
      <c r="N611" s="451"/>
      <c r="O611" s="451"/>
      <c r="P611" s="451"/>
      <c r="Q611" s="448"/>
      <c r="R611" s="83"/>
      <c r="S611" s="83"/>
      <c r="T611" s="83"/>
      <c r="U611" s="83"/>
      <c r="V611" s="83"/>
      <c r="W611" s="83"/>
      <c r="X611" s="83"/>
      <c r="Y611" s="83"/>
      <c r="Z611" s="83"/>
      <c r="AA611" s="83"/>
      <c r="AB611" s="83"/>
      <c r="AC611" s="83"/>
      <c r="AD611" s="83"/>
    </row>
    <row r="612">
      <c r="A612" s="447"/>
      <c r="B612" s="448"/>
      <c r="C612" s="448"/>
      <c r="D612" s="448"/>
      <c r="E612" s="448"/>
      <c r="F612" s="448"/>
      <c r="G612" s="448"/>
      <c r="H612" s="448"/>
      <c r="I612" s="448"/>
      <c r="J612" s="448"/>
      <c r="K612" s="449"/>
      <c r="L612" s="448"/>
      <c r="M612" s="450"/>
      <c r="N612" s="451"/>
      <c r="O612" s="451"/>
      <c r="P612" s="451"/>
      <c r="Q612" s="448"/>
      <c r="R612" s="83"/>
      <c r="S612" s="83"/>
      <c r="T612" s="83"/>
      <c r="U612" s="83"/>
      <c r="V612" s="83"/>
      <c r="W612" s="83"/>
      <c r="X612" s="83"/>
      <c r="Y612" s="83"/>
      <c r="Z612" s="83"/>
      <c r="AA612" s="83"/>
      <c r="AB612" s="83"/>
      <c r="AC612" s="83"/>
      <c r="AD612" s="83"/>
    </row>
    <row r="613">
      <c r="A613" s="447"/>
      <c r="B613" s="448"/>
      <c r="C613" s="448"/>
      <c r="D613" s="448"/>
      <c r="E613" s="448"/>
      <c r="F613" s="448"/>
      <c r="G613" s="448"/>
      <c r="H613" s="448"/>
      <c r="I613" s="448"/>
      <c r="J613" s="448"/>
      <c r="K613" s="449"/>
      <c r="L613" s="448"/>
      <c r="M613" s="450"/>
      <c r="N613" s="451"/>
      <c r="O613" s="451"/>
      <c r="P613" s="451"/>
      <c r="Q613" s="448"/>
      <c r="R613" s="83"/>
      <c r="S613" s="83"/>
      <c r="T613" s="83"/>
      <c r="U613" s="83"/>
      <c r="V613" s="83"/>
      <c r="W613" s="83"/>
      <c r="X613" s="83"/>
      <c r="Y613" s="83"/>
      <c r="Z613" s="83"/>
      <c r="AA613" s="83"/>
      <c r="AB613" s="83"/>
      <c r="AC613" s="83"/>
      <c r="AD613" s="83"/>
    </row>
    <row r="614">
      <c r="A614" s="447"/>
      <c r="B614" s="448"/>
      <c r="C614" s="448"/>
      <c r="D614" s="448"/>
      <c r="E614" s="448"/>
      <c r="F614" s="448"/>
      <c r="G614" s="448"/>
      <c r="H614" s="448"/>
      <c r="I614" s="448"/>
      <c r="J614" s="448"/>
      <c r="K614" s="449"/>
      <c r="L614" s="448"/>
      <c r="M614" s="450"/>
      <c r="N614" s="451"/>
      <c r="O614" s="451"/>
      <c r="P614" s="451"/>
      <c r="Q614" s="448"/>
      <c r="R614" s="83"/>
      <c r="S614" s="83"/>
      <c r="T614" s="83"/>
      <c r="U614" s="83"/>
      <c r="V614" s="83"/>
      <c r="W614" s="83"/>
      <c r="X614" s="83"/>
      <c r="Y614" s="83"/>
      <c r="Z614" s="83"/>
      <c r="AA614" s="83"/>
      <c r="AB614" s="83"/>
      <c r="AC614" s="83"/>
      <c r="AD614" s="83"/>
    </row>
    <row r="615">
      <c r="A615" s="447"/>
      <c r="B615" s="448"/>
      <c r="C615" s="448"/>
      <c r="D615" s="448"/>
      <c r="E615" s="448"/>
      <c r="F615" s="448"/>
      <c r="G615" s="448"/>
      <c r="H615" s="448"/>
      <c r="I615" s="448"/>
      <c r="J615" s="448"/>
      <c r="K615" s="449"/>
      <c r="L615" s="448"/>
      <c r="M615" s="450"/>
      <c r="N615" s="451"/>
      <c r="O615" s="451"/>
      <c r="P615" s="451"/>
      <c r="Q615" s="448"/>
      <c r="R615" s="83"/>
      <c r="S615" s="83"/>
      <c r="T615" s="83"/>
      <c r="U615" s="83"/>
      <c r="V615" s="83"/>
      <c r="W615" s="83"/>
      <c r="X615" s="83"/>
      <c r="Y615" s="83"/>
      <c r="Z615" s="83"/>
      <c r="AA615" s="83"/>
      <c r="AB615" s="83"/>
      <c r="AC615" s="83"/>
      <c r="AD615" s="83"/>
    </row>
    <row r="616">
      <c r="A616" s="447"/>
      <c r="B616" s="448"/>
      <c r="C616" s="448"/>
      <c r="D616" s="448"/>
      <c r="E616" s="448"/>
      <c r="F616" s="448"/>
      <c r="G616" s="448"/>
      <c r="H616" s="448"/>
      <c r="I616" s="448"/>
      <c r="J616" s="448"/>
      <c r="K616" s="449"/>
      <c r="L616" s="448"/>
      <c r="M616" s="450"/>
      <c r="N616" s="451"/>
      <c r="O616" s="451"/>
      <c r="P616" s="451"/>
      <c r="Q616" s="448"/>
      <c r="R616" s="83"/>
      <c r="S616" s="83"/>
      <c r="T616" s="83"/>
      <c r="U616" s="83"/>
      <c r="V616" s="83"/>
      <c r="W616" s="83"/>
      <c r="X616" s="83"/>
      <c r="Y616" s="83"/>
      <c r="Z616" s="83"/>
      <c r="AA616" s="83"/>
      <c r="AB616" s="83"/>
      <c r="AC616" s="83"/>
      <c r="AD616" s="83"/>
    </row>
    <row r="617">
      <c r="A617" s="447"/>
      <c r="B617" s="448"/>
      <c r="C617" s="448"/>
      <c r="D617" s="448"/>
      <c r="E617" s="448"/>
      <c r="F617" s="448"/>
      <c r="G617" s="448"/>
      <c r="H617" s="448"/>
      <c r="I617" s="448"/>
      <c r="J617" s="448"/>
      <c r="K617" s="449"/>
      <c r="L617" s="448"/>
      <c r="M617" s="450"/>
      <c r="N617" s="451"/>
      <c r="O617" s="451"/>
      <c r="P617" s="451"/>
      <c r="Q617" s="448"/>
      <c r="R617" s="83"/>
      <c r="S617" s="83"/>
      <c r="T617" s="83"/>
      <c r="U617" s="83"/>
      <c r="V617" s="83"/>
      <c r="W617" s="83"/>
      <c r="X617" s="83"/>
      <c r="Y617" s="83"/>
      <c r="Z617" s="83"/>
      <c r="AA617" s="83"/>
      <c r="AB617" s="83"/>
      <c r="AC617" s="83"/>
      <c r="AD617" s="83"/>
    </row>
    <row r="618">
      <c r="A618" s="447"/>
      <c r="B618" s="448"/>
      <c r="C618" s="448"/>
      <c r="D618" s="448"/>
      <c r="E618" s="448"/>
      <c r="F618" s="448"/>
      <c r="G618" s="448"/>
      <c r="H618" s="448"/>
      <c r="I618" s="448"/>
      <c r="J618" s="448"/>
      <c r="K618" s="449"/>
      <c r="L618" s="448"/>
      <c r="M618" s="450"/>
      <c r="N618" s="451"/>
      <c r="O618" s="451"/>
      <c r="P618" s="451"/>
      <c r="Q618" s="448"/>
      <c r="R618" s="83"/>
      <c r="S618" s="83"/>
      <c r="T618" s="83"/>
      <c r="U618" s="83"/>
      <c r="V618" s="83"/>
      <c r="W618" s="83"/>
      <c r="X618" s="83"/>
      <c r="Y618" s="83"/>
      <c r="Z618" s="83"/>
      <c r="AA618" s="83"/>
      <c r="AB618" s="83"/>
      <c r="AC618" s="83"/>
      <c r="AD618" s="83"/>
    </row>
    <row r="619">
      <c r="A619" s="447"/>
      <c r="B619" s="448"/>
      <c r="C619" s="448"/>
      <c r="D619" s="448"/>
      <c r="E619" s="448"/>
      <c r="F619" s="448"/>
      <c r="G619" s="448"/>
      <c r="H619" s="448"/>
      <c r="I619" s="448"/>
      <c r="J619" s="448"/>
      <c r="K619" s="449"/>
      <c r="L619" s="448"/>
      <c r="M619" s="450"/>
      <c r="N619" s="451"/>
      <c r="O619" s="451"/>
      <c r="P619" s="451"/>
      <c r="Q619" s="448"/>
      <c r="R619" s="83"/>
      <c r="S619" s="83"/>
      <c r="T619" s="83"/>
      <c r="U619" s="83"/>
      <c r="V619" s="83"/>
      <c r="W619" s="83"/>
      <c r="X619" s="83"/>
      <c r="Y619" s="83"/>
      <c r="Z619" s="83"/>
      <c r="AA619" s="83"/>
      <c r="AB619" s="83"/>
      <c r="AC619" s="83"/>
      <c r="AD619" s="83"/>
    </row>
    <row r="620">
      <c r="A620" s="447"/>
      <c r="B620" s="448"/>
      <c r="C620" s="448"/>
      <c r="D620" s="448"/>
      <c r="E620" s="448"/>
      <c r="F620" s="448"/>
      <c r="G620" s="448"/>
      <c r="H620" s="448"/>
      <c r="I620" s="448"/>
      <c r="J620" s="448"/>
      <c r="K620" s="449"/>
      <c r="L620" s="448"/>
      <c r="M620" s="450"/>
      <c r="N620" s="451"/>
      <c r="O620" s="451"/>
      <c r="P620" s="451"/>
      <c r="Q620" s="448"/>
      <c r="R620" s="83"/>
      <c r="S620" s="83"/>
      <c r="T620" s="83"/>
      <c r="U620" s="83"/>
      <c r="V620" s="83"/>
      <c r="W620" s="83"/>
      <c r="X620" s="83"/>
      <c r="Y620" s="83"/>
      <c r="Z620" s="83"/>
      <c r="AA620" s="83"/>
      <c r="AB620" s="83"/>
      <c r="AC620" s="83"/>
      <c r="AD620" s="83"/>
    </row>
    <row r="621">
      <c r="A621" s="447"/>
      <c r="B621" s="448"/>
      <c r="C621" s="448"/>
      <c r="D621" s="448"/>
      <c r="E621" s="448"/>
      <c r="F621" s="448"/>
      <c r="G621" s="448"/>
      <c r="H621" s="448"/>
      <c r="I621" s="448"/>
      <c r="J621" s="448"/>
      <c r="K621" s="449"/>
      <c r="L621" s="448"/>
      <c r="M621" s="450"/>
      <c r="N621" s="451"/>
      <c r="O621" s="451"/>
      <c r="P621" s="451"/>
      <c r="Q621" s="448"/>
      <c r="R621" s="83"/>
      <c r="S621" s="83"/>
      <c r="T621" s="83"/>
      <c r="U621" s="83"/>
      <c r="V621" s="83"/>
      <c r="W621" s="83"/>
      <c r="X621" s="83"/>
      <c r="Y621" s="83"/>
      <c r="Z621" s="83"/>
      <c r="AA621" s="83"/>
      <c r="AB621" s="83"/>
      <c r="AC621" s="83"/>
      <c r="AD621" s="83"/>
    </row>
    <row r="622">
      <c r="A622" s="447"/>
      <c r="B622" s="448"/>
      <c r="C622" s="448"/>
      <c r="D622" s="448"/>
      <c r="E622" s="448"/>
      <c r="F622" s="448"/>
      <c r="G622" s="448"/>
      <c r="H622" s="448"/>
      <c r="I622" s="448"/>
      <c r="J622" s="448"/>
      <c r="K622" s="449"/>
      <c r="L622" s="448"/>
      <c r="M622" s="450"/>
      <c r="N622" s="451"/>
      <c r="O622" s="451"/>
      <c r="P622" s="451"/>
      <c r="Q622" s="448"/>
      <c r="R622" s="83"/>
      <c r="S622" s="83"/>
      <c r="T622" s="83"/>
      <c r="U622" s="83"/>
      <c r="V622" s="83"/>
      <c r="W622" s="83"/>
      <c r="X622" s="83"/>
      <c r="Y622" s="83"/>
      <c r="Z622" s="83"/>
      <c r="AA622" s="83"/>
      <c r="AB622" s="83"/>
      <c r="AC622" s="83"/>
      <c r="AD622" s="83"/>
    </row>
    <row r="623">
      <c r="A623" s="447"/>
      <c r="B623" s="448"/>
      <c r="C623" s="448"/>
      <c r="D623" s="448"/>
      <c r="E623" s="448"/>
      <c r="F623" s="448"/>
      <c r="G623" s="448"/>
      <c r="H623" s="448"/>
      <c r="I623" s="448"/>
      <c r="J623" s="448"/>
      <c r="K623" s="449"/>
      <c r="L623" s="448"/>
      <c r="M623" s="450"/>
      <c r="N623" s="451"/>
      <c r="O623" s="451"/>
      <c r="P623" s="451"/>
      <c r="Q623" s="448"/>
      <c r="R623" s="83"/>
      <c r="S623" s="83"/>
      <c r="T623" s="83"/>
      <c r="U623" s="83"/>
      <c r="V623" s="83"/>
      <c r="W623" s="83"/>
      <c r="X623" s="83"/>
      <c r="Y623" s="83"/>
      <c r="Z623" s="83"/>
      <c r="AA623" s="83"/>
      <c r="AB623" s="83"/>
      <c r="AC623" s="83"/>
      <c r="AD623" s="83"/>
    </row>
    <row r="624">
      <c r="A624" s="447"/>
      <c r="B624" s="448"/>
      <c r="C624" s="448"/>
      <c r="D624" s="448"/>
      <c r="E624" s="448"/>
      <c r="F624" s="448"/>
      <c r="G624" s="448"/>
      <c r="H624" s="448"/>
      <c r="I624" s="448"/>
      <c r="J624" s="448"/>
      <c r="K624" s="449"/>
      <c r="L624" s="448"/>
      <c r="M624" s="450"/>
      <c r="N624" s="451"/>
      <c r="O624" s="451"/>
      <c r="P624" s="451"/>
      <c r="Q624" s="448"/>
      <c r="R624" s="83"/>
      <c r="S624" s="83"/>
      <c r="T624" s="83"/>
      <c r="U624" s="83"/>
      <c r="V624" s="83"/>
      <c r="W624" s="83"/>
      <c r="X624" s="83"/>
      <c r="Y624" s="83"/>
      <c r="Z624" s="83"/>
      <c r="AA624" s="83"/>
      <c r="AB624" s="83"/>
      <c r="AC624" s="83"/>
      <c r="AD624" s="83"/>
    </row>
    <row r="625">
      <c r="A625" s="447"/>
      <c r="B625" s="448"/>
      <c r="C625" s="448"/>
      <c r="D625" s="448"/>
      <c r="E625" s="448"/>
      <c r="F625" s="448"/>
      <c r="G625" s="448"/>
      <c r="H625" s="448"/>
      <c r="I625" s="448"/>
      <c r="J625" s="448"/>
      <c r="K625" s="449"/>
      <c r="L625" s="448"/>
      <c r="M625" s="450"/>
      <c r="N625" s="451"/>
      <c r="O625" s="451"/>
      <c r="P625" s="451"/>
      <c r="Q625" s="448"/>
      <c r="R625" s="83"/>
      <c r="S625" s="83"/>
      <c r="T625" s="83"/>
      <c r="U625" s="83"/>
      <c r="V625" s="83"/>
      <c r="W625" s="83"/>
      <c r="X625" s="83"/>
      <c r="Y625" s="83"/>
      <c r="Z625" s="83"/>
      <c r="AA625" s="83"/>
      <c r="AB625" s="83"/>
      <c r="AC625" s="83"/>
      <c r="AD625" s="83"/>
    </row>
    <row r="626">
      <c r="A626" s="447"/>
      <c r="B626" s="448"/>
      <c r="C626" s="448"/>
      <c r="D626" s="448"/>
      <c r="E626" s="448"/>
      <c r="F626" s="448"/>
      <c r="G626" s="448"/>
      <c r="H626" s="448"/>
      <c r="I626" s="448"/>
      <c r="J626" s="448"/>
      <c r="K626" s="449"/>
      <c r="L626" s="448"/>
      <c r="M626" s="450"/>
      <c r="N626" s="451"/>
      <c r="O626" s="451"/>
      <c r="P626" s="451"/>
      <c r="Q626" s="448"/>
      <c r="R626" s="83"/>
      <c r="S626" s="83"/>
      <c r="T626" s="83"/>
      <c r="U626" s="83"/>
      <c r="V626" s="83"/>
      <c r="W626" s="83"/>
      <c r="X626" s="83"/>
      <c r="Y626" s="83"/>
      <c r="Z626" s="83"/>
      <c r="AA626" s="83"/>
      <c r="AB626" s="83"/>
      <c r="AC626" s="83"/>
      <c r="AD626" s="83"/>
    </row>
    <row r="627">
      <c r="A627" s="447"/>
      <c r="B627" s="448"/>
      <c r="C627" s="448"/>
      <c r="D627" s="448"/>
      <c r="E627" s="448"/>
      <c r="F627" s="448"/>
      <c r="G627" s="448"/>
      <c r="H627" s="448"/>
      <c r="I627" s="448"/>
      <c r="J627" s="448"/>
      <c r="K627" s="449"/>
      <c r="L627" s="448"/>
      <c r="M627" s="450"/>
      <c r="N627" s="451"/>
      <c r="O627" s="451"/>
      <c r="P627" s="451"/>
      <c r="Q627" s="448"/>
      <c r="R627" s="83"/>
      <c r="S627" s="83"/>
      <c r="T627" s="83"/>
      <c r="U627" s="83"/>
      <c r="V627" s="83"/>
      <c r="W627" s="83"/>
      <c r="X627" s="83"/>
      <c r="Y627" s="83"/>
      <c r="Z627" s="83"/>
      <c r="AA627" s="83"/>
      <c r="AB627" s="83"/>
      <c r="AC627" s="83"/>
      <c r="AD627" s="83"/>
    </row>
    <row r="628">
      <c r="A628" s="447"/>
      <c r="B628" s="448"/>
      <c r="C628" s="448"/>
      <c r="D628" s="448"/>
      <c r="E628" s="448"/>
      <c r="F628" s="448"/>
      <c r="G628" s="448"/>
      <c r="H628" s="448"/>
      <c r="I628" s="448"/>
      <c r="J628" s="448"/>
      <c r="K628" s="449"/>
      <c r="L628" s="448"/>
      <c r="M628" s="450"/>
      <c r="N628" s="451"/>
      <c r="O628" s="451"/>
      <c r="P628" s="451"/>
      <c r="Q628" s="448"/>
      <c r="R628" s="83"/>
      <c r="S628" s="83"/>
      <c r="T628" s="83"/>
      <c r="U628" s="83"/>
      <c r="V628" s="83"/>
      <c r="W628" s="83"/>
      <c r="X628" s="83"/>
      <c r="Y628" s="83"/>
      <c r="Z628" s="83"/>
      <c r="AA628" s="83"/>
      <c r="AB628" s="83"/>
      <c r="AC628" s="83"/>
      <c r="AD628" s="83"/>
    </row>
    <row r="629">
      <c r="A629" s="447"/>
      <c r="B629" s="448"/>
      <c r="C629" s="448"/>
      <c r="D629" s="448"/>
      <c r="E629" s="448"/>
      <c r="F629" s="448"/>
      <c r="G629" s="448"/>
      <c r="H629" s="448"/>
      <c r="I629" s="448"/>
      <c r="J629" s="448"/>
      <c r="K629" s="449"/>
      <c r="L629" s="448"/>
      <c r="M629" s="450"/>
      <c r="N629" s="451"/>
      <c r="O629" s="451"/>
      <c r="P629" s="451"/>
      <c r="Q629" s="448"/>
      <c r="R629" s="83"/>
      <c r="S629" s="83"/>
      <c r="T629" s="83"/>
      <c r="U629" s="83"/>
      <c r="V629" s="83"/>
      <c r="W629" s="83"/>
      <c r="X629" s="83"/>
      <c r="Y629" s="83"/>
      <c r="Z629" s="83"/>
      <c r="AA629" s="83"/>
      <c r="AB629" s="83"/>
      <c r="AC629" s="83"/>
      <c r="AD629" s="83"/>
    </row>
    <row r="630">
      <c r="A630" s="447"/>
      <c r="B630" s="448"/>
      <c r="C630" s="448"/>
      <c r="D630" s="448"/>
      <c r="E630" s="448"/>
      <c r="F630" s="448"/>
      <c r="G630" s="448"/>
      <c r="H630" s="448"/>
      <c r="I630" s="448"/>
      <c r="J630" s="448"/>
      <c r="K630" s="449"/>
      <c r="L630" s="448"/>
      <c r="M630" s="450"/>
      <c r="N630" s="451"/>
      <c r="O630" s="451"/>
      <c r="P630" s="451"/>
      <c r="Q630" s="448"/>
      <c r="R630" s="83"/>
      <c r="S630" s="83"/>
      <c r="T630" s="83"/>
      <c r="U630" s="83"/>
      <c r="V630" s="83"/>
      <c r="W630" s="83"/>
      <c r="X630" s="83"/>
      <c r="Y630" s="83"/>
      <c r="Z630" s="83"/>
      <c r="AA630" s="83"/>
      <c r="AB630" s="83"/>
      <c r="AC630" s="83"/>
      <c r="AD630" s="83"/>
    </row>
    <row r="631">
      <c r="A631" s="447"/>
      <c r="B631" s="448"/>
      <c r="C631" s="448"/>
      <c r="D631" s="448"/>
      <c r="E631" s="448"/>
      <c r="F631" s="448"/>
      <c r="G631" s="448"/>
      <c r="H631" s="448"/>
      <c r="I631" s="448"/>
      <c r="J631" s="448"/>
      <c r="K631" s="449"/>
      <c r="L631" s="448"/>
      <c r="M631" s="450"/>
      <c r="N631" s="451"/>
      <c r="O631" s="451"/>
      <c r="P631" s="451"/>
      <c r="Q631" s="448"/>
      <c r="R631" s="83"/>
      <c r="S631" s="83"/>
      <c r="T631" s="83"/>
      <c r="U631" s="83"/>
      <c r="V631" s="83"/>
      <c r="W631" s="83"/>
      <c r="X631" s="83"/>
      <c r="Y631" s="83"/>
      <c r="Z631" s="83"/>
      <c r="AA631" s="83"/>
      <c r="AB631" s="83"/>
      <c r="AC631" s="83"/>
      <c r="AD631" s="83"/>
    </row>
    <row r="632">
      <c r="A632" s="447"/>
      <c r="B632" s="448"/>
      <c r="C632" s="448"/>
      <c r="D632" s="448"/>
      <c r="E632" s="448"/>
      <c r="F632" s="448"/>
      <c r="G632" s="448"/>
      <c r="H632" s="448"/>
      <c r="I632" s="448"/>
      <c r="J632" s="448"/>
      <c r="K632" s="449"/>
      <c r="L632" s="448"/>
      <c r="M632" s="450"/>
      <c r="N632" s="451"/>
      <c r="O632" s="451"/>
      <c r="P632" s="451"/>
      <c r="Q632" s="448"/>
      <c r="R632" s="83"/>
      <c r="S632" s="83"/>
      <c r="T632" s="83"/>
      <c r="U632" s="83"/>
      <c r="V632" s="83"/>
      <c r="W632" s="83"/>
      <c r="X632" s="83"/>
      <c r="Y632" s="83"/>
      <c r="Z632" s="83"/>
      <c r="AA632" s="83"/>
      <c r="AB632" s="83"/>
      <c r="AC632" s="83"/>
      <c r="AD632" s="83"/>
    </row>
    <row r="633">
      <c r="A633" s="447"/>
      <c r="B633" s="448"/>
      <c r="C633" s="448"/>
      <c r="D633" s="448"/>
      <c r="E633" s="448"/>
      <c r="F633" s="448"/>
      <c r="G633" s="448"/>
      <c r="H633" s="448"/>
      <c r="I633" s="448"/>
      <c r="J633" s="448"/>
      <c r="K633" s="449"/>
      <c r="L633" s="448"/>
      <c r="M633" s="450"/>
      <c r="N633" s="451"/>
      <c r="O633" s="451"/>
      <c r="P633" s="451"/>
      <c r="Q633" s="448"/>
      <c r="R633" s="83"/>
      <c r="S633" s="83"/>
      <c r="T633" s="83"/>
      <c r="U633" s="83"/>
      <c r="V633" s="83"/>
      <c r="W633" s="83"/>
      <c r="X633" s="83"/>
      <c r="Y633" s="83"/>
      <c r="Z633" s="83"/>
      <c r="AA633" s="83"/>
      <c r="AB633" s="83"/>
      <c r="AC633" s="83"/>
      <c r="AD633" s="83"/>
    </row>
    <row r="634">
      <c r="A634" s="447"/>
      <c r="B634" s="448"/>
      <c r="C634" s="448"/>
      <c r="D634" s="448"/>
      <c r="E634" s="448"/>
      <c r="F634" s="448"/>
      <c r="G634" s="448"/>
      <c r="H634" s="448"/>
      <c r="I634" s="448"/>
      <c r="J634" s="448"/>
      <c r="K634" s="449"/>
      <c r="L634" s="448"/>
      <c r="M634" s="450"/>
      <c r="N634" s="451"/>
      <c r="O634" s="451"/>
      <c r="P634" s="451"/>
      <c r="Q634" s="448"/>
      <c r="R634" s="83"/>
      <c r="S634" s="83"/>
      <c r="T634" s="83"/>
      <c r="U634" s="83"/>
      <c r="V634" s="83"/>
      <c r="W634" s="83"/>
      <c r="X634" s="83"/>
      <c r="Y634" s="83"/>
      <c r="Z634" s="83"/>
      <c r="AA634" s="83"/>
      <c r="AB634" s="83"/>
      <c r="AC634" s="83"/>
      <c r="AD634" s="83"/>
    </row>
    <row r="635">
      <c r="A635" s="447"/>
      <c r="B635" s="448"/>
      <c r="C635" s="448"/>
      <c r="D635" s="448"/>
      <c r="E635" s="448"/>
      <c r="F635" s="448"/>
      <c r="G635" s="448"/>
      <c r="H635" s="448"/>
      <c r="I635" s="448"/>
      <c r="J635" s="448"/>
      <c r="K635" s="449"/>
      <c r="L635" s="448"/>
      <c r="M635" s="450"/>
      <c r="N635" s="451"/>
      <c r="O635" s="451"/>
      <c r="P635" s="451"/>
      <c r="Q635" s="448"/>
      <c r="R635" s="83"/>
      <c r="S635" s="83"/>
      <c r="T635" s="83"/>
      <c r="U635" s="83"/>
      <c r="V635" s="83"/>
      <c r="W635" s="83"/>
      <c r="X635" s="83"/>
      <c r="Y635" s="83"/>
      <c r="Z635" s="83"/>
      <c r="AA635" s="83"/>
      <c r="AB635" s="83"/>
      <c r="AC635" s="83"/>
      <c r="AD635" s="83"/>
    </row>
    <row r="636">
      <c r="A636" s="447"/>
      <c r="B636" s="448"/>
      <c r="C636" s="448"/>
      <c r="D636" s="448"/>
      <c r="E636" s="448"/>
      <c r="F636" s="448"/>
      <c r="G636" s="448"/>
      <c r="H636" s="448"/>
      <c r="I636" s="448"/>
      <c r="J636" s="448"/>
      <c r="K636" s="449"/>
      <c r="L636" s="448"/>
      <c r="M636" s="450"/>
      <c r="N636" s="451"/>
      <c r="O636" s="451"/>
      <c r="P636" s="451"/>
      <c r="Q636" s="448"/>
      <c r="R636" s="83"/>
      <c r="S636" s="83"/>
      <c r="T636" s="83"/>
      <c r="U636" s="83"/>
      <c r="V636" s="83"/>
      <c r="W636" s="83"/>
      <c r="X636" s="83"/>
      <c r="Y636" s="83"/>
      <c r="Z636" s="83"/>
      <c r="AA636" s="83"/>
      <c r="AB636" s="83"/>
      <c r="AC636" s="83"/>
      <c r="AD636" s="83"/>
    </row>
    <row r="637">
      <c r="A637" s="447"/>
      <c r="B637" s="448"/>
      <c r="C637" s="448"/>
      <c r="D637" s="448"/>
      <c r="E637" s="448"/>
      <c r="F637" s="448"/>
      <c r="G637" s="448"/>
      <c r="H637" s="448"/>
      <c r="I637" s="448"/>
      <c r="J637" s="448"/>
      <c r="K637" s="449"/>
      <c r="L637" s="448"/>
      <c r="M637" s="450"/>
      <c r="N637" s="451"/>
      <c r="O637" s="451"/>
      <c r="P637" s="451"/>
      <c r="Q637" s="448"/>
      <c r="R637" s="83"/>
      <c r="S637" s="83"/>
      <c r="T637" s="83"/>
      <c r="U637" s="83"/>
      <c r="V637" s="83"/>
      <c r="W637" s="83"/>
      <c r="X637" s="83"/>
      <c r="Y637" s="83"/>
      <c r="Z637" s="83"/>
      <c r="AA637" s="83"/>
      <c r="AB637" s="83"/>
      <c r="AC637" s="83"/>
      <c r="AD637" s="83"/>
    </row>
    <row r="638">
      <c r="A638" s="447"/>
      <c r="B638" s="448"/>
      <c r="C638" s="448"/>
      <c r="D638" s="448"/>
      <c r="E638" s="448"/>
      <c r="F638" s="448"/>
      <c r="G638" s="448"/>
      <c r="H638" s="448"/>
      <c r="I638" s="448"/>
      <c r="J638" s="448"/>
      <c r="K638" s="449"/>
      <c r="L638" s="448"/>
      <c r="M638" s="450"/>
      <c r="N638" s="451"/>
      <c r="O638" s="451"/>
      <c r="P638" s="451"/>
      <c r="Q638" s="448"/>
      <c r="R638" s="83"/>
      <c r="S638" s="83"/>
      <c r="T638" s="83"/>
      <c r="U638" s="83"/>
      <c r="V638" s="83"/>
      <c r="W638" s="83"/>
      <c r="X638" s="83"/>
      <c r="Y638" s="83"/>
      <c r="Z638" s="83"/>
      <c r="AA638" s="83"/>
      <c r="AB638" s="83"/>
      <c r="AC638" s="83"/>
      <c r="AD638" s="83"/>
    </row>
    <row r="639">
      <c r="A639" s="447"/>
      <c r="B639" s="448"/>
      <c r="C639" s="448"/>
      <c r="D639" s="448"/>
      <c r="E639" s="448"/>
      <c r="F639" s="448"/>
      <c r="G639" s="448"/>
      <c r="H639" s="448"/>
      <c r="I639" s="448"/>
      <c r="J639" s="448"/>
      <c r="K639" s="449"/>
      <c r="L639" s="448"/>
      <c r="M639" s="450"/>
      <c r="N639" s="451"/>
      <c r="O639" s="451"/>
      <c r="P639" s="451"/>
      <c r="Q639" s="448"/>
      <c r="R639" s="83"/>
      <c r="S639" s="83"/>
      <c r="T639" s="83"/>
      <c r="U639" s="83"/>
      <c r="V639" s="83"/>
      <c r="W639" s="83"/>
      <c r="X639" s="83"/>
      <c r="Y639" s="83"/>
      <c r="Z639" s="83"/>
      <c r="AA639" s="83"/>
      <c r="AB639" s="83"/>
      <c r="AC639" s="83"/>
      <c r="AD639" s="83"/>
    </row>
    <row r="640">
      <c r="A640" s="447"/>
      <c r="B640" s="448"/>
      <c r="C640" s="448"/>
      <c r="D640" s="448"/>
      <c r="E640" s="448"/>
      <c r="F640" s="448"/>
      <c r="G640" s="448"/>
      <c r="H640" s="448"/>
      <c r="I640" s="448"/>
      <c r="J640" s="448"/>
      <c r="K640" s="449"/>
      <c r="L640" s="448"/>
      <c r="M640" s="450"/>
      <c r="N640" s="451"/>
      <c r="O640" s="451"/>
      <c r="P640" s="451"/>
      <c r="Q640" s="448"/>
      <c r="R640" s="83"/>
      <c r="S640" s="83"/>
      <c r="T640" s="83"/>
      <c r="U640" s="83"/>
      <c r="V640" s="83"/>
      <c r="W640" s="83"/>
      <c r="X640" s="83"/>
      <c r="Y640" s="83"/>
      <c r="Z640" s="83"/>
      <c r="AA640" s="83"/>
      <c r="AB640" s="83"/>
      <c r="AC640" s="83"/>
      <c r="AD640" s="83"/>
    </row>
    <row r="641">
      <c r="A641" s="447"/>
      <c r="B641" s="448"/>
      <c r="C641" s="448"/>
      <c r="D641" s="448"/>
      <c r="E641" s="448"/>
      <c r="F641" s="448"/>
      <c r="G641" s="448"/>
      <c r="H641" s="448"/>
      <c r="I641" s="448"/>
      <c r="J641" s="448"/>
      <c r="K641" s="449"/>
      <c r="L641" s="448"/>
      <c r="M641" s="450"/>
      <c r="N641" s="451"/>
      <c r="O641" s="451"/>
      <c r="P641" s="451"/>
      <c r="Q641" s="448"/>
      <c r="R641" s="83"/>
      <c r="S641" s="83"/>
      <c r="T641" s="83"/>
      <c r="U641" s="83"/>
      <c r="V641" s="83"/>
      <c r="W641" s="83"/>
      <c r="X641" s="83"/>
      <c r="Y641" s="83"/>
      <c r="Z641" s="83"/>
      <c r="AA641" s="83"/>
      <c r="AB641" s="83"/>
      <c r="AC641" s="83"/>
      <c r="AD641" s="83"/>
    </row>
    <row r="642">
      <c r="A642" s="447"/>
      <c r="B642" s="448"/>
      <c r="C642" s="448"/>
      <c r="D642" s="448"/>
      <c r="E642" s="448"/>
      <c r="F642" s="448"/>
      <c r="G642" s="448"/>
      <c r="H642" s="448"/>
      <c r="I642" s="448"/>
      <c r="J642" s="448"/>
      <c r="K642" s="449"/>
      <c r="L642" s="448"/>
      <c r="M642" s="450"/>
      <c r="N642" s="451"/>
      <c r="O642" s="451"/>
      <c r="P642" s="451"/>
      <c r="Q642" s="448"/>
      <c r="R642" s="83"/>
      <c r="S642" s="83"/>
      <c r="T642" s="83"/>
      <c r="U642" s="83"/>
      <c r="V642" s="83"/>
      <c r="W642" s="83"/>
      <c r="X642" s="83"/>
      <c r="Y642" s="83"/>
      <c r="Z642" s="83"/>
      <c r="AA642" s="83"/>
      <c r="AB642" s="83"/>
      <c r="AC642" s="83"/>
      <c r="AD642" s="83"/>
    </row>
    <row r="643">
      <c r="A643" s="447"/>
      <c r="B643" s="448"/>
      <c r="C643" s="448"/>
      <c r="D643" s="448"/>
      <c r="E643" s="448"/>
      <c r="F643" s="448"/>
      <c r="G643" s="448"/>
      <c r="H643" s="448"/>
      <c r="I643" s="448"/>
      <c r="J643" s="448"/>
      <c r="K643" s="449"/>
      <c r="L643" s="448"/>
      <c r="M643" s="450"/>
      <c r="N643" s="451"/>
      <c r="O643" s="451"/>
      <c r="P643" s="451"/>
      <c r="Q643" s="448"/>
      <c r="R643" s="83"/>
      <c r="S643" s="83"/>
      <c r="T643" s="83"/>
      <c r="U643" s="83"/>
      <c r="V643" s="83"/>
      <c r="W643" s="83"/>
      <c r="X643" s="83"/>
      <c r="Y643" s="83"/>
      <c r="Z643" s="83"/>
      <c r="AA643" s="83"/>
      <c r="AB643" s="83"/>
      <c r="AC643" s="83"/>
      <c r="AD643" s="83"/>
    </row>
    <row r="644">
      <c r="A644" s="447"/>
      <c r="B644" s="448"/>
      <c r="C644" s="448"/>
      <c r="D644" s="448"/>
      <c r="E644" s="448"/>
      <c r="F644" s="448"/>
      <c r="G644" s="448"/>
      <c r="H644" s="448"/>
      <c r="I644" s="448"/>
      <c r="J644" s="448"/>
      <c r="K644" s="449"/>
      <c r="L644" s="448"/>
      <c r="M644" s="450"/>
      <c r="N644" s="451"/>
      <c r="O644" s="451"/>
      <c r="P644" s="451"/>
      <c r="Q644" s="448"/>
      <c r="R644" s="83"/>
      <c r="S644" s="83"/>
      <c r="T644" s="83"/>
      <c r="U644" s="83"/>
      <c r="V644" s="83"/>
      <c r="W644" s="83"/>
      <c r="X644" s="83"/>
      <c r="Y644" s="83"/>
      <c r="Z644" s="83"/>
      <c r="AA644" s="83"/>
      <c r="AB644" s="83"/>
      <c r="AC644" s="83"/>
      <c r="AD644" s="83"/>
    </row>
    <row r="645">
      <c r="A645" s="447"/>
      <c r="B645" s="448"/>
      <c r="C645" s="448"/>
      <c r="D645" s="448"/>
      <c r="E645" s="448"/>
      <c r="F645" s="448"/>
      <c r="G645" s="448"/>
      <c r="H645" s="448"/>
      <c r="I645" s="448"/>
      <c r="J645" s="448"/>
      <c r="K645" s="449"/>
      <c r="L645" s="448"/>
      <c r="M645" s="450"/>
      <c r="N645" s="451"/>
      <c r="O645" s="451"/>
      <c r="P645" s="451"/>
      <c r="Q645" s="448"/>
      <c r="R645" s="83"/>
      <c r="S645" s="83"/>
      <c r="T645" s="83"/>
      <c r="U645" s="83"/>
      <c r="V645" s="83"/>
      <c r="W645" s="83"/>
      <c r="X645" s="83"/>
      <c r="Y645" s="83"/>
      <c r="Z645" s="83"/>
      <c r="AA645" s="83"/>
      <c r="AB645" s="83"/>
      <c r="AC645" s="83"/>
      <c r="AD645" s="83"/>
    </row>
    <row r="646">
      <c r="A646" s="447"/>
      <c r="B646" s="448"/>
      <c r="C646" s="448"/>
      <c r="D646" s="448"/>
      <c r="E646" s="448"/>
      <c r="F646" s="448"/>
      <c r="G646" s="448"/>
      <c r="H646" s="448"/>
      <c r="I646" s="448"/>
      <c r="J646" s="448"/>
      <c r="K646" s="449"/>
      <c r="L646" s="448"/>
      <c r="M646" s="450"/>
      <c r="N646" s="451"/>
      <c r="O646" s="451"/>
      <c r="P646" s="451"/>
      <c r="Q646" s="448"/>
      <c r="R646" s="83"/>
      <c r="S646" s="83"/>
      <c r="T646" s="83"/>
      <c r="U646" s="83"/>
      <c r="V646" s="83"/>
      <c r="W646" s="83"/>
      <c r="X646" s="83"/>
      <c r="Y646" s="83"/>
      <c r="Z646" s="83"/>
      <c r="AA646" s="83"/>
      <c r="AB646" s="83"/>
      <c r="AC646" s="83"/>
      <c r="AD646" s="83"/>
    </row>
    <row r="647">
      <c r="A647" s="447"/>
      <c r="B647" s="448"/>
      <c r="C647" s="448"/>
      <c r="D647" s="448"/>
      <c r="E647" s="448"/>
      <c r="F647" s="448"/>
      <c r="G647" s="448"/>
      <c r="H647" s="448"/>
      <c r="I647" s="448"/>
      <c r="J647" s="448"/>
      <c r="K647" s="449"/>
      <c r="L647" s="448"/>
      <c r="M647" s="450"/>
      <c r="N647" s="451"/>
      <c r="O647" s="451"/>
      <c r="P647" s="451"/>
      <c r="Q647" s="448"/>
      <c r="R647" s="83"/>
      <c r="S647" s="83"/>
      <c r="T647" s="83"/>
      <c r="U647" s="83"/>
      <c r="V647" s="83"/>
      <c r="W647" s="83"/>
      <c r="X647" s="83"/>
      <c r="Y647" s="83"/>
      <c r="Z647" s="83"/>
      <c r="AA647" s="83"/>
      <c r="AB647" s="83"/>
      <c r="AC647" s="83"/>
      <c r="AD647" s="83"/>
    </row>
    <row r="648">
      <c r="A648" s="447"/>
      <c r="B648" s="448"/>
      <c r="C648" s="448"/>
      <c r="D648" s="448"/>
      <c r="E648" s="448"/>
      <c r="F648" s="448"/>
      <c r="G648" s="448"/>
      <c r="H648" s="448"/>
      <c r="I648" s="448"/>
      <c r="J648" s="448"/>
      <c r="K648" s="449"/>
      <c r="L648" s="448"/>
      <c r="M648" s="450"/>
      <c r="N648" s="451"/>
      <c r="O648" s="451"/>
      <c r="P648" s="451"/>
      <c r="Q648" s="448"/>
      <c r="R648" s="83"/>
      <c r="S648" s="83"/>
      <c r="T648" s="83"/>
      <c r="U648" s="83"/>
      <c r="V648" s="83"/>
      <c r="W648" s="83"/>
      <c r="X648" s="83"/>
      <c r="Y648" s="83"/>
      <c r="Z648" s="83"/>
      <c r="AA648" s="83"/>
      <c r="AB648" s="83"/>
      <c r="AC648" s="83"/>
      <c r="AD648" s="83"/>
    </row>
    <row r="649">
      <c r="A649" s="447"/>
      <c r="B649" s="448"/>
      <c r="C649" s="448"/>
      <c r="D649" s="448"/>
      <c r="E649" s="448"/>
      <c r="F649" s="448"/>
      <c r="G649" s="448"/>
      <c r="H649" s="448"/>
      <c r="I649" s="448"/>
      <c r="J649" s="448"/>
      <c r="K649" s="449"/>
      <c r="L649" s="448"/>
      <c r="M649" s="450"/>
      <c r="N649" s="451"/>
      <c r="O649" s="451"/>
      <c r="P649" s="451"/>
      <c r="Q649" s="448"/>
      <c r="R649" s="83"/>
      <c r="S649" s="83"/>
      <c r="T649" s="83"/>
      <c r="U649" s="83"/>
      <c r="V649" s="83"/>
      <c r="W649" s="83"/>
      <c r="X649" s="83"/>
      <c r="Y649" s="83"/>
      <c r="Z649" s="83"/>
      <c r="AA649" s="83"/>
      <c r="AB649" s="83"/>
      <c r="AC649" s="83"/>
      <c r="AD649" s="83"/>
    </row>
    <row r="650">
      <c r="A650" s="447"/>
      <c r="B650" s="448"/>
      <c r="C650" s="448"/>
      <c r="D650" s="448"/>
      <c r="E650" s="448"/>
      <c r="F650" s="448"/>
      <c r="G650" s="448"/>
      <c r="H650" s="448"/>
      <c r="I650" s="448"/>
      <c r="J650" s="448"/>
      <c r="K650" s="449"/>
      <c r="L650" s="448"/>
      <c r="M650" s="450"/>
      <c r="N650" s="451"/>
      <c r="O650" s="451"/>
      <c r="P650" s="451"/>
      <c r="Q650" s="448"/>
      <c r="R650" s="83"/>
      <c r="S650" s="83"/>
      <c r="T650" s="83"/>
      <c r="U650" s="83"/>
      <c r="V650" s="83"/>
      <c r="W650" s="83"/>
      <c r="X650" s="83"/>
      <c r="Y650" s="83"/>
      <c r="Z650" s="83"/>
      <c r="AA650" s="83"/>
      <c r="AB650" s="83"/>
      <c r="AC650" s="83"/>
      <c r="AD650" s="83"/>
    </row>
    <row r="651">
      <c r="A651" s="447"/>
      <c r="B651" s="448"/>
      <c r="C651" s="448"/>
      <c r="D651" s="448"/>
      <c r="E651" s="448"/>
      <c r="F651" s="448"/>
      <c r="G651" s="448"/>
      <c r="H651" s="448"/>
      <c r="I651" s="448"/>
      <c r="J651" s="448"/>
      <c r="K651" s="449"/>
      <c r="L651" s="448"/>
      <c r="M651" s="450"/>
      <c r="N651" s="451"/>
      <c r="O651" s="451"/>
      <c r="P651" s="451"/>
      <c r="Q651" s="448"/>
      <c r="R651" s="83"/>
      <c r="S651" s="83"/>
      <c r="T651" s="83"/>
      <c r="U651" s="83"/>
      <c r="V651" s="83"/>
      <c r="W651" s="83"/>
      <c r="X651" s="83"/>
      <c r="Y651" s="83"/>
      <c r="Z651" s="83"/>
      <c r="AA651" s="83"/>
      <c r="AB651" s="83"/>
      <c r="AC651" s="83"/>
      <c r="AD651" s="83"/>
    </row>
    <row r="652">
      <c r="A652" s="447"/>
      <c r="B652" s="448"/>
      <c r="C652" s="448"/>
      <c r="D652" s="448"/>
      <c r="E652" s="448"/>
      <c r="F652" s="448"/>
      <c r="G652" s="448"/>
      <c r="H652" s="448"/>
      <c r="I652" s="448"/>
      <c r="J652" s="448"/>
      <c r="K652" s="449"/>
      <c r="L652" s="448"/>
      <c r="M652" s="450"/>
      <c r="N652" s="451"/>
      <c r="O652" s="451"/>
      <c r="P652" s="451"/>
      <c r="Q652" s="448"/>
      <c r="R652" s="83"/>
      <c r="S652" s="83"/>
      <c r="T652" s="83"/>
      <c r="U652" s="83"/>
      <c r="V652" s="83"/>
      <c r="W652" s="83"/>
      <c r="X652" s="83"/>
      <c r="Y652" s="83"/>
      <c r="Z652" s="83"/>
      <c r="AA652" s="83"/>
      <c r="AB652" s="83"/>
      <c r="AC652" s="83"/>
      <c r="AD652" s="83"/>
    </row>
    <row r="653">
      <c r="A653" s="447"/>
      <c r="B653" s="448"/>
      <c r="C653" s="448"/>
      <c r="D653" s="448"/>
      <c r="E653" s="448"/>
      <c r="F653" s="448"/>
      <c r="G653" s="448"/>
      <c r="H653" s="448"/>
      <c r="I653" s="448"/>
      <c r="J653" s="448"/>
      <c r="K653" s="449"/>
      <c r="L653" s="448"/>
      <c r="M653" s="450"/>
      <c r="N653" s="451"/>
      <c r="O653" s="451"/>
      <c r="P653" s="451"/>
      <c r="Q653" s="448"/>
      <c r="R653" s="83"/>
      <c r="S653" s="83"/>
      <c r="T653" s="83"/>
      <c r="U653" s="83"/>
      <c r="V653" s="83"/>
      <c r="W653" s="83"/>
      <c r="X653" s="83"/>
      <c r="Y653" s="83"/>
      <c r="Z653" s="83"/>
      <c r="AA653" s="83"/>
      <c r="AB653" s="83"/>
      <c r="AC653" s="83"/>
      <c r="AD653" s="83"/>
    </row>
    <row r="654">
      <c r="A654" s="447"/>
      <c r="B654" s="448"/>
      <c r="C654" s="448"/>
      <c r="D654" s="448"/>
      <c r="E654" s="448"/>
      <c r="F654" s="448"/>
      <c r="G654" s="448"/>
      <c r="H654" s="448"/>
      <c r="I654" s="448"/>
      <c r="J654" s="448"/>
      <c r="K654" s="449"/>
      <c r="L654" s="448"/>
      <c r="M654" s="450"/>
      <c r="N654" s="451"/>
      <c r="O654" s="451"/>
      <c r="P654" s="451"/>
      <c r="Q654" s="448"/>
      <c r="R654" s="83"/>
      <c r="S654" s="83"/>
      <c r="T654" s="83"/>
      <c r="U654" s="83"/>
      <c r="V654" s="83"/>
      <c r="W654" s="83"/>
      <c r="X654" s="83"/>
      <c r="Y654" s="83"/>
      <c r="Z654" s="83"/>
      <c r="AA654" s="83"/>
      <c r="AB654" s="83"/>
      <c r="AC654" s="83"/>
      <c r="AD654" s="83"/>
    </row>
    <row r="655">
      <c r="A655" s="447"/>
      <c r="B655" s="448"/>
      <c r="C655" s="448"/>
      <c r="D655" s="448"/>
      <c r="E655" s="448"/>
      <c r="F655" s="448"/>
      <c r="G655" s="448"/>
      <c r="H655" s="448"/>
      <c r="I655" s="448"/>
      <c r="J655" s="448"/>
      <c r="K655" s="449"/>
      <c r="L655" s="448"/>
      <c r="M655" s="450"/>
      <c r="N655" s="451"/>
      <c r="O655" s="451"/>
      <c r="P655" s="451"/>
      <c r="Q655" s="448"/>
      <c r="R655" s="83"/>
      <c r="S655" s="83"/>
      <c r="T655" s="83"/>
      <c r="U655" s="83"/>
      <c r="V655" s="83"/>
      <c r="W655" s="83"/>
      <c r="X655" s="83"/>
      <c r="Y655" s="83"/>
      <c r="Z655" s="83"/>
      <c r="AA655" s="83"/>
      <c r="AB655" s="83"/>
      <c r="AC655" s="83"/>
      <c r="AD655" s="83"/>
    </row>
    <row r="656">
      <c r="A656" s="447"/>
      <c r="B656" s="448"/>
      <c r="C656" s="448"/>
      <c r="D656" s="448"/>
      <c r="E656" s="448"/>
      <c r="F656" s="448"/>
      <c r="G656" s="448"/>
      <c r="H656" s="448"/>
      <c r="I656" s="448"/>
      <c r="J656" s="448"/>
      <c r="K656" s="449"/>
      <c r="L656" s="448"/>
      <c r="M656" s="450"/>
      <c r="N656" s="451"/>
      <c r="O656" s="451"/>
      <c r="P656" s="451"/>
      <c r="Q656" s="448"/>
      <c r="R656" s="83"/>
      <c r="S656" s="83"/>
      <c r="T656" s="83"/>
      <c r="U656" s="83"/>
      <c r="V656" s="83"/>
      <c r="W656" s="83"/>
      <c r="X656" s="83"/>
      <c r="Y656" s="83"/>
      <c r="Z656" s="83"/>
      <c r="AA656" s="83"/>
      <c r="AB656" s="83"/>
      <c r="AC656" s="83"/>
      <c r="AD656" s="83"/>
    </row>
    <row r="657">
      <c r="A657" s="447"/>
      <c r="B657" s="448"/>
      <c r="C657" s="448"/>
      <c r="D657" s="448"/>
      <c r="E657" s="448"/>
      <c r="F657" s="448"/>
      <c r="G657" s="448"/>
      <c r="H657" s="448"/>
      <c r="I657" s="448"/>
      <c r="J657" s="448"/>
      <c r="K657" s="449"/>
      <c r="L657" s="448"/>
      <c r="M657" s="450"/>
      <c r="N657" s="451"/>
      <c r="O657" s="451"/>
      <c r="P657" s="451"/>
      <c r="Q657" s="448"/>
      <c r="R657" s="83"/>
      <c r="S657" s="83"/>
      <c r="T657" s="83"/>
      <c r="U657" s="83"/>
      <c r="V657" s="83"/>
      <c r="W657" s="83"/>
      <c r="X657" s="83"/>
      <c r="Y657" s="83"/>
      <c r="Z657" s="83"/>
      <c r="AA657" s="83"/>
      <c r="AB657" s="83"/>
      <c r="AC657" s="83"/>
      <c r="AD657" s="83"/>
    </row>
    <row r="658">
      <c r="A658" s="447"/>
      <c r="B658" s="448"/>
      <c r="C658" s="448"/>
      <c r="D658" s="448"/>
      <c r="E658" s="448"/>
      <c r="F658" s="448"/>
      <c r="G658" s="448"/>
      <c r="H658" s="448"/>
      <c r="I658" s="448"/>
      <c r="J658" s="448"/>
      <c r="K658" s="449"/>
      <c r="L658" s="448"/>
      <c r="M658" s="450"/>
      <c r="N658" s="451"/>
      <c r="O658" s="451"/>
      <c r="P658" s="451"/>
      <c r="Q658" s="448"/>
      <c r="R658" s="83"/>
      <c r="S658" s="83"/>
      <c r="T658" s="83"/>
      <c r="U658" s="83"/>
      <c r="V658" s="83"/>
      <c r="W658" s="83"/>
      <c r="X658" s="83"/>
      <c r="Y658" s="83"/>
      <c r="Z658" s="83"/>
      <c r="AA658" s="83"/>
      <c r="AB658" s="83"/>
      <c r="AC658" s="83"/>
      <c r="AD658" s="83"/>
    </row>
    <row r="659">
      <c r="A659" s="447"/>
      <c r="B659" s="448"/>
      <c r="C659" s="448"/>
      <c r="D659" s="448"/>
      <c r="E659" s="448"/>
      <c r="F659" s="448"/>
      <c r="G659" s="448"/>
      <c r="H659" s="448"/>
      <c r="I659" s="448"/>
      <c r="J659" s="448"/>
      <c r="K659" s="449"/>
      <c r="L659" s="448"/>
      <c r="M659" s="450"/>
      <c r="N659" s="451"/>
      <c r="O659" s="451"/>
      <c r="P659" s="451"/>
      <c r="Q659" s="448"/>
      <c r="R659" s="83"/>
      <c r="S659" s="83"/>
      <c r="T659" s="83"/>
      <c r="U659" s="83"/>
      <c r="V659" s="83"/>
      <c r="W659" s="83"/>
      <c r="X659" s="83"/>
      <c r="Y659" s="83"/>
      <c r="Z659" s="83"/>
      <c r="AA659" s="83"/>
      <c r="AB659" s="83"/>
      <c r="AC659" s="83"/>
      <c r="AD659" s="83"/>
    </row>
    <row r="660">
      <c r="A660" s="447"/>
      <c r="B660" s="448"/>
      <c r="C660" s="448"/>
      <c r="D660" s="448"/>
      <c r="E660" s="448"/>
      <c r="F660" s="448"/>
      <c r="G660" s="448"/>
      <c r="H660" s="448"/>
      <c r="I660" s="448"/>
      <c r="J660" s="448"/>
      <c r="K660" s="449"/>
      <c r="L660" s="448"/>
      <c r="M660" s="450"/>
      <c r="N660" s="451"/>
      <c r="O660" s="451"/>
      <c r="P660" s="451"/>
      <c r="Q660" s="448"/>
      <c r="R660" s="83"/>
      <c r="S660" s="83"/>
      <c r="T660" s="83"/>
      <c r="U660" s="83"/>
      <c r="V660" s="83"/>
      <c r="W660" s="83"/>
      <c r="X660" s="83"/>
      <c r="Y660" s="83"/>
      <c r="Z660" s="83"/>
      <c r="AA660" s="83"/>
      <c r="AB660" s="83"/>
      <c r="AC660" s="83"/>
      <c r="AD660" s="83"/>
    </row>
    <row r="661">
      <c r="A661" s="447"/>
      <c r="B661" s="448"/>
      <c r="C661" s="448"/>
      <c r="D661" s="448"/>
      <c r="E661" s="448"/>
      <c r="F661" s="448"/>
      <c r="G661" s="448"/>
      <c r="H661" s="448"/>
      <c r="I661" s="448"/>
      <c r="J661" s="448"/>
      <c r="K661" s="449"/>
      <c r="L661" s="448"/>
      <c r="M661" s="450"/>
      <c r="N661" s="451"/>
      <c r="O661" s="451"/>
      <c r="P661" s="451"/>
      <c r="Q661" s="448"/>
      <c r="R661" s="83"/>
      <c r="S661" s="83"/>
      <c r="T661" s="83"/>
      <c r="U661" s="83"/>
      <c r="V661" s="83"/>
      <c r="W661" s="83"/>
      <c r="X661" s="83"/>
      <c r="Y661" s="83"/>
      <c r="Z661" s="83"/>
      <c r="AA661" s="83"/>
      <c r="AB661" s="83"/>
      <c r="AC661" s="83"/>
      <c r="AD661" s="83"/>
    </row>
    <row r="662">
      <c r="A662" s="447"/>
      <c r="B662" s="448"/>
      <c r="C662" s="448"/>
      <c r="D662" s="448"/>
      <c r="E662" s="448"/>
      <c r="F662" s="448"/>
      <c r="G662" s="448"/>
      <c r="H662" s="448"/>
      <c r="I662" s="448"/>
      <c r="J662" s="448"/>
      <c r="K662" s="449"/>
      <c r="L662" s="448"/>
      <c r="M662" s="450"/>
      <c r="N662" s="451"/>
      <c r="O662" s="451"/>
      <c r="P662" s="451"/>
      <c r="Q662" s="448"/>
      <c r="R662" s="83"/>
      <c r="S662" s="83"/>
      <c r="T662" s="83"/>
      <c r="U662" s="83"/>
      <c r="V662" s="83"/>
      <c r="W662" s="83"/>
      <c r="X662" s="83"/>
      <c r="Y662" s="83"/>
      <c r="Z662" s="83"/>
      <c r="AA662" s="83"/>
      <c r="AB662" s="83"/>
      <c r="AC662" s="83"/>
      <c r="AD662" s="83"/>
    </row>
    <row r="663">
      <c r="A663" s="447"/>
      <c r="B663" s="448"/>
      <c r="C663" s="448"/>
      <c r="D663" s="448"/>
      <c r="E663" s="448"/>
      <c r="F663" s="448"/>
      <c r="G663" s="448"/>
      <c r="H663" s="448"/>
      <c r="I663" s="448"/>
      <c r="J663" s="448"/>
      <c r="K663" s="449"/>
      <c r="L663" s="448"/>
      <c r="M663" s="450"/>
      <c r="N663" s="451"/>
      <c r="O663" s="451"/>
      <c r="P663" s="451"/>
      <c r="Q663" s="448"/>
      <c r="R663" s="83"/>
      <c r="S663" s="83"/>
      <c r="T663" s="83"/>
      <c r="U663" s="83"/>
      <c r="V663" s="83"/>
      <c r="W663" s="83"/>
      <c r="X663" s="83"/>
      <c r="Y663" s="83"/>
      <c r="Z663" s="83"/>
      <c r="AA663" s="83"/>
      <c r="AB663" s="83"/>
      <c r="AC663" s="83"/>
      <c r="AD663" s="83"/>
    </row>
    <row r="664">
      <c r="A664" s="447"/>
      <c r="B664" s="448"/>
      <c r="C664" s="448"/>
      <c r="D664" s="448"/>
      <c r="E664" s="448"/>
      <c r="F664" s="448"/>
      <c r="G664" s="448"/>
      <c r="H664" s="448"/>
      <c r="I664" s="448"/>
      <c r="J664" s="448"/>
      <c r="K664" s="449"/>
      <c r="L664" s="448"/>
      <c r="M664" s="450"/>
      <c r="N664" s="451"/>
      <c r="O664" s="451"/>
      <c r="P664" s="451"/>
      <c r="Q664" s="448"/>
      <c r="R664" s="83"/>
      <c r="S664" s="83"/>
      <c r="T664" s="83"/>
      <c r="U664" s="83"/>
      <c r="V664" s="83"/>
      <c r="W664" s="83"/>
      <c r="X664" s="83"/>
      <c r="Y664" s="83"/>
      <c r="Z664" s="83"/>
      <c r="AA664" s="83"/>
      <c r="AB664" s="83"/>
      <c r="AC664" s="83"/>
      <c r="AD664" s="83"/>
    </row>
    <row r="665">
      <c r="A665" s="447"/>
      <c r="B665" s="448"/>
      <c r="C665" s="448"/>
      <c r="D665" s="448"/>
      <c r="E665" s="448"/>
      <c r="F665" s="448"/>
      <c r="G665" s="448"/>
      <c r="H665" s="448"/>
      <c r="I665" s="448"/>
      <c r="J665" s="448"/>
      <c r="K665" s="449"/>
      <c r="L665" s="448"/>
      <c r="M665" s="450"/>
      <c r="N665" s="451"/>
      <c r="O665" s="451"/>
      <c r="P665" s="451"/>
      <c r="Q665" s="448"/>
      <c r="R665" s="83"/>
      <c r="S665" s="83"/>
      <c r="T665" s="83"/>
      <c r="U665" s="83"/>
      <c r="V665" s="83"/>
      <c r="W665" s="83"/>
      <c r="X665" s="83"/>
      <c r="Y665" s="83"/>
      <c r="Z665" s="83"/>
      <c r="AA665" s="83"/>
      <c r="AB665" s="83"/>
      <c r="AC665" s="83"/>
      <c r="AD665" s="83"/>
    </row>
    <row r="666">
      <c r="A666" s="447"/>
      <c r="B666" s="448"/>
      <c r="C666" s="448"/>
      <c r="D666" s="448"/>
      <c r="E666" s="448"/>
      <c r="F666" s="448"/>
      <c r="G666" s="448"/>
      <c r="H666" s="448"/>
      <c r="I666" s="448"/>
      <c r="J666" s="448"/>
      <c r="K666" s="449"/>
      <c r="L666" s="448"/>
      <c r="M666" s="450"/>
      <c r="N666" s="451"/>
      <c r="O666" s="451"/>
      <c r="P666" s="451"/>
      <c r="Q666" s="448"/>
      <c r="R666" s="83"/>
      <c r="S666" s="83"/>
      <c r="T666" s="83"/>
      <c r="U666" s="83"/>
      <c r="V666" s="83"/>
      <c r="W666" s="83"/>
      <c r="X666" s="83"/>
      <c r="Y666" s="83"/>
      <c r="Z666" s="83"/>
      <c r="AA666" s="83"/>
      <c r="AB666" s="83"/>
      <c r="AC666" s="83"/>
      <c r="AD666" s="83"/>
    </row>
    <row r="667">
      <c r="A667" s="447"/>
      <c r="B667" s="448"/>
      <c r="C667" s="448"/>
      <c r="D667" s="448"/>
      <c r="E667" s="448"/>
      <c r="F667" s="448"/>
      <c r="G667" s="448"/>
      <c r="H667" s="448"/>
      <c r="I667" s="448"/>
      <c r="J667" s="448"/>
      <c r="K667" s="449"/>
      <c r="L667" s="448"/>
      <c r="M667" s="450"/>
      <c r="N667" s="451"/>
      <c r="O667" s="451"/>
      <c r="P667" s="451"/>
      <c r="Q667" s="448"/>
      <c r="R667" s="83"/>
      <c r="S667" s="83"/>
      <c r="T667" s="83"/>
      <c r="U667" s="83"/>
      <c r="V667" s="83"/>
      <c r="W667" s="83"/>
      <c r="X667" s="83"/>
      <c r="Y667" s="83"/>
      <c r="Z667" s="83"/>
      <c r="AA667" s="83"/>
      <c r="AB667" s="83"/>
      <c r="AC667" s="83"/>
      <c r="AD667" s="83"/>
    </row>
    <row r="668">
      <c r="A668" s="447"/>
      <c r="B668" s="448"/>
      <c r="C668" s="448"/>
      <c r="D668" s="448"/>
      <c r="E668" s="448"/>
      <c r="F668" s="448"/>
      <c r="G668" s="448"/>
      <c r="H668" s="448"/>
      <c r="I668" s="448"/>
      <c r="J668" s="448"/>
      <c r="K668" s="449"/>
      <c r="L668" s="448"/>
      <c r="M668" s="450"/>
      <c r="N668" s="451"/>
      <c r="O668" s="451"/>
      <c r="P668" s="451"/>
      <c r="Q668" s="448"/>
      <c r="R668" s="83"/>
      <c r="S668" s="83"/>
      <c r="T668" s="83"/>
      <c r="U668" s="83"/>
      <c r="V668" s="83"/>
      <c r="W668" s="83"/>
      <c r="X668" s="83"/>
      <c r="Y668" s="83"/>
      <c r="Z668" s="83"/>
      <c r="AA668" s="83"/>
      <c r="AB668" s="83"/>
      <c r="AC668" s="83"/>
      <c r="AD668" s="83"/>
    </row>
    <row r="669">
      <c r="A669" s="447"/>
      <c r="B669" s="448"/>
      <c r="C669" s="448"/>
      <c r="D669" s="448"/>
      <c r="E669" s="448"/>
      <c r="F669" s="448"/>
      <c r="G669" s="448"/>
      <c r="H669" s="448"/>
      <c r="I669" s="448"/>
      <c r="J669" s="448"/>
      <c r="K669" s="449"/>
      <c r="L669" s="448"/>
      <c r="M669" s="450"/>
      <c r="N669" s="451"/>
      <c r="O669" s="451"/>
      <c r="P669" s="451"/>
      <c r="Q669" s="448"/>
      <c r="R669" s="83"/>
      <c r="S669" s="83"/>
      <c r="T669" s="83"/>
      <c r="U669" s="83"/>
      <c r="V669" s="83"/>
      <c r="W669" s="83"/>
      <c r="X669" s="83"/>
      <c r="Y669" s="83"/>
      <c r="Z669" s="83"/>
      <c r="AA669" s="83"/>
      <c r="AB669" s="83"/>
      <c r="AC669" s="83"/>
      <c r="AD669" s="83"/>
    </row>
    <row r="670">
      <c r="A670" s="447"/>
      <c r="B670" s="448"/>
      <c r="C670" s="448"/>
      <c r="D670" s="448"/>
      <c r="E670" s="448"/>
      <c r="F670" s="448"/>
      <c r="G670" s="448"/>
      <c r="H670" s="448"/>
      <c r="I670" s="448"/>
      <c r="J670" s="448"/>
      <c r="K670" s="449"/>
      <c r="L670" s="448"/>
      <c r="M670" s="450"/>
      <c r="N670" s="451"/>
      <c r="O670" s="451"/>
      <c r="P670" s="451"/>
      <c r="Q670" s="448"/>
      <c r="R670" s="83"/>
      <c r="S670" s="83"/>
      <c r="T670" s="83"/>
      <c r="U670" s="83"/>
      <c r="V670" s="83"/>
      <c r="W670" s="83"/>
      <c r="X670" s="83"/>
      <c r="Y670" s="83"/>
      <c r="Z670" s="83"/>
      <c r="AA670" s="83"/>
      <c r="AB670" s="83"/>
      <c r="AC670" s="83"/>
      <c r="AD670" s="83"/>
    </row>
    <row r="671">
      <c r="A671" s="447"/>
      <c r="B671" s="448"/>
      <c r="C671" s="448"/>
      <c r="D671" s="448"/>
      <c r="E671" s="448"/>
      <c r="F671" s="448"/>
      <c r="G671" s="448"/>
      <c r="H671" s="448"/>
      <c r="I671" s="448"/>
      <c r="J671" s="448"/>
      <c r="K671" s="449"/>
      <c r="L671" s="448"/>
      <c r="M671" s="450"/>
      <c r="N671" s="451"/>
      <c r="O671" s="451"/>
      <c r="P671" s="451"/>
      <c r="Q671" s="448"/>
      <c r="R671" s="83"/>
      <c r="S671" s="83"/>
      <c r="T671" s="83"/>
      <c r="U671" s="83"/>
      <c r="V671" s="83"/>
      <c r="W671" s="83"/>
      <c r="X671" s="83"/>
      <c r="Y671" s="83"/>
      <c r="Z671" s="83"/>
      <c r="AA671" s="83"/>
      <c r="AB671" s="83"/>
      <c r="AC671" s="83"/>
      <c r="AD671" s="83"/>
    </row>
    <row r="672">
      <c r="A672" s="447"/>
      <c r="B672" s="448"/>
      <c r="C672" s="448"/>
      <c r="D672" s="448"/>
      <c r="E672" s="448"/>
      <c r="F672" s="448"/>
      <c r="G672" s="448"/>
      <c r="H672" s="448"/>
      <c r="I672" s="448"/>
      <c r="J672" s="448"/>
      <c r="K672" s="449"/>
      <c r="L672" s="448"/>
      <c r="M672" s="450"/>
      <c r="N672" s="451"/>
      <c r="O672" s="451"/>
      <c r="P672" s="451"/>
      <c r="Q672" s="448"/>
      <c r="R672" s="83"/>
      <c r="S672" s="83"/>
      <c r="T672" s="83"/>
      <c r="U672" s="83"/>
      <c r="V672" s="83"/>
      <c r="W672" s="83"/>
      <c r="X672" s="83"/>
      <c r="Y672" s="83"/>
      <c r="Z672" s="83"/>
      <c r="AA672" s="83"/>
      <c r="AB672" s="83"/>
      <c r="AC672" s="83"/>
      <c r="AD672" s="83"/>
    </row>
    <row r="673">
      <c r="A673" s="447"/>
      <c r="B673" s="448"/>
      <c r="C673" s="448"/>
      <c r="D673" s="448"/>
      <c r="E673" s="448"/>
      <c r="F673" s="448"/>
      <c r="G673" s="448"/>
      <c r="H673" s="448"/>
      <c r="I673" s="448"/>
      <c r="J673" s="448"/>
      <c r="K673" s="449"/>
      <c r="L673" s="448"/>
      <c r="M673" s="450"/>
      <c r="N673" s="451"/>
      <c r="O673" s="451"/>
      <c r="P673" s="451"/>
      <c r="Q673" s="448"/>
      <c r="R673" s="83"/>
      <c r="S673" s="83"/>
      <c r="T673" s="83"/>
      <c r="U673" s="83"/>
      <c r="V673" s="83"/>
      <c r="W673" s="83"/>
      <c r="X673" s="83"/>
      <c r="Y673" s="83"/>
      <c r="Z673" s="83"/>
      <c r="AA673" s="83"/>
      <c r="AB673" s="83"/>
      <c r="AC673" s="83"/>
      <c r="AD673" s="83"/>
    </row>
    <row r="674">
      <c r="A674" s="447"/>
      <c r="B674" s="448"/>
      <c r="C674" s="448"/>
      <c r="D674" s="448"/>
      <c r="E674" s="448"/>
      <c r="F674" s="448"/>
      <c r="G674" s="448"/>
      <c r="H674" s="448"/>
      <c r="I674" s="448"/>
      <c r="J674" s="448"/>
      <c r="K674" s="449"/>
      <c r="L674" s="448"/>
      <c r="M674" s="450"/>
      <c r="N674" s="451"/>
      <c r="O674" s="451"/>
      <c r="P674" s="451"/>
      <c r="Q674" s="448"/>
      <c r="R674" s="83"/>
      <c r="S674" s="83"/>
      <c r="T674" s="83"/>
      <c r="U674" s="83"/>
      <c r="V674" s="83"/>
      <c r="W674" s="83"/>
      <c r="X674" s="83"/>
      <c r="Y674" s="83"/>
      <c r="Z674" s="83"/>
      <c r="AA674" s="83"/>
      <c r="AB674" s="83"/>
      <c r="AC674" s="83"/>
      <c r="AD674" s="83"/>
    </row>
    <row r="675">
      <c r="A675" s="447"/>
      <c r="B675" s="448"/>
      <c r="C675" s="448"/>
      <c r="D675" s="448"/>
      <c r="E675" s="448"/>
      <c r="F675" s="448"/>
      <c r="G675" s="448"/>
      <c r="H675" s="448"/>
      <c r="I675" s="448"/>
      <c r="J675" s="448"/>
      <c r="K675" s="449"/>
      <c r="L675" s="448"/>
      <c r="M675" s="450"/>
      <c r="N675" s="451"/>
      <c r="O675" s="451"/>
      <c r="P675" s="451"/>
      <c r="Q675" s="448"/>
      <c r="R675" s="83"/>
      <c r="S675" s="83"/>
      <c r="T675" s="83"/>
      <c r="U675" s="83"/>
      <c r="V675" s="83"/>
      <c r="W675" s="83"/>
      <c r="X675" s="83"/>
      <c r="Y675" s="83"/>
      <c r="Z675" s="83"/>
      <c r="AA675" s="83"/>
      <c r="AB675" s="83"/>
      <c r="AC675" s="83"/>
      <c r="AD675" s="83"/>
    </row>
    <row r="676">
      <c r="A676" s="447"/>
      <c r="B676" s="448"/>
      <c r="C676" s="448"/>
      <c r="D676" s="448"/>
      <c r="E676" s="448"/>
      <c r="F676" s="448"/>
      <c r="G676" s="448"/>
      <c r="H676" s="448"/>
      <c r="I676" s="448"/>
      <c r="J676" s="448"/>
      <c r="K676" s="449"/>
      <c r="L676" s="448"/>
      <c r="M676" s="450"/>
      <c r="N676" s="451"/>
      <c r="O676" s="451"/>
      <c r="P676" s="451"/>
      <c r="Q676" s="448"/>
      <c r="R676" s="83"/>
      <c r="S676" s="83"/>
      <c r="T676" s="83"/>
      <c r="U676" s="83"/>
      <c r="V676" s="83"/>
      <c r="W676" s="83"/>
      <c r="X676" s="83"/>
      <c r="Y676" s="83"/>
      <c r="Z676" s="83"/>
      <c r="AA676" s="83"/>
      <c r="AB676" s="83"/>
      <c r="AC676" s="83"/>
      <c r="AD676" s="83"/>
    </row>
    <row r="677">
      <c r="A677" s="447"/>
      <c r="B677" s="448"/>
      <c r="C677" s="448"/>
      <c r="D677" s="448"/>
      <c r="E677" s="448"/>
      <c r="F677" s="448"/>
      <c r="G677" s="448"/>
      <c r="H677" s="448"/>
      <c r="I677" s="448"/>
      <c r="J677" s="448"/>
      <c r="K677" s="449"/>
      <c r="L677" s="448"/>
      <c r="M677" s="450"/>
      <c r="N677" s="451"/>
      <c r="O677" s="451"/>
      <c r="P677" s="451"/>
      <c r="Q677" s="448"/>
      <c r="R677" s="83"/>
      <c r="S677" s="83"/>
      <c r="T677" s="83"/>
      <c r="U677" s="83"/>
      <c r="V677" s="83"/>
      <c r="W677" s="83"/>
      <c r="X677" s="83"/>
      <c r="Y677" s="83"/>
      <c r="Z677" s="83"/>
      <c r="AA677" s="83"/>
      <c r="AB677" s="83"/>
      <c r="AC677" s="83"/>
      <c r="AD677" s="83"/>
    </row>
    <row r="678">
      <c r="A678" s="447"/>
      <c r="B678" s="448"/>
      <c r="C678" s="448"/>
      <c r="D678" s="448"/>
      <c r="E678" s="448"/>
      <c r="F678" s="448"/>
      <c r="G678" s="448"/>
      <c r="H678" s="448"/>
      <c r="I678" s="448"/>
      <c r="J678" s="448"/>
      <c r="K678" s="449"/>
      <c r="L678" s="448"/>
      <c r="M678" s="450"/>
      <c r="N678" s="451"/>
      <c r="O678" s="451"/>
      <c r="P678" s="451"/>
      <c r="Q678" s="448"/>
      <c r="R678" s="83"/>
      <c r="S678" s="83"/>
      <c r="T678" s="83"/>
      <c r="U678" s="83"/>
      <c r="V678" s="83"/>
      <c r="W678" s="83"/>
      <c r="X678" s="83"/>
      <c r="Y678" s="83"/>
      <c r="Z678" s="83"/>
      <c r="AA678" s="83"/>
      <c r="AB678" s="83"/>
      <c r="AC678" s="83"/>
      <c r="AD678" s="83"/>
    </row>
    <row r="679">
      <c r="A679" s="447"/>
      <c r="B679" s="448"/>
      <c r="C679" s="448"/>
      <c r="D679" s="448"/>
      <c r="E679" s="448"/>
      <c r="F679" s="448"/>
      <c r="G679" s="448"/>
      <c r="H679" s="448"/>
      <c r="I679" s="448"/>
      <c r="J679" s="448"/>
      <c r="K679" s="449"/>
      <c r="L679" s="448"/>
      <c r="M679" s="450"/>
      <c r="N679" s="451"/>
      <c r="O679" s="451"/>
      <c r="P679" s="451"/>
      <c r="Q679" s="448"/>
      <c r="R679" s="83"/>
      <c r="S679" s="83"/>
      <c r="T679" s="83"/>
      <c r="U679" s="83"/>
      <c r="V679" s="83"/>
      <c r="W679" s="83"/>
      <c r="X679" s="83"/>
      <c r="Y679" s="83"/>
      <c r="Z679" s="83"/>
      <c r="AA679" s="83"/>
      <c r="AB679" s="83"/>
      <c r="AC679" s="83"/>
      <c r="AD679" s="83"/>
    </row>
    <row r="680">
      <c r="A680" s="447"/>
      <c r="B680" s="448"/>
      <c r="C680" s="448"/>
      <c r="D680" s="448"/>
      <c r="E680" s="448"/>
      <c r="F680" s="448"/>
      <c r="G680" s="448"/>
      <c r="H680" s="448"/>
      <c r="I680" s="448"/>
      <c r="J680" s="448"/>
      <c r="K680" s="449"/>
      <c r="L680" s="448"/>
      <c r="M680" s="450"/>
      <c r="N680" s="451"/>
      <c r="O680" s="451"/>
      <c r="P680" s="451"/>
      <c r="Q680" s="448"/>
      <c r="R680" s="83"/>
      <c r="S680" s="83"/>
      <c r="T680" s="83"/>
      <c r="U680" s="83"/>
      <c r="V680" s="83"/>
      <c r="W680" s="83"/>
      <c r="X680" s="83"/>
      <c r="Y680" s="83"/>
      <c r="Z680" s="83"/>
      <c r="AA680" s="83"/>
      <c r="AB680" s="83"/>
      <c r="AC680" s="83"/>
      <c r="AD680" s="83"/>
    </row>
    <row r="681">
      <c r="A681" s="447"/>
      <c r="B681" s="448"/>
      <c r="C681" s="448"/>
      <c r="D681" s="448"/>
      <c r="E681" s="448"/>
      <c r="F681" s="448"/>
      <c r="G681" s="448"/>
      <c r="H681" s="448"/>
      <c r="I681" s="448"/>
      <c r="J681" s="448"/>
      <c r="K681" s="449"/>
      <c r="L681" s="448"/>
      <c r="M681" s="450"/>
      <c r="N681" s="451"/>
      <c r="O681" s="451"/>
      <c r="P681" s="451"/>
      <c r="Q681" s="448"/>
      <c r="R681" s="83"/>
      <c r="S681" s="83"/>
      <c r="T681" s="83"/>
      <c r="U681" s="83"/>
      <c r="V681" s="83"/>
      <c r="W681" s="83"/>
      <c r="X681" s="83"/>
      <c r="Y681" s="83"/>
      <c r="Z681" s="83"/>
      <c r="AA681" s="83"/>
      <c r="AB681" s="83"/>
      <c r="AC681" s="83"/>
      <c r="AD681" s="83"/>
    </row>
    <row r="682">
      <c r="A682" s="447"/>
      <c r="B682" s="448"/>
      <c r="C682" s="448"/>
      <c r="D682" s="448"/>
      <c r="E682" s="448"/>
      <c r="F682" s="448"/>
      <c r="G682" s="448"/>
      <c r="H682" s="448"/>
      <c r="I682" s="448"/>
      <c r="J682" s="448"/>
      <c r="K682" s="449"/>
      <c r="L682" s="448"/>
      <c r="M682" s="450"/>
      <c r="N682" s="451"/>
      <c r="O682" s="451"/>
      <c r="P682" s="451"/>
      <c r="Q682" s="448"/>
      <c r="R682" s="83"/>
      <c r="S682" s="83"/>
      <c r="T682" s="83"/>
      <c r="U682" s="83"/>
      <c r="V682" s="83"/>
      <c r="W682" s="83"/>
      <c r="X682" s="83"/>
      <c r="Y682" s="83"/>
      <c r="Z682" s="83"/>
      <c r="AA682" s="83"/>
      <c r="AB682" s="83"/>
      <c r="AC682" s="83"/>
      <c r="AD682" s="83"/>
    </row>
    <row r="683">
      <c r="A683" s="447"/>
      <c r="B683" s="448"/>
      <c r="C683" s="448"/>
      <c r="D683" s="448"/>
      <c r="E683" s="448"/>
      <c r="F683" s="448"/>
      <c r="G683" s="448"/>
      <c r="H683" s="448"/>
      <c r="I683" s="448"/>
      <c r="J683" s="448"/>
      <c r="K683" s="449"/>
      <c r="L683" s="448"/>
      <c r="M683" s="450"/>
      <c r="N683" s="451"/>
      <c r="O683" s="451"/>
      <c r="P683" s="451"/>
      <c r="Q683" s="448"/>
      <c r="R683" s="83"/>
      <c r="S683" s="83"/>
      <c r="T683" s="83"/>
      <c r="U683" s="83"/>
      <c r="V683" s="83"/>
      <c r="W683" s="83"/>
      <c r="X683" s="83"/>
      <c r="Y683" s="83"/>
      <c r="Z683" s="83"/>
      <c r="AA683" s="83"/>
      <c r="AB683" s="83"/>
      <c r="AC683" s="83"/>
      <c r="AD683" s="83"/>
    </row>
    <row r="684">
      <c r="A684" s="447"/>
      <c r="B684" s="448"/>
      <c r="C684" s="448"/>
      <c r="D684" s="448"/>
      <c r="E684" s="448"/>
      <c r="F684" s="448"/>
      <c r="G684" s="448"/>
      <c r="H684" s="448"/>
      <c r="I684" s="448"/>
      <c r="J684" s="448"/>
      <c r="K684" s="449"/>
      <c r="L684" s="448"/>
      <c r="M684" s="450"/>
      <c r="N684" s="451"/>
      <c r="O684" s="451"/>
      <c r="P684" s="451"/>
      <c r="Q684" s="448"/>
      <c r="R684" s="83"/>
      <c r="S684" s="83"/>
      <c r="T684" s="83"/>
      <c r="U684" s="83"/>
      <c r="V684" s="83"/>
      <c r="W684" s="83"/>
      <c r="X684" s="83"/>
      <c r="Y684" s="83"/>
      <c r="Z684" s="83"/>
      <c r="AA684" s="83"/>
      <c r="AB684" s="83"/>
      <c r="AC684" s="83"/>
      <c r="AD684" s="83"/>
    </row>
    <row r="685">
      <c r="A685" s="447"/>
      <c r="B685" s="448"/>
      <c r="C685" s="448"/>
      <c r="D685" s="448"/>
      <c r="E685" s="448"/>
      <c r="F685" s="448"/>
      <c r="G685" s="448"/>
      <c r="H685" s="448"/>
      <c r="I685" s="448"/>
      <c r="J685" s="448"/>
      <c r="K685" s="449"/>
      <c r="L685" s="448"/>
      <c r="M685" s="450"/>
      <c r="N685" s="451"/>
      <c r="O685" s="451"/>
      <c r="P685" s="451"/>
      <c r="Q685" s="448"/>
      <c r="R685" s="83"/>
      <c r="S685" s="83"/>
      <c r="T685" s="83"/>
      <c r="U685" s="83"/>
      <c r="V685" s="83"/>
      <c r="W685" s="83"/>
      <c r="X685" s="83"/>
      <c r="Y685" s="83"/>
      <c r="Z685" s="83"/>
      <c r="AA685" s="83"/>
      <c r="AB685" s="83"/>
      <c r="AC685" s="83"/>
      <c r="AD685" s="83"/>
    </row>
    <row r="686">
      <c r="A686" s="447"/>
      <c r="B686" s="448"/>
      <c r="C686" s="448"/>
      <c r="D686" s="448"/>
      <c r="E686" s="448"/>
      <c r="F686" s="448"/>
      <c r="G686" s="448"/>
      <c r="H686" s="448"/>
      <c r="I686" s="448"/>
      <c r="J686" s="448"/>
      <c r="K686" s="449"/>
      <c r="L686" s="448"/>
      <c r="M686" s="450"/>
      <c r="N686" s="451"/>
      <c r="O686" s="451"/>
      <c r="P686" s="451"/>
      <c r="Q686" s="448"/>
      <c r="R686" s="83"/>
      <c r="S686" s="83"/>
      <c r="T686" s="83"/>
      <c r="U686" s="83"/>
      <c r="V686" s="83"/>
      <c r="W686" s="83"/>
      <c r="X686" s="83"/>
      <c r="Y686" s="83"/>
      <c r="Z686" s="83"/>
      <c r="AA686" s="83"/>
      <c r="AB686" s="83"/>
      <c r="AC686" s="83"/>
      <c r="AD686" s="83"/>
    </row>
    <row r="687">
      <c r="A687" s="447"/>
      <c r="B687" s="448"/>
      <c r="C687" s="448"/>
      <c r="D687" s="448"/>
      <c r="E687" s="448"/>
      <c r="F687" s="448"/>
      <c r="G687" s="448"/>
      <c r="H687" s="448"/>
      <c r="I687" s="448"/>
      <c r="J687" s="448"/>
      <c r="K687" s="449"/>
      <c r="L687" s="448"/>
      <c r="M687" s="450"/>
      <c r="N687" s="451"/>
      <c r="O687" s="451"/>
      <c r="P687" s="451"/>
      <c r="Q687" s="448"/>
      <c r="R687" s="83"/>
      <c r="S687" s="83"/>
      <c r="T687" s="83"/>
      <c r="U687" s="83"/>
      <c r="V687" s="83"/>
      <c r="W687" s="83"/>
      <c r="X687" s="83"/>
      <c r="Y687" s="83"/>
      <c r="Z687" s="83"/>
      <c r="AA687" s="83"/>
      <c r="AB687" s="83"/>
      <c r="AC687" s="83"/>
      <c r="AD687" s="83"/>
    </row>
    <row r="688">
      <c r="A688" s="447"/>
      <c r="B688" s="448"/>
      <c r="C688" s="448"/>
      <c r="D688" s="448"/>
      <c r="E688" s="448"/>
      <c r="F688" s="448"/>
      <c r="G688" s="448"/>
      <c r="H688" s="448"/>
      <c r="I688" s="448"/>
      <c r="J688" s="448"/>
      <c r="K688" s="449"/>
      <c r="L688" s="448"/>
      <c r="M688" s="450"/>
      <c r="N688" s="451"/>
      <c r="O688" s="451"/>
      <c r="P688" s="451"/>
      <c r="Q688" s="448"/>
      <c r="R688" s="83"/>
      <c r="S688" s="83"/>
      <c r="T688" s="83"/>
      <c r="U688" s="83"/>
      <c r="V688" s="83"/>
      <c r="W688" s="83"/>
      <c r="X688" s="83"/>
      <c r="Y688" s="83"/>
      <c r="Z688" s="83"/>
      <c r="AA688" s="83"/>
      <c r="AB688" s="83"/>
      <c r="AC688" s="83"/>
      <c r="AD688" s="83"/>
    </row>
    <row r="689">
      <c r="A689" s="447"/>
      <c r="B689" s="448"/>
      <c r="C689" s="448"/>
      <c r="D689" s="448"/>
      <c r="E689" s="448"/>
      <c r="F689" s="448"/>
      <c r="G689" s="448"/>
      <c r="H689" s="448"/>
      <c r="I689" s="448"/>
      <c r="J689" s="448"/>
      <c r="K689" s="449"/>
      <c r="L689" s="448"/>
      <c r="M689" s="450"/>
      <c r="N689" s="451"/>
      <c r="O689" s="451"/>
      <c r="P689" s="451"/>
      <c r="Q689" s="448"/>
      <c r="R689" s="83"/>
      <c r="S689" s="83"/>
      <c r="T689" s="83"/>
      <c r="U689" s="83"/>
      <c r="V689" s="83"/>
      <c r="W689" s="83"/>
      <c r="X689" s="83"/>
      <c r="Y689" s="83"/>
      <c r="Z689" s="83"/>
      <c r="AA689" s="83"/>
      <c r="AB689" s="83"/>
      <c r="AC689" s="83"/>
      <c r="AD689" s="83"/>
    </row>
    <row r="690">
      <c r="A690" s="447"/>
      <c r="B690" s="448"/>
      <c r="C690" s="448"/>
      <c r="D690" s="448"/>
      <c r="E690" s="448"/>
      <c r="F690" s="448"/>
      <c r="G690" s="448"/>
      <c r="H690" s="448"/>
      <c r="I690" s="448"/>
      <c r="J690" s="448"/>
      <c r="K690" s="449"/>
      <c r="L690" s="448"/>
      <c r="M690" s="450"/>
      <c r="N690" s="451"/>
      <c r="O690" s="451"/>
      <c r="P690" s="451"/>
      <c r="Q690" s="448"/>
      <c r="R690" s="83"/>
      <c r="S690" s="83"/>
      <c r="T690" s="83"/>
      <c r="U690" s="83"/>
      <c r="V690" s="83"/>
      <c r="W690" s="83"/>
      <c r="X690" s="83"/>
      <c r="Y690" s="83"/>
      <c r="Z690" s="83"/>
      <c r="AA690" s="83"/>
      <c r="AB690" s="83"/>
      <c r="AC690" s="83"/>
      <c r="AD690" s="83"/>
    </row>
    <row r="691">
      <c r="A691" s="447"/>
      <c r="B691" s="448"/>
      <c r="C691" s="448"/>
      <c r="D691" s="448"/>
      <c r="E691" s="448"/>
      <c r="F691" s="448"/>
      <c r="G691" s="448"/>
      <c r="H691" s="448"/>
      <c r="I691" s="448"/>
      <c r="J691" s="448"/>
      <c r="K691" s="449"/>
      <c r="L691" s="448"/>
      <c r="M691" s="450"/>
      <c r="N691" s="451"/>
      <c r="O691" s="451"/>
      <c r="P691" s="451"/>
      <c r="Q691" s="448"/>
      <c r="R691" s="83"/>
      <c r="S691" s="83"/>
      <c r="T691" s="83"/>
      <c r="U691" s="83"/>
      <c r="V691" s="83"/>
      <c r="W691" s="83"/>
      <c r="X691" s="83"/>
      <c r="Y691" s="83"/>
      <c r="Z691" s="83"/>
      <c r="AA691" s="83"/>
      <c r="AB691" s="83"/>
      <c r="AC691" s="83"/>
      <c r="AD691" s="83"/>
    </row>
    <row r="692">
      <c r="A692" s="447"/>
      <c r="B692" s="448"/>
      <c r="C692" s="448"/>
      <c r="D692" s="448"/>
      <c r="E692" s="448"/>
      <c r="F692" s="448"/>
      <c r="G692" s="448"/>
      <c r="H692" s="448"/>
      <c r="I692" s="448"/>
      <c r="J692" s="448"/>
      <c r="K692" s="449"/>
      <c r="L692" s="448"/>
      <c r="M692" s="450"/>
      <c r="N692" s="451"/>
      <c r="O692" s="451"/>
      <c r="P692" s="451"/>
      <c r="Q692" s="448"/>
      <c r="R692" s="83"/>
      <c r="S692" s="83"/>
      <c r="T692" s="83"/>
      <c r="U692" s="83"/>
      <c r="V692" s="83"/>
      <c r="W692" s="83"/>
      <c r="X692" s="83"/>
      <c r="Y692" s="83"/>
      <c r="Z692" s="83"/>
      <c r="AA692" s="83"/>
      <c r="AB692" s="83"/>
      <c r="AC692" s="83"/>
      <c r="AD692" s="83"/>
    </row>
    <row r="693">
      <c r="A693" s="447"/>
      <c r="B693" s="448"/>
      <c r="C693" s="448"/>
      <c r="D693" s="448"/>
      <c r="E693" s="448"/>
      <c r="F693" s="448"/>
      <c r="G693" s="448"/>
      <c r="H693" s="448"/>
      <c r="I693" s="448"/>
      <c r="J693" s="448"/>
      <c r="K693" s="449"/>
      <c r="L693" s="448"/>
      <c r="M693" s="450"/>
      <c r="N693" s="451"/>
      <c r="O693" s="451"/>
      <c r="P693" s="451"/>
      <c r="Q693" s="448"/>
      <c r="R693" s="83"/>
      <c r="S693" s="83"/>
      <c r="T693" s="83"/>
      <c r="U693" s="83"/>
      <c r="V693" s="83"/>
      <c r="W693" s="83"/>
      <c r="X693" s="83"/>
      <c r="Y693" s="83"/>
      <c r="Z693" s="83"/>
      <c r="AA693" s="83"/>
      <c r="AB693" s="83"/>
      <c r="AC693" s="83"/>
      <c r="AD693" s="83"/>
    </row>
    <row r="694">
      <c r="A694" s="447"/>
      <c r="B694" s="448"/>
      <c r="C694" s="448"/>
      <c r="D694" s="448"/>
      <c r="E694" s="448"/>
      <c r="F694" s="448"/>
      <c r="G694" s="448"/>
      <c r="H694" s="448"/>
      <c r="I694" s="448"/>
      <c r="J694" s="448"/>
      <c r="K694" s="449"/>
      <c r="L694" s="448"/>
      <c r="M694" s="450"/>
      <c r="N694" s="451"/>
      <c r="O694" s="451"/>
      <c r="P694" s="451"/>
      <c r="Q694" s="448"/>
      <c r="R694" s="83"/>
      <c r="S694" s="83"/>
      <c r="T694" s="83"/>
      <c r="U694" s="83"/>
      <c r="V694" s="83"/>
      <c r="W694" s="83"/>
      <c r="X694" s="83"/>
      <c r="Y694" s="83"/>
      <c r="Z694" s="83"/>
      <c r="AA694" s="83"/>
      <c r="AB694" s="83"/>
      <c r="AC694" s="83"/>
      <c r="AD694" s="83"/>
    </row>
    <row r="695">
      <c r="A695" s="447"/>
      <c r="B695" s="448"/>
      <c r="C695" s="448"/>
      <c r="D695" s="448"/>
      <c r="E695" s="448"/>
      <c r="F695" s="448"/>
      <c r="G695" s="448"/>
      <c r="H695" s="448"/>
      <c r="I695" s="448"/>
      <c r="J695" s="448"/>
      <c r="K695" s="449"/>
      <c r="L695" s="448"/>
      <c r="M695" s="450"/>
      <c r="N695" s="451"/>
      <c r="O695" s="451"/>
      <c r="P695" s="451"/>
      <c r="Q695" s="448"/>
      <c r="R695" s="83"/>
      <c r="S695" s="83"/>
      <c r="T695" s="83"/>
      <c r="U695" s="83"/>
      <c r="V695" s="83"/>
      <c r="W695" s="83"/>
      <c r="X695" s="83"/>
      <c r="Y695" s="83"/>
      <c r="Z695" s="83"/>
      <c r="AA695" s="83"/>
      <c r="AB695" s="83"/>
      <c r="AC695" s="83"/>
      <c r="AD695" s="83"/>
    </row>
    <row r="696">
      <c r="A696" s="447"/>
      <c r="B696" s="448"/>
      <c r="C696" s="448"/>
      <c r="D696" s="448"/>
      <c r="E696" s="448"/>
      <c r="F696" s="448"/>
      <c r="G696" s="448"/>
      <c r="H696" s="448"/>
      <c r="I696" s="448"/>
      <c r="J696" s="448"/>
      <c r="K696" s="449"/>
      <c r="L696" s="448"/>
      <c r="M696" s="450"/>
      <c r="N696" s="451"/>
      <c r="O696" s="451"/>
      <c r="P696" s="451"/>
      <c r="Q696" s="448"/>
      <c r="R696" s="83"/>
      <c r="S696" s="83"/>
      <c r="T696" s="83"/>
      <c r="U696" s="83"/>
      <c r="V696" s="83"/>
      <c r="W696" s="83"/>
      <c r="X696" s="83"/>
      <c r="Y696" s="83"/>
      <c r="Z696" s="83"/>
      <c r="AA696" s="83"/>
      <c r="AB696" s="83"/>
      <c r="AC696" s="83"/>
      <c r="AD696" s="83"/>
    </row>
    <row r="697">
      <c r="A697" s="447"/>
      <c r="B697" s="448"/>
      <c r="C697" s="448"/>
      <c r="D697" s="448"/>
      <c r="E697" s="448"/>
      <c r="F697" s="448"/>
      <c r="G697" s="448"/>
      <c r="H697" s="448"/>
      <c r="I697" s="448"/>
      <c r="J697" s="448"/>
      <c r="K697" s="449"/>
      <c r="L697" s="448"/>
      <c r="M697" s="450"/>
      <c r="N697" s="451"/>
      <c r="O697" s="451"/>
      <c r="P697" s="451"/>
      <c r="Q697" s="448"/>
      <c r="R697" s="83"/>
      <c r="S697" s="83"/>
      <c r="T697" s="83"/>
      <c r="U697" s="83"/>
      <c r="V697" s="83"/>
      <c r="W697" s="83"/>
      <c r="X697" s="83"/>
      <c r="Y697" s="83"/>
      <c r="Z697" s="83"/>
      <c r="AA697" s="83"/>
      <c r="AB697" s="83"/>
      <c r="AC697" s="83"/>
      <c r="AD697" s="83"/>
    </row>
    <row r="698">
      <c r="A698" s="447"/>
      <c r="B698" s="448"/>
      <c r="C698" s="448"/>
      <c r="D698" s="448"/>
      <c r="E698" s="448"/>
      <c r="F698" s="448"/>
      <c r="G698" s="448"/>
      <c r="H698" s="448"/>
      <c r="I698" s="448"/>
      <c r="J698" s="448"/>
      <c r="K698" s="449"/>
      <c r="L698" s="448"/>
      <c r="M698" s="450"/>
      <c r="N698" s="451"/>
      <c r="O698" s="451"/>
      <c r="P698" s="451"/>
      <c r="Q698" s="448"/>
      <c r="R698" s="83"/>
      <c r="S698" s="83"/>
      <c r="T698" s="83"/>
      <c r="U698" s="83"/>
      <c r="V698" s="83"/>
      <c r="W698" s="83"/>
      <c r="X698" s="83"/>
      <c r="Y698" s="83"/>
      <c r="Z698" s="83"/>
      <c r="AA698" s="83"/>
      <c r="AB698" s="83"/>
      <c r="AC698" s="83"/>
      <c r="AD698" s="83"/>
    </row>
    <row r="699">
      <c r="A699" s="447"/>
      <c r="B699" s="448"/>
      <c r="C699" s="448"/>
      <c r="D699" s="448"/>
      <c r="E699" s="448"/>
      <c r="F699" s="448"/>
      <c r="G699" s="448"/>
      <c r="H699" s="448"/>
      <c r="I699" s="448"/>
      <c r="J699" s="448"/>
      <c r="K699" s="449"/>
      <c r="L699" s="448"/>
      <c r="M699" s="450"/>
      <c r="N699" s="451"/>
      <c r="O699" s="451"/>
      <c r="P699" s="451"/>
      <c r="Q699" s="448"/>
      <c r="R699" s="83"/>
      <c r="S699" s="83"/>
      <c r="T699" s="83"/>
      <c r="U699" s="83"/>
      <c r="V699" s="83"/>
      <c r="W699" s="83"/>
      <c r="X699" s="83"/>
      <c r="Y699" s="83"/>
      <c r="Z699" s="83"/>
      <c r="AA699" s="83"/>
      <c r="AB699" s="83"/>
      <c r="AC699" s="83"/>
      <c r="AD699" s="83"/>
    </row>
    <row r="700">
      <c r="A700" s="447"/>
      <c r="B700" s="448"/>
      <c r="C700" s="448"/>
      <c r="D700" s="448"/>
      <c r="E700" s="448"/>
      <c r="F700" s="448"/>
      <c r="G700" s="448"/>
      <c r="H700" s="448"/>
      <c r="I700" s="448"/>
      <c r="J700" s="448"/>
      <c r="K700" s="449"/>
      <c r="L700" s="448"/>
      <c r="M700" s="450"/>
      <c r="N700" s="451"/>
      <c r="O700" s="451"/>
      <c r="P700" s="451"/>
      <c r="Q700" s="448"/>
      <c r="R700" s="83"/>
      <c r="S700" s="83"/>
      <c r="T700" s="83"/>
      <c r="U700" s="83"/>
      <c r="V700" s="83"/>
      <c r="W700" s="83"/>
      <c r="X700" s="83"/>
      <c r="Y700" s="83"/>
      <c r="Z700" s="83"/>
      <c r="AA700" s="83"/>
      <c r="AB700" s="83"/>
      <c r="AC700" s="83"/>
      <c r="AD700" s="83"/>
    </row>
    <row r="701">
      <c r="A701" s="447"/>
      <c r="B701" s="448"/>
      <c r="C701" s="448"/>
      <c r="D701" s="448"/>
      <c r="E701" s="448"/>
      <c r="F701" s="448"/>
      <c r="G701" s="448"/>
      <c r="H701" s="448"/>
      <c r="I701" s="448"/>
      <c r="J701" s="448"/>
      <c r="K701" s="449"/>
      <c r="L701" s="448"/>
      <c r="M701" s="450"/>
      <c r="N701" s="451"/>
      <c r="O701" s="451"/>
      <c r="P701" s="451"/>
      <c r="Q701" s="448"/>
      <c r="R701" s="83"/>
      <c r="S701" s="83"/>
      <c r="T701" s="83"/>
      <c r="U701" s="83"/>
      <c r="V701" s="83"/>
      <c r="W701" s="83"/>
      <c r="X701" s="83"/>
      <c r="Y701" s="83"/>
      <c r="Z701" s="83"/>
      <c r="AA701" s="83"/>
      <c r="AB701" s="83"/>
      <c r="AC701" s="83"/>
      <c r="AD701" s="83"/>
    </row>
    <row r="702">
      <c r="A702" s="447"/>
      <c r="B702" s="448"/>
      <c r="C702" s="448"/>
      <c r="D702" s="448"/>
      <c r="E702" s="448"/>
      <c r="F702" s="448"/>
      <c r="G702" s="448"/>
      <c r="H702" s="448"/>
      <c r="I702" s="448"/>
      <c r="J702" s="448"/>
      <c r="K702" s="449"/>
      <c r="L702" s="448"/>
      <c r="M702" s="450"/>
      <c r="N702" s="451"/>
      <c r="O702" s="451"/>
      <c r="P702" s="451"/>
      <c r="Q702" s="448"/>
      <c r="R702" s="83"/>
      <c r="S702" s="83"/>
      <c r="T702" s="83"/>
      <c r="U702" s="83"/>
      <c r="V702" s="83"/>
      <c r="W702" s="83"/>
      <c r="X702" s="83"/>
      <c r="Y702" s="83"/>
      <c r="Z702" s="83"/>
      <c r="AA702" s="83"/>
      <c r="AB702" s="83"/>
      <c r="AC702" s="83"/>
      <c r="AD702" s="83"/>
    </row>
    <row r="703">
      <c r="A703" s="447"/>
      <c r="B703" s="448"/>
      <c r="C703" s="448"/>
      <c r="D703" s="448"/>
      <c r="E703" s="448"/>
      <c r="F703" s="448"/>
      <c r="G703" s="448"/>
      <c r="H703" s="448"/>
      <c r="I703" s="448"/>
      <c r="J703" s="448"/>
      <c r="K703" s="449"/>
      <c r="L703" s="448"/>
      <c r="M703" s="450"/>
      <c r="N703" s="451"/>
      <c r="O703" s="451"/>
      <c r="P703" s="451"/>
      <c r="Q703" s="448"/>
      <c r="R703" s="83"/>
      <c r="S703" s="83"/>
      <c r="T703" s="83"/>
      <c r="U703" s="83"/>
      <c r="V703" s="83"/>
      <c r="W703" s="83"/>
      <c r="X703" s="83"/>
      <c r="Y703" s="83"/>
      <c r="Z703" s="83"/>
      <c r="AA703" s="83"/>
      <c r="AB703" s="83"/>
      <c r="AC703" s="83"/>
      <c r="AD703" s="83"/>
    </row>
    <row r="704">
      <c r="A704" s="447"/>
      <c r="B704" s="448"/>
      <c r="C704" s="448"/>
      <c r="D704" s="448"/>
      <c r="E704" s="448"/>
      <c r="F704" s="448"/>
      <c r="G704" s="448"/>
      <c r="H704" s="448"/>
      <c r="I704" s="448"/>
      <c r="J704" s="448"/>
      <c r="K704" s="449"/>
      <c r="L704" s="448"/>
      <c r="M704" s="450"/>
      <c r="N704" s="451"/>
      <c r="O704" s="451"/>
      <c r="P704" s="451"/>
      <c r="Q704" s="448"/>
      <c r="R704" s="83"/>
      <c r="S704" s="83"/>
      <c r="T704" s="83"/>
      <c r="U704" s="83"/>
      <c r="V704" s="83"/>
      <c r="W704" s="83"/>
      <c r="X704" s="83"/>
      <c r="Y704" s="83"/>
      <c r="Z704" s="83"/>
      <c r="AA704" s="83"/>
      <c r="AB704" s="83"/>
      <c r="AC704" s="83"/>
      <c r="AD704" s="83"/>
    </row>
    <row r="705">
      <c r="A705" s="447"/>
      <c r="B705" s="448"/>
      <c r="C705" s="448"/>
      <c r="D705" s="448"/>
      <c r="E705" s="448"/>
      <c r="F705" s="448"/>
      <c r="G705" s="448"/>
      <c r="H705" s="448"/>
      <c r="I705" s="448"/>
      <c r="J705" s="448"/>
      <c r="K705" s="449"/>
      <c r="L705" s="448"/>
      <c r="M705" s="450"/>
      <c r="N705" s="451"/>
      <c r="O705" s="451"/>
      <c r="P705" s="451"/>
      <c r="Q705" s="448"/>
      <c r="R705" s="83"/>
      <c r="S705" s="83"/>
      <c r="T705" s="83"/>
      <c r="U705" s="83"/>
      <c r="V705" s="83"/>
      <c r="W705" s="83"/>
      <c r="X705" s="83"/>
      <c r="Y705" s="83"/>
      <c r="Z705" s="83"/>
      <c r="AA705" s="83"/>
      <c r="AB705" s="83"/>
      <c r="AC705" s="83"/>
      <c r="AD705" s="83"/>
    </row>
    <row r="706">
      <c r="A706" s="447"/>
      <c r="B706" s="448"/>
      <c r="C706" s="448"/>
      <c r="D706" s="448"/>
      <c r="E706" s="448"/>
      <c r="F706" s="448"/>
      <c r="G706" s="448"/>
      <c r="H706" s="448"/>
      <c r="I706" s="448"/>
      <c r="J706" s="448"/>
      <c r="K706" s="449"/>
      <c r="L706" s="448"/>
      <c r="M706" s="450"/>
      <c r="N706" s="451"/>
      <c r="O706" s="451"/>
      <c r="P706" s="451"/>
      <c r="Q706" s="448"/>
      <c r="R706" s="83"/>
      <c r="S706" s="83"/>
      <c r="T706" s="83"/>
      <c r="U706" s="83"/>
      <c r="V706" s="83"/>
      <c r="W706" s="83"/>
      <c r="X706" s="83"/>
      <c r="Y706" s="83"/>
      <c r="Z706" s="83"/>
      <c r="AA706" s="83"/>
      <c r="AB706" s="83"/>
      <c r="AC706" s="83"/>
      <c r="AD706" s="83"/>
    </row>
    <row r="707">
      <c r="A707" s="447"/>
      <c r="B707" s="448"/>
      <c r="C707" s="448"/>
      <c r="D707" s="448"/>
      <c r="E707" s="448"/>
      <c r="F707" s="448"/>
      <c r="G707" s="448"/>
      <c r="H707" s="448"/>
      <c r="I707" s="448"/>
      <c r="J707" s="448"/>
      <c r="K707" s="449"/>
      <c r="L707" s="448"/>
      <c r="M707" s="450"/>
      <c r="N707" s="451"/>
      <c r="O707" s="451"/>
      <c r="P707" s="451"/>
      <c r="Q707" s="448"/>
      <c r="R707" s="83"/>
      <c r="S707" s="83"/>
      <c r="T707" s="83"/>
      <c r="U707" s="83"/>
      <c r="V707" s="83"/>
      <c r="W707" s="83"/>
      <c r="X707" s="83"/>
      <c r="Y707" s="83"/>
      <c r="Z707" s="83"/>
      <c r="AA707" s="83"/>
      <c r="AB707" s="83"/>
      <c r="AC707" s="83"/>
      <c r="AD707" s="83"/>
    </row>
    <row r="708">
      <c r="A708" s="447"/>
      <c r="B708" s="448"/>
      <c r="C708" s="448"/>
      <c r="D708" s="448"/>
      <c r="E708" s="448"/>
      <c r="F708" s="448"/>
      <c r="G708" s="448"/>
      <c r="H708" s="448"/>
      <c r="I708" s="448"/>
      <c r="J708" s="448"/>
      <c r="K708" s="449"/>
      <c r="L708" s="448"/>
      <c r="M708" s="450"/>
      <c r="N708" s="451"/>
      <c r="O708" s="451"/>
      <c r="P708" s="451"/>
      <c r="Q708" s="448"/>
      <c r="R708" s="83"/>
      <c r="S708" s="83"/>
      <c r="T708" s="83"/>
      <c r="U708" s="83"/>
      <c r="V708" s="83"/>
      <c r="W708" s="83"/>
      <c r="X708" s="83"/>
      <c r="Y708" s="83"/>
      <c r="Z708" s="83"/>
      <c r="AA708" s="83"/>
      <c r="AB708" s="83"/>
      <c r="AC708" s="83"/>
      <c r="AD708" s="83"/>
    </row>
    <row r="709">
      <c r="A709" s="447"/>
      <c r="B709" s="448"/>
      <c r="C709" s="448"/>
      <c r="D709" s="448"/>
      <c r="E709" s="448"/>
      <c r="F709" s="448"/>
      <c r="G709" s="448"/>
      <c r="H709" s="448"/>
      <c r="I709" s="448"/>
      <c r="J709" s="448"/>
      <c r="K709" s="449"/>
      <c r="L709" s="448"/>
      <c r="M709" s="450"/>
      <c r="N709" s="451"/>
      <c r="O709" s="451"/>
      <c r="P709" s="451"/>
      <c r="Q709" s="448"/>
      <c r="R709" s="83"/>
      <c r="S709" s="83"/>
      <c r="T709" s="83"/>
      <c r="U709" s="83"/>
      <c r="V709" s="83"/>
      <c r="W709" s="83"/>
      <c r="X709" s="83"/>
      <c r="Y709" s="83"/>
      <c r="Z709" s="83"/>
      <c r="AA709" s="83"/>
      <c r="AB709" s="83"/>
      <c r="AC709" s="83"/>
      <c r="AD709" s="83"/>
    </row>
    <row r="710">
      <c r="A710" s="447"/>
      <c r="B710" s="448"/>
      <c r="C710" s="448"/>
      <c r="D710" s="448"/>
      <c r="E710" s="448"/>
      <c r="F710" s="448"/>
      <c r="G710" s="448"/>
      <c r="H710" s="448"/>
      <c r="I710" s="448"/>
      <c r="J710" s="448"/>
      <c r="K710" s="449"/>
      <c r="L710" s="448"/>
      <c r="M710" s="450"/>
      <c r="N710" s="451"/>
      <c r="O710" s="451"/>
      <c r="P710" s="451"/>
      <c r="Q710" s="448"/>
      <c r="R710" s="83"/>
      <c r="S710" s="83"/>
      <c r="T710" s="83"/>
      <c r="U710" s="83"/>
      <c r="V710" s="83"/>
      <c r="W710" s="83"/>
      <c r="X710" s="83"/>
      <c r="Y710" s="83"/>
      <c r="Z710" s="83"/>
      <c r="AA710" s="83"/>
      <c r="AB710" s="83"/>
      <c r="AC710" s="83"/>
      <c r="AD710" s="83"/>
    </row>
    <row r="711">
      <c r="A711" s="447"/>
      <c r="B711" s="448"/>
      <c r="C711" s="448"/>
      <c r="D711" s="448"/>
      <c r="E711" s="448"/>
      <c r="F711" s="448"/>
      <c r="G711" s="448"/>
      <c r="H711" s="448"/>
      <c r="I711" s="448"/>
      <c r="J711" s="448"/>
      <c r="K711" s="449"/>
      <c r="L711" s="448"/>
      <c r="M711" s="450"/>
      <c r="N711" s="451"/>
      <c r="O711" s="451"/>
      <c r="P711" s="451"/>
      <c r="Q711" s="448"/>
      <c r="R711" s="83"/>
      <c r="S711" s="83"/>
      <c r="T711" s="83"/>
      <c r="U711" s="83"/>
      <c r="V711" s="83"/>
      <c r="W711" s="83"/>
      <c r="X711" s="83"/>
      <c r="Y711" s="83"/>
      <c r="Z711" s="83"/>
      <c r="AA711" s="83"/>
      <c r="AB711" s="83"/>
      <c r="AC711" s="83"/>
      <c r="AD711" s="83"/>
    </row>
    <row r="712">
      <c r="A712" s="447"/>
      <c r="B712" s="448"/>
      <c r="C712" s="448"/>
      <c r="D712" s="448"/>
      <c r="E712" s="448"/>
      <c r="F712" s="448"/>
      <c r="G712" s="448"/>
      <c r="H712" s="448"/>
      <c r="I712" s="448"/>
      <c r="J712" s="448"/>
      <c r="K712" s="449"/>
      <c r="L712" s="448"/>
      <c r="M712" s="450"/>
      <c r="N712" s="451"/>
      <c r="O712" s="451"/>
      <c r="P712" s="451"/>
      <c r="Q712" s="448"/>
      <c r="R712" s="83"/>
      <c r="S712" s="83"/>
      <c r="T712" s="83"/>
      <c r="U712" s="83"/>
      <c r="V712" s="83"/>
      <c r="W712" s="83"/>
      <c r="X712" s="83"/>
      <c r="Y712" s="83"/>
      <c r="Z712" s="83"/>
      <c r="AA712" s="83"/>
      <c r="AB712" s="83"/>
      <c r="AC712" s="83"/>
      <c r="AD712" s="83"/>
    </row>
    <row r="713">
      <c r="A713" s="447"/>
      <c r="B713" s="448"/>
      <c r="C713" s="448"/>
      <c r="D713" s="448"/>
      <c r="E713" s="448"/>
      <c r="F713" s="448"/>
      <c r="G713" s="448"/>
      <c r="H713" s="448"/>
      <c r="I713" s="448"/>
      <c r="J713" s="448"/>
      <c r="K713" s="449"/>
      <c r="L713" s="448"/>
      <c r="M713" s="450"/>
      <c r="N713" s="451"/>
      <c r="O713" s="451"/>
      <c r="P713" s="451"/>
      <c r="Q713" s="448"/>
      <c r="R713" s="83"/>
      <c r="S713" s="83"/>
      <c r="T713" s="83"/>
      <c r="U713" s="83"/>
      <c r="V713" s="83"/>
      <c r="W713" s="83"/>
      <c r="X713" s="83"/>
      <c r="Y713" s="83"/>
      <c r="Z713" s="83"/>
      <c r="AA713" s="83"/>
      <c r="AB713" s="83"/>
      <c r="AC713" s="83"/>
      <c r="AD713" s="83"/>
    </row>
    <row r="714">
      <c r="A714" s="447"/>
      <c r="B714" s="448"/>
      <c r="C714" s="448"/>
      <c r="D714" s="448"/>
      <c r="E714" s="448"/>
      <c r="F714" s="448"/>
      <c r="G714" s="448"/>
      <c r="H714" s="448"/>
      <c r="I714" s="448"/>
      <c r="J714" s="448"/>
      <c r="K714" s="449"/>
      <c r="L714" s="448"/>
      <c r="M714" s="450"/>
      <c r="N714" s="451"/>
      <c r="O714" s="451"/>
      <c r="P714" s="451"/>
      <c r="Q714" s="448"/>
      <c r="R714" s="83"/>
      <c r="S714" s="83"/>
      <c r="T714" s="83"/>
      <c r="U714" s="83"/>
      <c r="V714" s="83"/>
      <c r="W714" s="83"/>
      <c r="X714" s="83"/>
      <c r="Y714" s="83"/>
      <c r="Z714" s="83"/>
      <c r="AA714" s="83"/>
      <c r="AB714" s="83"/>
      <c r="AC714" s="83"/>
      <c r="AD714" s="83"/>
    </row>
    <row r="715">
      <c r="A715" s="447"/>
      <c r="B715" s="448"/>
      <c r="C715" s="448"/>
      <c r="D715" s="448"/>
      <c r="E715" s="448"/>
      <c r="F715" s="448"/>
      <c r="G715" s="448"/>
      <c r="H715" s="448"/>
      <c r="I715" s="448"/>
      <c r="J715" s="448"/>
      <c r="K715" s="449"/>
      <c r="L715" s="448"/>
      <c r="M715" s="450"/>
      <c r="N715" s="451"/>
      <c r="O715" s="451"/>
      <c r="P715" s="451"/>
      <c r="Q715" s="448"/>
      <c r="R715" s="83"/>
      <c r="S715" s="83"/>
      <c r="T715" s="83"/>
      <c r="U715" s="83"/>
      <c r="V715" s="83"/>
      <c r="W715" s="83"/>
      <c r="X715" s="83"/>
      <c r="Y715" s="83"/>
      <c r="Z715" s="83"/>
      <c r="AA715" s="83"/>
      <c r="AB715" s="83"/>
      <c r="AC715" s="83"/>
      <c r="AD715" s="83"/>
    </row>
    <row r="716">
      <c r="A716" s="447"/>
      <c r="B716" s="448"/>
      <c r="C716" s="448"/>
      <c r="D716" s="448"/>
      <c r="E716" s="448"/>
      <c r="F716" s="448"/>
      <c r="G716" s="448"/>
      <c r="H716" s="448"/>
      <c r="I716" s="448"/>
      <c r="J716" s="448"/>
      <c r="K716" s="449"/>
      <c r="L716" s="448"/>
      <c r="M716" s="450"/>
      <c r="N716" s="451"/>
      <c r="O716" s="451"/>
      <c r="P716" s="451"/>
      <c r="Q716" s="448"/>
      <c r="R716" s="83"/>
      <c r="S716" s="83"/>
      <c r="T716" s="83"/>
      <c r="U716" s="83"/>
      <c r="V716" s="83"/>
      <c r="W716" s="83"/>
      <c r="X716" s="83"/>
      <c r="Y716" s="83"/>
      <c r="Z716" s="83"/>
      <c r="AA716" s="83"/>
      <c r="AB716" s="83"/>
      <c r="AC716" s="83"/>
      <c r="AD716" s="83"/>
    </row>
    <row r="717">
      <c r="A717" s="447"/>
      <c r="B717" s="448"/>
      <c r="C717" s="448"/>
      <c r="D717" s="448"/>
      <c r="E717" s="448"/>
      <c r="F717" s="448"/>
      <c r="G717" s="448"/>
      <c r="H717" s="448"/>
      <c r="I717" s="448"/>
      <c r="J717" s="448"/>
      <c r="K717" s="449"/>
      <c r="L717" s="448"/>
      <c r="M717" s="450"/>
      <c r="N717" s="451"/>
      <c r="O717" s="451"/>
      <c r="P717" s="451"/>
      <c r="Q717" s="448"/>
      <c r="R717" s="83"/>
      <c r="S717" s="83"/>
      <c r="T717" s="83"/>
      <c r="U717" s="83"/>
      <c r="V717" s="83"/>
      <c r="W717" s="83"/>
      <c r="X717" s="83"/>
      <c r="Y717" s="83"/>
      <c r="Z717" s="83"/>
      <c r="AA717" s="83"/>
      <c r="AB717" s="83"/>
      <c r="AC717" s="83"/>
      <c r="AD717" s="83"/>
    </row>
    <row r="718">
      <c r="A718" s="447"/>
      <c r="B718" s="448"/>
      <c r="C718" s="448"/>
      <c r="D718" s="448"/>
      <c r="E718" s="448"/>
      <c r="F718" s="448"/>
      <c r="G718" s="448"/>
      <c r="H718" s="448"/>
      <c r="I718" s="448"/>
      <c r="J718" s="448"/>
      <c r="K718" s="449"/>
      <c r="L718" s="448"/>
      <c r="M718" s="450"/>
      <c r="N718" s="451"/>
      <c r="O718" s="451"/>
      <c r="P718" s="451"/>
      <c r="Q718" s="448"/>
      <c r="R718" s="83"/>
      <c r="S718" s="83"/>
      <c r="T718" s="83"/>
      <c r="U718" s="83"/>
      <c r="V718" s="83"/>
      <c r="W718" s="83"/>
      <c r="X718" s="83"/>
      <c r="Y718" s="83"/>
      <c r="Z718" s="83"/>
      <c r="AA718" s="83"/>
      <c r="AB718" s="83"/>
      <c r="AC718" s="83"/>
      <c r="AD718" s="83"/>
    </row>
    <row r="719">
      <c r="A719" s="447"/>
      <c r="B719" s="448"/>
      <c r="C719" s="448"/>
      <c r="D719" s="448"/>
      <c r="E719" s="448"/>
      <c r="F719" s="448"/>
      <c r="G719" s="448"/>
      <c r="H719" s="448"/>
      <c r="I719" s="448"/>
      <c r="J719" s="448"/>
      <c r="K719" s="449"/>
      <c r="L719" s="448"/>
      <c r="M719" s="450"/>
      <c r="N719" s="451"/>
      <c r="O719" s="451"/>
      <c r="P719" s="451"/>
      <c r="Q719" s="448"/>
      <c r="R719" s="83"/>
      <c r="S719" s="83"/>
      <c r="T719" s="83"/>
      <c r="U719" s="83"/>
      <c r="V719" s="83"/>
      <c r="W719" s="83"/>
      <c r="X719" s="83"/>
      <c r="Y719" s="83"/>
      <c r="Z719" s="83"/>
      <c r="AA719" s="83"/>
      <c r="AB719" s="83"/>
      <c r="AC719" s="83"/>
      <c r="AD719" s="83"/>
    </row>
    <row r="720">
      <c r="A720" s="447"/>
      <c r="B720" s="448"/>
      <c r="C720" s="448"/>
      <c r="D720" s="448"/>
      <c r="E720" s="448"/>
      <c r="F720" s="448"/>
      <c r="G720" s="448"/>
      <c r="H720" s="448"/>
      <c r="I720" s="448"/>
      <c r="J720" s="448"/>
      <c r="K720" s="449"/>
      <c r="L720" s="448"/>
      <c r="M720" s="450"/>
      <c r="N720" s="451"/>
      <c r="O720" s="451"/>
      <c r="P720" s="451"/>
      <c r="Q720" s="448"/>
      <c r="R720" s="83"/>
      <c r="S720" s="83"/>
      <c r="T720" s="83"/>
      <c r="U720" s="83"/>
      <c r="V720" s="83"/>
      <c r="W720" s="83"/>
      <c r="X720" s="83"/>
      <c r="Y720" s="83"/>
      <c r="Z720" s="83"/>
      <c r="AA720" s="83"/>
      <c r="AB720" s="83"/>
      <c r="AC720" s="83"/>
      <c r="AD720" s="83"/>
    </row>
    <row r="721">
      <c r="A721" s="447"/>
      <c r="B721" s="448"/>
      <c r="C721" s="448"/>
      <c r="D721" s="448"/>
      <c r="E721" s="448"/>
      <c r="F721" s="448"/>
      <c r="G721" s="448"/>
      <c r="H721" s="448"/>
      <c r="I721" s="448"/>
      <c r="J721" s="448"/>
      <c r="K721" s="449"/>
      <c r="L721" s="448"/>
      <c r="M721" s="450"/>
      <c r="N721" s="451"/>
      <c r="O721" s="451"/>
      <c r="P721" s="451"/>
      <c r="Q721" s="448"/>
      <c r="R721" s="83"/>
      <c r="S721" s="83"/>
      <c r="T721" s="83"/>
      <c r="U721" s="83"/>
      <c r="V721" s="83"/>
      <c r="W721" s="83"/>
      <c r="X721" s="83"/>
      <c r="Y721" s="83"/>
      <c r="Z721" s="83"/>
      <c r="AA721" s="83"/>
      <c r="AB721" s="83"/>
      <c r="AC721" s="83"/>
      <c r="AD721" s="83"/>
    </row>
    <row r="722">
      <c r="A722" s="447"/>
      <c r="B722" s="448"/>
      <c r="C722" s="448"/>
      <c r="D722" s="448"/>
      <c r="E722" s="448"/>
      <c r="F722" s="448"/>
      <c r="G722" s="448"/>
      <c r="H722" s="448"/>
      <c r="I722" s="448"/>
      <c r="J722" s="448"/>
      <c r="K722" s="449"/>
      <c r="L722" s="448"/>
      <c r="M722" s="450"/>
      <c r="N722" s="451"/>
      <c r="O722" s="451"/>
      <c r="P722" s="451"/>
      <c r="Q722" s="448"/>
      <c r="R722" s="83"/>
      <c r="S722" s="83"/>
      <c r="T722" s="83"/>
      <c r="U722" s="83"/>
      <c r="V722" s="83"/>
      <c r="W722" s="83"/>
      <c r="X722" s="83"/>
      <c r="Y722" s="83"/>
      <c r="Z722" s="83"/>
      <c r="AA722" s="83"/>
      <c r="AB722" s="83"/>
      <c r="AC722" s="83"/>
      <c r="AD722" s="83"/>
    </row>
    <row r="723">
      <c r="A723" s="447"/>
      <c r="B723" s="448"/>
      <c r="C723" s="448"/>
      <c r="D723" s="448"/>
      <c r="E723" s="448"/>
      <c r="F723" s="448"/>
      <c r="G723" s="448"/>
      <c r="H723" s="448"/>
      <c r="I723" s="448"/>
      <c r="J723" s="448"/>
      <c r="K723" s="449"/>
      <c r="L723" s="448"/>
      <c r="M723" s="450"/>
      <c r="N723" s="451"/>
      <c r="O723" s="451"/>
      <c r="P723" s="451"/>
      <c r="Q723" s="448"/>
      <c r="R723" s="83"/>
      <c r="S723" s="83"/>
      <c r="T723" s="83"/>
      <c r="U723" s="83"/>
      <c r="V723" s="83"/>
      <c r="W723" s="83"/>
      <c r="X723" s="83"/>
      <c r="Y723" s="83"/>
      <c r="Z723" s="83"/>
      <c r="AA723" s="83"/>
      <c r="AB723" s="83"/>
      <c r="AC723" s="83"/>
      <c r="AD723" s="83"/>
    </row>
    <row r="724">
      <c r="A724" s="447"/>
      <c r="B724" s="448"/>
      <c r="C724" s="448"/>
      <c r="D724" s="448"/>
      <c r="E724" s="448"/>
      <c r="F724" s="448"/>
      <c r="G724" s="448"/>
      <c r="H724" s="448"/>
      <c r="I724" s="448"/>
      <c r="J724" s="448"/>
      <c r="K724" s="449"/>
      <c r="L724" s="448"/>
      <c r="M724" s="450"/>
      <c r="N724" s="451"/>
      <c r="O724" s="451"/>
      <c r="P724" s="451"/>
      <c r="Q724" s="448"/>
      <c r="R724" s="83"/>
      <c r="S724" s="83"/>
      <c r="T724" s="83"/>
      <c r="U724" s="83"/>
      <c r="V724" s="83"/>
      <c r="W724" s="83"/>
      <c r="X724" s="83"/>
      <c r="Y724" s="83"/>
      <c r="Z724" s="83"/>
      <c r="AA724" s="83"/>
      <c r="AB724" s="83"/>
      <c r="AC724" s="83"/>
      <c r="AD724" s="83"/>
    </row>
    <row r="725">
      <c r="A725" s="447"/>
      <c r="B725" s="448"/>
      <c r="C725" s="448"/>
      <c r="D725" s="448"/>
      <c r="E725" s="448"/>
      <c r="F725" s="448"/>
      <c r="G725" s="448"/>
      <c r="H725" s="448"/>
      <c r="I725" s="448"/>
      <c r="J725" s="448"/>
      <c r="K725" s="449"/>
      <c r="L725" s="448"/>
      <c r="M725" s="450"/>
      <c r="N725" s="451"/>
      <c r="O725" s="451"/>
      <c r="P725" s="451"/>
      <c r="Q725" s="448"/>
      <c r="R725" s="83"/>
      <c r="S725" s="83"/>
      <c r="T725" s="83"/>
      <c r="U725" s="83"/>
      <c r="V725" s="83"/>
      <c r="W725" s="83"/>
      <c r="X725" s="83"/>
      <c r="Y725" s="83"/>
      <c r="Z725" s="83"/>
      <c r="AA725" s="83"/>
      <c r="AB725" s="83"/>
      <c r="AC725" s="83"/>
      <c r="AD725" s="83"/>
    </row>
    <row r="726">
      <c r="A726" s="447"/>
      <c r="B726" s="448"/>
      <c r="C726" s="448"/>
      <c r="D726" s="448"/>
      <c r="E726" s="448"/>
      <c r="F726" s="448"/>
      <c r="G726" s="448"/>
      <c r="H726" s="448"/>
      <c r="I726" s="448"/>
      <c r="J726" s="448"/>
      <c r="K726" s="449"/>
      <c r="L726" s="448"/>
      <c r="M726" s="450"/>
      <c r="N726" s="451"/>
      <c r="O726" s="451"/>
      <c r="P726" s="451"/>
      <c r="Q726" s="448"/>
      <c r="R726" s="83"/>
      <c r="S726" s="83"/>
      <c r="T726" s="83"/>
      <c r="U726" s="83"/>
      <c r="V726" s="83"/>
      <c r="W726" s="83"/>
      <c r="X726" s="83"/>
      <c r="Y726" s="83"/>
      <c r="Z726" s="83"/>
      <c r="AA726" s="83"/>
      <c r="AB726" s="83"/>
      <c r="AC726" s="83"/>
      <c r="AD726" s="83"/>
    </row>
    <row r="727">
      <c r="A727" s="447"/>
      <c r="B727" s="448"/>
      <c r="C727" s="448"/>
      <c r="D727" s="448"/>
      <c r="E727" s="448"/>
      <c r="F727" s="448"/>
      <c r="G727" s="448"/>
      <c r="H727" s="448"/>
      <c r="I727" s="448"/>
      <c r="J727" s="448"/>
      <c r="K727" s="449"/>
      <c r="L727" s="448"/>
      <c r="M727" s="450"/>
      <c r="N727" s="451"/>
      <c r="O727" s="451"/>
      <c r="P727" s="451"/>
      <c r="Q727" s="448"/>
      <c r="R727" s="83"/>
      <c r="S727" s="83"/>
      <c r="T727" s="83"/>
      <c r="U727" s="83"/>
      <c r="V727" s="83"/>
      <c r="W727" s="83"/>
      <c r="X727" s="83"/>
      <c r="Y727" s="83"/>
      <c r="Z727" s="83"/>
      <c r="AA727" s="83"/>
      <c r="AB727" s="83"/>
      <c r="AC727" s="83"/>
      <c r="AD727" s="83"/>
    </row>
    <row r="728">
      <c r="A728" s="447"/>
      <c r="B728" s="448"/>
      <c r="C728" s="448"/>
      <c r="D728" s="448"/>
      <c r="E728" s="448"/>
      <c r="F728" s="448"/>
      <c r="G728" s="448"/>
      <c r="H728" s="448"/>
      <c r="I728" s="448"/>
      <c r="J728" s="448"/>
      <c r="K728" s="449"/>
      <c r="L728" s="448"/>
      <c r="M728" s="450"/>
      <c r="N728" s="451"/>
      <c r="O728" s="451"/>
      <c r="P728" s="451"/>
      <c r="Q728" s="448"/>
      <c r="R728" s="83"/>
      <c r="S728" s="83"/>
      <c r="T728" s="83"/>
      <c r="U728" s="83"/>
      <c r="V728" s="83"/>
      <c r="W728" s="83"/>
      <c r="X728" s="83"/>
      <c r="Y728" s="83"/>
      <c r="Z728" s="83"/>
      <c r="AA728" s="83"/>
      <c r="AB728" s="83"/>
      <c r="AC728" s="83"/>
      <c r="AD728" s="83"/>
    </row>
    <row r="729">
      <c r="A729" s="447"/>
      <c r="B729" s="448"/>
      <c r="C729" s="448"/>
      <c r="D729" s="448"/>
      <c r="E729" s="448"/>
      <c r="F729" s="448"/>
      <c r="G729" s="448"/>
      <c r="H729" s="448"/>
      <c r="I729" s="448"/>
      <c r="J729" s="448"/>
      <c r="K729" s="449"/>
      <c r="L729" s="448"/>
      <c r="M729" s="450"/>
      <c r="N729" s="451"/>
      <c r="O729" s="451"/>
      <c r="P729" s="451"/>
      <c r="Q729" s="448"/>
      <c r="R729" s="83"/>
      <c r="S729" s="83"/>
      <c r="T729" s="83"/>
      <c r="U729" s="83"/>
      <c r="V729" s="83"/>
      <c r="W729" s="83"/>
      <c r="X729" s="83"/>
      <c r="Y729" s="83"/>
      <c r="Z729" s="83"/>
      <c r="AA729" s="83"/>
      <c r="AB729" s="83"/>
      <c r="AC729" s="83"/>
      <c r="AD729" s="83"/>
    </row>
    <row r="730">
      <c r="A730" s="447"/>
      <c r="B730" s="448"/>
      <c r="C730" s="448"/>
      <c r="D730" s="448"/>
      <c r="E730" s="448"/>
      <c r="F730" s="448"/>
      <c r="G730" s="448"/>
      <c r="H730" s="448"/>
      <c r="I730" s="448"/>
      <c r="J730" s="448"/>
      <c r="K730" s="449"/>
      <c r="L730" s="448"/>
      <c r="M730" s="450"/>
      <c r="N730" s="451"/>
      <c r="O730" s="451"/>
      <c r="P730" s="451"/>
      <c r="Q730" s="448"/>
      <c r="R730" s="83"/>
      <c r="S730" s="83"/>
      <c r="T730" s="83"/>
      <c r="U730" s="83"/>
      <c r="V730" s="83"/>
      <c r="W730" s="83"/>
      <c r="X730" s="83"/>
      <c r="Y730" s="83"/>
      <c r="Z730" s="83"/>
      <c r="AA730" s="83"/>
      <c r="AB730" s="83"/>
      <c r="AC730" s="83"/>
      <c r="AD730" s="83"/>
    </row>
    <row r="731">
      <c r="A731" s="447"/>
      <c r="B731" s="448"/>
      <c r="C731" s="448"/>
      <c r="D731" s="448"/>
      <c r="E731" s="448"/>
      <c r="F731" s="448"/>
      <c r="G731" s="448"/>
      <c r="H731" s="448"/>
      <c r="I731" s="448"/>
      <c r="J731" s="448"/>
      <c r="K731" s="449"/>
      <c r="L731" s="448"/>
      <c r="M731" s="450"/>
      <c r="N731" s="451"/>
      <c r="O731" s="451"/>
      <c r="P731" s="451"/>
      <c r="Q731" s="448"/>
      <c r="R731" s="83"/>
      <c r="S731" s="83"/>
      <c r="T731" s="83"/>
      <c r="U731" s="83"/>
      <c r="V731" s="83"/>
      <c r="W731" s="83"/>
      <c r="X731" s="83"/>
      <c r="Y731" s="83"/>
      <c r="Z731" s="83"/>
      <c r="AA731" s="83"/>
      <c r="AB731" s="83"/>
      <c r="AC731" s="83"/>
      <c r="AD731" s="83"/>
    </row>
    <row r="732">
      <c r="A732" s="447"/>
      <c r="B732" s="448"/>
      <c r="C732" s="448"/>
      <c r="D732" s="448"/>
      <c r="E732" s="448"/>
      <c r="F732" s="448"/>
      <c r="G732" s="448"/>
      <c r="H732" s="448"/>
      <c r="I732" s="448"/>
      <c r="J732" s="448"/>
      <c r="K732" s="449"/>
      <c r="L732" s="448"/>
      <c r="M732" s="450"/>
      <c r="N732" s="451"/>
      <c r="O732" s="451"/>
      <c r="P732" s="451"/>
      <c r="Q732" s="448"/>
      <c r="R732" s="83"/>
      <c r="S732" s="83"/>
      <c r="T732" s="83"/>
      <c r="U732" s="83"/>
      <c r="V732" s="83"/>
      <c r="W732" s="83"/>
      <c r="X732" s="83"/>
      <c r="Y732" s="83"/>
      <c r="Z732" s="83"/>
      <c r="AA732" s="83"/>
      <c r="AB732" s="83"/>
      <c r="AC732" s="83"/>
      <c r="AD732" s="83"/>
    </row>
    <row r="733">
      <c r="A733" s="447"/>
      <c r="B733" s="448"/>
      <c r="C733" s="448"/>
      <c r="D733" s="448"/>
      <c r="E733" s="448"/>
      <c r="F733" s="448"/>
      <c r="G733" s="448"/>
      <c r="H733" s="448"/>
      <c r="I733" s="448"/>
      <c r="J733" s="448"/>
      <c r="K733" s="449"/>
      <c r="L733" s="448"/>
      <c r="M733" s="450"/>
      <c r="N733" s="451"/>
      <c r="O733" s="451"/>
      <c r="P733" s="451"/>
      <c r="Q733" s="448"/>
      <c r="R733" s="83"/>
      <c r="S733" s="83"/>
      <c r="T733" s="83"/>
      <c r="U733" s="83"/>
      <c r="V733" s="83"/>
      <c r="W733" s="83"/>
      <c r="X733" s="83"/>
      <c r="Y733" s="83"/>
      <c r="Z733" s="83"/>
      <c r="AA733" s="83"/>
      <c r="AB733" s="83"/>
      <c r="AC733" s="83"/>
      <c r="AD733" s="83"/>
    </row>
    <row r="734">
      <c r="A734" s="447"/>
      <c r="B734" s="448"/>
      <c r="C734" s="448"/>
      <c r="D734" s="448"/>
      <c r="E734" s="448"/>
      <c r="F734" s="448"/>
      <c r="G734" s="448"/>
      <c r="H734" s="448"/>
      <c r="I734" s="448"/>
      <c r="J734" s="448"/>
      <c r="K734" s="449"/>
      <c r="L734" s="448"/>
      <c r="M734" s="450"/>
      <c r="N734" s="451"/>
      <c r="O734" s="451"/>
      <c r="P734" s="451"/>
      <c r="Q734" s="448"/>
      <c r="R734" s="83"/>
      <c r="S734" s="83"/>
      <c r="T734" s="83"/>
      <c r="U734" s="83"/>
      <c r="V734" s="83"/>
      <c r="W734" s="83"/>
      <c r="X734" s="83"/>
      <c r="Y734" s="83"/>
      <c r="Z734" s="83"/>
      <c r="AA734" s="83"/>
      <c r="AB734" s="83"/>
      <c r="AC734" s="83"/>
      <c r="AD734" s="83"/>
    </row>
    <row r="735">
      <c r="A735" s="447"/>
      <c r="B735" s="448"/>
      <c r="C735" s="448"/>
      <c r="D735" s="448"/>
      <c r="E735" s="448"/>
      <c r="F735" s="448"/>
      <c r="G735" s="448"/>
      <c r="H735" s="448"/>
      <c r="I735" s="448"/>
      <c r="J735" s="448"/>
      <c r="K735" s="449"/>
      <c r="L735" s="448"/>
      <c r="M735" s="450"/>
      <c r="N735" s="451"/>
      <c r="O735" s="451"/>
      <c r="P735" s="451"/>
      <c r="Q735" s="448"/>
      <c r="R735" s="83"/>
      <c r="S735" s="83"/>
      <c r="T735" s="83"/>
      <c r="U735" s="83"/>
      <c r="V735" s="83"/>
      <c r="W735" s="83"/>
      <c r="X735" s="83"/>
      <c r="Y735" s="83"/>
      <c r="Z735" s="83"/>
      <c r="AA735" s="83"/>
      <c r="AB735" s="83"/>
      <c r="AC735" s="83"/>
      <c r="AD735" s="83"/>
    </row>
    <row r="736">
      <c r="A736" s="447"/>
      <c r="B736" s="448"/>
      <c r="C736" s="448"/>
      <c r="D736" s="448"/>
      <c r="E736" s="448"/>
      <c r="F736" s="448"/>
      <c r="G736" s="448"/>
      <c r="H736" s="448"/>
      <c r="I736" s="448"/>
      <c r="J736" s="448"/>
      <c r="K736" s="449"/>
      <c r="L736" s="448"/>
      <c r="M736" s="450"/>
      <c r="N736" s="451"/>
      <c r="O736" s="451"/>
      <c r="P736" s="451"/>
      <c r="Q736" s="448"/>
      <c r="R736" s="83"/>
      <c r="S736" s="83"/>
      <c r="T736" s="83"/>
      <c r="U736" s="83"/>
      <c r="V736" s="83"/>
      <c r="W736" s="83"/>
      <c r="X736" s="83"/>
      <c r="Y736" s="83"/>
      <c r="Z736" s="83"/>
      <c r="AA736" s="83"/>
      <c r="AB736" s="83"/>
      <c r="AC736" s="83"/>
      <c r="AD736" s="83"/>
    </row>
    <row r="737">
      <c r="A737" s="447"/>
      <c r="B737" s="448"/>
      <c r="C737" s="448"/>
      <c r="D737" s="448"/>
      <c r="E737" s="448"/>
      <c r="F737" s="448"/>
      <c r="G737" s="448"/>
      <c r="H737" s="448"/>
      <c r="I737" s="448"/>
      <c r="J737" s="448"/>
      <c r="K737" s="449"/>
      <c r="L737" s="448"/>
      <c r="M737" s="450"/>
      <c r="N737" s="451"/>
      <c r="O737" s="451"/>
      <c r="P737" s="451"/>
      <c r="Q737" s="448"/>
      <c r="R737" s="83"/>
      <c r="S737" s="83"/>
      <c r="T737" s="83"/>
      <c r="U737" s="83"/>
      <c r="V737" s="83"/>
      <c r="W737" s="83"/>
      <c r="X737" s="83"/>
      <c r="Y737" s="83"/>
      <c r="Z737" s="83"/>
      <c r="AA737" s="83"/>
      <c r="AB737" s="83"/>
      <c r="AC737" s="83"/>
      <c r="AD737" s="83"/>
    </row>
    <row r="738">
      <c r="A738" s="447"/>
      <c r="B738" s="448"/>
      <c r="C738" s="448"/>
      <c r="D738" s="448"/>
      <c r="E738" s="448"/>
      <c r="F738" s="448"/>
      <c r="G738" s="448"/>
      <c r="H738" s="448"/>
      <c r="I738" s="448"/>
      <c r="J738" s="448"/>
      <c r="K738" s="449"/>
      <c r="L738" s="448"/>
      <c r="M738" s="450"/>
      <c r="N738" s="451"/>
      <c r="O738" s="451"/>
      <c r="P738" s="451"/>
      <c r="Q738" s="448"/>
      <c r="R738" s="83"/>
      <c r="S738" s="83"/>
      <c r="T738" s="83"/>
      <c r="U738" s="83"/>
      <c r="V738" s="83"/>
      <c r="W738" s="83"/>
      <c r="X738" s="83"/>
      <c r="Y738" s="83"/>
      <c r="Z738" s="83"/>
      <c r="AA738" s="83"/>
      <c r="AB738" s="83"/>
      <c r="AC738" s="83"/>
      <c r="AD738" s="83"/>
    </row>
    <row r="739">
      <c r="A739" s="447"/>
      <c r="B739" s="448"/>
      <c r="C739" s="448"/>
      <c r="D739" s="448"/>
      <c r="E739" s="448"/>
      <c r="F739" s="448"/>
      <c r="G739" s="448"/>
      <c r="H739" s="448"/>
      <c r="I739" s="448"/>
      <c r="J739" s="448"/>
      <c r="K739" s="449"/>
      <c r="L739" s="448"/>
      <c r="M739" s="450"/>
      <c r="N739" s="451"/>
      <c r="O739" s="451"/>
      <c r="P739" s="451"/>
      <c r="Q739" s="448"/>
      <c r="R739" s="83"/>
      <c r="S739" s="83"/>
      <c r="T739" s="83"/>
      <c r="U739" s="83"/>
      <c r="V739" s="83"/>
      <c r="W739" s="83"/>
      <c r="X739" s="83"/>
      <c r="Y739" s="83"/>
      <c r="Z739" s="83"/>
      <c r="AA739" s="83"/>
      <c r="AB739" s="83"/>
      <c r="AC739" s="83"/>
      <c r="AD739" s="83"/>
    </row>
    <row r="740">
      <c r="A740" s="447"/>
      <c r="B740" s="448"/>
      <c r="C740" s="448"/>
      <c r="D740" s="448"/>
      <c r="E740" s="448"/>
      <c r="F740" s="448"/>
      <c r="G740" s="448"/>
      <c r="H740" s="448"/>
      <c r="I740" s="448"/>
      <c r="J740" s="448"/>
      <c r="K740" s="449"/>
      <c r="L740" s="448"/>
      <c r="M740" s="450"/>
      <c r="N740" s="451"/>
      <c r="O740" s="451"/>
      <c r="P740" s="451"/>
      <c r="Q740" s="448"/>
      <c r="R740" s="83"/>
      <c r="S740" s="83"/>
      <c r="T740" s="83"/>
      <c r="U740" s="83"/>
      <c r="V740" s="83"/>
      <c r="W740" s="83"/>
      <c r="X740" s="83"/>
      <c r="Y740" s="83"/>
      <c r="Z740" s="83"/>
      <c r="AA740" s="83"/>
      <c r="AB740" s="83"/>
      <c r="AC740" s="83"/>
      <c r="AD740" s="83"/>
    </row>
    <row r="741">
      <c r="A741" s="447"/>
      <c r="B741" s="448"/>
      <c r="C741" s="448"/>
      <c r="D741" s="448"/>
      <c r="E741" s="448"/>
      <c r="F741" s="448"/>
      <c r="G741" s="448"/>
      <c r="H741" s="448"/>
      <c r="I741" s="448"/>
      <c r="J741" s="448"/>
      <c r="K741" s="449"/>
      <c r="L741" s="448"/>
      <c r="M741" s="450"/>
      <c r="N741" s="451"/>
      <c r="O741" s="451"/>
      <c r="P741" s="451"/>
      <c r="Q741" s="448"/>
      <c r="R741" s="83"/>
      <c r="S741" s="83"/>
      <c r="T741" s="83"/>
      <c r="U741" s="83"/>
      <c r="V741" s="83"/>
      <c r="W741" s="83"/>
      <c r="X741" s="83"/>
      <c r="Y741" s="83"/>
      <c r="Z741" s="83"/>
      <c r="AA741" s="83"/>
      <c r="AB741" s="83"/>
      <c r="AC741" s="83"/>
      <c r="AD741" s="83"/>
    </row>
    <row r="742">
      <c r="A742" s="447"/>
      <c r="B742" s="448"/>
      <c r="C742" s="448"/>
      <c r="D742" s="448"/>
      <c r="E742" s="448"/>
      <c r="F742" s="448"/>
      <c r="G742" s="448"/>
      <c r="H742" s="448"/>
      <c r="I742" s="448"/>
      <c r="J742" s="448"/>
      <c r="K742" s="449"/>
      <c r="L742" s="448"/>
      <c r="M742" s="450"/>
      <c r="N742" s="451"/>
      <c r="O742" s="451"/>
      <c r="P742" s="451"/>
      <c r="Q742" s="448"/>
      <c r="R742" s="83"/>
      <c r="S742" s="83"/>
      <c r="T742" s="83"/>
      <c r="U742" s="83"/>
      <c r="V742" s="83"/>
      <c r="W742" s="83"/>
      <c r="X742" s="83"/>
      <c r="Y742" s="83"/>
      <c r="Z742" s="83"/>
      <c r="AA742" s="83"/>
      <c r="AB742" s="83"/>
      <c r="AC742" s="83"/>
      <c r="AD742" s="83"/>
    </row>
    <row r="743">
      <c r="A743" s="447"/>
      <c r="B743" s="448"/>
      <c r="C743" s="448"/>
      <c r="D743" s="448"/>
      <c r="E743" s="448"/>
      <c r="F743" s="448"/>
      <c r="G743" s="448"/>
      <c r="H743" s="448"/>
      <c r="I743" s="448"/>
      <c r="J743" s="448"/>
      <c r="K743" s="449"/>
      <c r="L743" s="448"/>
      <c r="M743" s="450"/>
      <c r="N743" s="451"/>
      <c r="O743" s="451"/>
      <c r="P743" s="451"/>
      <c r="Q743" s="448"/>
      <c r="R743" s="83"/>
      <c r="S743" s="83"/>
      <c r="T743" s="83"/>
      <c r="U743" s="83"/>
      <c r="V743" s="83"/>
      <c r="W743" s="83"/>
      <c r="X743" s="83"/>
      <c r="Y743" s="83"/>
      <c r="Z743" s="83"/>
      <c r="AA743" s="83"/>
      <c r="AB743" s="83"/>
      <c r="AC743" s="83"/>
      <c r="AD743" s="83"/>
    </row>
    <row r="744">
      <c r="A744" s="447"/>
      <c r="B744" s="448"/>
      <c r="C744" s="448"/>
      <c r="D744" s="448"/>
      <c r="E744" s="448"/>
      <c r="F744" s="448"/>
      <c r="G744" s="448"/>
      <c r="H744" s="448"/>
      <c r="I744" s="448"/>
      <c r="J744" s="448"/>
      <c r="K744" s="449"/>
      <c r="L744" s="448"/>
      <c r="M744" s="450"/>
      <c r="N744" s="451"/>
      <c r="O744" s="451"/>
      <c r="P744" s="451"/>
      <c r="Q744" s="448"/>
      <c r="R744" s="83"/>
      <c r="S744" s="83"/>
      <c r="T744" s="83"/>
      <c r="U744" s="83"/>
      <c r="V744" s="83"/>
      <c r="W744" s="83"/>
      <c r="X744" s="83"/>
      <c r="Y744" s="83"/>
      <c r="Z744" s="83"/>
      <c r="AA744" s="83"/>
      <c r="AB744" s="83"/>
      <c r="AC744" s="83"/>
      <c r="AD744" s="83"/>
    </row>
    <row r="745">
      <c r="A745" s="447"/>
      <c r="B745" s="448"/>
      <c r="C745" s="448"/>
      <c r="D745" s="448"/>
      <c r="E745" s="448"/>
      <c r="F745" s="448"/>
      <c r="G745" s="448"/>
      <c r="H745" s="448"/>
      <c r="I745" s="448"/>
      <c r="J745" s="448"/>
      <c r="K745" s="449"/>
      <c r="L745" s="448"/>
      <c r="M745" s="450"/>
      <c r="N745" s="451"/>
      <c r="O745" s="451"/>
      <c r="P745" s="451"/>
      <c r="Q745" s="448"/>
      <c r="R745" s="83"/>
      <c r="S745" s="83"/>
      <c r="T745" s="83"/>
      <c r="U745" s="83"/>
      <c r="V745" s="83"/>
      <c r="W745" s="83"/>
      <c r="X745" s="83"/>
      <c r="Y745" s="83"/>
      <c r="Z745" s="83"/>
      <c r="AA745" s="83"/>
      <c r="AB745" s="83"/>
      <c r="AC745" s="83"/>
      <c r="AD745" s="83"/>
    </row>
    <row r="746">
      <c r="A746" s="447"/>
      <c r="B746" s="448"/>
      <c r="C746" s="448"/>
      <c r="D746" s="448"/>
      <c r="E746" s="448"/>
      <c r="F746" s="448"/>
      <c r="G746" s="448"/>
      <c r="H746" s="448"/>
      <c r="I746" s="448"/>
      <c r="J746" s="448"/>
      <c r="K746" s="449"/>
      <c r="L746" s="448"/>
      <c r="M746" s="450"/>
      <c r="N746" s="451"/>
      <c r="O746" s="451"/>
      <c r="P746" s="451"/>
      <c r="Q746" s="448"/>
      <c r="R746" s="83"/>
      <c r="S746" s="83"/>
      <c r="T746" s="83"/>
      <c r="U746" s="83"/>
      <c r="V746" s="83"/>
      <c r="W746" s="83"/>
      <c r="X746" s="83"/>
      <c r="Y746" s="83"/>
      <c r="Z746" s="83"/>
      <c r="AA746" s="83"/>
      <c r="AB746" s="83"/>
      <c r="AC746" s="83"/>
      <c r="AD746" s="83"/>
    </row>
    <row r="747">
      <c r="A747" s="447"/>
      <c r="B747" s="448"/>
      <c r="C747" s="448"/>
      <c r="D747" s="448"/>
      <c r="E747" s="448"/>
      <c r="F747" s="448"/>
      <c r="G747" s="448"/>
      <c r="H747" s="448"/>
      <c r="I747" s="448"/>
      <c r="J747" s="448"/>
      <c r="K747" s="449"/>
      <c r="L747" s="448"/>
      <c r="M747" s="450"/>
      <c r="N747" s="451"/>
      <c r="O747" s="451"/>
      <c r="P747" s="451"/>
      <c r="Q747" s="448"/>
      <c r="R747" s="83"/>
      <c r="S747" s="83"/>
      <c r="T747" s="83"/>
      <c r="U747" s="83"/>
      <c r="V747" s="83"/>
      <c r="W747" s="83"/>
      <c r="X747" s="83"/>
      <c r="Y747" s="83"/>
      <c r="Z747" s="83"/>
      <c r="AA747" s="83"/>
      <c r="AB747" s="83"/>
      <c r="AC747" s="83"/>
      <c r="AD747" s="83"/>
    </row>
    <row r="748">
      <c r="A748" s="447"/>
      <c r="B748" s="448"/>
      <c r="C748" s="448"/>
      <c r="D748" s="448"/>
      <c r="E748" s="448"/>
      <c r="F748" s="448"/>
      <c r="G748" s="448"/>
      <c r="H748" s="448"/>
      <c r="I748" s="448"/>
      <c r="J748" s="448"/>
      <c r="K748" s="449"/>
      <c r="L748" s="448"/>
      <c r="M748" s="450"/>
      <c r="N748" s="451"/>
      <c r="O748" s="451"/>
      <c r="P748" s="451"/>
      <c r="Q748" s="448"/>
      <c r="R748" s="83"/>
      <c r="S748" s="83"/>
      <c r="T748" s="83"/>
      <c r="U748" s="83"/>
      <c r="V748" s="83"/>
      <c r="W748" s="83"/>
      <c r="X748" s="83"/>
      <c r="Y748" s="83"/>
      <c r="Z748" s="83"/>
      <c r="AA748" s="83"/>
      <c r="AB748" s="83"/>
      <c r="AC748" s="83"/>
      <c r="AD748" s="83"/>
    </row>
    <row r="749">
      <c r="A749" s="447"/>
      <c r="B749" s="448"/>
      <c r="C749" s="448"/>
      <c r="D749" s="448"/>
      <c r="E749" s="448"/>
      <c r="F749" s="448"/>
      <c r="G749" s="448"/>
      <c r="H749" s="448"/>
      <c r="I749" s="448"/>
      <c r="J749" s="448"/>
      <c r="K749" s="449"/>
      <c r="L749" s="448"/>
      <c r="M749" s="450"/>
      <c r="N749" s="451"/>
      <c r="O749" s="451"/>
      <c r="P749" s="451"/>
      <c r="Q749" s="448"/>
      <c r="R749" s="83"/>
      <c r="S749" s="83"/>
      <c r="T749" s="83"/>
      <c r="U749" s="83"/>
      <c r="V749" s="83"/>
      <c r="W749" s="83"/>
      <c r="X749" s="83"/>
      <c r="Y749" s="83"/>
      <c r="Z749" s="83"/>
      <c r="AA749" s="83"/>
      <c r="AB749" s="83"/>
      <c r="AC749" s="83"/>
      <c r="AD749" s="83"/>
    </row>
    <row r="750">
      <c r="A750" s="447"/>
      <c r="B750" s="448"/>
      <c r="C750" s="448"/>
      <c r="D750" s="448"/>
      <c r="E750" s="448"/>
      <c r="F750" s="448"/>
      <c r="G750" s="448"/>
      <c r="H750" s="448"/>
      <c r="I750" s="448"/>
      <c r="J750" s="448"/>
      <c r="K750" s="449"/>
      <c r="L750" s="448"/>
      <c r="M750" s="450"/>
      <c r="N750" s="451"/>
      <c r="O750" s="451"/>
      <c r="P750" s="451"/>
      <c r="Q750" s="448"/>
      <c r="R750" s="83"/>
      <c r="S750" s="83"/>
      <c r="T750" s="83"/>
      <c r="U750" s="83"/>
      <c r="V750" s="83"/>
      <c r="W750" s="83"/>
      <c r="X750" s="83"/>
      <c r="Y750" s="83"/>
      <c r="Z750" s="83"/>
      <c r="AA750" s="83"/>
      <c r="AB750" s="83"/>
      <c r="AC750" s="83"/>
      <c r="AD750" s="83"/>
    </row>
    <row r="751">
      <c r="A751" s="447"/>
      <c r="B751" s="448"/>
      <c r="C751" s="448"/>
      <c r="D751" s="448"/>
      <c r="E751" s="448"/>
      <c r="F751" s="448"/>
      <c r="G751" s="448"/>
      <c r="H751" s="448"/>
      <c r="I751" s="448"/>
      <c r="J751" s="448"/>
      <c r="K751" s="449"/>
      <c r="L751" s="448"/>
      <c r="M751" s="450"/>
      <c r="N751" s="451"/>
      <c r="O751" s="451"/>
      <c r="P751" s="451"/>
      <c r="Q751" s="448"/>
      <c r="R751" s="83"/>
      <c r="S751" s="83"/>
      <c r="T751" s="83"/>
      <c r="U751" s="83"/>
      <c r="V751" s="83"/>
      <c r="W751" s="83"/>
      <c r="X751" s="83"/>
      <c r="Y751" s="83"/>
      <c r="Z751" s="83"/>
      <c r="AA751" s="83"/>
      <c r="AB751" s="83"/>
      <c r="AC751" s="83"/>
      <c r="AD751" s="83"/>
    </row>
    <row r="752">
      <c r="A752" s="447"/>
      <c r="B752" s="448"/>
      <c r="C752" s="448"/>
      <c r="D752" s="448"/>
      <c r="E752" s="448"/>
      <c r="F752" s="448"/>
      <c r="G752" s="448"/>
      <c r="H752" s="448"/>
      <c r="I752" s="448"/>
      <c r="J752" s="448"/>
      <c r="K752" s="449"/>
      <c r="L752" s="448"/>
      <c r="M752" s="450"/>
      <c r="N752" s="451"/>
      <c r="O752" s="451"/>
      <c r="P752" s="451"/>
      <c r="Q752" s="448"/>
      <c r="R752" s="83"/>
      <c r="S752" s="83"/>
      <c r="T752" s="83"/>
      <c r="U752" s="83"/>
      <c r="V752" s="83"/>
      <c r="W752" s="83"/>
      <c r="X752" s="83"/>
      <c r="Y752" s="83"/>
      <c r="Z752" s="83"/>
      <c r="AA752" s="83"/>
      <c r="AB752" s="83"/>
      <c r="AC752" s="83"/>
      <c r="AD752" s="83"/>
    </row>
    <row r="753">
      <c r="A753" s="447"/>
      <c r="B753" s="448"/>
      <c r="C753" s="448"/>
      <c r="D753" s="448"/>
      <c r="E753" s="448"/>
      <c r="F753" s="448"/>
      <c r="G753" s="448"/>
      <c r="H753" s="448"/>
      <c r="I753" s="448"/>
      <c r="J753" s="448"/>
      <c r="K753" s="449"/>
      <c r="L753" s="448"/>
      <c r="M753" s="450"/>
      <c r="N753" s="451"/>
      <c r="O753" s="451"/>
      <c r="P753" s="451"/>
      <c r="Q753" s="448"/>
      <c r="R753" s="83"/>
      <c r="S753" s="83"/>
      <c r="T753" s="83"/>
      <c r="U753" s="83"/>
      <c r="V753" s="83"/>
      <c r="W753" s="83"/>
      <c r="X753" s="83"/>
      <c r="Y753" s="83"/>
      <c r="Z753" s="83"/>
      <c r="AA753" s="83"/>
      <c r="AB753" s="83"/>
      <c r="AC753" s="83"/>
      <c r="AD753" s="83"/>
    </row>
    <row r="754">
      <c r="A754" s="447"/>
      <c r="B754" s="448"/>
      <c r="C754" s="448"/>
      <c r="D754" s="448"/>
      <c r="E754" s="448"/>
      <c r="F754" s="448"/>
      <c r="G754" s="448"/>
      <c r="H754" s="448"/>
      <c r="I754" s="448"/>
      <c r="J754" s="448"/>
      <c r="K754" s="449"/>
      <c r="L754" s="448"/>
      <c r="M754" s="450"/>
      <c r="N754" s="451"/>
      <c r="O754" s="451"/>
      <c r="P754" s="451"/>
      <c r="Q754" s="448"/>
      <c r="R754" s="83"/>
      <c r="S754" s="83"/>
      <c r="T754" s="83"/>
      <c r="U754" s="83"/>
      <c r="V754" s="83"/>
      <c r="W754" s="83"/>
      <c r="X754" s="83"/>
      <c r="Y754" s="83"/>
      <c r="Z754" s="83"/>
      <c r="AA754" s="83"/>
      <c r="AB754" s="83"/>
      <c r="AC754" s="83"/>
      <c r="AD754" s="83"/>
    </row>
    <row r="755">
      <c r="A755" s="447"/>
      <c r="B755" s="448"/>
      <c r="C755" s="448"/>
      <c r="D755" s="448"/>
      <c r="E755" s="448"/>
      <c r="F755" s="448"/>
      <c r="G755" s="448"/>
      <c r="H755" s="448"/>
      <c r="I755" s="448"/>
      <c r="J755" s="448"/>
      <c r="K755" s="449"/>
      <c r="L755" s="448"/>
      <c r="M755" s="450"/>
      <c r="N755" s="451"/>
      <c r="O755" s="451"/>
      <c r="P755" s="451"/>
      <c r="Q755" s="448"/>
      <c r="R755" s="83"/>
      <c r="S755" s="83"/>
      <c r="T755" s="83"/>
      <c r="U755" s="83"/>
      <c r="V755" s="83"/>
      <c r="W755" s="83"/>
      <c r="X755" s="83"/>
      <c r="Y755" s="83"/>
      <c r="Z755" s="83"/>
      <c r="AA755" s="83"/>
      <c r="AB755" s="83"/>
      <c r="AC755" s="83"/>
      <c r="AD755" s="83"/>
    </row>
    <row r="756">
      <c r="A756" s="447"/>
      <c r="B756" s="448"/>
      <c r="C756" s="448"/>
      <c r="D756" s="448"/>
      <c r="E756" s="448"/>
      <c r="F756" s="448"/>
      <c r="G756" s="448"/>
      <c r="H756" s="448"/>
      <c r="I756" s="448"/>
      <c r="J756" s="448"/>
      <c r="K756" s="449"/>
      <c r="L756" s="448"/>
      <c r="M756" s="450"/>
      <c r="N756" s="451"/>
      <c r="O756" s="451"/>
      <c r="P756" s="451"/>
      <c r="Q756" s="448"/>
      <c r="R756" s="83"/>
      <c r="S756" s="83"/>
      <c r="T756" s="83"/>
      <c r="U756" s="83"/>
      <c r="V756" s="83"/>
      <c r="W756" s="83"/>
      <c r="X756" s="83"/>
      <c r="Y756" s="83"/>
      <c r="Z756" s="83"/>
      <c r="AA756" s="83"/>
      <c r="AB756" s="83"/>
      <c r="AC756" s="83"/>
      <c r="AD756" s="83"/>
    </row>
    <row r="757">
      <c r="A757" s="447"/>
      <c r="B757" s="448"/>
      <c r="C757" s="448"/>
      <c r="D757" s="448"/>
      <c r="E757" s="448"/>
      <c r="F757" s="448"/>
      <c r="G757" s="448"/>
      <c r="H757" s="448"/>
      <c r="I757" s="448"/>
      <c r="J757" s="448"/>
      <c r="K757" s="449"/>
      <c r="L757" s="448"/>
      <c r="M757" s="450"/>
      <c r="N757" s="451"/>
      <c r="O757" s="451"/>
      <c r="P757" s="451"/>
      <c r="Q757" s="448"/>
      <c r="R757" s="83"/>
      <c r="S757" s="83"/>
      <c r="T757" s="83"/>
      <c r="U757" s="83"/>
      <c r="V757" s="83"/>
      <c r="W757" s="83"/>
      <c r="X757" s="83"/>
      <c r="Y757" s="83"/>
      <c r="Z757" s="83"/>
      <c r="AA757" s="83"/>
      <c r="AB757" s="83"/>
      <c r="AC757" s="83"/>
      <c r="AD757" s="83"/>
    </row>
    <row r="758">
      <c r="A758" s="447"/>
      <c r="B758" s="448"/>
      <c r="C758" s="448"/>
      <c r="D758" s="448"/>
      <c r="E758" s="448"/>
      <c r="F758" s="448"/>
      <c r="G758" s="448"/>
      <c r="H758" s="448"/>
      <c r="I758" s="448"/>
      <c r="J758" s="448"/>
      <c r="K758" s="449"/>
      <c r="L758" s="448"/>
      <c r="M758" s="450"/>
      <c r="N758" s="451"/>
      <c r="O758" s="451"/>
      <c r="P758" s="451"/>
      <c r="Q758" s="448"/>
      <c r="R758" s="83"/>
      <c r="S758" s="83"/>
      <c r="T758" s="83"/>
      <c r="U758" s="83"/>
      <c r="V758" s="83"/>
      <c r="W758" s="83"/>
      <c r="X758" s="83"/>
      <c r="Y758" s="83"/>
      <c r="Z758" s="83"/>
      <c r="AA758" s="83"/>
      <c r="AB758" s="83"/>
      <c r="AC758" s="83"/>
      <c r="AD758" s="83"/>
    </row>
    <row r="759">
      <c r="A759" s="447"/>
      <c r="B759" s="448"/>
      <c r="C759" s="448"/>
      <c r="D759" s="448"/>
      <c r="E759" s="448"/>
      <c r="F759" s="448"/>
      <c r="G759" s="448"/>
      <c r="H759" s="448"/>
      <c r="I759" s="448"/>
      <c r="J759" s="448"/>
      <c r="K759" s="449"/>
      <c r="L759" s="448"/>
      <c r="M759" s="450"/>
      <c r="N759" s="451"/>
      <c r="O759" s="451"/>
      <c r="P759" s="451"/>
      <c r="Q759" s="448"/>
      <c r="R759" s="83"/>
      <c r="S759" s="83"/>
      <c r="T759" s="83"/>
      <c r="U759" s="83"/>
      <c r="V759" s="83"/>
      <c r="W759" s="83"/>
      <c r="X759" s="83"/>
      <c r="Y759" s="83"/>
      <c r="Z759" s="83"/>
      <c r="AA759" s="83"/>
      <c r="AB759" s="83"/>
      <c r="AC759" s="83"/>
      <c r="AD759" s="83"/>
    </row>
    <row r="760">
      <c r="A760" s="447"/>
      <c r="B760" s="448"/>
      <c r="C760" s="448"/>
      <c r="D760" s="448"/>
      <c r="E760" s="448"/>
      <c r="F760" s="448"/>
      <c r="G760" s="448"/>
      <c r="H760" s="448"/>
      <c r="I760" s="448"/>
      <c r="J760" s="448"/>
      <c r="K760" s="449"/>
      <c r="L760" s="448"/>
      <c r="M760" s="450"/>
      <c r="N760" s="451"/>
      <c r="O760" s="451"/>
      <c r="P760" s="451"/>
      <c r="Q760" s="448"/>
      <c r="R760" s="83"/>
      <c r="S760" s="83"/>
      <c r="T760" s="83"/>
      <c r="U760" s="83"/>
      <c r="V760" s="83"/>
      <c r="W760" s="83"/>
      <c r="X760" s="83"/>
      <c r="Y760" s="83"/>
      <c r="Z760" s="83"/>
      <c r="AA760" s="83"/>
      <c r="AB760" s="83"/>
      <c r="AC760" s="83"/>
      <c r="AD760" s="83"/>
    </row>
    <row r="761">
      <c r="A761" s="447"/>
      <c r="B761" s="448"/>
      <c r="C761" s="448"/>
      <c r="D761" s="448"/>
      <c r="E761" s="448"/>
      <c r="F761" s="448"/>
      <c r="G761" s="448"/>
      <c r="H761" s="448"/>
      <c r="I761" s="448"/>
      <c r="J761" s="448"/>
      <c r="K761" s="449"/>
      <c r="L761" s="448"/>
      <c r="M761" s="450"/>
      <c r="N761" s="451"/>
      <c r="O761" s="451"/>
      <c r="P761" s="451"/>
      <c r="Q761" s="448"/>
      <c r="R761" s="83"/>
      <c r="S761" s="83"/>
      <c r="T761" s="83"/>
      <c r="U761" s="83"/>
      <c r="V761" s="83"/>
      <c r="W761" s="83"/>
      <c r="X761" s="83"/>
      <c r="Y761" s="83"/>
      <c r="Z761" s="83"/>
      <c r="AA761" s="83"/>
      <c r="AB761" s="83"/>
      <c r="AC761" s="83"/>
      <c r="AD761" s="83"/>
    </row>
    <row r="762">
      <c r="A762" s="447"/>
      <c r="B762" s="448"/>
      <c r="C762" s="448"/>
      <c r="D762" s="448"/>
      <c r="E762" s="448"/>
      <c r="F762" s="448"/>
      <c r="G762" s="448"/>
      <c r="H762" s="448"/>
      <c r="I762" s="448"/>
      <c r="J762" s="448"/>
      <c r="K762" s="449"/>
      <c r="L762" s="448"/>
      <c r="M762" s="450"/>
      <c r="N762" s="451"/>
      <c r="O762" s="451"/>
      <c r="P762" s="451"/>
      <c r="Q762" s="448"/>
      <c r="R762" s="83"/>
      <c r="S762" s="83"/>
      <c r="T762" s="83"/>
      <c r="U762" s="83"/>
      <c r="V762" s="83"/>
      <c r="W762" s="83"/>
      <c r="X762" s="83"/>
      <c r="Y762" s="83"/>
      <c r="Z762" s="83"/>
      <c r="AA762" s="83"/>
      <c r="AB762" s="83"/>
      <c r="AC762" s="83"/>
      <c r="AD762" s="83"/>
    </row>
    <row r="763">
      <c r="A763" s="447"/>
      <c r="B763" s="448"/>
      <c r="C763" s="448"/>
      <c r="D763" s="448"/>
      <c r="E763" s="448"/>
      <c r="F763" s="448"/>
      <c r="G763" s="448"/>
      <c r="H763" s="448"/>
      <c r="I763" s="448"/>
      <c r="J763" s="448"/>
      <c r="K763" s="449"/>
      <c r="L763" s="448"/>
      <c r="M763" s="450"/>
      <c r="N763" s="451"/>
      <c r="O763" s="451"/>
      <c r="P763" s="451"/>
      <c r="Q763" s="448"/>
      <c r="R763" s="83"/>
      <c r="S763" s="83"/>
      <c r="T763" s="83"/>
      <c r="U763" s="83"/>
      <c r="V763" s="83"/>
      <c r="W763" s="83"/>
      <c r="X763" s="83"/>
      <c r="Y763" s="83"/>
      <c r="Z763" s="83"/>
      <c r="AA763" s="83"/>
      <c r="AB763" s="83"/>
      <c r="AC763" s="83"/>
      <c r="AD763" s="83"/>
    </row>
    <row r="764">
      <c r="A764" s="447"/>
      <c r="B764" s="448"/>
      <c r="C764" s="448"/>
      <c r="D764" s="448"/>
      <c r="E764" s="448"/>
      <c r="F764" s="448"/>
      <c r="G764" s="448"/>
      <c r="H764" s="448"/>
      <c r="I764" s="448"/>
      <c r="J764" s="448"/>
      <c r="K764" s="449"/>
      <c r="L764" s="448"/>
      <c r="M764" s="450"/>
      <c r="N764" s="451"/>
      <c r="O764" s="451"/>
      <c r="P764" s="451"/>
      <c r="Q764" s="448"/>
      <c r="R764" s="83"/>
      <c r="S764" s="83"/>
      <c r="T764" s="83"/>
      <c r="U764" s="83"/>
      <c r="V764" s="83"/>
      <c r="W764" s="83"/>
      <c r="X764" s="83"/>
      <c r="Y764" s="83"/>
      <c r="Z764" s="83"/>
      <c r="AA764" s="83"/>
      <c r="AB764" s="83"/>
      <c r="AC764" s="83"/>
      <c r="AD764" s="83"/>
    </row>
    <row r="765">
      <c r="A765" s="447"/>
      <c r="B765" s="448"/>
      <c r="C765" s="448"/>
      <c r="D765" s="448"/>
      <c r="E765" s="448"/>
      <c r="F765" s="448"/>
      <c r="G765" s="448"/>
      <c r="H765" s="448"/>
      <c r="I765" s="448"/>
      <c r="J765" s="448"/>
      <c r="K765" s="449"/>
      <c r="L765" s="448"/>
      <c r="M765" s="450"/>
      <c r="N765" s="451"/>
      <c r="O765" s="451"/>
      <c r="P765" s="451"/>
      <c r="Q765" s="448"/>
      <c r="R765" s="83"/>
      <c r="S765" s="83"/>
      <c r="T765" s="83"/>
      <c r="U765" s="83"/>
      <c r="V765" s="83"/>
      <c r="W765" s="83"/>
      <c r="X765" s="83"/>
      <c r="Y765" s="83"/>
      <c r="Z765" s="83"/>
      <c r="AA765" s="83"/>
      <c r="AB765" s="83"/>
      <c r="AC765" s="83"/>
      <c r="AD765" s="83"/>
    </row>
    <row r="766">
      <c r="A766" s="447"/>
      <c r="B766" s="448"/>
      <c r="C766" s="448"/>
      <c r="D766" s="448"/>
      <c r="E766" s="448"/>
      <c r="F766" s="448"/>
      <c r="G766" s="448"/>
      <c r="H766" s="448"/>
      <c r="I766" s="448"/>
      <c r="J766" s="448"/>
      <c r="K766" s="449"/>
      <c r="L766" s="448"/>
      <c r="M766" s="450"/>
      <c r="N766" s="451"/>
      <c r="O766" s="451"/>
      <c r="P766" s="451"/>
      <c r="Q766" s="448"/>
      <c r="R766" s="83"/>
      <c r="S766" s="83"/>
      <c r="T766" s="83"/>
      <c r="U766" s="83"/>
      <c r="V766" s="83"/>
      <c r="W766" s="83"/>
      <c r="X766" s="83"/>
      <c r="Y766" s="83"/>
      <c r="Z766" s="83"/>
      <c r="AA766" s="83"/>
      <c r="AB766" s="83"/>
      <c r="AC766" s="83"/>
      <c r="AD766" s="83"/>
    </row>
    <row r="767">
      <c r="A767" s="447"/>
      <c r="B767" s="448"/>
      <c r="C767" s="448"/>
      <c r="D767" s="448"/>
      <c r="E767" s="448"/>
      <c r="F767" s="448"/>
      <c r="G767" s="448"/>
      <c r="H767" s="448"/>
      <c r="I767" s="448"/>
      <c r="J767" s="448"/>
      <c r="K767" s="449"/>
      <c r="L767" s="448"/>
      <c r="M767" s="450"/>
      <c r="N767" s="451"/>
      <c r="O767" s="451"/>
      <c r="P767" s="451"/>
      <c r="Q767" s="448"/>
      <c r="R767" s="83"/>
      <c r="S767" s="83"/>
      <c r="T767" s="83"/>
      <c r="U767" s="83"/>
      <c r="V767" s="83"/>
      <c r="W767" s="83"/>
      <c r="X767" s="83"/>
      <c r="Y767" s="83"/>
      <c r="Z767" s="83"/>
      <c r="AA767" s="83"/>
      <c r="AB767" s="83"/>
      <c r="AC767" s="83"/>
      <c r="AD767" s="83"/>
    </row>
    <row r="768">
      <c r="A768" s="447"/>
      <c r="B768" s="448"/>
      <c r="C768" s="448"/>
      <c r="D768" s="448"/>
      <c r="E768" s="448"/>
      <c r="F768" s="448"/>
      <c r="G768" s="448"/>
      <c r="H768" s="448"/>
      <c r="I768" s="448"/>
      <c r="J768" s="448"/>
      <c r="K768" s="449"/>
      <c r="L768" s="448"/>
      <c r="M768" s="450"/>
      <c r="N768" s="451"/>
      <c r="O768" s="451"/>
      <c r="P768" s="451"/>
      <c r="Q768" s="448"/>
      <c r="R768" s="83"/>
      <c r="S768" s="83"/>
      <c r="T768" s="83"/>
      <c r="U768" s="83"/>
      <c r="V768" s="83"/>
      <c r="W768" s="83"/>
      <c r="X768" s="83"/>
      <c r="Y768" s="83"/>
      <c r="Z768" s="83"/>
      <c r="AA768" s="83"/>
      <c r="AB768" s="83"/>
      <c r="AC768" s="83"/>
      <c r="AD768" s="83"/>
    </row>
    <row r="769">
      <c r="A769" s="447"/>
      <c r="B769" s="448"/>
      <c r="C769" s="448"/>
      <c r="D769" s="448"/>
      <c r="E769" s="448"/>
      <c r="F769" s="448"/>
      <c r="G769" s="448"/>
      <c r="H769" s="448"/>
      <c r="I769" s="448"/>
      <c r="J769" s="448"/>
      <c r="K769" s="449"/>
      <c r="L769" s="448"/>
      <c r="M769" s="450"/>
      <c r="N769" s="451"/>
      <c r="O769" s="451"/>
      <c r="P769" s="451"/>
      <c r="Q769" s="448"/>
      <c r="R769" s="83"/>
      <c r="S769" s="83"/>
      <c r="T769" s="83"/>
      <c r="U769" s="83"/>
      <c r="V769" s="83"/>
      <c r="W769" s="83"/>
      <c r="X769" s="83"/>
      <c r="Y769" s="83"/>
      <c r="Z769" s="83"/>
      <c r="AA769" s="83"/>
      <c r="AB769" s="83"/>
      <c r="AC769" s="83"/>
      <c r="AD769" s="83"/>
    </row>
    <row r="770">
      <c r="A770" s="447"/>
      <c r="B770" s="448"/>
      <c r="C770" s="448"/>
      <c r="D770" s="448"/>
      <c r="E770" s="448"/>
      <c r="F770" s="448"/>
      <c r="G770" s="448"/>
      <c r="H770" s="448"/>
      <c r="I770" s="448"/>
      <c r="J770" s="448"/>
      <c r="K770" s="449"/>
      <c r="L770" s="448"/>
      <c r="M770" s="450"/>
      <c r="N770" s="451"/>
      <c r="O770" s="451"/>
      <c r="P770" s="451"/>
      <c r="Q770" s="448"/>
      <c r="R770" s="83"/>
      <c r="S770" s="83"/>
      <c r="T770" s="83"/>
      <c r="U770" s="83"/>
      <c r="V770" s="83"/>
      <c r="W770" s="83"/>
      <c r="X770" s="83"/>
      <c r="Y770" s="83"/>
      <c r="Z770" s="83"/>
      <c r="AA770" s="83"/>
      <c r="AB770" s="83"/>
      <c r="AC770" s="83"/>
      <c r="AD770" s="83"/>
    </row>
    <row r="771">
      <c r="A771" s="447"/>
      <c r="B771" s="448"/>
      <c r="C771" s="448"/>
      <c r="D771" s="448"/>
      <c r="E771" s="448"/>
      <c r="F771" s="448"/>
      <c r="G771" s="448"/>
      <c r="H771" s="448"/>
      <c r="I771" s="448"/>
      <c r="J771" s="448"/>
      <c r="K771" s="449"/>
      <c r="L771" s="448"/>
      <c r="M771" s="450"/>
      <c r="N771" s="451"/>
      <c r="O771" s="451"/>
      <c r="P771" s="451"/>
      <c r="Q771" s="448"/>
      <c r="R771" s="83"/>
      <c r="S771" s="83"/>
      <c r="T771" s="83"/>
      <c r="U771" s="83"/>
      <c r="V771" s="83"/>
      <c r="W771" s="83"/>
      <c r="X771" s="83"/>
      <c r="Y771" s="83"/>
      <c r="Z771" s="83"/>
      <c r="AA771" s="83"/>
      <c r="AB771" s="83"/>
      <c r="AC771" s="83"/>
      <c r="AD771" s="83"/>
    </row>
    <row r="772">
      <c r="A772" s="447"/>
      <c r="B772" s="448"/>
      <c r="C772" s="448"/>
      <c r="D772" s="448"/>
      <c r="E772" s="448"/>
      <c r="F772" s="448"/>
      <c r="G772" s="448"/>
      <c r="H772" s="448"/>
      <c r="I772" s="448"/>
      <c r="J772" s="448"/>
      <c r="K772" s="449"/>
      <c r="L772" s="448"/>
      <c r="M772" s="450"/>
      <c r="N772" s="451"/>
      <c r="O772" s="451"/>
      <c r="P772" s="451"/>
      <c r="Q772" s="448"/>
      <c r="R772" s="83"/>
      <c r="S772" s="83"/>
      <c r="T772" s="83"/>
      <c r="U772" s="83"/>
      <c r="V772" s="83"/>
      <c r="W772" s="83"/>
      <c r="X772" s="83"/>
      <c r="Y772" s="83"/>
      <c r="Z772" s="83"/>
      <c r="AA772" s="83"/>
      <c r="AB772" s="83"/>
      <c r="AC772" s="83"/>
      <c r="AD772" s="83"/>
    </row>
    <row r="773">
      <c r="A773" s="447"/>
      <c r="B773" s="448"/>
      <c r="C773" s="448"/>
      <c r="D773" s="448"/>
      <c r="E773" s="448"/>
      <c r="F773" s="448"/>
      <c r="G773" s="448"/>
      <c r="H773" s="448"/>
      <c r="I773" s="448"/>
      <c r="J773" s="448"/>
      <c r="K773" s="449"/>
      <c r="L773" s="448"/>
      <c r="M773" s="450"/>
      <c r="N773" s="451"/>
      <c r="O773" s="451"/>
      <c r="P773" s="451"/>
      <c r="Q773" s="448"/>
      <c r="R773" s="83"/>
      <c r="S773" s="83"/>
      <c r="T773" s="83"/>
      <c r="U773" s="83"/>
      <c r="V773" s="83"/>
      <c r="W773" s="83"/>
      <c r="X773" s="83"/>
      <c r="Y773" s="83"/>
      <c r="Z773" s="83"/>
      <c r="AA773" s="83"/>
      <c r="AB773" s="83"/>
      <c r="AC773" s="83"/>
      <c r="AD773" s="83"/>
    </row>
    <row r="774">
      <c r="A774" s="447"/>
      <c r="B774" s="448"/>
      <c r="C774" s="448"/>
      <c r="D774" s="448"/>
      <c r="E774" s="448"/>
      <c r="F774" s="448"/>
      <c r="G774" s="448"/>
      <c r="H774" s="448"/>
      <c r="I774" s="448"/>
      <c r="J774" s="448"/>
      <c r="K774" s="449"/>
      <c r="L774" s="448"/>
      <c r="M774" s="450"/>
      <c r="N774" s="451"/>
      <c r="O774" s="451"/>
      <c r="P774" s="451"/>
      <c r="Q774" s="448"/>
      <c r="R774" s="83"/>
      <c r="S774" s="83"/>
      <c r="T774" s="83"/>
      <c r="U774" s="83"/>
      <c r="V774" s="83"/>
      <c r="W774" s="83"/>
      <c r="X774" s="83"/>
      <c r="Y774" s="83"/>
      <c r="Z774" s="83"/>
      <c r="AA774" s="83"/>
      <c r="AB774" s="83"/>
      <c r="AC774" s="83"/>
      <c r="AD774" s="83"/>
    </row>
    <row r="775">
      <c r="A775" s="447"/>
      <c r="B775" s="448"/>
      <c r="C775" s="448"/>
      <c r="D775" s="448"/>
      <c r="E775" s="448"/>
      <c r="F775" s="448"/>
      <c r="G775" s="448"/>
      <c r="H775" s="448"/>
      <c r="I775" s="448"/>
      <c r="J775" s="448"/>
      <c r="K775" s="449"/>
      <c r="L775" s="448"/>
      <c r="M775" s="450"/>
      <c r="N775" s="451"/>
      <c r="O775" s="451"/>
      <c r="P775" s="451"/>
      <c r="Q775" s="448"/>
      <c r="R775" s="83"/>
      <c r="S775" s="83"/>
      <c r="T775" s="83"/>
      <c r="U775" s="83"/>
      <c r="V775" s="83"/>
      <c r="W775" s="83"/>
      <c r="X775" s="83"/>
      <c r="Y775" s="83"/>
      <c r="Z775" s="83"/>
      <c r="AA775" s="83"/>
      <c r="AB775" s="83"/>
      <c r="AC775" s="83"/>
      <c r="AD775" s="83"/>
    </row>
    <row r="776">
      <c r="A776" s="447"/>
      <c r="B776" s="448"/>
      <c r="C776" s="448"/>
      <c r="D776" s="448"/>
      <c r="E776" s="448"/>
      <c r="F776" s="448"/>
      <c r="G776" s="448"/>
      <c r="H776" s="448"/>
      <c r="I776" s="448"/>
      <c r="J776" s="448"/>
      <c r="K776" s="449"/>
      <c r="L776" s="448"/>
      <c r="M776" s="450"/>
      <c r="N776" s="451"/>
      <c r="O776" s="451"/>
      <c r="P776" s="451"/>
      <c r="Q776" s="448"/>
      <c r="R776" s="83"/>
      <c r="S776" s="83"/>
      <c r="T776" s="83"/>
      <c r="U776" s="83"/>
      <c r="V776" s="83"/>
      <c r="W776" s="83"/>
      <c r="X776" s="83"/>
      <c r="Y776" s="83"/>
      <c r="Z776" s="83"/>
      <c r="AA776" s="83"/>
      <c r="AB776" s="83"/>
      <c r="AC776" s="83"/>
      <c r="AD776" s="83"/>
    </row>
    <row r="777">
      <c r="A777" s="447"/>
      <c r="B777" s="448"/>
      <c r="C777" s="448"/>
      <c r="D777" s="448"/>
      <c r="E777" s="448"/>
      <c r="F777" s="448"/>
      <c r="G777" s="448"/>
      <c r="H777" s="448"/>
      <c r="I777" s="448"/>
      <c r="J777" s="448"/>
      <c r="K777" s="449"/>
      <c r="L777" s="448"/>
      <c r="M777" s="450"/>
      <c r="N777" s="451"/>
      <c r="O777" s="451"/>
      <c r="P777" s="451"/>
      <c r="Q777" s="448"/>
      <c r="R777" s="83"/>
      <c r="S777" s="83"/>
      <c r="T777" s="83"/>
      <c r="U777" s="83"/>
      <c r="V777" s="83"/>
      <c r="W777" s="83"/>
      <c r="X777" s="83"/>
      <c r="Y777" s="83"/>
      <c r="Z777" s="83"/>
      <c r="AA777" s="83"/>
      <c r="AB777" s="83"/>
      <c r="AC777" s="83"/>
      <c r="AD777" s="83"/>
    </row>
    <row r="778">
      <c r="A778" s="447"/>
      <c r="B778" s="448"/>
      <c r="C778" s="448"/>
      <c r="D778" s="448"/>
      <c r="E778" s="448"/>
      <c r="F778" s="448"/>
      <c r="G778" s="448"/>
      <c r="H778" s="448"/>
      <c r="I778" s="448"/>
      <c r="J778" s="448"/>
      <c r="K778" s="449"/>
      <c r="L778" s="448"/>
      <c r="M778" s="450"/>
      <c r="N778" s="451"/>
      <c r="O778" s="451"/>
      <c r="P778" s="451"/>
      <c r="Q778" s="448"/>
      <c r="R778" s="83"/>
      <c r="S778" s="83"/>
      <c r="T778" s="83"/>
      <c r="U778" s="83"/>
      <c r="V778" s="83"/>
      <c r="W778" s="83"/>
      <c r="X778" s="83"/>
      <c r="Y778" s="83"/>
      <c r="Z778" s="83"/>
      <c r="AA778" s="83"/>
      <c r="AB778" s="83"/>
      <c r="AC778" s="83"/>
      <c r="AD778" s="83"/>
    </row>
    <row r="779">
      <c r="A779" s="447"/>
      <c r="B779" s="448"/>
      <c r="C779" s="448"/>
      <c r="D779" s="448"/>
      <c r="E779" s="448"/>
      <c r="F779" s="448"/>
      <c r="G779" s="448"/>
      <c r="H779" s="448"/>
      <c r="I779" s="448"/>
      <c r="J779" s="448"/>
      <c r="K779" s="449"/>
      <c r="L779" s="448"/>
      <c r="M779" s="450"/>
      <c r="N779" s="451"/>
      <c r="O779" s="451"/>
      <c r="P779" s="451"/>
      <c r="Q779" s="448"/>
      <c r="R779" s="83"/>
      <c r="S779" s="83"/>
      <c r="T779" s="83"/>
      <c r="U779" s="83"/>
      <c r="V779" s="83"/>
      <c r="W779" s="83"/>
      <c r="X779" s="83"/>
      <c r="Y779" s="83"/>
      <c r="Z779" s="83"/>
      <c r="AA779" s="83"/>
      <c r="AB779" s="83"/>
      <c r="AC779" s="83"/>
      <c r="AD779" s="83"/>
    </row>
    <row r="780">
      <c r="A780" s="447"/>
      <c r="B780" s="448"/>
      <c r="C780" s="448"/>
      <c r="D780" s="448"/>
      <c r="E780" s="448"/>
      <c r="F780" s="448"/>
      <c r="G780" s="448"/>
      <c r="H780" s="448"/>
      <c r="I780" s="448"/>
      <c r="J780" s="448"/>
      <c r="K780" s="449"/>
      <c r="L780" s="448"/>
      <c r="M780" s="450"/>
      <c r="N780" s="451"/>
      <c r="O780" s="451"/>
      <c r="P780" s="451"/>
      <c r="Q780" s="448"/>
      <c r="R780" s="83"/>
      <c r="S780" s="83"/>
      <c r="T780" s="83"/>
      <c r="U780" s="83"/>
      <c r="V780" s="83"/>
      <c r="W780" s="83"/>
      <c r="X780" s="83"/>
      <c r="Y780" s="83"/>
      <c r="Z780" s="83"/>
      <c r="AA780" s="83"/>
      <c r="AB780" s="83"/>
      <c r="AC780" s="83"/>
      <c r="AD780" s="83"/>
    </row>
    <row r="781">
      <c r="A781" s="447"/>
      <c r="B781" s="448"/>
      <c r="C781" s="448"/>
      <c r="D781" s="448"/>
      <c r="E781" s="448"/>
      <c r="F781" s="448"/>
      <c r="G781" s="448"/>
      <c r="H781" s="448"/>
      <c r="I781" s="448"/>
      <c r="J781" s="448"/>
      <c r="K781" s="449"/>
      <c r="L781" s="448"/>
      <c r="M781" s="450"/>
      <c r="N781" s="451"/>
      <c r="O781" s="451"/>
      <c r="P781" s="451"/>
      <c r="Q781" s="448"/>
      <c r="R781" s="83"/>
      <c r="S781" s="83"/>
      <c r="T781" s="83"/>
      <c r="U781" s="83"/>
      <c r="V781" s="83"/>
      <c r="W781" s="83"/>
      <c r="X781" s="83"/>
      <c r="Y781" s="83"/>
      <c r="Z781" s="83"/>
      <c r="AA781" s="83"/>
      <c r="AB781" s="83"/>
      <c r="AC781" s="83"/>
      <c r="AD781" s="83"/>
    </row>
    <row r="782">
      <c r="A782" s="90"/>
      <c r="B782" s="264"/>
      <c r="C782" s="264"/>
      <c r="D782" s="264"/>
      <c r="E782" s="264"/>
      <c r="F782" s="264"/>
      <c r="G782" s="264"/>
      <c r="H782" s="264"/>
      <c r="I782" s="264"/>
      <c r="J782" s="264"/>
      <c r="K782" s="452"/>
      <c r="L782" s="448"/>
      <c r="M782" s="450"/>
      <c r="N782" s="453"/>
      <c r="O782" s="453"/>
      <c r="P782" s="453"/>
      <c r="Q782" s="264"/>
      <c r="R782" s="84"/>
      <c r="S782" s="84"/>
      <c r="T782" s="84"/>
      <c r="U782" s="84"/>
      <c r="V782" s="84"/>
      <c r="W782" s="84"/>
      <c r="X782" s="84"/>
      <c r="Y782" s="84"/>
      <c r="Z782" s="84"/>
      <c r="AA782" s="84"/>
      <c r="AB782" s="84"/>
      <c r="AC782" s="84"/>
      <c r="AD782" s="84"/>
    </row>
  </sheetData>
  <mergeCells count="44">
    <mergeCell ref="Q9:R9"/>
    <mergeCell ref="Q10:R10"/>
    <mergeCell ref="Q11:R11"/>
    <mergeCell ref="Q13:R13"/>
    <mergeCell ref="Q14:R14"/>
    <mergeCell ref="Q15:R15"/>
    <mergeCell ref="Q16:R16"/>
    <mergeCell ref="Q17:R17"/>
    <mergeCell ref="Q18:R18"/>
    <mergeCell ref="Q52:R52"/>
    <mergeCell ref="Q53:R53"/>
    <mergeCell ref="Q54:R54"/>
    <mergeCell ref="Q55:R55"/>
    <mergeCell ref="R97:S97"/>
    <mergeCell ref="R98:S98"/>
    <mergeCell ref="R99:S99"/>
    <mergeCell ref="R100:S100"/>
    <mergeCell ref="R101:S101"/>
    <mergeCell ref="R102:S102"/>
    <mergeCell ref="R103:S103"/>
    <mergeCell ref="Q117:Q121"/>
    <mergeCell ref="Q123:Q132"/>
    <mergeCell ref="Q134:R134"/>
    <mergeCell ref="Q135:R135"/>
    <mergeCell ref="Q136:R136"/>
    <mergeCell ref="Q149:R149"/>
    <mergeCell ref="Q150:R150"/>
    <mergeCell ref="Q151:R151"/>
    <mergeCell ref="R165:S165"/>
    <mergeCell ref="R181:S181"/>
    <mergeCell ref="R182:S182"/>
    <mergeCell ref="R183:S183"/>
    <mergeCell ref="R184:S184"/>
    <mergeCell ref="R188:S188"/>
    <mergeCell ref="R189:S189"/>
    <mergeCell ref="R233:S233"/>
    <mergeCell ref="R234:S234"/>
    <mergeCell ref="R190:S190"/>
    <mergeCell ref="R200:S200"/>
    <mergeCell ref="R201:S201"/>
    <mergeCell ref="R202:S202"/>
    <mergeCell ref="R203:S203"/>
    <mergeCell ref="R231:S231"/>
    <mergeCell ref="R232:S23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1.22" defaultRowHeight="15.0"/>
  <cols>
    <col customWidth="1" min="8" max="8" width="18.22"/>
  </cols>
  <sheetData>
    <row r="1">
      <c r="A1" s="454" t="s">
        <v>0</v>
      </c>
      <c r="B1" s="455" t="s">
        <v>914</v>
      </c>
      <c r="C1" s="456" t="s">
        <v>915</v>
      </c>
      <c r="D1" s="456" t="s">
        <v>916</v>
      </c>
      <c r="E1" s="456" t="s">
        <v>917</v>
      </c>
      <c r="F1" s="456"/>
      <c r="G1" s="456"/>
      <c r="H1" s="456" t="s">
        <v>918</v>
      </c>
      <c r="I1" s="456" t="s">
        <v>919</v>
      </c>
      <c r="J1" s="456" t="s">
        <v>920</v>
      </c>
      <c r="K1" s="456" t="s">
        <v>921</v>
      </c>
      <c r="L1" s="456" t="s">
        <v>920</v>
      </c>
      <c r="M1" s="456" t="s">
        <v>922</v>
      </c>
      <c r="N1" s="456" t="s">
        <v>923</v>
      </c>
      <c r="O1" s="456" t="s">
        <v>924</v>
      </c>
      <c r="P1" s="454" t="s">
        <v>925</v>
      </c>
      <c r="Q1" s="454" t="s">
        <v>926</v>
      </c>
      <c r="R1" s="333" t="s">
        <v>7</v>
      </c>
    </row>
    <row r="2">
      <c r="A2" s="454" t="s">
        <v>927</v>
      </c>
      <c r="B2" s="455">
        <v>1.0</v>
      </c>
      <c r="C2" s="456">
        <v>921.0</v>
      </c>
      <c r="D2" s="456" t="s">
        <v>928</v>
      </c>
      <c r="E2" s="456">
        <v>0.0</v>
      </c>
      <c r="F2" s="456">
        <v>0.0</v>
      </c>
      <c r="G2" s="456">
        <v>0.0</v>
      </c>
      <c r="H2" s="457">
        <v>45558.689097222225</v>
      </c>
      <c r="I2" s="456">
        <v>0.214</v>
      </c>
      <c r="J2" s="456">
        <v>181.11</v>
      </c>
      <c r="K2" s="456">
        <v>0.198</v>
      </c>
      <c r="L2" s="456">
        <v>85.1</v>
      </c>
      <c r="M2" s="456">
        <v>1.0</v>
      </c>
      <c r="N2" s="456">
        <v>0.214</v>
      </c>
      <c r="O2" s="456">
        <v>0.198</v>
      </c>
      <c r="P2" s="456">
        <v>0.214</v>
      </c>
      <c r="Q2" s="456">
        <v>0.198</v>
      </c>
      <c r="R2" s="333" t="s">
        <v>12</v>
      </c>
    </row>
    <row r="3">
      <c r="A3" s="454" t="s">
        <v>929</v>
      </c>
      <c r="B3" s="455">
        <v>2.0</v>
      </c>
      <c r="C3" s="456">
        <v>921.0</v>
      </c>
      <c r="D3" s="456" t="s">
        <v>930</v>
      </c>
      <c r="E3" s="456">
        <v>0.0</v>
      </c>
      <c r="F3" s="456">
        <v>0.0</v>
      </c>
      <c r="G3" s="456">
        <v>0.0</v>
      </c>
      <c r="H3" s="457">
        <v>45558.68990740741</v>
      </c>
      <c r="I3" s="456">
        <v>0.199</v>
      </c>
      <c r="J3" s="456">
        <v>168.36</v>
      </c>
      <c r="K3" s="456">
        <v>0.199</v>
      </c>
      <c r="L3" s="456">
        <v>85.65</v>
      </c>
      <c r="M3" s="456">
        <v>1.0</v>
      </c>
      <c r="N3" s="456">
        <v>0.199</v>
      </c>
      <c r="O3" s="456">
        <v>0.199</v>
      </c>
      <c r="P3" s="456">
        <v>0.199</v>
      </c>
      <c r="Q3" s="456">
        <v>0.199</v>
      </c>
      <c r="R3" s="333" t="s">
        <v>12</v>
      </c>
    </row>
    <row r="4">
      <c r="A4" s="454">
        <v>0.2</v>
      </c>
      <c r="B4" s="455">
        <v>3.0</v>
      </c>
      <c r="C4" s="456">
        <v>921.0</v>
      </c>
      <c r="D4" s="456" t="s">
        <v>931</v>
      </c>
      <c r="E4" s="456">
        <v>0.0</v>
      </c>
      <c r="F4" s="456">
        <v>0.0</v>
      </c>
      <c r="G4" s="456">
        <v>0.0</v>
      </c>
      <c r="H4" s="457">
        <v>45558.690717592595</v>
      </c>
      <c r="I4" s="456">
        <v>0.199</v>
      </c>
      <c r="J4" s="456">
        <v>168.93</v>
      </c>
      <c r="K4" s="456">
        <v>0.199</v>
      </c>
      <c r="L4" s="456">
        <v>85.8</v>
      </c>
      <c r="M4" s="456">
        <v>1.0</v>
      </c>
      <c r="N4" s="456">
        <v>0.199</v>
      </c>
      <c r="O4" s="456">
        <v>0.199</v>
      </c>
      <c r="P4" s="456">
        <v>0.199</v>
      </c>
      <c r="Q4" s="456">
        <v>0.199</v>
      </c>
      <c r="R4" s="333" t="s">
        <v>12</v>
      </c>
    </row>
    <row r="5">
      <c r="A5" s="454">
        <v>0.1</v>
      </c>
      <c r="B5" s="455">
        <v>4.0</v>
      </c>
      <c r="C5" s="456">
        <v>901.0</v>
      </c>
      <c r="D5" s="456" t="s">
        <v>931</v>
      </c>
      <c r="E5" s="456">
        <v>0.0</v>
      </c>
      <c r="F5" s="456">
        <v>0.0</v>
      </c>
      <c r="G5" s="456">
        <v>0.0</v>
      </c>
      <c r="H5" s="457">
        <v>45558.69152777778</v>
      </c>
      <c r="I5" s="456">
        <v>0.101</v>
      </c>
      <c r="J5" s="456">
        <v>86.61</v>
      </c>
      <c r="K5" s="456">
        <v>0.101</v>
      </c>
      <c r="L5" s="456">
        <v>44.1</v>
      </c>
      <c r="M5" s="456">
        <v>1.0</v>
      </c>
      <c r="N5" s="456">
        <v>0.101</v>
      </c>
      <c r="O5" s="456">
        <v>0.101</v>
      </c>
      <c r="P5" s="456">
        <v>0.101</v>
      </c>
      <c r="Q5" s="456">
        <v>0.101</v>
      </c>
      <c r="R5" s="333" t="s">
        <v>12</v>
      </c>
    </row>
    <row r="6">
      <c r="A6" s="454">
        <v>0.05</v>
      </c>
      <c r="B6" s="455">
        <v>5.0</v>
      </c>
      <c r="C6" s="456">
        <v>902.0</v>
      </c>
      <c r="D6" s="456" t="s">
        <v>931</v>
      </c>
      <c r="E6" s="456">
        <v>0.0</v>
      </c>
      <c r="F6" s="456">
        <v>0.0</v>
      </c>
      <c r="G6" s="456">
        <v>0.0</v>
      </c>
      <c r="H6" s="457">
        <v>45558.692337962966</v>
      </c>
      <c r="I6" s="456">
        <v>0.05</v>
      </c>
      <c r="J6" s="456">
        <v>44.35</v>
      </c>
      <c r="K6" s="456">
        <v>0.051</v>
      </c>
      <c r="L6" s="456">
        <v>22.92</v>
      </c>
      <c r="M6" s="456">
        <v>1.0</v>
      </c>
      <c r="N6" s="456">
        <v>0.05</v>
      </c>
      <c r="O6" s="456">
        <v>0.051</v>
      </c>
      <c r="P6" s="456">
        <v>0.05</v>
      </c>
      <c r="Q6" s="456">
        <v>0.051</v>
      </c>
      <c r="R6" s="333" t="s">
        <v>12</v>
      </c>
    </row>
    <row r="7">
      <c r="A7" s="454">
        <v>0.025</v>
      </c>
      <c r="B7" s="455">
        <v>6.0</v>
      </c>
      <c r="C7" s="456">
        <v>903.0</v>
      </c>
      <c r="D7" s="456" t="s">
        <v>931</v>
      </c>
      <c r="E7" s="456">
        <v>0.0</v>
      </c>
      <c r="F7" s="456">
        <v>0.0</v>
      </c>
      <c r="G7" s="456">
        <v>0.0</v>
      </c>
      <c r="H7" s="457">
        <v>45558.69314814815</v>
      </c>
      <c r="I7" s="456">
        <v>0.025</v>
      </c>
      <c r="J7" s="456">
        <v>23.44</v>
      </c>
      <c r="K7" s="456">
        <v>0.024</v>
      </c>
      <c r="L7" s="456">
        <v>11.77</v>
      </c>
      <c r="M7" s="456">
        <v>1.0</v>
      </c>
      <c r="N7" s="456">
        <v>0.025</v>
      </c>
      <c r="O7" s="456">
        <v>0.024</v>
      </c>
      <c r="P7" s="456">
        <v>0.025</v>
      </c>
      <c r="Q7" s="456">
        <v>0.024</v>
      </c>
      <c r="R7" s="333" t="s">
        <v>12</v>
      </c>
    </row>
    <row r="8">
      <c r="A8" s="454">
        <v>0.01</v>
      </c>
      <c r="B8" s="455">
        <v>7.0</v>
      </c>
      <c r="C8" s="456">
        <v>904.0</v>
      </c>
      <c r="D8" s="456" t="s">
        <v>931</v>
      </c>
      <c r="E8" s="456">
        <v>0.0</v>
      </c>
      <c r="F8" s="456">
        <v>0.0</v>
      </c>
      <c r="G8" s="456">
        <v>0.0</v>
      </c>
      <c r="H8" s="457">
        <v>45558.69395833334</v>
      </c>
      <c r="I8" s="456">
        <v>0.009</v>
      </c>
      <c r="J8" s="456">
        <v>9.94</v>
      </c>
      <c r="K8" s="456">
        <v>0.009</v>
      </c>
      <c r="L8" s="456">
        <v>5.37</v>
      </c>
      <c r="M8" s="456">
        <v>1.0</v>
      </c>
      <c r="N8" s="456">
        <v>0.009</v>
      </c>
      <c r="O8" s="456">
        <v>0.009</v>
      </c>
      <c r="P8" s="456">
        <v>0.009</v>
      </c>
      <c r="Q8" s="456">
        <v>0.009</v>
      </c>
      <c r="R8" s="333" t="s">
        <v>12</v>
      </c>
    </row>
    <row r="9">
      <c r="A9" s="455">
        <v>0.005</v>
      </c>
      <c r="B9" s="455">
        <v>8.0</v>
      </c>
      <c r="C9" s="456">
        <v>905.0</v>
      </c>
      <c r="D9" s="456" t="s">
        <v>931</v>
      </c>
      <c r="E9" s="456">
        <v>0.0</v>
      </c>
      <c r="F9" s="456">
        <v>0.0</v>
      </c>
      <c r="G9" s="456">
        <v>0.0</v>
      </c>
      <c r="H9" s="457">
        <v>45558.694768518515</v>
      </c>
      <c r="I9" s="456">
        <v>0.004</v>
      </c>
      <c r="J9" s="456">
        <v>5.79</v>
      </c>
      <c r="K9" s="456">
        <v>0.006</v>
      </c>
      <c r="L9" s="456">
        <v>4.18</v>
      </c>
      <c r="M9" s="456">
        <v>1.0</v>
      </c>
      <c r="N9" s="456">
        <v>0.004</v>
      </c>
      <c r="O9" s="456">
        <v>0.006</v>
      </c>
      <c r="P9" s="456">
        <v>0.004</v>
      </c>
      <c r="Q9" s="456">
        <v>0.006</v>
      </c>
      <c r="R9" s="333" t="s">
        <v>12</v>
      </c>
    </row>
    <row r="10">
      <c r="A10" s="455" t="s">
        <v>75</v>
      </c>
      <c r="B10" s="455">
        <v>9.0</v>
      </c>
      <c r="C10" s="456">
        <v>906.0</v>
      </c>
      <c r="D10" s="456" t="s">
        <v>931</v>
      </c>
      <c r="E10" s="456">
        <v>0.0</v>
      </c>
      <c r="F10" s="456">
        <v>0.0</v>
      </c>
      <c r="G10" s="456">
        <v>0.0</v>
      </c>
      <c r="H10" s="457">
        <v>45558.6955787037</v>
      </c>
      <c r="I10" s="456">
        <v>0.0</v>
      </c>
      <c r="J10" s="456">
        <v>2.14</v>
      </c>
      <c r="K10" s="456">
        <v>-0.001</v>
      </c>
      <c r="L10" s="456">
        <v>1.11</v>
      </c>
      <c r="M10" s="456">
        <v>1.0</v>
      </c>
      <c r="N10" s="456">
        <v>0.0</v>
      </c>
      <c r="O10" s="456">
        <v>-0.001</v>
      </c>
      <c r="P10" s="456" t="s">
        <v>932</v>
      </c>
      <c r="Q10" s="456" t="s">
        <v>933</v>
      </c>
      <c r="R10" s="333" t="s">
        <v>12</v>
      </c>
    </row>
    <row r="11">
      <c r="A11" s="454" t="s">
        <v>934</v>
      </c>
      <c r="B11" s="455">
        <v>10.0</v>
      </c>
      <c r="C11" s="456">
        <v>0.0</v>
      </c>
      <c r="D11" s="456" t="s">
        <v>935</v>
      </c>
      <c r="E11" s="456">
        <v>0.0</v>
      </c>
      <c r="F11" s="456">
        <v>0.0</v>
      </c>
      <c r="G11" s="456">
        <v>0.0</v>
      </c>
      <c r="H11" s="457">
        <v>45558.696388888886</v>
      </c>
      <c r="I11" s="456">
        <v>-0.003</v>
      </c>
      <c r="J11" s="456">
        <v>0.0</v>
      </c>
      <c r="K11" s="456">
        <v>-0.004</v>
      </c>
      <c r="L11" s="456">
        <v>0.0</v>
      </c>
      <c r="M11" s="456">
        <v>1.0</v>
      </c>
      <c r="N11" s="456">
        <v>-0.003</v>
      </c>
      <c r="O11" s="456">
        <v>-0.004</v>
      </c>
      <c r="P11" s="456" t="s">
        <v>932</v>
      </c>
      <c r="Q11" s="456" t="s">
        <v>933</v>
      </c>
      <c r="R11" s="333" t="s">
        <v>12</v>
      </c>
    </row>
    <row r="12">
      <c r="A12" s="454" t="s">
        <v>936</v>
      </c>
      <c r="B12" s="455">
        <v>11.0</v>
      </c>
      <c r="C12" s="456">
        <v>921.0</v>
      </c>
      <c r="D12" s="456" t="s">
        <v>937</v>
      </c>
      <c r="E12" s="456">
        <v>0.0</v>
      </c>
      <c r="F12" s="456">
        <v>1.0</v>
      </c>
      <c r="G12" s="456">
        <v>1.0</v>
      </c>
      <c r="H12" s="457">
        <v>45558.69881944444</v>
      </c>
      <c r="I12" s="456">
        <v>0.195</v>
      </c>
      <c r="J12" s="456">
        <v>165.08</v>
      </c>
      <c r="K12" s="456">
        <v>0.199</v>
      </c>
      <c r="L12" s="456">
        <v>85.61</v>
      </c>
      <c r="M12" s="456">
        <v>1.0</v>
      </c>
      <c r="N12" s="456">
        <v>0.195</v>
      </c>
      <c r="O12" s="456">
        <v>0.199</v>
      </c>
      <c r="P12" s="456">
        <v>0.195</v>
      </c>
      <c r="Q12" s="456">
        <v>0.199</v>
      </c>
      <c r="R12" s="333" t="s">
        <v>12</v>
      </c>
    </row>
    <row r="13">
      <c r="A13" s="454" t="s">
        <v>938</v>
      </c>
      <c r="B13" s="455">
        <v>12.0</v>
      </c>
      <c r="C13" s="456">
        <v>905.0</v>
      </c>
      <c r="D13" s="456" t="s">
        <v>939</v>
      </c>
      <c r="E13" s="456">
        <v>0.0</v>
      </c>
      <c r="F13" s="456">
        <v>1.0</v>
      </c>
      <c r="G13" s="456">
        <v>2.0</v>
      </c>
      <c r="H13" s="457">
        <v>45558.69962962963</v>
      </c>
      <c r="I13" s="456">
        <v>0.002</v>
      </c>
      <c r="J13" s="456">
        <v>3.89</v>
      </c>
      <c r="K13" s="456">
        <v>0.006</v>
      </c>
      <c r="L13" s="456">
        <v>4.23</v>
      </c>
      <c r="M13" s="456">
        <v>1.0</v>
      </c>
      <c r="N13" s="456">
        <v>0.002</v>
      </c>
      <c r="O13" s="456">
        <v>0.006</v>
      </c>
      <c r="P13" s="456">
        <v>0.002</v>
      </c>
      <c r="Q13" s="456">
        <v>0.006</v>
      </c>
      <c r="R13" s="333" t="s">
        <v>12</v>
      </c>
    </row>
    <row r="14">
      <c r="A14" s="455" t="s">
        <v>938</v>
      </c>
      <c r="B14" s="455">
        <v>13.0</v>
      </c>
      <c r="C14" s="456">
        <v>905.0</v>
      </c>
      <c r="D14" s="456" t="s">
        <v>939</v>
      </c>
      <c r="E14" s="456">
        <v>0.0</v>
      </c>
      <c r="F14" s="456">
        <v>1.0</v>
      </c>
      <c r="G14" s="456">
        <v>3.0</v>
      </c>
      <c r="H14" s="457">
        <v>45558.70043981481</v>
      </c>
      <c r="I14" s="456">
        <v>0.005</v>
      </c>
      <c r="J14" s="456">
        <v>6.57</v>
      </c>
      <c r="K14" s="456">
        <v>0.006</v>
      </c>
      <c r="L14" s="456">
        <v>4.23</v>
      </c>
      <c r="M14" s="456">
        <v>1.0</v>
      </c>
      <c r="N14" s="456">
        <v>0.005</v>
      </c>
      <c r="O14" s="456">
        <v>0.006</v>
      </c>
      <c r="P14" s="456">
        <v>0.005</v>
      </c>
      <c r="Q14" s="456">
        <v>0.006</v>
      </c>
      <c r="R14" s="333" t="s">
        <v>12</v>
      </c>
    </row>
    <row r="15">
      <c r="A15" s="454" t="s">
        <v>75</v>
      </c>
      <c r="B15" s="455">
        <v>14.0</v>
      </c>
      <c r="C15" s="456">
        <v>906.0</v>
      </c>
      <c r="D15" s="456" t="s">
        <v>940</v>
      </c>
      <c r="E15" s="456">
        <v>0.0</v>
      </c>
      <c r="F15" s="456">
        <v>0.0</v>
      </c>
      <c r="G15" s="456">
        <v>0.0</v>
      </c>
      <c r="H15" s="457">
        <v>45558.70125</v>
      </c>
      <c r="I15" s="456">
        <v>-0.001</v>
      </c>
      <c r="J15" s="456">
        <v>1.62</v>
      </c>
      <c r="K15" s="456">
        <v>-0.001</v>
      </c>
      <c r="L15" s="456">
        <v>1.12</v>
      </c>
      <c r="M15" s="456">
        <v>1.0</v>
      </c>
      <c r="N15" s="456">
        <v>-0.001</v>
      </c>
      <c r="O15" s="456">
        <v>-0.001</v>
      </c>
      <c r="P15" s="456" t="s">
        <v>932</v>
      </c>
      <c r="Q15" s="456" t="s">
        <v>933</v>
      </c>
      <c r="R15" s="333" t="s">
        <v>12</v>
      </c>
    </row>
    <row r="16">
      <c r="A16" s="454" t="s">
        <v>941</v>
      </c>
      <c r="B16" s="455">
        <v>15.0</v>
      </c>
      <c r="C16" s="456">
        <v>907.0</v>
      </c>
      <c r="D16" s="456" t="s">
        <v>942</v>
      </c>
      <c r="E16" s="456">
        <v>0.0</v>
      </c>
      <c r="F16" s="456">
        <v>0.0</v>
      </c>
      <c r="G16" s="456">
        <v>1.0</v>
      </c>
      <c r="H16" s="457">
        <v>45558.702060185184</v>
      </c>
      <c r="I16" s="456">
        <v>0.138</v>
      </c>
      <c r="J16" s="456">
        <v>117.95</v>
      </c>
      <c r="K16" s="456">
        <v>0.147</v>
      </c>
      <c r="L16" s="456">
        <v>63.64</v>
      </c>
      <c r="M16" s="456">
        <v>1.0</v>
      </c>
      <c r="N16" s="456">
        <v>0.138</v>
      </c>
      <c r="O16" s="456">
        <v>0.147</v>
      </c>
      <c r="P16" s="456">
        <v>0.138</v>
      </c>
      <c r="Q16" s="456">
        <v>0.147</v>
      </c>
      <c r="R16" s="333" t="s">
        <v>12</v>
      </c>
    </row>
    <row r="17">
      <c r="A17" s="454" t="s">
        <v>943</v>
      </c>
      <c r="B17" s="455">
        <v>16.0</v>
      </c>
      <c r="C17" s="456">
        <v>908.0</v>
      </c>
      <c r="D17" s="456" t="s">
        <v>944</v>
      </c>
      <c r="E17" s="456">
        <v>0.0</v>
      </c>
      <c r="F17" s="456">
        <v>0.0</v>
      </c>
      <c r="G17" s="456">
        <v>0.0</v>
      </c>
      <c r="H17" s="457">
        <v>45558.70287037037</v>
      </c>
      <c r="I17" s="456">
        <v>0.132</v>
      </c>
      <c r="J17" s="456">
        <v>112.72</v>
      </c>
      <c r="K17" s="456">
        <v>0.029</v>
      </c>
      <c r="L17" s="456">
        <v>13.89</v>
      </c>
      <c r="M17" s="456">
        <v>1.0</v>
      </c>
      <c r="N17" s="456">
        <v>0.132</v>
      </c>
      <c r="O17" s="456">
        <v>0.029</v>
      </c>
      <c r="P17" s="456">
        <v>0.132</v>
      </c>
      <c r="Q17" s="456">
        <v>0.029</v>
      </c>
      <c r="R17" s="333" t="s">
        <v>12</v>
      </c>
    </row>
    <row r="18">
      <c r="A18" s="455" t="s">
        <v>945</v>
      </c>
      <c r="B18" s="455">
        <v>17.0</v>
      </c>
      <c r="C18" s="456">
        <v>909.0</v>
      </c>
      <c r="D18" s="456" t="s">
        <v>944</v>
      </c>
      <c r="E18" s="456">
        <v>0.0</v>
      </c>
      <c r="F18" s="456">
        <v>0.0</v>
      </c>
      <c r="G18" s="456">
        <v>0.0</v>
      </c>
      <c r="H18" s="457">
        <v>45558.703680555554</v>
      </c>
      <c r="I18" s="456">
        <v>0.134</v>
      </c>
      <c r="J18" s="456">
        <v>114.02</v>
      </c>
      <c r="K18" s="456">
        <v>0.028</v>
      </c>
      <c r="L18" s="456">
        <v>13.5</v>
      </c>
      <c r="M18" s="456">
        <v>1.0</v>
      </c>
      <c r="N18" s="456">
        <v>0.134</v>
      </c>
      <c r="O18" s="456">
        <v>0.028</v>
      </c>
      <c r="P18" s="456">
        <v>0.134</v>
      </c>
      <c r="Q18" s="456">
        <v>0.028</v>
      </c>
      <c r="R18" s="333" t="s">
        <v>12</v>
      </c>
    </row>
    <row r="19">
      <c r="A19" s="458">
        <v>321.0</v>
      </c>
      <c r="B19" s="455">
        <v>18.0</v>
      </c>
      <c r="C19" s="456">
        <v>1.0</v>
      </c>
      <c r="D19" s="456" t="s">
        <v>940</v>
      </c>
      <c r="E19" s="456">
        <v>0.0</v>
      </c>
      <c r="F19" s="456">
        <v>0.0</v>
      </c>
      <c r="G19" s="456">
        <v>0.0</v>
      </c>
      <c r="H19" s="457">
        <v>45558.70449074074</v>
      </c>
      <c r="I19" s="456">
        <v>0.012</v>
      </c>
      <c r="J19" s="456">
        <v>12.0</v>
      </c>
      <c r="K19" s="456">
        <v>0.009</v>
      </c>
      <c r="L19" s="456">
        <v>5.16</v>
      </c>
      <c r="M19" s="456">
        <v>1.0</v>
      </c>
      <c r="N19" s="456">
        <v>0.012</v>
      </c>
      <c r="O19" s="456">
        <v>0.009</v>
      </c>
      <c r="P19" s="456">
        <v>0.012</v>
      </c>
      <c r="Q19" s="456">
        <v>0.009</v>
      </c>
      <c r="R19" s="333" t="s">
        <v>12</v>
      </c>
    </row>
    <row r="20">
      <c r="A20" s="458">
        <v>399.0</v>
      </c>
      <c r="B20" s="455">
        <v>19.0</v>
      </c>
      <c r="C20" s="456">
        <v>2.0</v>
      </c>
      <c r="D20" s="456" t="s">
        <v>940</v>
      </c>
      <c r="E20" s="456">
        <v>0.0</v>
      </c>
      <c r="F20" s="456">
        <v>0.0</v>
      </c>
      <c r="G20" s="456">
        <v>0.0</v>
      </c>
      <c r="H20" s="457">
        <v>45558.705300925925</v>
      </c>
      <c r="I20" s="456">
        <v>0.014</v>
      </c>
      <c r="J20" s="456">
        <v>13.44</v>
      </c>
      <c r="K20" s="456">
        <v>0.006</v>
      </c>
      <c r="L20" s="456">
        <v>4.2</v>
      </c>
      <c r="M20" s="456">
        <v>1.0</v>
      </c>
      <c r="N20" s="456">
        <v>0.014</v>
      </c>
      <c r="O20" s="456">
        <v>0.006</v>
      </c>
      <c r="P20" s="456">
        <v>0.014</v>
      </c>
      <c r="Q20" s="456">
        <v>0.006</v>
      </c>
      <c r="R20" s="333" t="s">
        <v>12</v>
      </c>
    </row>
    <row r="21">
      <c r="A21" s="458">
        <v>139.0</v>
      </c>
      <c r="B21" s="455">
        <v>20.0</v>
      </c>
      <c r="C21" s="456">
        <v>3.0</v>
      </c>
      <c r="D21" s="456" t="s">
        <v>940</v>
      </c>
      <c r="E21" s="456">
        <v>0.0</v>
      </c>
      <c r="F21" s="456">
        <v>0.0</v>
      </c>
      <c r="G21" s="456">
        <v>0.0</v>
      </c>
      <c r="H21" s="457">
        <v>45558.70611111111</v>
      </c>
      <c r="I21" s="456">
        <v>0.013</v>
      </c>
      <c r="J21" s="456">
        <v>13.1</v>
      </c>
      <c r="K21" s="456">
        <v>0.006</v>
      </c>
      <c r="L21" s="456">
        <v>4.18</v>
      </c>
      <c r="M21" s="456">
        <v>1.0</v>
      </c>
      <c r="N21" s="456">
        <v>0.013</v>
      </c>
      <c r="O21" s="456">
        <v>0.006</v>
      </c>
      <c r="P21" s="456">
        <v>0.013</v>
      </c>
      <c r="Q21" s="456">
        <v>0.006</v>
      </c>
      <c r="R21" s="333" t="s">
        <v>12</v>
      </c>
    </row>
    <row r="22">
      <c r="A22" s="458">
        <v>464.0</v>
      </c>
      <c r="B22" s="455">
        <v>21.0</v>
      </c>
      <c r="C22" s="456">
        <v>4.0</v>
      </c>
      <c r="D22" s="456" t="s">
        <v>940</v>
      </c>
      <c r="E22" s="456">
        <v>0.0</v>
      </c>
      <c r="F22" s="456">
        <v>0.0</v>
      </c>
      <c r="G22" s="456">
        <v>0.0</v>
      </c>
      <c r="H22" s="457">
        <v>45558.706921296296</v>
      </c>
      <c r="I22" s="456">
        <v>0.041</v>
      </c>
      <c r="J22" s="456">
        <v>36.8</v>
      </c>
      <c r="K22" s="456">
        <v>0.018</v>
      </c>
      <c r="L22" s="456">
        <v>9.23</v>
      </c>
      <c r="M22" s="456">
        <v>1.0</v>
      </c>
      <c r="N22" s="456">
        <v>0.041</v>
      </c>
      <c r="O22" s="456">
        <v>0.018</v>
      </c>
      <c r="P22" s="456">
        <v>0.041</v>
      </c>
      <c r="Q22" s="456">
        <v>0.018</v>
      </c>
      <c r="R22" s="333" t="s">
        <v>12</v>
      </c>
    </row>
    <row r="23">
      <c r="A23" s="458">
        <v>360.0</v>
      </c>
      <c r="B23" s="455">
        <v>22.0</v>
      </c>
      <c r="C23" s="456">
        <v>5.0</v>
      </c>
      <c r="D23" s="456" t="s">
        <v>940</v>
      </c>
      <c r="E23" s="456">
        <v>0.0</v>
      </c>
      <c r="F23" s="456">
        <v>0.0</v>
      </c>
      <c r="G23" s="456">
        <v>0.0</v>
      </c>
      <c r="H23" s="457">
        <v>45558.70773148148</v>
      </c>
      <c r="I23" s="456">
        <v>0.009</v>
      </c>
      <c r="J23" s="456">
        <v>9.62</v>
      </c>
      <c r="K23" s="456">
        <v>0.009</v>
      </c>
      <c r="L23" s="456">
        <v>5.13</v>
      </c>
      <c r="M23" s="456">
        <v>1.0</v>
      </c>
      <c r="N23" s="456">
        <v>0.009</v>
      </c>
      <c r="O23" s="456">
        <v>0.009</v>
      </c>
      <c r="P23" s="456">
        <v>0.009</v>
      </c>
      <c r="Q23" s="456">
        <v>0.009</v>
      </c>
      <c r="R23" s="333" t="s">
        <v>12</v>
      </c>
    </row>
    <row r="24">
      <c r="A24" s="458">
        <v>529.0</v>
      </c>
      <c r="B24" s="455">
        <v>23.0</v>
      </c>
      <c r="C24" s="456">
        <v>6.0</v>
      </c>
      <c r="D24" s="456" t="s">
        <v>940</v>
      </c>
      <c r="E24" s="456">
        <v>0.0</v>
      </c>
      <c r="F24" s="456">
        <v>0.0</v>
      </c>
      <c r="G24" s="456">
        <v>0.0</v>
      </c>
      <c r="H24" s="457">
        <v>45558.70854166667</v>
      </c>
      <c r="I24" s="456">
        <v>0.009</v>
      </c>
      <c r="J24" s="456">
        <v>9.45</v>
      </c>
      <c r="K24" s="456">
        <v>0.009</v>
      </c>
      <c r="L24" s="456">
        <v>5.29</v>
      </c>
      <c r="M24" s="456">
        <v>1.0</v>
      </c>
      <c r="N24" s="456">
        <v>0.009</v>
      </c>
      <c r="O24" s="456">
        <v>0.009</v>
      </c>
      <c r="P24" s="456">
        <v>0.009</v>
      </c>
      <c r="Q24" s="456">
        <v>0.009</v>
      </c>
      <c r="R24" s="333" t="s">
        <v>12</v>
      </c>
    </row>
    <row r="25">
      <c r="A25" s="458">
        <v>9.0</v>
      </c>
      <c r="B25" s="455">
        <v>24.0</v>
      </c>
      <c r="C25" s="456">
        <v>7.0</v>
      </c>
      <c r="D25" s="456" t="s">
        <v>940</v>
      </c>
      <c r="E25" s="456">
        <v>0.0</v>
      </c>
      <c r="F25" s="456">
        <v>0.0</v>
      </c>
      <c r="G25" s="456">
        <v>0.0</v>
      </c>
      <c r="H25" s="457">
        <v>45558.70935185185</v>
      </c>
      <c r="I25" s="456">
        <v>0.011</v>
      </c>
      <c r="J25" s="456">
        <v>11.54</v>
      </c>
      <c r="K25" s="456">
        <v>0.006</v>
      </c>
      <c r="L25" s="456">
        <v>4.24</v>
      </c>
      <c r="M25" s="456">
        <v>1.0</v>
      </c>
      <c r="N25" s="456">
        <v>0.011</v>
      </c>
      <c r="O25" s="456">
        <v>0.006</v>
      </c>
      <c r="P25" s="456">
        <v>0.011</v>
      </c>
      <c r="Q25" s="456">
        <v>0.006</v>
      </c>
      <c r="R25" s="333" t="s">
        <v>12</v>
      </c>
    </row>
    <row r="26">
      <c r="A26" s="458">
        <v>295.0</v>
      </c>
      <c r="B26" s="455">
        <v>25.0</v>
      </c>
      <c r="C26" s="456">
        <v>8.0</v>
      </c>
      <c r="D26" s="456" t="s">
        <v>940</v>
      </c>
      <c r="E26" s="456">
        <v>0.0</v>
      </c>
      <c r="F26" s="456">
        <v>0.0</v>
      </c>
      <c r="G26" s="456">
        <v>0.0</v>
      </c>
      <c r="H26" s="457">
        <v>45558.71016203704</v>
      </c>
      <c r="I26" s="456">
        <v>0.01</v>
      </c>
      <c r="J26" s="456">
        <v>10.59</v>
      </c>
      <c r="K26" s="456">
        <v>0.006</v>
      </c>
      <c r="L26" s="456">
        <v>4.15</v>
      </c>
      <c r="M26" s="456">
        <v>1.0</v>
      </c>
      <c r="N26" s="456">
        <v>0.01</v>
      </c>
      <c r="O26" s="456">
        <v>0.006</v>
      </c>
      <c r="P26" s="456">
        <v>0.01</v>
      </c>
      <c r="Q26" s="456">
        <v>0.006</v>
      </c>
      <c r="R26" s="333" t="s">
        <v>12</v>
      </c>
    </row>
    <row r="27">
      <c r="A27" s="458">
        <v>503.0</v>
      </c>
      <c r="B27" s="455">
        <v>26.0</v>
      </c>
      <c r="C27" s="456">
        <v>9.0</v>
      </c>
      <c r="D27" s="456" t="s">
        <v>940</v>
      </c>
      <c r="E27" s="456">
        <v>0.0</v>
      </c>
      <c r="F27" s="456">
        <v>0.0</v>
      </c>
      <c r="G27" s="456">
        <v>0.0</v>
      </c>
      <c r="H27" s="457">
        <v>45558.71097222222</v>
      </c>
      <c r="I27" s="456">
        <v>0.009</v>
      </c>
      <c r="J27" s="456">
        <v>9.93</v>
      </c>
      <c r="K27" s="456">
        <v>0.008</v>
      </c>
      <c r="L27" s="456">
        <v>4.81</v>
      </c>
      <c r="M27" s="456">
        <v>1.0</v>
      </c>
      <c r="N27" s="456">
        <v>0.009</v>
      </c>
      <c r="O27" s="456">
        <v>0.008</v>
      </c>
      <c r="P27" s="456">
        <v>0.009</v>
      </c>
      <c r="Q27" s="456">
        <v>0.008</v>
      </c>
      <c r="R27" s="333" t="s">
        <v>12</v>
      </c>
    </row>
    <row r="28">
      <c r="A28" s="458">
        <v>607.0</v>
      </c>
      <c r="B28" s="455">
        <v>27.0</v>
      </c>
      <c r="C28" s="456">
        <v>10.0</v>
      </c>
      <c r="D28" s="456" t="s">
        <v>940</v>
      </c>
      <c r="E28" s="456">
        <v>0.0</v>
      </c>
      <c r="F28" s="456">
        <v>0.0</v>
      </c>
      <c r="G28" s="456">
        <v>0.0</v>
      </c>
      <c r="H28" s="457">
        <v>45558.71178240741</v>
      </c>
      <c r="I28" s="456">
        <v>0.017</v>
      </c>
      <c r="J28" s="456">
        <v>16.4</v>
      </c>
      <c r="K28" s="456">
        <v>0.01</v>
      </c>
      <c r="L28" s="456">
        <v>5.68</v>
      </c>
      <c r="M28" s="456">
        <v>1.0</v>
      </c>
      <c r="N28" s="456">
        <v>0.017</v>
      </c>
      <c r="O28" s="456">
        <v>0.01</v>
      </c>
      <c r="P28" s="456">
        <v>0.017</v>
      </c>
      <c r="Q28" s="456">
        <v>0.01</v>
      </c>
      <c r="R28" s="333" t="s">
        <v>12</v>
      </c>
    </row>
    <row r="29">
      <c r="A29" s="454" t="s">
        <v>946</v>
      </c>
      <c r="B29" s="455">
        <v>28.0</v>
      </c>
      <c r="C29" s="456">
        <v>11.0</v>
      </c>
      <c r="D29" s="456" t="s">
        <v>942</v>
      </c>
      <c r="E29" s="456">
        <v>0.0</v>
      </c>
      <c r="F29" s="456">
        <v>0.0</v>
      </c>
      <c r="G29" s="456">
        <v>1.0</v>
      </c>
      <c r="H29" s="457">
        <v>45558.712592592594</v>
      </c>
      <c r="I29" s="456">
        <v>0.155</v>
      </c>
      <c r="J29" s="456">
        <v>132.12</v>
      </c>
      <c r="K29" s="456">
        <v>0.158</v>
      </c>
      <c r="L29" s="456">
        <v>68.25</v>
      </c>
      <c r="M29" s="456">
        <v>1.0</v>
      </c>
      <c r="N29" s="456">
        <v>0.155</v>
      </c>
      <c r="O29" s="456">
        <v>0.158</v>
      </c>
      <c r="P29" s="456">
        <v>0.155</v>
      </c>
      <c r="Q29" s="456">
        <v>0.158</v>
      </c>
      <c r="R29" s="333" t="s">
        <v>12</v>
      </c>
    </row>
    <row r="30">
      <c r="A30" s="454" t="s">
        <v>943</v>
      </c>
      <c r="B30" s="455">
        <v>29.0</v>
      </c>
      <c r="C30" s="456">
        <v>908.0</v>
      </c>
      <c r="D30" s="456" t="s">
        <v>944</v>
      </c>
      <c r="E30" s="456">
        <v>0.0</v>
      </c>
      <c r="F30" s="456">
        <v>0.0</v>
      </c>
      <c r="G30" s="456">
        <v>0.0</v>
      </c>
      <c r="H30" s="457">
        <v>45558.71340277778</v>
      </c>
      <c r="I30" s="456">
        <v>0.13</v>
      </c>
      <c r="J30" s="456">
        <v>110.72</v>
      </c>
      <c r="K30" s="456">
        <v>0.028</v>
      </c>
      <c r="L30" s="456">
        <v>13.35</v>
      </c>
      <c r="M30" s="456">
        <v>1.0</v>
      </c>
      <c r="N30" s="456">
        <v>0.13</v>
      </c>
      <c r="O30" s="456">
        <v>0.028</v>
      </c>
      <c r="P30" s="456">
        <v>0.13</v>
      </c>
      <c r="Q30" s="456">
        <v>0.028</v>
      </c>
      <c r="R30" s="333" t="s">
        <v>12</v>
      </c>
    </row>
    <row r="31">
      <c r="A31" s="455" t="s">
        <v>945</v>
      </c>
      <c r="B31" s="455">
        <v>30.0</v>
      </c>
      <c r="C31" s="456">
        <v>909.0</v>
      </c>
      <c r="D31" s="456" t="s">
        <v>944</v>
      </c>
      <c r="E31" s="456">
        <v>0.0</v>
      </c>
      <c r="F31" s="456">
        <v>0.0</v>
      </c>
      <c r="G31" s="456">
        <v>0.0</v>
      </c>
      <c r="H31" s="457">
        <v>45558.714212962965</v>
      </c>
      <c r="I31" s="456">
        <v>0.132</v>
      </c>
      <c r="J31" s="456">
        <v>112.42</v>
      </c>
      <c r="K31" s="456">
        <v>0.027</v>
      </c>
      <c r="L31" s="456">
        <v>13.03</v>
      </c>
      <c r="M31" s="456">
        <v>1.0</v>
      </c>
      <c r="N31" s="456">
        <v>0.132</v>
      </c>
      <c r="O31" s="456">
        <v>0.027</v>
      </c>
      <c r="P31" s="456">
        <v>0.132</v>
      </c>
      <c r="Q31" s="456">
        <v>0.027</v>
      </c>
      <c r="R31" s="333" t="s">
        <v>12</v>
      </c>
    </row>
    <row r="32">
      <c r="A32" s="455" t="s">
        <v>934</v>
      </c>
      <c r="B32" s="455">
        <v>31.0</v>
      </c>
      <c r="C32" s="456">
        <v>0.0</v>
      </c>
      <c r="D32" s="456" t="s">
        <v>935</v>
      </c>
      <c r="E32" s="456">
        <v>0.0</v>
      </c>
      <c r="F32" s="456">
        <v>0.0</v>
      </c>
      <c r="G32" s="456">
        <v>0.0</v>
      </c>
      <c r="H32" s="457">
        <v>45558.71502314815</v>
      </c>
      <c r="I32" s="456">
        <v>-0.003</v>
      </c>
      <c r="J32" s="456">
        <v>0.0</v>
      </c>
      <c r="K32" s="456">
        <v>-0.004</v>
      </c>
      <c r="L32" s="456">
        <v>0.0</v>
      </c>
      <c r="M32" s="456">
        <v>1.0</v>
      </c>
      <c r="N32" s="456">
        <v>-0.003</v>
      </c>
      <c r="O32" s="456">
        <v>-0.004</v>
      </c>
      <c r="P32" s="456" t="s">
        <v>932</v>
      </c>
      <c r="Q32" s="456" t="s">
        <v>933</v>
      </c>
      <c r="R32" s="333" t="s">
        <v>12</v>
      </c>
    </row>
    <row r="33">
      <c r="A33" s="458">
        <v>191.0</v>
      </c>
      <c r="B33" s="455">
        <v>32.0</v>
      </c>
      <c r="C33" s="456">
        <v>12.0</v>
      </c>
      <c r="D33" s="456" t="s">
        <v>940</v>
      </c>
      <c r="E33" s="456">
        <v>0.0</v>
      </c>
      <c r="F33" s="456">
        <v>0.0</v>
      </c>
      <c r="G33" s="456">
        <v>0.0</v>
      </c>
      <c r="H33" s="457">
        <v>45558.717453703706</v>
      </c>
      <c r="I33" s="456">
        <v>0.011</v>
      </c>
      <c r="J33" s="456">
        <v>10.93</v>
      </c>
      <c r="K33" s="456">
        <v>0.008</v>
      </c>
      <c r="L33" s="456">
        <v>5.07</v>
      </c>
      <c r="M33" s="456">
        <v>1.0</v>
      </c>
      <c r="N33" s="456">
        <v>0.011</v>
      </c>
      <c r="O33" s="456">
        <v>0.008</v>
      </c>
      <c r="P33" s="456">
        <v>0.011</v>
      </c>
      <c r="Q33" s="456">
        <v>0.008</v>
      </c>
      <c r="R33" s="333" t="s">
        <v>12</v>
      </c>
    </row>
    <row r="34">
      <c r="A34" s="458">
        <v>347.0</v>
      </c>
      <c r="B34" s="455">
        <v>33.0</v>
      </c>
      <c r="C34" s="456">
        <v>13.0</v>
      </c>
      <c r="D34" s="456" t="s">
        <v>940</v>
      </c>
      <c r="E34" s="456">
        <v>0.0</v>
      </c>
      <c r="F34" s="456">
        <v>0.0</v>
      </c>
      <c r="G34" s="456">
        <v>0.0</v>
      </c>
      <c r="H34" s="457">
        <v>45558.71826388889</v>
      </c>
      <c r="I34" s="456">
        <v>0.014</v>
      </c>
      <c r="J34" s="456">
        <v>14.01</v>
      </c>
      <c r="K34" s="456">
        <v>0.006</v>
      </c>
      <c r="L34" s="456">
        <v>4.14</v>
      </c>
      <c r="M34" s="456">
        <v>1.0</v>
      </c>
      <c r="N34" s="456">
        <v>0.014</v>
      </c>
      <c r="O34" s="456">
        <v>0.006</v>
      </c>
      <c r="P34" s="456">
        <v>0.014</v>
      </c>
      <c r="Q34" s="456">
        <v>0.006</v>
      </c>
      <c r="R34" s="333" t="s">
        <v>12</v>
      </c>
    </row>
    <row r="35">
      <c r="A35" s="458">
        <v>230.0</v>
      </c>
      <c r="B35" s="455">
        <v>34.0</v>
      </c>
      <c r="C35" s="456">
        <v>14.0</v>
      </c>
      <c r="D35" s="456" t="s">
        <v>940</v>
      </c>
      <c r="E35" s="456">
        <v>0.0</v>
      </c>
      <c r="F35" s="456">
        <v>0.0</v>
      </c>
      <c r="G35" s="456">
        <v>0.0</v>
      </c>
      <c r="H35" s="457">
        <v>45558.71907407408</v>
      </c>
      <c r="I35" s="456">
        <v>0.012</v>
      </c>
      <c r="J35" s="456">
        <v>11.76</v>
      </c>
      <c r="K35" s="456">
        <v>0.006</v>
      </c>
      <c r="L35" s="456">
        <v>4.2</v>
      </c>
      <c r="M35" s="456">
        <v>1.0</v>
      </c>
      <c r="N35" s="456">
        <v>0.012</v>
      </c>
      <c r="O35" s="456">
        <v>0.006</v>
      </c>
      <c r="P35" s="456">
        <v>0.012</v>
      </c>
      <c r="Q35" s="456">
        <v>0.006</v>
      </c>
      <c r="R35" s="333" t="s">
        <v>12</v>
      </c>
    </row>
    <row r="36">
      <c r="A36" s="458">
        <v>204.0</v>
      </c>
      <c r="B36" s="455">
        <v>35.0</v>
      </c>
      <c r="C36" s="456">
        <v>15.0</v>
      </c>
      <c r="D36" s="456" t="s">
        <v>940</v>
      </c>
      <c r="E36" s="456">
        <v>0.0</v>
      </c>
      <c r="F36" s="456">
        <v>0.0</v>
      </c>
      <c r="G36" s="456">
        <v>0.0</v>
      </c>
      <c r="H36" s="457">
        <v>45558.71988425926</v>
      </c>
      <c r="I36" s="456">
        <v>0.011</v>
      </c>
      <c r="J36" s="456">
        <v>11.68</v>
      </c>
      <c r="K36" s="456">
        <v>0.006</v>
      </c>
      <c r="L36" s="456">
        <v>3.85</v>
      </c>
      <c r="M36" s="456">
        <v>1.0</v>
      </c>
      <c r="N36" s="456">
        <v>0.011</v>
      </c>
      <c r="O36" s="456">
        <v>0.006</v>
      </c>
      <c r="P36" s="456">
        <v>0.011</v>
      </c>
      <c r="Q36" s="456">
        <v>0.006</v>
      </c>
      <c r="R36" s="333" t="s">
        <v>12</v>
      </c>
    </row>
    <row r="37">
      <c r="A37" s="458">
        <v>568.0</v>
      </c>
      <c r="B37" s="455">
        <v>36.0</v>
      </c>
      <c r="C37" s="456">
        <v>16.0</v>
      </c>
      <c r="D37" s="456" t="s">
        <v>940</v>
      </c>
      <c r="E37" s="456">
        <v>0.0</v>
      </c>
      <c r="F37" s="456">
        <v>0.0</v>
      </c>
      <c r="G37" s="456">
        <v>0.0</v>
      </c>
      <c r="H37" s="457">
        <v>45558.72069444445</v>
      </c>
      <c r="I37" s="456">
        <v>0.015</v>
      </c>
      <c r="J37" s="456">
        <v>14.65</v>
      </c>
      <c r="K37" s="456">
        <v>0.008</v>
      </c>
      <c r="L37" s="456">
        <v>4.84</v>
      </c>
      <c r="M37" s="456">
        <v>1.0</v>
      </c>
      <c r="N37" s="456">
        <v>0.015</v>
      </c>
      <c r="O37" s="456">
        <v>0.008</v>
      </c>
      <c r="P37" s="456">
        <v>0.015</v>
      </c>
      <c r="Q37" s="456">
        <v>0.008</v>
      </c>
      <c r="R37" s="333" t="s">
        <v>12</v>
      </c>
    </row>
    <row r="38">
      <c r="A38" s="458">
        <v>126.0</v>
      </c>
      <c r="B38" s="455">
        <v>37.0</v>
      </c>
      <c r="C38" s="456">
        <v>17.0</v>
      </c>
      <c r="D38" s="456" t="s">
        <v>940</v>
      </c>
      <c r="E38" s="456">
        <v>0.0</v>
      </c>
      <c r="F38" s="456">
        <v>0.0</v>
      </c>
      <c r="G38" s="456">
        <v>0.0</v>
      </c>
      <c r="H38" s="457">
        <v>45558.721504629626</v>
      </c>
      <c r="I38" s="456">
        <v>0.009</v>
      </c>
      <c r="J38" s="456">
        <v>9.83</v>
      </c>
      <c r="K38" s="456">
        <v>0.005</v>
      </c>
      <c r="L38" s="456">
        <v>3.68</v>
      </c>
      <c r="M38" s="456">
        <v>1.0</v>
      </c>
      <c r="N38" s="456">
        <v>0.009</v>
      </c>
      <c r="O38" s="456">
        <v>0.005</v>
      </c>
      <c r="P38" s="456">
        <v>0.009</v>
      </c>
      <c r="Q38" s="456">
        <v>0.005</v>
      </c>
      <c r="R38" s="333" t="s">
        <v>12</v>
      </c>
    </row>
    <row r="39">
      <c r="A39" s="458">
        <v>490.0</v>
      </c>
      <c r="B39" s="455">
        <v>38.0</v>
      </c>
      <c r="C39" s="456">
        <v>18.0</v>
      </c>
      <c r="D39" s="456" t="s">
        <v>940</v>
      </c>
      <c r="E39" s="456">
        <v>0.0</v>
      </c>
      <c r="F39" s="456">
        <v>0.0</v>
      </c>
      <c r="G39" s="456">
        <v>0.0</v>
      </c>
      <c r="H39" s="457">
        <v>45558.72231481481</v>
      </c>
      <c r="I39" s="456">
        <v>0.015</v>
      </c>
      <c r="J39" s="456">
        <v>14.41</v>
      </c>
      <c r="K39" s="456">
        <v>0.009</v>
      </c>
      <c r="L39" s="456">
        <v>5.11</v>
      </c>
      <c r="M39" s="456">
        <v>1.0</v>
      </c>
      <c r="N39" s="456">
        <v>0.015</v>
      </c>
      <c r="O39" s="456">
        <v>0.009</v>
      </c>
      <c r="P39" s="456">
        <v>0.015</v>
      </c>
      <c r="Q39" s="456">
        <v>0.009</v>
      </c>
      <c r="R39" s="333" t="s">
        <v>12</v>
      </c>
    </row>
    <row r="40">
      <c r="A40" s="458">
        <v>425.0</v>
      </c>
      <c r="B40" s="455">
        <v>39.0</v>
      </c>
      <c r="C40" s="456">
        <v>19.0</v>
      </c>
      <c r="D40" s="456" t="s">
        <v>940</v>
      </c>
      <c r="E40" s="456">
        <v>0.0</v>
      </c>
      <c r="F40" s="456">
        <v>0.0</v>
      </c>
      <c r="G40" s="456">
        <v>0.0</v>
      </c>
      <c r="H40" s="457">
        <v>45558.723125</v>
      </c>
      <c r="I40" s="456">
        <v>0.009</v>
      </c>
      <c r="J40" s="456">
        <v>9.74</v>
      </c>
      <c r="K40" s="456">
        <v>0.005</v>
      </c>
      <c r="L40" s="456">
        <v>3.77</v>
      </c>
      <c r="M40" s="456">
        <v>1.0</v>
      </c>
      <c r="N40" s="456">
        <v>0.009</v>
      </c>
      <c r="O40" s="456">
        <v>0.005</v>
      </c>
      <c r="P40" s="456">
        <v>0.009</v>
      </c>
      <c r="Q40" s="456">
        <v>0.005</v>
      </c>
      <c r="R40" s="333" t="s">
        <v>12</v>
      </c>
    </row>
    <row r="41">
      <c r="A41" s="458">
        <v>594.0</v>
      </c>
      <c r="B41" s="455">
        <v>40.0</v>
      </c>
      <c r="C41" s="456">
        <v>20.0</v>
      </c>
      <c r="D41" s="456" t="s">
        <v>940</v>
      </c>
      <c r="E41" s="456">
        <v>0.0</v>
      </c>
      <c r="F41" s="456">
        <v>0.0</v>
      </c>
      <c r="G41" s="456">
        <v>0.0</v>
      </c>
      <c r="H41" s="457">
        <v>45558.72393518518</v>
      </c>
      <c r="I41" s="456">
        <v>0.012</v>
      </c>
      <c r="J41" s="456">
        <v>11.99</v>
      </c>
      <c r="K41" s="456">
        <v>0.006</v>
      </c>
      <c r="L41" s="456">
        <v>4.21</v>
      </c>
      <c r="M41" s="456">
        <v>1.0</v>
      </c>
      <c r="N41" s="456">
        <v>0.012</v>
      </c>
      <c r="O41" s="456">
        <v>0.006</v>
      </c>
      <c r="P41" s="456">
        <v>0.012</v>
      </c>
      <c r="Q41" s="456">
        <v>0.006</v>
      </c>
      <c r="R41" s="333" t="s">
        <v>12</v>
      </c>
    </row>
    <row r="42">
      <c r="A42" s="458">
        <v>217.0</v>
      </c>
      <c r="B42" s="455">
        <v>41.0</v>
      </c>
      <c r="C42" s="456">
        <v>21.0</v>
      </c>
      <c r="D42" s="456" t="s">
        <v>940</v>
      </c>
      <c r="E42" s="456">
        <v>0.0</v>
      </c>
      <c r="F42" s="456">
        <v>0.0</v>
      </c>
      <c r="G42" s="456">
        <v>0.0</v>
      </c>
      <c r="H42" s="457">
        <v>45558.72474537037</v>
      </c>
      <c r="I42" s="456">
        <v>0.01</v>
      </c>
      <c r="J42" s="456">
        <v>10.34</v>
      </c>
      <c r="K42" s="456">
        <v>0.009</v>
      </c>
      <c r="L42" s="456">
        <v>5.12</v>
      </c>
      <c r="M42" s="456">
        <v>1.0</v>
      </c>
      <c r="N42" s="456">
        <v>0.01</v>
      </c>
      <c r="O42" s="456">
        <v>0.009</v>
      </c>
      <c r="P42" s="456">
        <v>0.01</v>
      </c>
      <c r="Q42" s="456">
        <v>0.009</v>
      </c>
      <c r="R42" s="333" t="s">
        <v>12</v>
      </c>
    </row>
    <row r="43">
      <c r="A43" s="454" t="s">
        <v>947</v>
      </c>
      <c r="B43" s="455">
        <v>42.0</v>
      </c>
      <c r="C43" s="456">
        <v>22.0</v>
      </c>
      <c r="D43" s="456" t="s">
        <v>942</v>
      </c>
      <c r="E43" s="456">
        <v>0.0</v>
      </c>
      <c r="F43" s="456">
        <v>0.0</v>
      </c>
      <c r="G43" s="456">
        <v>1.0</v>
      </c>
      <c r="H43" s="457">
        <v>45558.72555555555</v>
      </c>
      <c r="I43" s="456">
        <v>0.148</v>
      </c>
      <c r="J43" s="456">
        <v>125.92</v>
      </c>
      <c r="K43" s="456">
        <v>0.155</v>
      </c>
      <c r="L43" s="456">
        <v>66.98</v>
      </c>
      <c r="M43" s="456">
        <v>1.0</v>
      </c>
      <c r="N43" s="456">
        <v>0.148</v>
      </c>
      <c r="O43" s="456">
        <v>0.155</v>
      </c>
      <c r="P43" s="456">
        <v>0.148</v>
      </c>
      <c r="Q43" s="456">
        <v>0.155</v>
      </c>
      <c r="R43" s="333" t="s">
        <v>12</v>
      </c>
    </row>
    <row r="44">
      <c r="A44" s="454" t="s">
        <v>943</v>
      </c>
      <c r="B44" s="455">
        <v>43.0</v>
      </c>
      <c r="C44" s="456">
        <v>908.0</v>
      </c>
      <c r="D44" s="456" t="s">
        <v>944</v>
      </c>
      <c r="E44" s="456">
        <v>0.0</v>
      </c>
      <c r="F44" s="456">
        <v>0.0</v>
      </c>
      <c r="G44" s="456">
        <v>0.0</v>
      </c>
      <c r="H44" s="457">
        <v>45558.72636574074</v>
      </c>
      <c r="I44" s="456">
        <v>0.136</v>
      </c>
      <c r="J44" s="456">
        <v>115.61</v>
      </c>
      <c r="K44" s="456">
        <v>0.028</v>
      </c>
      <c r="L44" s="456">
        <v>13.2</v>
      </c>
      <c r="M44" s="456">
        <v>1.0</v>
      </c>
      <c r="N44" s="456">
        <v>0.136</v>
      </c>
      <c r="O44" s="456">
        <v>0.028</v>
      </c>
      <c r="P44" s="456">
        <v>0.136</v>
      </c>
      <c r="Q44" s="456">
        <v>0.028</v>
      </c>
      <c r="R44" s="333" t="s">
        <v>12</v>
      </c>
    </row>
    <row r="45">
      <c r="A45" s="455" t="s">
        <v>945</v>
      </c>
      <c r="B45" s="455">
        <v>44.0</v>
      </c>
      <c r="C45" s="456">
        <v>909.0</v>
      </c>
      <c r="D45" s="456" t="s">
        <v>944</v>
      </c>
      <c r="E45" s="456">
        <v>0.0</v>
      </c>
      <c r="F45" s="456">
        <v>0.0</v>
      </c>
      <c r="G45" s="456">
        <v>0.0</v>
      </c>
      <c r="H45" s="457">
        <v>45558.727175925924</v>
      </c>
      <c r="I45" s="456">
        <v>0.135</v>
      </c>
      <c r="J45" s="456">
        <v>114.85</v>
      </c>
      <c r="K45" s="456">
        <v>0.027</v>
      </c>
      <c r="L45" s="456">
        <v>12.72</v>
      </c>
      <c r="M45" s="456">
        <v>1.0</v>
      </c>
      <c r="N45" s="456">
        <v>0.135</v>
      </c>
      <c r="O45" s="456">
        <v>0.027</v>
      </c>
      <c r="P45" s="456">
        <v>0.135</v>
      </c>
      <c r="Q45" s="456">
        <v>0.027</v>
      </c>
      <c r="R45" s="333" t="s">
        <v>12</v>
      </c>
    </row>
    <row r="46">
      <c r="A46" s="454" t="s">
        <v>934</v>
      </c>
      <c r="B46" s="455">
        <v>45.0</v>
      </c>
      <c r="C46" s="456">
        <v>0.0</v>
      </c>
      <c r="D46" s="456" t="s">
        <v>935</v>
      </c>
      <c r="E46" s="456">
        <v>0.0</v>
      </c>
      <c r="F46" s="456">
        <v>0.0</v>
      </c>
      <c r="G46" s="456">
        <v>0.0</v>
      </c>
      <c r="H46" s="457">
        <v>45558.72798611111</v>
      </c>
      <c r="I46" s="456">
        <v>-0.003</v>
      </c>
      <c r="J46" s="456">
        <v>0.0</v>
      </c>
      <c r="K46" s="456">
        <v>-0.004</v>
      </c>
      <c r="L46" s="456">
        <v>0.0</v>
      </c>
      <c r="M46" s="456">
        <v>1.0</v>
      </c>
      <c r="N46" s="456">
        <v>-0.003</v>
      </c>
      <c r="O46" s="456">
        <v>-0.004</v>
      </c>
      <c r="P46" s="456" t="s">
        <v>932</v>
      </c>
      <c r="Q46" s="456" t="s">
        <v>933</v>
      </c>
      <c r="R46" s="333" t="s">
        <v>12</v>
      </c>
    </row>
    <row r="47">
      <c r="A47" s="458">
        <v>48.0</v>
      </c>
      <c r="B47" s="455">
        <v>46.0</v>
      </c>
      <c r="C47" s="456">
        <v>23.0</v>
      </c>
      <c r="D47" s="456" t="s">
        <v>940</v>
      </c>
      <c r="E47" s="456">
        <v>0.0</v>
      </c>
      <c r="F47" s="456">
        <v>0.0</v>
      </c>
      <c r="G47" s="456">
        <v>0.0</v>
      </c>
      <c r="H47" s="457">
        <v>45558.730416666665</v>
      </c>
      <c r="I47" s="456">
        <v>0.007</v>
      </c>
      <c r="J47" s="456">
        <v>8.17</v>
      </c>
      <c r="K47" s="456">
        <v>0.006</v>
      </c>
      <c r="L47" s="456">
        <v>3.99</v>
      </c>
      <c r="M47" s="456">
        <v>1.0</v>
      </c>
      <c r="N47" s="456">
        <v>0.007</v>
      </c>
      <c r="O47" s="456">
        <v>0.006</v>
      </c>
      <c r="P47" s="456">
        <v>0.007</v>
      </c>
      <c r="Q47" s="456">
        <v>0.006</v>
      </c>
      <c r="R47" s="333" t="s">
        <v>12</v>
      </c>
    </row>
    <row r="48">
      <c r="A48" s="458">
        <v>451.0</v>
      </c>
      <c r="B48" s="455">
        <v>47.0</v>
      </c>
      <c r="C48" s="456">
        <v>24.0</v>
      </c>
      <c r="D48" s="456" t="s">
        <v>940</v>
      </c>
      <c r="E48" s="456">
        <v>0.0</v>
      </c>
      <c r="F48" s="456">
        <v>0.0</v>
      </c>
      <c r="G48" s="456">
        <v>0.0</v>
      </c>
      <c r="H48" s="457">
        <v>45558.73122685185</v>
      </c>
      <c r="I48" s="456">
        <v>0.007</v>
      </c>
      <c r="J48" s="456">
        <v>8.13</v>
      </c>
      <c r="K48" s="456">
        <v>0.009</v>
      </c>
      <c r="L48" s="456">
        <v>5.14</v>
      </c>
      <c r="M48" s="456">
        <v>1.0</v>
      </c>
      <c r="N48" s="456">
        <v>0.007</v>
      </c>
      <c r="O48" s="456">
        <v>0.009</v>
      </c>
      <c r="P48" s="456">
        <v>0.007</v>
      </c>
      <c r="Q48" s="456">
        <v>0.009</v>
      </c>
      <c r="R48" s="333" t="s">
        <v>12</v>
      </c>
    </row>
    <row r="49">
      <c r="A49" s="458">
        <v>152.0</v>
      </c>
      <c r="B49" s="455">
        <v>48.0</v>
      </c>
      <c r="C49" s="456">
        <v>25.0</v>
      </c>
      <c r="D49" s="456" t="s">
        <v>940</v>
      </c>
      <c r="E49" s="456">
        <v>0.0</v>
      </c>
      <c r="F49" s="456">
        <v>0.0</v>
      </c>
      <c r="G49" s="456">
        <v>0.0</v>
      </c>
      <c r="H49" s="457">
        <v>45558.732037037036</v>
      </c>
      <c r="I49" s="456">
        <v>0.013</v>
      </c>
      <c r="J49" s="456">
        <v>13.18</v>
      </c>
      <c r="K49" s="456">
        <v>0.011</v>
      </c>
      <c r="L49" s="456">
        <v>5.97</v>
      </c>
      <c r="M49" s="456">
        <v>1.0</v>
      </c>
      <c r="N49" s="456">
        <v>0.013</v>
      </c>
      <c r="O49" s="456">
        <v>0.011</v>
      </c>
      <c r="P49" s="456">
        <v>0.013</v>
      </c>
      <c r="Q49" s="456">
        <v>0.011</v>
      </c>
      <c r="R49" s="333" t="s">
        <v>12</v>
      </c>
    </row>
    <row r="50">
      <c r="A50" s="458">
        <v>373.0</v>
      </c>
      <c r="B50" s="455">
        <v>49.0</v>
      </c>
      <c r="C50" s="456">
        <v>26.0</v>
      </c>
      <c r="D50" s="456" t="s">
        <v>940</v>
      </c>
      <c r="E50" s="456">
        <v>0.0</v>
      </c>
      <c r="F50" s="456">
        <v>0.0</v>
      </c>
      <c r="G50" s="456">
        <v>0.0</v>
      </c>
      <c r="H50" s="457">
        <v>45558.73284722222</v>
      </c>
      <c r="I50" s="456">
        <v>0.012</v>
      </c>
      <c r="J50" s="456">
        <v>11.91</v>
      </c>
      <c r="K50" s="456">
        <v>0.006</v>
      </c>
      <c r="L50" s="456">
        <v>4.19</v>
      </c>
      <c r="M50" s="456">
        <v>1.0</v>
      </c>
      <c r="N50" s="456">
        <v>0.012</v>
      </c>
      <c r="O50" s="456">
        <v>0.006</v>
      </c>
      <c r="P50" s="456">
        <v>0.012</v>
      </c>
      <c r="Q50" s="456">
        <v>0.006</v>
      </c>
      <c r="R50" s="333" t="s">
        <v>12</v>
      </c>
    </row>
    <row r="51">
      <c r="A51" s="458">
        <v>516.0</v>
      </c>
      <c r="B51" s="455">
        <v>50.0</v>
      </c>
      <c r="C51" s="456">
        <v>27.0</v>
      </c>
      <c r="D51" s="456" t="s">
        <v>940</v>
      </c>
      <c r="E51" s="456">
        <v>0.0</v>
      </c>
      <c r="F51" s="456">
        <v>0.0</v>
      </c>
      <c r="G51" s="456">
        <v>0.0</v>
      </c>
      <c r="H51" s="457">
        <v>45558.73365740741</v>
      </c>
      <c r="I51" s="456">
        <v>0.008</v>
      </c>
      <c r="J51" s="456">
        <v>8.56</v>
      </c>
      <c r="K51" s="456">
        <v>0.005</v>
      </c>
      <c r="L51" s="456">
        <v>3.79</v>
      </c>
      <c r="M51" s="456">
        <v>1.0</v>
      </c>
      <c r="N51" s="456">
        <v>0.008</v>
      </c>
      <c r="O51" s="456">
        <v>0.005</v>
      </c>
      <c r="P51" s="456">
        <v>0.008</v>
      </c>
      <c r="Q51" s="456">
        <v>0.005</v>
      </c>
      <c r="R51" s="333" t="s">
        <v>12</v>
      </c>
    </row>
    <row r="52">
      <c r="A52" s="458">
        <v>35.0</v>
      </c>
      <c r="B52" s="455">
        <v>51.0</v>
      </c>
      <c r="C52" s="456">
        <v>28.0</v>
      </c>
      <c r="D52" s="456" t="s">
        <v>940</v>
      </c>
      <c r="E52" s="456">
        <v>0.0</v>
      </c>
      <c r="F52" s="456">
        <v>0.0</v>
      </c>
      <c r="G52" s="456">
        <v>0.0</v>
      </c>
      <c r="H52" s="457">
        <v>45558.73446759259</v>
      </c>
      <c r="I52" s="456">
        <v>0.012</v>
      </c>
      <c r="J52" s="456">
        <v>12.04</v>
      </c>
      <c r="K52" s="456">
        <v>0.006</v>
      </c>
      <c r="L52" s="456">
        <v>4.23</v>
      </c>
      <c r="M52" s="456">
        <v>1.0</v>
      </c>
      <c r="N52" s="456">
        <v>0.012</v>
      </c>
      <c r="O52" s="456">
        <v>0.006</v>
      </c>
      <c r="P52" s="456">
        <v>0.012</v>
      </c>
      <c r="Q52" s="456">
        <v>0.006</v>
      </c>
      <c r="R52" s="333" t="s">
        <v>12</v>
      </c>
    </row>
    <row r="53">
      <c r="A53" s="458">
        <v>74.0</v>
      </c>
      <c r="B53" s="455">
        <v>52.0</v>
      </c>
      <c r="C53" s="456">
        <v>29.0</v>
      </c>
      <c r="D53" s="456" t="s">
        <v>940</v>
      </c>
      <c r="E53" s="456">
        <v>0.0</v>
      </c>
      <c r="F53" s="456">
        <v>0.0</v>
      </c>
      <c r="G53" s="456">
        <v>0.0</v>
      </c>
      <c r="H53" s="457">
        <v>45558.73527777778</v>
      </c>
      <c r="I53" s="456">
        <v>0.008</v>
      </c>
      <c r="J53" s="456">
        <v>8.55</v>
      </c>
      <c r="K53" s="456">
        <v>0.004</v>
      </c>
      <c r="L53" s="456">
        <v>3.38</v>
      </c>
      <c r="M53" s="456">
        <v>1.0</v>
      </c>
      <c r="N53" s="456">
        <v>0.008</v>
      </c>
      <c r="O53" s="456">
        <v>0.004</v>
      </c>
      <c r="P53" s="456">
        <v>0.008</v>
      </c>
      <c r="Q53" s="456">
        <v>0.004</v>
      </c>
      <c r="R53" s="333" t="s">
        <v>12</v>
      </c>
    </row>
    <row r="54">
      <c r="A54" s="458">
        <v>165.0</v>
      </c>
      <c r="B54" s="455">
        <v>53.0</v>
      </c>
      <c r="C54" s="456">
        <v>30.0</v>
      </c>
      <c r="D54" s="456" t="s">
        <v>940</v>
      </c>
      <c r="E54" s="456">
        <v>0.0</v>
      </c>
      <c r="F54" s="456">
        <v>0.0</v>
      </c>
      <c r="G54" s="456">
        <v>0.0</v>
      </c>
      <c r="H54" s="457">
        <v>45558.73608796296</v>
      </c>
      <c r="I54" s="456">
        <v>0.01</v>
      </c>
      <c r="J54" s="456">
        <v>10.57</v>
      </c>
      <c r="K54" s="456">
        <v>0.006</v>
      </c>
      <c r="L54" s="456">
        <v>3.98</v>
      </c>
      <c r="M54" s="456">
        <v>1.0</v>
      </c>
      <c r="N54" s="456">
        <v>0.01</v>
      </c>
      <c r="O54" s="456">
        <v>0.006</v>
      </c>
      <c r="P54" s="456">
        <v>0.01</v>
      </c>
      <c r="Q54" s="456">
        <v>0.006</v>
      </c>
      <c r="R54" s="333" t="s">
        <v>12</v>
      </c>
    </row>
    <row r="55">
      <c r="A55" s="458">
        <v>22.0</v>
      </c>
      <c r="B55" s="455">
        <v>54.0</v>
      </c>
      <c r="C55" s="456">
        <v>31.0</v>
      </c>
      <c r="D55" s="456" t="s">
        <v>940</v>
      </c>
      <c r="E55" s="456">
        <v>0.0</v>
      </c>
      <c r="F55" s="456">
        <v>0.0</v>
      </c>
      <c r="G55" s="456">
        <v>0.0</v>
      </c>
      <c r="H55" s="457">
        <v>45558.73689814815</v>
      </c>
      <c r="I55" s="456">
        <v>0.012</v>
      </c>
      <c r="J55" s="456">
        <v>12.4</v>
      </c>
      <c r="K55" s="456">
        <v>0.005</v>
      </c>
      <c r="L55" s="456">
        <v>3.56</v>
      </c>
      <c r="M55" s="456">
        <v>1.0</v>
      </c>
      <c r="N55" s="456">
        <v>0.012</v>
      </c>
      <c r="O55" s="456">
        <v>0.005</v>
      </c>
      <c r="P55" s="456">
        <v>0.012</v>
      </c>
      <c r="Q55" s="456">
        <v>0.005</v>
      </c>
      <c r="R55" s="333" t="s">
        <v>12</v>
      </c>
    </row>
    <row r="56">
      <c r="A56" s="458">
        <v>542.0</v>
      </c>
      <c r="B56" s="455">
        <v>55.0</v>
      </c>
      <c r="C56" s="456">
        <v>32.0</v>
      </c>
      <c r="D56" s="456" t="s">
        <v>940</v>
      </c>
      <c r="E56" s="456">
        <v>0.0</v>
      </c>
      <c r="F56" s="456">
        <v>0.0</v>
      </c>
      <c r="G56" s="456">
        <v>0.0</v>
      </c>
      <c r="H56" s="457">
        <v>45558.737708333334</v>
      </c>
      <c r="I56" s="456">
        <v>0.01</v>
      </c>
      <c r="J56" s="456">
        <v>10.89</v>
      </c>
      <c r="K56" s="456">
        <v>0.006</v>
      </c>
      <c r="L56" s="456">
        <v>3.96</v>
      </c>
      <c r="M56" s="456">
        <v>1.0</v>
      </c>
      <c r="N56" s="456">
        <v>0.01</v>
      </c>
      <c r="O56" s="456">
        <v>0.006</v>
      </c>
      <c r="P56" s="456">
        <v>0.01</v>
      </c>
      <c r="Q56" s="456">
        <v>0.006</v>
      </c>
      <c r="R56" s="333" t="s">
        <v>12</v>
      </c>
    </row>
    <row r="57">
      <c r="A57" s="455" t="s">
        <v>948</v>
      </c>
      <c r="B57" s="455">
        <v>56.0</v>
      </c>
      <c r="C57" s="456">
        <v>33.0</v>
      </c>
      <c r="D57" s="456" t="s">
        <v>942</v>
      </c>
      <c r="E57" s="456">
        <v>0.0</v>
      </c>
      <c r="F57" s="456">
        <v>0.0</v>
      </c>
      <c r="G57" s="456">
        <v>1.0</v>
      </c>
      <c r="H57" s="457">
        <v>45558.73851851852</v>
      </c>
      <c r="I57" s="456">
        <v>0.173</v>
      </c>
      <c r="J57" s="456">
        <v>146.9</v>
      </c>
      <c r="K57" s="456">
        <v>0.153</v>
      </c>
      <c r="L57" s="456">
        <v>66.08</v>
      </c>
      <c r="M57" s="456">
        <v>1.0</v>
      </c>
      <c r="N57" s="456">
        <v>0.173</v>
      </c>
      <c r="O57" s="456">
        <v>0.153</v>
      </c>
      <c r="P57" s="456">
        <v>0.173</v>
      </c>
      <c r="Q57" s="456">
        <v>0.153</v>
      </c>
      <c r="R57" s="333" t="s">
        <v>12</v>
      </c>
    </row>
    <row r="58">
      <c r="A58" s="455" t="s">
        <v>943</v>
      </c>
      <c r="B58" s="455">
        <v>57.0</v>
      </c>
      <c r="C58" s="456">
        <v>908.0</v>
      </c>
      <c r="D58" s="456" t="s">
        <v>944</v>
      </c>
      <c r="E58" s="456">
        <v>0.0</v>
      </c>
      <c r="F58" s="456">
        <v>0.0</v>
      </c>
      <c r="G58" s="456">
        <v>0.0</v>
      </c>
      <c r="H58" s="457">
        <v>45558.739328703705</v>
      </c>
      <c r="I58" s="456">
        <v>0.155</v>
      </c>
      <c r="J58" s="456">
        <v>131.6</v>
      </c>
      <c r="K58" s="456">
        <v>0.028</v>
      </c>
      <c r="L58" s="456">
        <v>13.23</v>
      </c>
      <c r="M58" s="456">
        <v>1.0</v>
      </c>
      <c r="N58" s="456">
        <v>0.155</v>
      </c>
      <c r="O58" s="456">
        <v>0.028</v>
      </c>
      <c r="P58" s="456">
        <v>0.155</v>
      </c>
      <c r="Q58" s="456">
        <v>0.028</v>
      </c>
      <c r="R58" s="333" t="s">
        <v>12</v>
      </c>
    </row>
    <row r="59">
      <c r="A59" s="455" t="s">
        <v>945</v>
      </c>
      <c r="B59" s="455">
        <v>58.0</v>
      </c>
      <c r="C59" s="456">
        <v>909.0</v>
      </c>
      <c r="D59" s="456" t="s">
        <v>944</v>
      </c>
      <c r="E59" s="456">
        <v>0.0</v>
      </c>
      <c r="F59" s="456">
        <v>0.0</v>
      </c>
      <c r="G59" s="456">
        <v>0.0</v>
      </c>
      <c r="H59" s="457">
        <v>45558.74013888889</v>
      </c>
      <c r="I59" s="456">
        <v>0.157</v>
      </c>
      <c r="J59" s="456">
        <v>133.55</v>
      </c>
      <c r="K59" s="456">
        <v>0.026</v>
      </c>
      <c r="L59" s="456">
        <v>12.67</v>
      </c>
      <c r="M59" s="456">
        <v>1.0</v>
      </c>
      <c r="N59" s="456">
        <v>0.157</v>
      </c>
      <c r="O59" s="456">
        <v>0.026</v>
      </c>
      <c r="P59" s="456">
        <v>0.157</v>
      </c>
      <c r="Q59" s="456">
        <v>0.026</v>
      </c>
      <c r="R59" s="333" t="s">
        <v>12</v>
      </c>
    </row>
    <row r="60">
      <c r="A60" s="455" t="s">
        <v>934</v>
      </c>
      <c r="B60" s="455">
        <v>59.0</v>
      </c>
      <c r="C60" s="456">
        <v>0.0</v>
      </c>
      <c r="D60" s="456" t="s">
        <v>935</v>
      </c>
      <c r="E60" s="456">
        <v>0.0</v>
      </c>
      <c r="F60" s="456">
        <v>0.0</v>
      </c>
      <c r="G60" s="456">
        <v>0.0</v>
      </c>
      <c r="H60" s="457">
        <v>45558.740949074076</v>
      </c>
      <c r="I60" s="456">
        <v>-0.003</v>
      </c>
      <c r="J60" s="456">
        <v>0.0</v>
      </c>
      <c r="K60" s="456">
        <v>-0.004</v>
      </c>
      <c r="L60" s="456">
        <v>0.0</v>
      </c>
      <c r="M60" s="456">
        <v>1.0</v>
      </c>
      <c r="N60" s="456">
        <v>-0.003</v>
      </c>
      <c r="O60" s="456">
        <v>-0.004</v>
      </c>
      <c r="P60" s="456" t="s">
        <v>932</v>
      </c>
      <c r="Q60" s="456" t="s">
        <v>933</v>
      </c>
      <c r="R60" s="333" t="s">
        <v>12</v>
      </c>
    </row>
    <row r="61">
      <c r="A61" s="458">
        <v>477.0</v>
      </c>
      <c r="B61" s="455">
        <v>60.0</v>
      </c>
      <c r="C61" s="456">
        <v>34.0</v>
      </c>
      <c r="D61" s="456" t="s">
        <v>940</v>
      </c>
      <c r="E61" s="456">
        <v>0.0</v>
      </c>
      <c r="F61" s="456">
        <v>0.0</v>
      </c>
      <c r="G61" s="456">
        <v>0.0</v>
      </c>
      <c r="H61" s="457">
        <v>45558.74337962963</v>
      </c>
      <c r="I61" s="456">
        <v>0.016</v>
      </c>
      <c r="J61" s="456">
        <v>15.47</v>
      </c>
      <c r="K61" s="456">
        <v>0.005</v>
      </c>
      <c r="L61" s="456">
        <v>3.77</v>
      </c>
      <c r="M61" s="456">
        <v>1.0</v>
      </c>
      <c r="N61" s="456">
        <v>0.016</v>
      </c>
      <c r="O61" s="456">
        <v>0.005</v>
      </c>
      <c r="P61" s="456">
        <v>0.016</v>
      </c>
      <c r="Q61" s="456">
        <v>0.005</v>
      </c>
      <c r="R61" s="333" t="s">
        <v>12</v>
      </c>
    </row>
    <row r="62">
      <c r="A62" s="458">
        <v>412.0</v>
      </c>
      <c r="B62" s="455">
        <v>61.0</v>
      </c>
      <c r="C62" s="456">
        <v>35.0</v>
      </c>
      <c r="D62" s="456" t="s">
        <v>940</v>
      </c>
      <c r="E62" s="456">
        <v>0.0</v>
      </c>
      <c r="F62" s="456">
        <v>0.0</v>
      </c>
      <c r="G62" s="456">
        <v>0.0</v>
      </c>
      <c r="H62" s="457">
        <v>45558.74418981482</v>
      </c>
      <c r="I62" s="456">
        <v>0.012</v>
      </c>
      <c r="J62" s="456">
        <v>11.97</v>
      </c>
      <c r="K62" s="456">
        <v>0.006</v>
      </c>
      <c r="L62" s="456">
        <v>4.0</v>
      </c>
      <c r="M62" s="456">
        <v>1.0</v>
      </c>
      <c r="N62" s="456">
        <v>0.012</v>
      </c>
      <c r="O62" s="456">
        <v>0.006</v>
      </c>
      <c r="P62" s="456">
        <v>0.012</v>
      </c>
      <c r="Q62" s="456">
        <v>0.006</v>
      </c>
      <c r="R62" s="333" t="s">
        <v>12</v>
      </c>
    </row>
    <row r="63">
      <c r="A63" s="458">
        <v>243.0</v>
      </c>
      <c r="B63" s="455">
        <v>62.0</v>
      </c>
      <c r="C63" s="456">
        <v>36.0</v>
      </c>
      <c r="D63" s="456" t="s">
        <v>940</v>
      </c>
      <c r="E63" s="456">
        <v>0.0</v>
      </c>
      <c r="F63" s="456">
        <v>0.0</v>
      </c>
      <c r="G63" s="456">
        <v>0.0</v>
      </c>
      <c r="H63" s="457">
        <v>45558.745</v>
      </c>
      <c r="I63" s="456">
        <v>0.016</v>
      </c>
      <c r="J63" s="456">
        <v>15.24</v>
      </c>
      <c r="K63" s="456">
        <v>0.006</v>
      </c>
      <c r="L63" s="456">
        <v>4.07</v>
      </c>
      <c r="M63" s="456">
        <v>1.0</v>
      </c>
      <c r="N63" s="456">
        <v>0.016</v>
      </c>
      <c r="O63" s="456">
        <v>0.006</v>
      </c>
      <c r="P63" s="456">
        <v>0.016</v>
      </c>
      <c r="Q63" s="456">
        <v>0.006</v>
      </c>
      <c r="R63" s="333" t="s">
        <v>12</v>
      </c>
    </row>
    <row r="64">
      <c r="A64" s="458">
        <v>334.0</v>
      </c>
      <c r="B64" s="455">
        <v>63.0</v>
      </c>
      <c r="C64" s="456">
        <v>37.0</v>
      </c>
      <c r="D64" s="456" t="s">
        <v>940</v>
      </c>
      <c r="E64" s="456">
        <v>0.0</v>
      </c>
      <c r="F64" s="456">
        <v>0.0</v>
      </c>
      <c r="G64" s="456">
        <v>0.0</v>
      </c>
      <c r="H64" s="457">
        <v>45558.74581018519</v>
      </c>
      <c r="I64" s="456">
        <v>0.011</v>
      </c>
      <c r="J64" s="456">
        <v>11.39</v>
      </c>
      <c r="K64" s="456">
        <v>0.006</v>
      </c>
      <c r="L64" s="456">
        <v>3.88</v>
      </c>
      <c r="M64" s="456">
        <v>1.0</v>
      </c>
      <c r="N64" s="456">
        <v>0.011</v>
      </c>
      <c r="O64" s="456">
        <v>0.006</v>
      </c>
      <c r="P64" s="456">
        <v>0.011</v>
      </c>
      <c r="Q64" s="456">
        <v>0.006</v>
      </c>
      <c r="R64" s="333" t="s">
        <v>12</v>
      </c>
    </row>
    <row r="65">
      <c r="A65" s="458">
        <v>308.0</v>
      </c>
      <c r="B65" s="455">
        <v>64.0</v>
      </c>
      <c r="C65" s="456">
        <v>38.0</v>
      </c>
      <c r="D65" s="456" t="s">
        <v>940</v>
      </c>
      <c r="E65" s="456">
        <v>0.0</v>
      </c>
      <c r="F65" s="456">
        <v>0.0</v>
      </c>
      <c r="G65" s="456">
        <v>0.0</v>
      </c>
      <c r="H65" s="457">
        <v>45558.74662037037</v>
      </c>
      <c r="I65" s="456">
        <v>0.015</v>
      </c>
      <c r="J65" s="456">
        <v>15.07</v>
      </c>
      <c r="K65" s="456">
        <v>0.006</v>
      </c>
      <c r="L65" s="456">
        <v>3.9</v>
      </c>
      <c r="M65" s="456">
        <v>1.0</v>
      </c>
      <c r="N65" s="456">
        <v>0.015</v>
      </c>
      <c r="O65" s="456">
        <v>0.006</v>
      </c>
      <c r="P65" s="456">
        <v>0.015</v>
      </c>
      <c r="Q65" s="456">
        <v>0.006</v>
      </c>
      <c r="R65" s="333" t="s">
        <v>12</v>
      </c>
    </row>
    <row r="66">
      <c r="A66" s="458">
        <v>61.0</v>
      </c>
      <c r="B66" s="455">
        <v>65.0</v>
      </c>
      <c r="C66" s="456">
        <v>39.0</v>
      </c>
      <c r="D66" s="456" t="s">
        <v>940</v>
      </c>
      <c r="E66" s="456">
        <v>0.0</v>
      </c>
      <c r="F66" s="456">
        <v>0.0</v>
      </c>
      <c r="G66" s="456">
        <v>0.0</v>
      </c>
      <c r="H66" s="457">
        <v>45558.74743055556</v>
      </c>
      <c r="I66" s="456">
        <v>0.017</v>
      </c>
      <c r="J66" s="456">
        <v>16.69</v>
      </c>
      <c r="K66" s="456">
        <v>0.008</v>
      </c>
      <c r="L66" s="456">
        <v>4.87</v>
      </c>
      <c r="M66" s="456">
        <v>1.0</v>
      </c>
      <c r="N66" s="456">
        <v>0.017</v>
      </c>
      <c r="O66" s="456">
        <v>0.008</v>
      </c>
      <c r="P66" s="456">
        <v>0.017</v>
      </c>
      <c r="Q66" s="456">
        <v>0.008</v>
      </c>
      <c r="R66" s="333" t="s">
        <v>12</v>
      </c>
    </row>
    <row r="67">
      <c r="A67" s="458">
        <v>282.0</v>
      </c>
      <c r="B67" s="455">
        <v>66.0</v>
      </c>
      <c r="C67" s="456">
        <v>40.0</v>
      </c>
      <c r="D67" s="456" t="s">
        <v>940</v>
      </c>
      <c r="E67" s="456">
        <v>0.0</v>
      </c>
      <c r="F67" s="456">
        <v>0.0</v>
      </c>
      <c r="G67" s="456">
        <v>0.0</v>
      </c>
      <c r="H67" s="457">
        <v>45558.748240740744</v>
      </c>
      <c r="I67" s="456">
        <v>0.009</v>
      </c>
      <c r="J67" s="456">
        <v>9.81</v>
      </c>
      <c r="K67" s="456">
        <v>0.009</v>
      </c>
      <c r="L67" s="456">
        <v>5.1</v>
      </c>
      <c r="M67" s="456">
        <v>1.0</v>
      </c>
      <c r="N67" s="456">
        <v>0.009</v>
      </c>
      <c r="O67" s="456">
        <v>0.009</v>
      </c>
      <c r="P67" s="456">
        <v>0.009</v>
      </c>
      <c r="Q67" s="456">
        <v>0.009</v>
      </c>
      <c r="R67" s="333" t="s">
        <v>12</v>
      </c>
    </row>
    <row r="68">
      <c r="A68" s="458">
        <v>113.0</v>
      </c>
      <c r="B68" s="455">
        <v>67.0</v>
      </c>
      <c r="C68" s="456">
        <v>41.0</v>
      </c>
      <c r="D68" s="456" t="s">
        <v>940</v>
      </c>
      <c r="E68" s="456">
        <v>0.0</v>
      </c>
      <c r="F68" s="456">
        <v>0.0</v>
      </c>
      <c r="G68" s="456">
        <v>0.0</v>
      </c>
      <c r="H68" s="457">
        <v>45558.74905092592</v>
      </c>
      <c r="I68" s="456">
        <v>0.011</v>
      </c>
      <c r="J68" s="456">
        <v>11.57</v>
      </c>
      <c r="K68" s="456">
        <v>0.005</v>
      </c>
      <c r="L68" s="456">
        <v>3.58</v>
      </c>
      <c r="M68" s="456">
        <v>1.0</v>
      </c>
      <c r="N68" s="456">
        <v>0.011</v>
      </c>
      <c r="O68" s="456">
        <v>0.005</v>
      </c>
      <c r="P68" s="456">
        <v>0.011</v>
      </c>
      <c r="Q68" s="456">
        <v>0.005</v>
      </c>
      <c r="R68" s="333" t="s">
        <v>12</v>
      </c>
    </row>
    <row r="69">
      <c r="A69" s="458">
        <v>100.0</v>
      </c>
      <c r="B69" s="455">
        <v>68.0</v>
      </c>
      <c r="C69" s="456">
        <v>42.0</v>
      </c>
      <c r="D69" s="456" t="s">
        <v>940</v>
      </c>
      <c r="E69" s="456">
        <v>0.0</v>
      </c>
      <c r="F69" s="456">
        <v>0.0</v>
      </c>
      <c r="G69" s="456">
        <v>0.0</v>
      </c>
      <c r="H69" s="457">
        <v>45558.74986111111</v>
      </c>
      <c r="I69" s="456">
        <v>0.007</v>
      </c>
      <c r="J69" s="456">
        <v>8.05</v>
      </c>
      <c r="K69" s="456">
        <v>0.005</v>
      </c>
      <c r="L69" s="456">
        <v>3.58</v>
      </c>
      <c r="M69" s="456">
        <v>1.0</v>
      </c>
      <c r="N69" s="456">
        <v>0.007</v>
      </c>
      <c r="O69" s="456">
        <v>0.005</v>
      </c>
      <c r="P69" s="456">
        <v>0.007</v>
      </c>
      <c r="Q69" s="456">
        <v>0.005</v>
      </c>
      <c r="R69" s="333" t="s">
        <v>12</v>
      </c>
    </row>
    <row r="70">
      <c r="A70" s="458">
        <v>178.0</v>
      </c>
      <c r="B70" s="455">
        <v>69.0</v>
      </c>
      <c r="C70" s="456">
        <v>43.0</v>
      </c>
      <c r="D70" s="456" t="s">
        <v>940</v>
      </c>
      <c r="E70" s="456">
        <v>0.0</v>
      </c>
      <c r="F70" s="456">
        <v>0.0</v>
      </c>
      <c r="G70" s="456">
        <v>0.0</v>
      </c>
      <c r="H70" s="457">
        <v>45558.75067129629</v>
      </c>
      <c r="I70" s="456">
        <v>0.014</v>
      </c>
      <c r="J70" s="456">
        <v>13.89</v>
      </c>
      <c r="K70" s="456">
        <v>0.007</v>
      </c>
      <c r="L70" s="456">
        <v>4.38</v>
      </c>
      <c r="M70" s="456">
        <v>1.0</v>
      </c>
      <c r="N70" s="456">
        <v>0.014</v>
      </c>
      <c r="O70" s="456">
        <v>0.007</v>
      </c>
      <c r="P70" s="456">
        <v>0.014</v>
      </c>
      <c r="Q70" s="456">
        <v>0.007</v>
      </c>
      <c r="R70" s="333" t="s">
        <v>12</v>
      </c>
    </row>
    <row r="71">
      <c r="A71" s="454" t="s">
        <v>949</v>
      </c>
      <c r="B71" s="455">
        <v>70.0</v>
      </c>
      <c r="C71" s="456">
        <v>44.0</v>
      </c>
      <c r="D71" s="456" t="s">
        <v>942</v>
      </c>
      <c r="E71" s="456">
        <v>0.0</v>
      </c>
      <c r="F71" s="456">
        <v>0.0</v>
      </c>
      <c r="G71" s="456">
        <v>1.0</v>
      </c>
      <c r="H71" s="457">
        <v>45558.75148148148</v>
      </c>
      <c r="I71" s="456">
        <v>0.173</v>
      </c>
      <c r="J71" s="456">
        <v>146.64</v>
      </c>
      <c r="K71" s="456">
        <v>0.153</v>
      </c>
      <c r="L71" s="456">
        <v>66.29</v>
      </c>
      <c r="M71" s="456">
        <v>1.0</v>
      </c>
      <c r="N71" s="456">
        <v>0.173</v>
      </c>
      <c r="O71" s="456">
        <v>0.153</v>
      </c>
      <c r="P71" s="456">
        <v>0.173</v>
      </c>
      <c r="Q71" s="456">
        <v>0.153</v>
      </c>
      <c r="R71" s="333" t="s">
        <v>12</v>
      </c>
    </row>
    <row r="72">
      <c r="A72" s="454" t="s">
        <v>943</v>
      </c>
      <c r="B72" s="455">
        <v>71.0</v>
      </c>
      <c r="C72" s="456">
        <v>908.0</v>
      </c>
      <c r="D72" s="456" t="s">
        <v>944</v>
      </c>
      <c r="E72" s="456">
        <v>0.0</v>
      </c>
      <c r="F72" s="456">
        <v>0.0</v>
      </c>
      <c r="G72" s="456">
        <v>0.0</v>
      </c>
      <c r="H72" s="457">
        <v>45558.752291666664</v>
      </c>
      <c r="I72" s="456">
        <v>0.148</v>
      </c>
      <c r="J72" s="456">
        <v>126.01</v>
      </c>
      <c r="K72" s="456">
        <v>0.028</v>
      </c>
      <c r="L72" s="456">
        <v>13.16</v>
      </c>
      <c r="M72" s="456">
        <v>1.0</v>
      </c>
      <c r="N72" s="456">
        <v>0.148</v>
      </c>
      <c r="O72" s="456">
        <v>0.028</v>
      </c>
      <c r="P72" s="456">
        <v>0.148</v>
      </c>
      <c r="Q72" s="456">
        <v>0.028</v>
      </c>
      <c r="R72" s="333" t="s">
        <v>12</v>
      </c>
    </row>
    <row r="73">
      <c r="A73" s="454" t="s">
        <v>945</v>
      </c>
      <c r="B73" s="455">
        <v>72.0</v>
      </c>
      <c r="C73" s="456">
        <v>909.0</v>
      </c>
      <c r="D73" s="456" t="s">
        <v>944</v>
      </c>
      <c r="E73" s="456">
        <v>0.0</v>
      </c>
      <c r="F73" s="456">
        <v>0.0</v>
      </c>
      <c r="G73" s="456">
        <v>0.0</v>
      </c>
      <c r="H73" s="457">
        <v>45558.75310185185</v>
      </c>
      <c r="I73" s="456">
        <v>0.146</v>
      </c>
      <c r="J73" s="456">
        <v>124.17</v>
      </c>
      <c r="K73" s="456">
        <v>0.026</v>
      </c>
      <c r="L73" s="456">
        <v>12.61</v>
      </c>
      <c r="M73" s="456">
        <v>1.0</v>
      </c>
      <c r="N73" s="456">
        <v>0.146</v>
      </c>
      <c r="O73" s="456">
        <v>0.026</v>
      </c>
      <c r="P73" s="456">
        <v>0.146</v>
      </c>
      <c r="Q73" s="456">
        <v>0.026</v>
      </c>
      <c r="R73" s="333" t="s">
        <v>12</v>
      </c>
    </row>
    <row r="74">
      <c r="A74" s="454" t="s">
        <v>934</v>
      </c>
      <c r="B74" s="455">
        <v>73.0</v>
      </c>
      <c r="C74" s="456">
        <v>0.0</v>
      </c>
      <c r="D74" s="456" t="s">
        <v>935</v>
      </c>
      <c r="E74" s="456">
        <v>0.0</v>
      </c>
      <c r="F74" s="456">
        <v>0.0</v>
      </c>
      <c r="G74" s="456">
        <v>0.0</v>
      </c>
      <c r="H74" s="457">
        <v>45558.753912037035</v>
      </c>
      <c r="I74" s="456">
        <v>-0.003</v>
      </c>
      <c r="J74" s="456">
        <v>0.0</v>
      </c>
      <c r="K74" s="456">
        <v>-0.004</v>
      </c>
      <c r="L74" s="456">
        <v>0.0</v>
      </c>
      <c r="M74" s="456">
        <v>1.0</v>
      </c>
      <c r="N74" s="456">
        <v>-0.003</v>
      </c>
      <c r="O74" s="456">
        <v>-0.004</v>
      </c>
      <c r="P74" s="456" t="s">
        <v>932</v>
      </c>
      <c r="Q74" s="456" t="s">
        <v>933</v>
      </c>
      <c r="R74" s="333" t="s">
        <v>12</v>
      </c>
    </row>
    <row r="75">
      <c r="A75" s="458">
        <v>581.0</v>
      </c>
      <c r="B75" s="455">
        <v>74.0</v>
      </c>
      <c r="C75" s="456">
        <v>45.0</v>
      </c>
      <c r="D75" s="456" t="s">
        <v>940</v>
      </c>
      <c r="E75" s="456">
        <v>0.0</v>
      </c>
      <c r="F75" s="456">
        <v>0.0</v>
      </c>
      <c r="G75" s="456">
        <v>0.0</v>
      </c>
      <c r="H75" s="457">
        <v>45558.75634259259</v>
      </c>
      <c r="I75" s="456">
        <v>0.015</v>
      </c>
      <c r="J75" s="456">
        <v>14.3</v>
      </c>
      <c r="K75" s="456">
        <v>0.008</v>
      </c>
      <c r="L75" s="456">
        <v>4.74</v>
      </c>
      <c r="M75" s="456">
        <v>1.0</v>
      </c>
      <c r="N75" s="456">
        <v>0.015</v>
      </c>
      <c r="O75" s="456">
        <v>0.008</v>
      </c>
      <c r="P75" s="456">
        <v>0.015</v>
      </c>
      <c r="Q75" s="456">
        <v>0.008</v>
      </c>
      <c r="R75" s="333" t="s">
        <v>12</v>
      </c>
    </row>
    <row r="76">
      <c r="A76" s="458">
        <v>87.0</v>
      </c>
      <c r="B76" s="455">
        <v>75.0</v>
      </c>
      <c r="C76" s="456">
        <v>46.0</v>
      </c>
      <c r="D76" s="456" t="s">
        <v>940</v>
      </c>
      <c r="E76" s="456">
        <v>0.0</v>
      </c>
      <c r="F76" s="456">
        <v>0.0</v>
      </c>
      <c r="G76" s="456">
        <v>0.0</v>
      </c>
      <c r="H76" s="457">
        <v>45558.757152777776</v>
      </c>
      <c r="I76" s="456">
        <v>0.008</v>
      </c>
      <c r="J76" s="456">
        <v>9.12</v>
      </c>
      <c r="K76" s="456">
        <v>0.006</v>
      </c>
      <c r="L76" s="456">
        <v>4.04</v>
      </c>
      <c r="M76" s="456">
        <v>1.0</v>
      </c>
      <c r="N76" s="456">
        <v>0.008</v>
      </c>
      <c r="O76" s="456">
        <v>0.006</v>
      </c>
      <c r="P76" s="456">
        <v>0.008</v>
      </c>
      <c r="Q76" s="456">
        <v>0.006</v>
      </c>
      <c r="R76" s="333" t="s">
        <v>12</v>
      </c>
    </row>
    <row r="77">
      <c r="A77" s="458">
        <v>386.0</v>
      </c>
      <c r="B77" s="455">
        <v>76.0</v>
      </c>
      <c r="C77" s="456">
        <v>47.0</v>
      </c>
      <c r="D77" s="456" t="s">
        <v>940</v>
      </c>
      <c r="E77" s="456">
        <v>0.0</v>
      </c>
      <c r="F77" s="456">
        <v>0.0</v>
      </c>
      <c r="G77" s="456">
        <v>0.0</v>
      </c>
      <c r="H77" s="457">
        <v>45558.75796296296</v>
      </c>
      <c r="I77" s="456">
        <v>0.021</v>
      </c>
      <c r="J77" s="456">
        <v>19.65</v>
      </c>
      <c r="K77" s="456">
        <v>0.007</v>
      </c>
      <c r="L77" s="456">
        <v>4.48</v>
      </c>
      <c r="M77" s="456">
        <v>1.0</v>
      </c>
      <c r="N77" s="456">
        <v>0.021</v>
      </c>
      <c r="O77" s="456">
        <v>0.007</v>
      </c>
      <c r="P77" s="456">
        <v>0.021</v>
      </c>
      <c r="Q77" s="456">
        <v>0.007</v>
      </c>
      <c r="R77" s="333" t="s">
        <v>12</v>
      </c>
    </row>
    <row r="78">
      <c r="A78" s="458">
        <v>269.0</v>
      </c>
      <c r="B78" s="455">
        <v>77.0</v>
      </c>
      <c r="C78" s="456">
        <v>48.0</v>
      </c>
      <c r="D78" s="456" t="s">
        <v>940</v>
      </c>
      <c r="E78" s="456">
        <v>0.0</v>
      </c>
      <c r="F78" s="456">
        <v>0.0</v>
      </c>
      <c r="G78" s="456">
        <v>0.0</v>
      </c>
      <c r="H78" s="457">
        <v>45558.75877314815</v>
      </c>
      <c r="I78" s="456">
        <v>0.013</v>
      </c>
      <c r="J78" s="456">
        <v>12.98</v>
      </c>
      <c r="K78" s="456">
        <v>0.006</v>
      </c>
      <c r="L78" s="456">
        <v>4.13</v>
      </c>
      <c r="M78" s="456">
        <v>1.0</v>
      </c>
      <c r="N78" s="456">
        <v>0.013</v>
      </c>
      <c r="O78" s="456">
        <v>0.006</v>
      </c>
      <c r="P78" s="456">
        <v>0.013</v>
      </c>
      <c r="Q78" s="456">
        <v>0.006</v>
      </c>
      <c r="R78" s="333" t="s">
        <v>12</v>
      </c>
    </row>
    <row r="79">
      <c r="A79" s="458">
        <v>555.0</v>
      </c>
      <c r="B79" s="455">
        <v>78.0</v>
      </c>
      <c r="C79" s="456">
        <v>49.0</v>
      </c>
      <c r="D79" s="456" t="s">
        <v>940</v>
      </c>
      <c r="E79" s="456">
        <v>0.0</v>
      </c>
      <c r="F79" s="456">
        <v>0.0</v>
      </c>
      <c r="G79" s="456">
        <v>0.0</v>
      </c>
      <c r="H79" s="457">
        <v>45558.75958333333</v>
      </c>
      <c r="I79" s="456">
        <v>0.017</v>
      </c>
      <c r="J79" s="456">
        <v>16.48</v>
      </c>
      <c r="K79" s="456">
        <v>0.007</v>
      </c>
      <c r="L79" s="456">
        <v>4.28</v>
      </c>
      <c r="M79" s="456">
        <v>1.0</v>
      </c>
      <c r="N79" s="456">
        <v>0.017</v>
      </c>
      <c r="O79" s="456">
        <v>0.007</v>
      </c>
      <c r="P79" s="456">
        <v>0.017</v>
      </c>
      <c r="Q79" s="456">
        <v>0.007</v>
      </c>
      <c r="R79" s="333" t="s">
        <v>12</v>
      </c>
    </row>
    <row r="80">
      <c r="A80" s="458">
        <v>438.0</v>
      </c>
      <c r="B80" s="455">
        <v>79.0</v>
      </c>
      <c r="C80" s="456">
        <v>50.0</v>
      </c>
      <c r="D80" s="456" t="s">
        <v>940</v>
      </c>
      <c r="E80" s="456">
        <v>0.0</v>
      </c>
      <c r="F80" s="456">
        <v>0.0</v>
      </c>
      <c r="G80" s="456">
        <v>0.0</v>
      </c>
      <c r="H80" s="457">
        <v>45558.76039351852</v>
      </c>
      <c r="I80" s="456">
        <v>0.013</v>
      </c>
      <c r="J80" s="456">
        <v>13.23</v>
      </c>
      <c r="K80" s="456">
        <v>0.008</v>
      </c>
      <c r="L80" s="456">
        <v>4.78</v>
      </c>
      <c r="M80" s="456">
        <v>1.0</v>
      </c>
      <c r="N80" s="456">
        <v>0.013</v>
      </c>
      <c r="O80" s="456">
        <v>0.008</v>
      </c>
      <c r="P80" s="456">
        <v>0.013</v>
      </c>
      <c r="Q80" s="456">
        <v>0.008</v>
      </c>
      <c r="R80" s="333" t="s">
        <v>12</v>
      </c>
    </row>
    <row r="81">
      <c r="A81" s="454" t="s">
        <v>950</v>
      </c>
      <c r="B81" s="455">
        <v>80.0</v>
      </c>
      <c r="C81" s="456">
        <v>51.0</v>
      </c>
      <c r="D81" s="456" t="s">
        <v>942</v>
      </c>
      <c r="E81" s="456">
        <v>0.0</v>
      </c>
      <c r="F81" s="456">
        <v>0.0</v>
      </c>
      <c r="G81" s="456">
        <v>1.0</v>
      </c>
      <c r="H81" s="457">
        <v>45558.7612037037</v>
      </c>
      <c r="I81" s="456">
        <v>0.155</v>
      </c>
      <c r="J81" s="456">
        <v>131.5</v>
      </c>
      <c r="K81" s="456">
        <v>0.155</v>
      </c>
      <c r="L81" s="456">
        <v>67.1</v>
      </c>
      <c r="M81" s="456">
        <v>1.0</v>
      </c>
      <c r="N81" s="456">
        <v>0.155</v>
      </c>
      <c r="O81" s="456">
        <v>0.155</v>
      </c>
      <c r="P81" s="456">
        <v>0.155</v>
      </c>
      <c r="Q81" s="456">
        <v>0.155</v>
      </c>
      <c r="R81" s="333" t="s">
        <v>12</v>
      </c>
    </row>
    <row r="82">
      <c r="A82" s="455" t="s">
        <v>943</v>
      </c>
      <c r="B82" s="455">
        <v>81.0</v>
      </c>
      <c r="C82" s="456">
        <v>908.0</v>
      </c>
      <c r="D82" s="456" t="s">
        <v>944</v>
      </c>
      <c r="E82" s="456">
        <v>0.0</v>
      </c>
      <c r="F82" s="456">
        <v>0.0</v>
      </c>
      <c r="G82" s="456">
        <v>0.0</v>
      </c>
      <c r="H82" s="457">
        <v>45558.76201388889</v>
      </c>
      <c r="I82" s="456">
        <v>0.134</v>
      </c>
      <c r="J82" s="456">
        <v>114.16</v>
      </c>
      <c r="K82" s="456">
        <v>0.027</v>
      </c>
      <c r="L82" s="456">
        <v>13.03</v>
      </c>
      <c r="M82" s="456">
        <v>1.0</v>
      </c>
      <c r="N82" s="456">
        <v>0.134</v>
      </c>
      <c r="O82" s="456">
        <v>0.027</v>
      </c>
      <c r="P82" s="456">
        <v>0.134</v>
      </c>
      <c r="Q82" s="456">
        <v>0.027</v>
      </c>
      <c r="R82" s="333" t="s">
        <v>12</v>
      </c>
    </row>
    <row r="83">
      <c r="A83" s="455" t="s">
        <v>945</v>
      </c>
      <c r="B83" s="455">
        <v>82.0</v>
      </c>
      <c r="C83" s="456">
        <v>909.0</v>
      </c>
      <c r="D83" s="456" t="s">
        <v>944</v>
      </c>
      <c r="E83" s="456">
        <v>0.0</v>
      </c>
      <c r="F83" s="456">
        <v>0.0</v>
      </c>
      <c r="G83" s="456">
        <v>0.0</v>
      </c>
      <c r="H83" s="457">
        <v>45558.762824074074</v>
      </c>
      <c r="I83" s="456">
        <v>0.134</v>
      </c>
      <c r="J83" s="456">
        <v>114.62</v>
      </c>
      <c r="K83" s="456">
        <v>0.026</v>
      </c>
      <c r="L83" s="456">
        <v>12.62</v>
      </c>
      <c r="M83" s="456">
        <v>1.0</v>
      </c>
      <c r="N83" s="456">
        <v>0.134</v>
      </c>
      <c r="O83" s="456">
        <v>0.026</v>
      </c>
      <c r="P83" s="456">
        <v>0.134</v>
      </c>
      <c r="Q83" s="456">
        <v>0.026</v>
      </c>
      <c r="R83" s="333" t="s">
        <v>12</v>
      </c>
    </row>
    <row r="84">
      <c r="A84" s="455" t="s">
        <v>934</v>
      </c>
      <c r="B84" s="455">
        <v>83.0</v>
      </c>
      <c r="C84" s="456">
        <v>0.0</v>
      </c>
      <c r="D84" s="456" t="s">
        <v>935</v>
      </c>
      <c r="E84" s="456">
        <v>0.0</v>
      </c>
      <c r="F84" s="456">
        <v>0.0</v>
      </c>
      <c r="G84" s="456">
        <v>0.0</v>
      </c>
      <c r="H84" s="457">
        <v>45558.76363425926</v>
      </c>
      <c r="I84" s="456">
        <v>-0.003</v>
      </c>
      <c r="J84" s="456">
        <v>0.0</v>
      </c>
      <c r="K84" s="456">
        <v>-0.004</v>
      </c>
      <c r="L84" s="456">
        <v>0.0</v>
      </c>
      <c r="M84" s="456">
        <v>1.0</v>
      </c>
      <c r="N84" s="456">
        <v>-0.003</v>
      </c>
      <c r="O84" s="456">
        <v>-0.004</v>
      </c>
      <c r="P84" s="456" t="s">
        <v>932</v>
      </c>
      <c r="Q84" s="456" t="s">
        <v>933</v>
      </c>
      <c r="R84" s="333" t="s">
        <v>12</v>
      </c>
    </row>
    <row r="85">
      <c r="A85" s="454" t="s">
        <v>75</v>
      </c>
      <c r="B85" s="455">
        <v>84.0</v>
      </c>
      <c r="C85" s="456">
        <v>906.0</v>
      </c>
      <c r="D85" s="456" t="s">
        <v>940</v>
      </c>
      <c r="E85" s="456">
        <v>0.0</v>
      </c>
      <c r="F85" s="456">
        <v>0.0</v>
      </c>
      <c r="G85" s="456">
        <v>0.0</v>
      </c>
      <c r="H85" s="457">
        <v>45558.766064814816</v>
      </c>
      <c r="I85" s="456">
        <v>0.0</v>
      </c>
      <c r="J85" s="456">
        <v>1.81</v>
      </c>
      <c r="K85" s="456">
        <v>-0.001</v>
      </c>
      <c r="L85" s="456">
        <v>0.89</v>
      </c>
      <c r="M85" s="456">
        <v>1.0</v>
      </c>
      <c r="N85" s="456">
        <v>0.0</v>
      </c>
      <c r="O85" s="456">
        <v>-0.001</v>
      </c>
      <c r="P85" s="456" t="s">
        <v>932</v>
      </c>
      <c r="Q85" s="456" t="s">
        <v>933</v>
      </c>
      <c r="R85" s="333" t="s">
        <v>12</v>
      </c>
    </row>
    <row r="86">
      <c r="A86" s="454" t="s">
        <v>75</v>
      </c>
      <c r="B86" s="455">
        <v>85.0</v>
      </c>
      <c r="C86" s="456">
        <v>906.0</v>
      </c>
      <c r="D86" s="456" t="s">
        <v>940</v>
      </c>
      <c r="E86" s="456">
        <v>0.0</v>
      </c>
      <c r="F86" s="456">
        <v>0.0</v>
      </c>
      <c r="G86" s="456">
        <v>0.0</v>
      </c>
      <c r="H86" s="457">
        <v>45558.766875</v>
      </c>
      <c r="I86" s="456">
        <v>0.0</v>
      </c>
      <c r="J86" s="456">
        <v>1.88</v>
      </c>
      <c r="K86" s="456">
        <v>-0.001</v>
      </c>
      <c r="L86" s="456">
        <v>1.02</v>
      </c>
      <c r="M86" s="456">
        <v>1.0</v>
      </c>
      <c r="N86" s="456">
        <v>0.0</v>
      </c>
      <c r="O86" s="456">
        <v>-0.001</v>
      </c>
      <c r="P86" s="456" t="s">
        <v>932</v>
      </c>
      <c r="Q86" s="456" t="s">
        <v>933</v>
      </c>
      <c r="R86" s="333" t="s">
        <v>12</v>
      </c>
    </row>
    <row r="87">
      <c r="A87" s="454" t="s">
        <v>75</v>
      </c>
      <c r="B87" s="455">
        <v>86.0</v>
      </c>
      <c r="C87" s="456">
        <v>906.0</v>
      </c>
      <c r="D87" s="456" t="s">
        <v>940</v>
      </c>
      <c r="E87" s="456">
        <v>0.0</v>
      </c>
      <c r="F87" s="456">
        <v>0.0</v>
      </c>
      <c r="G87" s="456">
        <v>0.0</v>
      </c>
      <c r="H87" s="457">
        <v>45558.76768518519</v>
      </c>
      <c r="I87" s="456">
        <v>-0.001</v>
      </c>
      <c r="J87" s="456">
        <v>1.67</v>
      </c>
      <c r="K87" s="456">
        <v>-0.001</v>
      </c>
      <c r="L87" s="456">
        <v>1.05</v>
      </c>
      <c r="M87" s="456">
        <v>1.0</v>
      </c>
      <c r="N87" s="456">
        <v>-0.001</v>
      </c>
      <c r="O87" s="456">
        <v>-0.001</v>
      </c>
      <c r="P87" s="456" t="s">
        <v>932</v>
      </c>
      <c r="Q87" s="456" t="s">
        <v>933</v>
      </c>
      <c r="R87" s="333" t="s">
        <v>12</v>
      </c>
    </row>
    <row r="88">
      <c r="A88" s="455" t="s">
        <v>75</v>
      </c>
      <c r="B88" s="455">
        <v>87.0</v>
      </c>
      <c r="C88" s="456">
        <v>906.0</v>
      </c>
      <c r="D88" s="456" t="s">
        <v>940</v>
      </c>
      <c r="E88" s="456">
        <v>0.0</v>
      </c>
      <c r="F88" s="456">
        <v>0.0</v>
      </c>
      <c r="G88" s="456">
        <v>0.0</v>
      </c>
      <c r="H88" s="457">
        <v>45558.76849537037</v>
      </c>
      <c r="I88" s="456">
        <v>0.0</v>
      </c>
      <c r="J88" s="456">
        <v>1.72</v>
      </c>
      <c r="K88" s="456">
        <v>-0.001</v>
      </c>
      <c r="L88" s="456">
        <v>0.99</v>
      </c>
      <c r="M88" s="456">
        <v>1.0</v>
      </c>
      <c r="N88" s="456">
        <v>0.0</v>
      </c>
      <c r="O88" s="456">
        <v>-0.001</v>
      </c>
      <c r="P88" s="456" t="s">
        <v>932</v>
      </c>
      <c r="Q88" s="456" t="s">
        <v>933</v>
      </c>
      <c r="R88" s="333" t="s">
        <v>12</v>
      </c>
    </row>
    <row r="89">
      <c r="A89" s="454" t="s">
        <v>75</v>
      </c>
      <c r="B89" s="455">
        <v>88.0</v>
      </c>
      <c r="C89" s="456">
        <v>906.0</v>
      </c>
      <c r="D89" s="456" t="s">
        <v>940</v>
      </c>
      <c r="E89" s="456">
        <v>0.0</v>
      </c>
      <c r="F89" s="456">
        <v>0.0</v>
      </c>
      <c r="G89" s="456">
        <v>0.0</v>
      </c>
      <c r="H89" s="457">
        <v>45558.76930555556</v>
      </c>
      <c r="I89" s="456">
        <v>-0.001</v>
      </c>
      <c r="J89" s="456">
        <v>1.61</v>
      </c>
      <c r="K89" s="456">
        <v>-0.001</v>
      </c>
      <c r="L89" s="456">
        <v>0.98</v>
      </c>
      <c r="M89" s="456">
        <v>1.0</v>
      </c>
      <c r="N89" s="456">
        <v>-0.001</v>
      </c>
      <c r="O89" s="456">
        <v>-0.001</v>
      </c>
      <c r="P89" s="456" t="s">
        <v>932</v>
      </c>
      <c r="Q89" s="456" t="s">
        <v>933</v>
      </c>
      <c r="R89" s="333" t="s">
        <v>12</v>
      </c>
    </row>
    <row r="90">
      <c r="A90" s="454" t="s">
        <v>75</v>
      </c>
      <c r="B90" s="455">
        <v>89.0</v>
      </c>
      <c r="C90" s="456">
        <v>906.0</v>
      </c>
      <c r="D90" s="456" t="s">
        <v>940</v>
      </c>
      <c r="E90" s="456">
        <v>0.0</v>
      </c>
      <c r="F90" s="456">
        <v>0.0</v>
      </c>
      <c r="G90" s="456">
        <v>0.0</v>
      </c>
      <c r="H90" s="457">
        <v>45558.77011574074</v>
      </c>
      <c r="I90" s="456">
        <v>-0.001</v>
      </c>
      <c r="J90" s="456">
        <v>1.65</v>
      </c>
      <c r="K90" s="456">
        <v>-0.001</v>
      </c>
      <c r="L90" s="456">
        <v>1.08</v>
      </c>
      <c r="M90" s="456">
        <v>1.0</v>
      </c>
      <c r="N90" s="456">
        <v>-0.001</v>
      </c>
      <c r="O90" s="456">
        <v>-0.001</v>
      </c>
      <c r="P90" s="456" t="s">
        <v>932</v>
      </c>
      <c r="Q90" s="456" t="s">
        <v>933</v>
      </c>
      <c r="R90" s="333" t="s">
        <v>12</v>
      </c>
    </row>
    <row r="91">
      <c r="A91" s="454" t="s">
        <v>75</v>
      </c>
      <c r="B91" s="455">
        <v>90.0</v>
      </c>
      <c r="C91" s="456">
        <v>906.0</v>
      </c>
      <c r="D91" s="456" t="s">
        <v>940</v>
      </c>
      <c r="E91" s="456">
        <v>0.0</v>
      </c>
      <c r="F91" s="456">
        <v>0.0</v>
      </c>
      <c r="G91" s="456">
        <v>0.0</v>
      </c>
      <c r="H91" s="457">
        <v>45558.77092592593</v>
      </c>
      <c r="I91" s="456">
        <v>-0.001</v>
      </c>
      <c r="J91" s="456">
        <v>1.48</v>
      </c>
      <c r="K91" s="456">
        <v>-0.001</v>
      </c>
      <c r="L91" s="456">
        <v>0.98</v>
      </c>
      <c r="M91" s="456">
        <v>1.0</v>
      </c>
      <c r="N91" s="456">
        <v>-0.001</v>
      </c>
      <c r="O91" s="456">
        <v>-0.001</v>
      </c>
      <c r="P91" s="456" t="s">
        <v>932</v>
      </c>
      <c r="Q91" s="456" t="s">
        <v>933</v>
      </c>
      <c r="R91" s="333" t="s">
        <v>12</v>
      </c>
    </row>
    <row r="92">
      <c r="A92" s="455" t="s">
        <v>75</v>
      </c>
      <c r="B92" s="455">
        <v>91.0</v>
      </c>
      <c r="C92" s="456">
        <v>906.0</v>
      </c>
      <c r="D92" s="456" t="s">
        <v>940</v>
      </c>
      <c r="E92" s="456">
        <v>0.0</v>
      </c>
      <c r="F92" s="456">
        <v>0.0</v>
      </c>
      <c r="G92" s="456">
        <v>0.0</v>
      </c>
      <c r="H92" s="457">
        <v>45558.77173611111</v>
      </c>
      <c r="I92" s="456">
        <v>-0.001</v>
      </c>
      <c r="J92" s="456">
        <v>1.7</v>
      </c>
      <c r="K92" s="456">
        <v>-0.001</v>
      </c>
      <c r="L92" s="456">
        <v>0.94</v>
      </c>
      <c r="M92" s="456">
        <v>1.0</v>
      </c>
      <c r="N92" s="456">
        <v>-0.001</v>
      </c>
      <c r="O92" s="456">
        <v>-0.001</v>
      </c>
      <c r="P92" s="456" t="s">
        <v>932</v>
      </c>
      <c r="Q92" s="456" t="s">
        <v>933</v>
      </c>
      <c r="R92" s="333" t="s">
        <v>12</v>
      </c>
    </row>
    <row r="93">
      <c r="A93" s="455" t="s">
        <v>75</v>
      </c>
      <c r="B93" s="455">
        <v>92.0</v>
      </c>
      <c r="C93" s="456">
        <v>906.0</v>
      </c>
      <c r="D93" s="456" t="s">
        <v>940</v>
      </c>
      <c r="E93" s="456">
        <v>0.0</v>
      </c>
      <c r="F93" s="456">
        <v>0.0</v>
      </c>
      <c r="G93" s="456">
        <v>0.0</v>
      </c>
      <c r="H93" s="457">
        <v>45558.7725462963</v>
      </c>
      <c r="I93" s="456">
        <v>-0.001</v>
      </c>
      <c r="J93" s="456">
        <v>1.66</v>
      </c>
      <c r="K93" s="456">
        <v>-0.001</v>
      </c>
      <c r="L93" s="456">
        <v>0.91</v>
      </c>
      <c r="M93" s="456">
        <v>1.0</v>
      </c>
      <c r="N93" s="456">
        <v>-0.001</v>
      </c>
      <c r="O93" s="456">
        <v>-0.001</v>
      </c>
      <c r="P93" s="456" t="s">
        <v>932</v>
      </c>
      <c r="Q93" s="456" t="s">
        <v>933</v>
      </c>
      <c r="R93" s="333" t="s">
        <v>12</v>
      </c>
    </row>
    <row r="94">
      <c r="A94" s="454" t="s">
        <v>75</v>
      </c>
      <c r="B94" s="455">
        <v>93.0</v>
      </c>
      <c r="C94" s="456">
        <v>906.0</v>
      </c>
      <c r="D94" s="456" t="s">
        <v>940</v>
      </c>
      <c r="E94" s="456">
        <v>0.0</v>
      </c>
      <c r="F94" s="456">
        <v>0.0</v>
      </c>
      <c r="G94" s="456">
        <v>0.0</v>
      </c>
      <c r="H94" s="457">
        <v>45558.773356481484</v>
      </c>
      <c r="I94" s="456">
        <v>-0.001</v>
      </c>
      <c r="J94" s="456">
        <v>1.4</v>
      </c>
      <c r="K94" s="456">
        <v>-0.001</v>
      </c>
      <c r="L94" s="456">
        <v>0.86</v>
      </c>
      <c r="M94" s="456">
        <v>1.0</v>
      </c>
      <c r="N94" s="456">
        <v>-0.001</v>
      </c>
      <c r="O94" s="456">
        <v>-0.001</v>
      </c>
      <c r="P94" s="456" t="s">
        <v>932</v>
      </c>
      <c r="Q94" s="456" t="s">
        <v>933</v>
      </c>
      <c r="R94" s="333" t="s">
        <v>12</v>
      </c>
    </row>
    <row r="95">
      <c r="A95" s="455" t="s">
        <v>941</v>
      </c>
      <c r="B95" s="455">
        <v>94.0</v>
      </c>
      <c r="C95" s="456">
        <v>907.0</v>
      </c>
      <c r="D95" s="456" t="s">
        <v>942</v>
      </c>
      <c r="E95" s="456">
        <v>0.0</v>
      </c>
      <c r="F95" s="456">
        <v>0.0</v>
      </c>
      <c r="G95" s="456">
        <v>1.0</v>
      </c>
      <c r="H95" s="457">
        <v>45558.77416666667</v>
      </c>
      <c r="I95" s="456">
        <v>0.136</v>
      </c>
      <c r="J95" s="456">
        <v>115.9</v>
      </c>
      <c r="K95" s="456">
        <v>0.146</v>
      </c>
      <c r="L95" s="456">
        <v>63.14</v>
      </c>
      <c r="M95" s="456">
        <v>1.0</v>
      </c>
      <c r="N95" s="456">
        <v>0.136</v>
      </c>
      <c r="O95" s="456">
        <v>0.146</v>
      </c>
      <c r="P95" s="456">
        <v>0.136</v>
      </c>
      <c r="Q95" s="456">
        <v>0.146</v>
      </c>
      <c r="R95" s="333" t="s">
        <v>12</v>
      </c>
    </row>
    <row r="96">
      <c r="A96" s="454" t="s">
        <v>943</v>
      </c>
      <c r="B96" s="455">
        <v>95.0</v>
      </c>
      <c r="C96" s="456">
        <v>908.0</v>
      </c>
      <c r="D96" s="456" t="s">
        <v>944</v>
      </c>
      <c r="E96" s="456">
        <v>0.0</v>
      </c>
      <c r="F96" s="456">
        <v>0.0</v>
      </c>
      <c r="G96" s="456">
        <v>0.0</v>
      </c>
      <c r="H96" s="457">
        <v>45558.774976851855</v>
      </c>
      <c r="I96" s="456">
        <v>0.144</v>
      </c>
      <c r="J96" s="456">
        <v>122.81</v>
      </c>
      <c r="K96" s="456">
        <v>0.029</v>
      </c>
      <c r="L96" s="456">
        <v>13.77</v>
      </c>
      <c r="M96" s="456">
        <v>1.0</v>
      </c>
      <c r="N96" s="456">
        <v>0.144</v>
      </c>
      <c r="O96" s="456">
        <v>0.029</v>
      </c>
      <c r="P96" s="456">
        <v>0.144</v>
      </c>
      <c r="Q96" s="456">
        <v>0.029</v>
      </c>
      <c r="R96" s="333" t="s">
        <v>12</v>
      </c>
    </row>
    <row r="97">
      <c r="A97" s="455" t="s">
        <v>945</v>
      </c>
      <c r="B97" s="455">
        <v>96.0</v>
      </c>
      <c r="C97" s="456">
        <v>909.0</v>
      </c>
      <c r="D97" s="456" t="s">
        <v>944</v>
      </c>
      <c r="E97" s="456">
        <v>0.0</v>
      </c>
      <c r="F97" s="456">
        <v>0.0</v>
      </c>
      <c r="G97" s="456">
        <v>0.0</v>
      </c>
      <c r="H97" s="457">
        <v>45558.77578703704</v>
      </c>
      <c r="I97" s="456">
        <v>0.142</v>
      </c>
      <c r="J97" s="456">
        <v>121.03</v>
      </c>
      <c r="K97" s="456">
        <v>0.028</v>
      </c>
      <c r="L97" s="456">
        <v>13.4</v>
      </c>
      <c r="M97" s="456">
        <v>1.0</v>
      </c>
      <c r="N97" s="456">
        <v>0.142</v>
      </c>
      <c r="O97" s="456">
        <v>0.028</v>
      </c>
      <c r="P97" s="456">
        <v>0.142</v>
      </c>
      <c r="Q97" s="456">
        <v>0.028</v>
      </c>
      <c r="R97" s="333" t="s">
        <v>12</v>
      </c>
    </row>
    <row r="98">
      <c r="A98" s="454" t="s">
        <v>934</v>
      </c>
      <c r="B98" s="455">
        <v>97.0</v>
      </c>
      <c r="C98" s="456">
        <v>0.0</v>
      </c>
      <c r="D98" s="456" t="s">
        <v>935</v>
      </c>
      <c r="E98" s="456">
        <v>0.0</v>
      </c>
      <c r="F98" s="456">
        <v>0.0</v>
      </c>
      <c r="G98" s="456">
        <v>0.0</v>
      </c>
      <c r="H98" s="457">
        <v>45558.77659722222</v>
      </c>
      <c r="I98" s="456">
        <v>-0.003</v>
      </c>
      <c r="J98" s="456">
        <v>0.0</v>
      </c>
      <c r="K98" s="456">
        <v>-0.004</v>
      </c>
      <c r="L98" s="456">
        <v>0.0</v>
      </c>
      <c r="M98" s="456">
        <v>1.0</v>
      </c>
      <c r="N98" s="456">
        <v>-0.003</v>
      </c>
      <c r="O98" s="456">
        <v>-0.004</v>
      </c>
      <c r="P98" s="456" t="s">
        <v>932</v>
      </c>
      <c r="Q98" s="456" t="s">
        <v>933</v>
      </c>
      <c r="R98" s="333" t="s">
        <v>12</v>
      </c>
    </row>
    <row r="99">
      <c r="A99" s="454" t="s">
        <v>929</v>
      </c>
      <c r="B99" s="455">
        <v>98.0</v>
      </c>
      <c r="C99" s="456">
        <v>921.0</v>
      </c>
      <c r="D99" s="456" t="s">
        <v>930</v>
      </c>
      <c r="E99" s="456">
        <v>0.0</v>
      </c>
      <c r="F99" s="456">
        <v>0.0</v>
      </c>
      <c r="G99" s="456">
        <v>0.0</v>
      </c>
      <c r="H99" s="457">
        <v>45558.779027777775</v>
      </c>
      <c r="I99" s="456">
        <v>0.199</v>
      </c>
      <c r="J99" s="456">
        <v>168.36</v>
      </c>
      <c r="K99" s="456">
        <v>0.199</v>
      </c>
      <c r="L99" s="456">
        <v>85.65</v>
      </c>
      <c r="M99" s="456">
        <v>1.0</v>
      </c>
      <c r="N99" s="456">
        <v>0.199</v>
      </c>
      <c r="O99" s="456">
        <v>0.199</v>
      </c>
      <c r="P99" s="456">
        <v>0.199</v>
      </c>
      <c r="Q99" s="456">
        <v>0.199</v>
      </c>
      <c r="R99" s="333" t="s">
        <v>12</v>
      </c>
    </row>
    <row r="100">
      <c r="A100" s="454" t="s">
        <v>951</v>
      </c>
      <c r="B100" s="455">
        <v>99.0</v>
      </c>
      <c r="C100" s="456">
        <v>0.0</v>
      </c>
      <c r="D100" s="456" t="s">
        <v>952</v>
      </c>
      <c r="E100" s="456">
        <v>0.0</v>
      </c>
      <c r="F100" s="456">
        <v>0.0</v>
      </c>
      <c r="G100" s="456">
        <v>0.0</v>
      </c>
      <c r="H100" s="457">
        <v>45558.77983796296</v>
      </c>
      <c r="I100" s="456">
        <v>-0.003</v>
      </c>
      <c r="J100" s="456">
        <v>0.0</v>
      </c>
      <c r="K100" s="456">
        <v>-0.004</v>
      </c>
      <c r="L100" s="456">
        <v>0.0</v>
      </c>
      <c r="M100" s="456">
        <v>1.0</v>
      </c>
      <c r="N100" s="456">
        <v>-0.003</v>
      </c>
      <c r="O100" s="456">
        <v>-0.004</v>
      </c>
      <c r="P100" s="456" t="s">
        <v>932</v>
      </c>
      <c r="Q100" s="456" t="s">
        <v>933</v>
      </c>
      <c r="R100" s="333" t="s">
        <v>12</v>
      </c>
    </row>
    <row r="101">
      <c r="A101" s="459"/>
      <c r="B101" s="460"/>
      <c r="C101" s="460"/>
      <c r="D101" s="460"/>
      <c r="E101" s="460"/>
      <c r="F101" s="460"/>
      <c r="G101" s="460"/>
      <c r="H101" s="461"/>
      <c r="I101" s="462"/>
      <c r="J101" s="460"/>
      <c r="K101" s="460"/>
      <c r="L101" s="460"/>
      <c r="M101" s="460"/>
      <c r="N101" s="460"/>
      <c r="O101" s="463"/>
      <c r="P101" s="464"/>
      <c r="Q101" s="454"/>
      <c r="R101" s="455"/>
      <c r="S101" s="455"/>
    </row>
    <row r="102">
      <c r="A102" s="459"/>
      <c r="B102" s="460"/>
      <c r="C102" s="460"/>
      <c r="D102" s="460"/>
      <c r="E102" s="460"/>
      <c r="F102" s="460"/>
      <c r="G102" s="460"/>
      <c r="H102" s="461"/>
      <c r="I102" s="462"/>
      <c r="J102" s="460"/>
      <c r="K102" s="460"/>
      <c r="L102" s="460"/>
      <c r="M102" s="460"/>
      <c r="N102" s="460"/>
      <c r="O102" s="463"/>
      <c r="P102" s="464"/>
      <c r="Q102" s="454"/>
      <c r="R102" s="454"/>
      <c r="S102" s="455"/>
    </row>
    <row r="103">
      <c r="A103" s="459"/>
      <c r="B103" s="460"/>
      <c r="C103" s="460"/>
      <c r="D103" s="460"/>
      <c r="E103" s="460"/>
      <c r="F103" s="460"/>
      <c r="G103" s="460"/>
      <c r="H103" s="461"/>
      <c r="I103" s="462"/>
      <c r="J103" s="460"/>
      <c r="K103" s="460"/>
      <c r="L103" s="460"/>
      <c r="M103" s="460"/>
      <c r="N103" s="460"/>
      <c r="O103" s="463"/>
      <c r="P103" s="464"/>
      <c r="Q103" s="454"/>
      <c r="R103" s="454"/>
      <c r="S103" s="455"/>
    </row>
    <row r="104">
      <c r="A104" s="459"/>
      <c r="B104" s="460"/>
      <c r="C104" s="460"/>
      <c r="D104" s="460"/>
      <c r="E104" s="460"/>
      <c r="F104" s="460"/>
      <c r="G104" s="460"/>
      <c r="H104" s="461"/>
      <c r="I104" s="462"/>
      <c r="J104" s="460"/>
      <c r="K104" s="460"/>
      <c r="L104" s="460"/>
      <c r="M104" s="460"/>
      <c r="N104" s="460"/>
      <c r="O104" s="463"/>
      <c r="P104" s="464"/>
      <c r="Q104" s="454"/>
      <c r="R104" s="454"/>
      <c r="S104" s="455"/>
    </row>
    <row r="105">
      <c r="A105" s="459"/>
      <c r="B105" s="460"/>
      <c r="C105" s="460"/>
      <c r="D105" s="460"/>
      <c r="E105" s="460"/>
      <c r="F105" s="460"/>
      <c r="G105" s="460"/>
      <c r="H105" s="461"/>
      <c r="I105" s="462"/>
      <c r="J105" s="460"/>
      <c r="K105" s="460"/>
      <c r="L105" s="460"/>
      <c r="M105" s="460"/>
      <c r="N105" s="460"/>
      <c r="O105" s="463"/>
      <c r="P105" s="464"/>
      <c r="Q105" s="454"/>
      <c r="R105" s="454"/>
      <c r="S105" s="455"/>
    </row>
    <row r="106">
      <c r="A106" s="459"/>
      <c r="B106" s="460"/>
      <c r="C106" s="460"/>
      <c r="D106" s="460"/>
      <c r="E106" s="460"/>
      <c r="F106" s="460"/>
      <c r="G106" s="460"/>
      <c r="H106" s="461"/>
      <c r="I106" s="462"/>
      <c r="J106" s="460"/>
      <c r="K106" s="460"/>
      <c r="L106" s="460"/>
      <c r="M106" s="460"/>
      <c r="N106" s="460"/>
      <c r="O106" s="463"/>
      <c r="P106" s="464"/>
      <c r="Q106" s="454"/>
      <c r="R106" s="455"/>
      <c r="S106" s="455"/>
    </row>
    <row r="107">
      <c r="A107" s="459"/>
      <c r="B107" s="460"/>
      <c r="C107" s="460"/>
      <c r="D107" s="460"/>
      <c r="E107" s="460"/>
      <c r="F107" s="460"/>
      <c r="G107" s="460"/>
      <c r="H107" s="461"/>
      <c r="I107" s="462"/>
      <c r="J107" s="460"/>
      <c r="K107" s="460"/>
      <c r="L107" s="460"/>
      <c r="M107" s="460"/>
      <c r="N107" s="460"/>
      <c r="O107" s="463"/>
      <c r="P107" s="464"/>
      <c r="Q107" s="454"/>
      <c r="R107" s="454"/>
      <c r="S107" s="455"/>
    </row>
    <row r="108">
      <c r="A108" s="459"/>
      <c r="B108" s="460"/>
      <c r="C108" s="460"/>
      <c r="D108" s="460"/>
      <c r="E108" s="460"/>
      <c r="F108" s="460"/>
      <c r="G108" s="460"/>
      <c r="H108" s="461"/>
      <c r="I108" s="462"/>
      <c r="J108" s="460"/>
      <c r="K108" s="460"/>
      <c r="L108" s="460"/>
      <c r="M108" s="460"/>
      <c r="N108" s="460"/>
      <c r="O108" s="463"/>
      <c r="P108" s="464"/>
      <c r="Q108" s="454"/>
      <c r="R108" s="454"/>
      <c r="S108" s="455"/>
    </row>
    <row r="109">
      <c r="A109" s="459"/>
      <c r="B109" s="460"/>
      <c r="C109" s="460"/>
      <c r="D109" s="460"/>
      <c r="E109" s="460"/>
      <c r="F109" s="460"/>
      <c r="G109" s="460"/>
      <c r="H109" s="461"/>
      <c r="I109" s="462"/>
      <c r="J109" s="460"/>
      <c r="K109" s="460"/>
      <c r="L109" s="460"/>
      <c r="M109" s="460"/>
      <c r="N109" s="460"/>
      <c r="O109" s="463"/>
      <c r="P109" s="464"/>
      <c r="Q109" s="454"/>
      <c r="R109" s="455"/>
      <c r="S109" s="455"/>
    </row>
    <row r="110">
      <c r="A110" s="459"/>
      <c r="B110" s="460"/>
      <c r="C110" s="460"/>
      <c r="D110" s="460"/>
      <c r="E110" s="460"/>
      <c r="F110" s="460"/>
      <c r="G110" s="460"/>
      <c r="H110" s="461"/>
      <c r="I110" s="462"/>
      <c r="J110" s="460"/>
      <c r="K110" s="460"/>
      <c r="L110" s="460"/>
      <c r="M110" s="460"/>
      <c r="N110" s="460"/>
      <c r="O110" s="463"/>
      <c r="P110" s="464"/>
      <c r="Q110" s="454"/>
      <c r="R110" s="454"/>
      <c r="S110" s="455"/>
    </row>
    <row r="111">
      <c r="A111" s="459"/>
      <c r="B111" s="460"/>
      <c r="C111" s="460"/>
      <c r="D111" s="460"/>
      <c r="E111" s="460"/>
      <c r="F111" s="460"/>
      <c r="G111" s="460"/>
      <c r="H111" s="461"/>
      <c r="I111" s="462"/>
      <c r="J111" s="460"/>
      <c r="K111" s="460"/>
      <c r="L111" s="460"/>
      <c r="M111" s="460"/>
      <c r="N111" s="460"/>
      <c r="O111" s="463"/>
      <c r="P111" s="464"/>
      <c r="Q111" s="454"/>
      <c r="R111" s="454"/>
      <c r="S111" s="455"/>
    </row>
    <row r="112">
      <c r="A112" s="459"/>
      <c r="B112" s="460"/>
      <c r="C112" s="460"/>
      <c r="D112" s="460"/>
      <c r="E112" s="460"/>
      <c r="F112" s="460"/>
      <c r="G112" s="460"/>
      <c r="H112" s="461"/>
      <c r="I112" s="462"/>
      <c r="J112" s="460"/>
      <c r="K112" s="460"/>
      <c r="L112" s="460"/>
      <c r="M112" s="460"/>
      <c r="N112" s="460"/>
      <c r="O112" s="463"/>
      <c r="P112" s="464"/>
      <c r="Q112" s="454"/>
      <c r="R112" s="454"/>
      <c r="S112" s="455"/>
    </row>
    <row r="113">
      <c r="A113" s="459"/>
      <c r="B113" s="460"/>
      <c r="C113" s="460"/>
      <c r="D113" s="460"/>
      <c r="E113" s="460"/>
      <c r="F113" s="460"/>
      <c r="G113" s="460"/>
      <c r="H113" s="461"/>
      <c r="I113" s="462"/>
      <c r="J113" s="460"/>
      <c r="K113" s="460"/>
      <c r="L113" s="460"/>
      <c r="M113" s="460"/>
      <c r="N113" s="460"/>
      <c r="O113" s="463"/>
      <c r="P113" s="464"/>
      <c r="Q113" s="454"/>
      <c r="R113" s="454"/>
      <c r="S113" s="455"/>
    </row>
    <row r="114">
      <c r="A114" s="459"/>
      <c r="B114" s="460"/>
      <c r="C114" s="460"/>
      <c r="D114" s="460"/>
      <c r="E114" s="460"/>
      <c r="F114" s="460"/>
      <c r="G114" s="460"/>
      <c r="H114" s="461"/>
      <c r="I114" s="462"/>
      <c r="J114" s="460"/>
      <c r="K114" s="460"/>
      <c r="L114" s="460"/>
      <c r="M114" s="460"/>
      <c r="N114" s="460"/>
      <c r="O114" s="463"/>
      <c r="P114" s="464"/>
      <c r="Q114" s="454"/>
      <c r="R114" s="454"/>
      <c r="S114" s="455"/>
    </row>
    <row r="115">
      <c r="A115" s="459"/>
      <c r="B115" s="460"/>
      <c r="C115" s="460"/>
      <c r="D115" s="460"/>
      <c r="E115" s="460"/>
      <c r="F115" s="460"/>
      <c r="G115" s="460"/>
      <c r="H115" s="461"/>
      <c r="I115" s="462"/>
      <c r="J115" s="460"/>
      <c r="K115" s="460"/>
      <c r="L115" s="460"/>
      <c r="M115" s="460"/>
      <c r="N115" s="460"/>
      <c r="O115" s="463"/>
      <c r="P115" s="464"/>
      <c r="Q115" s="454"/>
      <c r="R115" s="454"/>
      <c r="S115" s="455"/>
    </row>
    <row r="116">
      <c r="A116" s="459"/>
      <c r="B116" s="460"/>
      <c r="C116" s="460"/>
      <c r="D116" s="460"/>
      <c r="E116" s="460"/>
      <c r="F116" s="460"/>
      <c r="G116" s="460"/>
      <c r="H116" s="461"/>
      <c r="I116" s="462"/>
      <c r="J116" s="460"/>
      <c r="K116" s="460"/>
      <c r="L116" s="460"/>
      <c r="M116" s="460"/>
      <c r="N116" s="460"/>
      <c r="O116" s="463"/>
      <c r="P116" s="464"/>
      <c r="Q116" s="454"/>
      <c r="R116" s="454"/>
      <c r="S116" s="455"/>
    </row>
    <row r="117">
      <c r="A117" s="459"/>
      <c r="B117" s="460"/>
      <c r="C117" s="460"/>
      <c r="D117" s="460"/>
      <c r="E117" s="460"/>
      <c r="F117" s="460"/>
      <c r="G117" s="460"/>
      <c r="H117" s="461"/>
      <c r="I117" s="462"/>
      <c r="J117" s="460"/>
      <c r="K117" s="460"/>
      <c r="L117" s="460"/>
      <c r="M117" s="460"/>
      <c r="N117" s="460"/>
      <c r="O117" s="463"/>
      <c r="P117" s="464"/>
      <c r="Q117" s="454"/>
      <c r="R117" s="455"/>
      <c r="S117" s="455"/>
    </row>
    <row r="118">
      <c r="A118" s="459"/>
      <c r="B118" s="460"/>
      <c r="C118" s="460"/>
      <c r="D118" s="460"/>
      <c r="E118" s="460"/>
      <c r="F118" s="460"/>
      <c r="G118" s="460"/>
      <c r="H118" s="461"/>
      <c r="I118" s="462"/>
      <c r="J118" s="460"/>
      <c r="K118" s="460"/>
      <c r="L118" s="460"/>
      <c r="M118" s="460"/>
      <c r="N118" s="460"/>
      <c r="O118" s="463"/>
      <c r="P118" s="464"/>
      <c r="Q118" s="454"/>
      <c r="R118" s="455"/>
      <c r="S118" s="455"/>
    </row>
    <row r="119">
      <c r="A119" s="459"/>
      <c r="B119" s="460"/>
      <c r="C119" s="460"/>
      <c r="D119" s="460"/>
      <c r="E119" s="460"/>
      <c r="F119" s="460"/>
      <c r="G119" s="460"/>
      <c r="H119" s="461"/>
      <c r="I119" s="462"/>
      <c r="J119" s="460"/>
      <c r="K119" s="460"/>
      <c r="L119" s="460"/>
      <c r="M119" s="460"/>
      <c r="N119" s="460"/>
      <c r="O119" s="463"/>
      <c r="P119" s="464"/>
      <c r="Q119" s="454"/>
      <c r="R119" s="455"/>
      <c r="S119" s="455"/>
    </row>
    <row r="120">
      <c r="A120" s="459"/>
      <c r="B120" s="460"/>
      <c r="C120" s="460"/>
      <c r="D120" s="460"/>
      <c r="E120" s="460"/>
      <c r="F120" s="460"/>
      <c r="G120" s="460"/>
      <c r="H120" s="461"/>
      <c r="I120" s="462"/>
      <c r="J120" s="460"/>
      <c r="K120" s="460"/>
      <c r="L120" s="460"/>
      <c r="M120" s="460"/>
      <c r="N120" s="460"/>
      <c r="O120" s="463"/>
      <c r="P120" s="464"/>
      <c r="Q120" s="454"/>
      <c r="R120" s="455"/>
      <c r="S120" s="455"/>
    </row>
    <row r="121">
      <c r="A121" s="459"/>
      <c r="B121" s="460"/>
      <c r="C121" s="460"/>
      <c r="D121" s="460"/>
      <c r="E121" s="460"/>
      <c r="F121" s="460"/>
      <c r="G121" s="460"/>
      <c r="H121" s="461"/>
      <c r="I121" s="462"/>
      <c r="J121" s="460"/>
      <c r="K121" s="460"/>
      <c r="L121" s="460"/>
      <c r="M121" s="460"/>
      <c r="N121" s="460"/>
      <c r="O121" s="463"/>
      <c r="P121" s="464"/>
      <c r="Q121" s="454"/>
      <c r="R121" s="455"/>
      <c r="S121" s="455"/>
    </row>
    <row r="122">
      <c r="A122" s="459"/>
      <c r="B122" s="460"/>
      <c r="C122" s="460"/>
      <c r="D122" s="460"/>
      <c r="E122" s="460"/>
      <c r="F122" s="460"/>
      <c r="G122" s="460"/>
      <c r="H122" s="461"/>
      <c r="I122" s="462"/>
      <c r="J122" s="460"/>
      <c r="K122" s="460"/>
      <c r="L122" s="460"/>
      <c r="M122" s="460"/>
      <c r="N122" s="460"/>
      <c r="O122" s="463"/>
      <c r="P122" s="464"/>
      <c r="Q122" s="454"/>
      <c r="R122" s="455"/>
      <c r="S122" s="455"/>
    </row>
    <row r="123">
      <c r="A123" s="459"/>
      <c r="B123" s="460"/>
      <c r="C123" s="460"/>
      <c r="D123" s="460"/>
      <c r="E123" s="460"/>
      <c r="F123" s="460"/>
      <c r="G123" s="460"/>
      <c r="H123" s="461"/>
      <c r="I123" s="462"/>
      <c r="J123" s="460"/>
      <c r="K123" s="460"/>
      <c r="L123" s="460"/>
      <c r="M123" s="460"/>
      <c r="N123" s="460"/>
      <c r="O123" s="463"/>
      <c r="P123" s="464"/>
      <c r="Q123" s="454"/>
      <c r="R123" s="455"/>
      <c r="S123" s="455"/>
    </row>
    <row r="124">
      <c r="A124" s="459"/>
      <c r="B124" s="460"/>
      <c r="C124" s="460"/>
      <c r="D124" s="460"/>
      <c r="E124" s="460"/>
      <c r="F124" s="460"/>
      <c r="G124" s="460"/>
      <c r="H124" s="461"/>
      <c r="I124" s="462"/>
      <c r="J124" s="460"/>
      <c r="K124" s="460"/>
      <c r="L124" s="460"/>
      <c r="M124" s="460"/>
      <c r="N124" s="460"/>
      <c r="O124" s="463"/>
      <c r="P124" s="464"/>
      <c r="Q124" s="454"/>
      <c r="R124" s="455"/>
      <c r="S124" s="455"/>
    </row>
    <row r="125">
      <c r="A125" s="459"/>
      <c r="B125" s="460"/>
      <c r="C125" s="460"/>
      <c r="D125" s="460"/>
      <c r="E125" s="460"/>
      <c r="F125" s="460"/>
      <c r="G125" s="460"/>
      <c r="H125" s="461"/>
      <c r="I125" s="462"/>
      <c r="J125" s="460"/>
      <c r="K125" s="460"/>
      <c r="L125" s="460"/>
      <c r="M125" s="460"/>
      <c r="N125" s="460"/>
      <c r="O125" s="463"/>
      <c r="P125" s="464"/>
      <c r="Q125" s="454"/>
      <c r="R125" s="455"/>
      <c r="S125" s="455"/>
    </row>
    <row r="126">
      <c r="A126" s="459"/>
      <c r="B126" s="460"/>
      <c r="C126" s="460"/>
      <c r="D126" s="460"/>
      <c r="E126" s="460"/>
      <c r="F126" s="460"/>
      <c r="G126" s="460"/>
      <c r="H126" s="461"/>
      <c r="I126" s="462"/>
      <c r="J126" s="460"/>
      <c r="K126" s="460"/>
      <c r="L126" s="460"/>
      <c r="M126" s="460"/>
      <c r="N126" s="460"/>
      <c r="O126" s="463"/>
      <c r="P126" s="464"/>
      <c r="Q126" s="454"/>
      <c r="R126" s="455"/>
      <c r="S126" s="455"/>
    </row>
    <row r="127">
      <c r="A127" s="459"/>
      <c r="B127" s="460"/>
      <c r="C127" s="460"/>
      <c r="D127" s="460"/>
      <c r="E127" s="460"/>
      <c r="F127" s="460"/>
      <c r="G127" s="460"/>
      <c r="H127" s="461"/>
      <c r="I127" s="462"/>
      <c r="J127" s="460"/>
      <c r="K127" s="460"/>
      <c r="L127" s="460"/>
      <c r="M127" s="460"/>
      <c r="N127" s="460"/>
      <c r="O127" s="463"/>
      <c r="P127" s="464"/>
      <c r="Q127" s="454"/>
      <c r="R127" s="455"/>
      <c r="S127" s="455"/>
    </row>
    <row r="128">
      <c r="A128" s="459"/>
      <c r="B128" s="460"/>
      <c r="C128" s="460"/>
      <c r="D128" s="460"/>
      <c r="E128" s="460"/>
      <c r="F128" s="460"/>
      <c r="G128" s="460"/>
      <c r="H128" s="461"/>
      <c r="I128" s="462"/>
      <c r="J128" s="460"/>
      <c r="K128" s="460"/>
      <c r="L128" s="460"/>
      <c r="M128" s="460"/>
      <c r="N128" s="460"/>
      <c r="O128" s="463"/>
      <c r="P128" s="464"/>
      <c r="Q128" s="454"/>
      <c r="R128" s="454"/>
      <c r="S128" s="455"/>
    </row>
    <row r="129">
      <c r="A129" s="459"/>
      <c r="B129" s="460"/>
      <c r="C129" s="460"/>
      <c r="D129" s="460"/>
      <c r="E129" s="460"/>
      <c r="F129" s="460"/>
      <c r="G129" s="460"/>
      <c r="H129" s="461"/>
      <c r="I129" s="462"/>
      <c r="J129" s="460"/>
      <c r="K129" s="460"/>
      <c r="L129" s="460"/>
      <c r="M129" s="460"/>
      <c r="N129" s="460"/>
      <c r="O129" s="463"/>
      <c r="P129" s="464"/>
      <c r="Q129" s="454"/>
      <c r="R129" s="454"/>
      <c r="S129" s="455"/>
    </row>
    <row r="130">
      <c r="A130" s="459"/>
      <c r="B130" s="460"/>
      <c r="C130" s="460"/>
      <c r="D130" s="460"/>
      <c r="E130" s="460"/>
      <c r="F130" s="460"/>
      <c r="G130" s="460"/>
      <c r="H130" s="460"/>
      <c r="I130" s="462"/>
      <c r="J130" s="460"/>
      <c r="K130" s="460"/>
      <c r="L130" s="460"/>
      <c r="M130" s="460"/>
      <c r="N130" s="460"/>
      <c r="O130" s="463"/>
      <c r="P130" s="463"/>
      <c r="Q130" s="455"/>
      <c r="R130" s="455"/>
      <c r="S130" s="455"/>
    </row>
    <row r="131">
      <c r="A131" s="459"/>
      <c r="B131" s="460"/>
      <c r="C131" s="460"/>
      <c r="D131" s="460"/>
      <c r="E131" s="460"/>
      <c r="F131" s="460"/>
      <c r="G131" s="460"/>
      <c r="H131" s="460"/>
      <c r="I131" s="462"/>
      <c r="J131" s="460"/>
      <c r="K131" s="460"/>
      <c r="L131" s="460"/>
      <c r="M131" s="460"/>
      <c r="N131" s="460"/>
      <c r="O131" s="463"/>
      <c r="P131" s="463"/>
      <c r="Q131" s="455"/>
      <c r="R131" s="455"/>
      <c r="S131" s="455"/>
    </row>
    <row r="132">
      <c r="A132" s="459"/>
      <c r="B132" s="460"/>
      <c r="C132" s="460"/>
      <c r="D132" s="460"/>
      <c r="E132" s="460"/>
      <c r="F132" s="460"/>
      <c r="G132" s="460"/>
      <c r="H132" s="460"/>
      <c r="I132" s="462"/>
      <c r="J132" s="460"/>
      <c r="K132" s="460"/>
      <c r="L132" s="460"/>
      <c r="M132" s="460"/>
      <c r="N132" s="460"/>
      <c r="O132" s="463"/>
      <c r="P132" s="463"/>
      <c r="Q132" s="455"/>
      <c r="R132" s="455"/>
      <c r="S132" s="455"/>
    </row>
    <row r="133">
      <c r="A133" s="459"/>
      <c r="B133" s="460"/>
      <c r="C133" s="460"/>
      <c r="D133" s="460"/>
      <c r="E133" s="460"/>
      <c r="F133" s="460"/>
      <c r="G133" s="460"/>
      <c r="H133" s="460"/>
      <c r="I133" s="462"/>
      <c r="J133" s="460"/>
      <c r="K133" s="460"/>
      <c r="L133" s="460"/>
      <c r="M133" s="460"/>
      <c r="N133" s="460"/>
      <c r="O133" s="463"/>
      <c r="P133" s="463"/>
      <c r="Q133" s="455"/>
      <c r="R133" s="455"/>
      <c r="S133" s="455"/>
    </row>
    <row r="134">
      <c r="A134" s="459"/>
      <c r="B134" s="460"/>
      <c r="C134" s="460"/>
      <c r="D134" s="460"/>
      <c r="E134" s="460"/>
      <c r="F134" s="460"/>
      <c r="G134" s="460"/>
      <c r="H134" s="460"/>
      <c r="I134" s="462"/>
      <c r="J134" s="460"/>
      <c r="K134" s="460"/>
      <c r="L134" s="460"/>
      <c r="M134" s="460"/>
      <c r="N134" s="460"/>
      <c r="O134" s="463"/>
      <c r="P134" s="463"/>
      <c r="Q134" s="455"/>
      <c r="R134" s="455"/>
      <c r="S134" s="455"/>
    </row>
    <row r="135">
      <c r="A135" s="459"/>
      <c r="B135" s="460"/>
      <c r="C135" s="460"/>
      <c r="D135" s="460"/>
      <c r="E135" s="460"/>
      <c r="F135" s="460"/>
      <c r="G135" s="460"/>
      <c r="H135" s="460"/>
      <c r="I135" s="462"/>
      <c r="J135" s="460"/>
      <c r="K135" s="460"/>
      <c r="L135" s="460"/>
      <c r="M135" s="460"/>
      <c r="N135" s="460"/>
      <c r="O135" s="463"/>
      <c r="P135" s="463"/>
      <c r="Q135" s="455"/>
      <c r="R135" s="455"/>
      <c r="S135" s="455"/>
    </row>
    <row r="136">
      <c r="A136" s="459"/>
      <c r="B136" s="460"/>
      <c r="C136" s="460"/>
      <c r="D136" s="460"/>
      <c r="E136" s="460"/>
      <c r="F136" s="460"/>
      <c r="G136" s="460"/>
      <c r="H136" s="460"/>
      <c r="I136" s="462"/>
      <c r="J136" s="460"/>
      <c r="K136" s="460"/>
      <c r="L136" s="460"/>
      <c r="M136" s="460"/>
      <c r="N136" s="460"/>
      <c r="O136" s="463"/>
      <c r="P136" s="463"/>
      <c r="Q136" s="455"/>
      <c r="R136" s="455"/>
      <c r="S136" s="455"/>
    </row>
    <row r="137">
      <c r="A137" s="459"/>
      <c r="B137" s="460"/>
      <c r="C137" s="460"/>
      <c r="D137" s="460"/>
      <c r="E137" s="460"/>
      <c r="F137" s="460"/>
      <c r="G137" s="460"/>
      <c r="H137" s="460"/>
      <c r="I137" s="462"/>
      <c r="J137" s="460"/>
      <c r="K137" s="460"/>
      <c r="L137" s="460"/>
      <c r="M137" s="460"/>
      <c r="N137" s="460"/>
      <c r="O137" s="463"/>
      <c r="P137" s="463"/>
      <c r="Q137" s="455"/>
      <c r="R137" s="455"/>
      <c r="S137" s="455"/>
    </row>
    <row r="138">
      <c r="A138" s="326"/>
      <c r="B138" s="326"/>
      <c r="C138" s="326"/>
      <c r="O138" s="148"/>
      <c r="P138" s="148"/>
    </row>
    <row r="139">
      <c r="A139" s="326"/>
      <c r="B139" s="326"/>
      <c r="C139" s="326"/>
      <c r="O139" s="148"/>
      <c r="P139" s="148"/>
    </row>
    <row r="140">
      <c r="A140" s="326"/>
      <c r="B140" s="326"/>
      <c r="C140" s="326"/>
      <c r="O140" s="148"/>
      <c r="P140" s="148"/>
    </row>
    <row r="141">
      <c r="A141" s="326"/>
      <c r="B141" s="326"/>
      <c r="C141" s="326"/>
      <c r="O141" s="148"/>
      <c r="P141" s="148"/>
    </row>
    <row r="142">
      <c r="A142" s="326"/>
      <c r="B142" s="326"/>
      <c r="C142" s="326"/>
      <c r="O142" s="148"/>
      <c r="P142" s="148"/>
    </row>
    <row r="143">
      <c r="A143" s="326"/>
      <c r="B143" s="326"/>
      <c r="C143" s="326"/>
      <c r="O143" s="148"/>
      <c r="P143" s="148"/>
    </row>
    <row r="144">
      <c r="A144" s="326"/>
      <c r="B144" s="326"/>
      <c r="C144" s="326"/>
      <c r="O144" s="148"/>
      <c r="P144" s="148"/>
    </row>
    <row r="145">
      <c r="A145" s="326"/>
      <c r="B145" s="326"/>
      <c r="C145" s="326"/>
      <c r="O145" s="148"/>
      <c r="P145" s="148"/>
    </row>
    <row r="146">
      <c r="A146" s="326"/>
      <c r="B146" s="326"/>
      <c r="C146" s="326"/>
      <c r="O146" s="148"/>
      <c r="P146" s="148"/>
    </row>
    <row r="147">
      <c r="A147" s="326"/>
      <c r="B147" s="326"/>
      <c r="C147" s="326"/>
      <c r="O147" s="148"/>
      <c r="P147" s="148"/>
    </row>
    <row r="148">
      <c r="A148" s="326"/>
      <c r="B148" s="326"/>
      <c r="C148" s="326"/>
      <c r="O148" s="148"/>
      <c r="P148" s="148"/>
    </row>
    <row r="149">
      <c r="A149" s="326"/>
      <c r="B149" s="326"/>
      <c r="C149" s="326"/>
      <c r="O149" s="148"/>
      <c r="P149" s="148"/>
    </row>
    <row r="150">
      <c r="A150" s="326"/>
      <c r="B150" s="326"/>
      <c r="C150" s="326"/>
      <c r="O150" s="148"/>
      <c r="P150" s="148"/>
    </row>
    <row r="151">
      <c r="A151" s="326"/>
      <c r="B151" s="326"/>
      <c r="C151" s="326"/>
      <c r="O151" s="148"/>
      <c r="P151" s="148"/>
    </row>
    <row r="152">
      <c r="A152" s="326"/>
      <c r="B152" s="326"/>
      <c r="C152" s="326"/>
      <c r="O152" s="148"/>
      <c r="P152" s="148"/>
    </row>
    <row r="153">
      <c r="A153" s="326"/>
      <c r="B153" s="326"/>
      <c r="C153" s="326"/>
      <c r="O153" s="148"/>
      <c r="P153" s="148"/>
    </row>
    <row r="154">
      <c r="A154" s="326"/>
      <c r="B154" s="326"/>
      <c r="C154" s="326"/>
      <c r="O154" s="148"/>
      <c r="P154" s="148"/>
    </row>
    <row r="155">
      <c r="A155" s="326"/>
      <c r="B155" s="326"/>
      <c r="C155" s="326"/>
      <c r="O155" s="148"/>
      <c r="P155" s="148"/>
    </row>
    <row r="156">
      <c r="A156" s="326"/>
      <c r="B156" s="326"/>
      <c r="C156" s="326"/>
      <c r="O156" s="148"/>
      <c r="P156" s="148"/>
    </row>
    <row r="157">
      <c r="A157" s="326"/>
      <c r="B157" s="326"/>
      <c r="C157" s="326"/>
      <c r="O157" s="148"/>
      <c r="P157" s="148"/>
    </row>
    <row r="158">
      <c r="A158" s="326"/>
      <c r="B158" s="326"/>
      <c r="C158" s="326"/>
      <c r="O158" s="148"/>
      <c r="P158" s="148"/>
    </row>
    <row r="159">
      <c r="A159" s="326"/>
      <c r="B159" s="326"/>
      <c r="C159" s="326"/>
      <c r="O159" s="148"/>
      <c r="P159" s="148"/>
    </row>
    <row r="160">
      <c r="A160" s="326"/>
      <c r="B160" s="326"/>
      <c r="C160" s="326"/>
      <c r="O160" s="148"/>
      <c r="P160" s="148"/>
    </row>
    <row r="161">
      <c r="A161" s="326"/>
      <c r="B161" s="326"/>
      <c r="C161" s="326"/>
      <c r="O161" s="148"/>
      <c r="P161" s="148"/>
    </row>
    <row r="162">
      <c r="A162" s="326"/>
      <c r="B162" s="326"/>
      <c r="C162" s="326"/>
      <c r="O162" s="148"/>
      <c r="P162" s="148"/>
    </row>
    <row r="163">
      <c r="A163" s="326"/>
      <c r="B163" s="326"/>
      <c r="C163" s="326"/>
      <c r="O163" s="148"/>
      <c r="P163" s="148"/>
    </row>
    <row r="164">
      <c r="A164" s="326"/>
      <c r="B164" s="326"/>
      <c r="C164" s="326"/>
      <c r="O164" s="148"/>
      <c r="P164" s="148"/>
    </row>
    <row r="165">
      <c r="A165" s="326"/>
      <c r="B165" s="326"/>
      <c r="C165" s="326"/>
      <c r="O165" s="148"/>
      <c r="P165" s="148"/>
    </row>
    <row r="166">
      <c r="A166" s="326"/>
      <c r="B166" s="326"/>
      <c r="C166" s="326"/>
      <c r="O166" s="148"/>
      <c r="P166" s="148"/>
    </row>
    <row r="167">
      <c r="A167" s="326"/>
      <c r="B167" s="326"/>
      <c r="C167" s="326"/>
      <c r="O167" s="148"/>
      <c r="P167" s="148"/>
    </row>
    <row r="168">
      <c r="A168" s="326"/>
      <c r="B168" s="326"/>
      <c r="C168" s="326"/>
      <c r="O168" s="148"/>
      <c r="P168" s="148"/>
    </row>
    <row r="169">
      <c r="A169" s="326"/>
      <c r="B169" s="326"/>
      <c r="C169" s="326"/>
      <c r="O169" s="148"/>
      <c r="P169" s="148"/>
    </row>
    <row r="170">
      <c r="A170" s="326"/>
      <c r="B170" s="326"/>
      <c r="C170" s="326"/>
      <c r="O170" s="148"/>
      <c r="P170" s="148"/>
    </row>
    <row r="171">
      <c r="A171" s="326"/>
      <c r="B171" s="326"/>
      <c r="C171" s="326"/>
      <c r="O171" s="148"/>
      <c r="P171" s="148"/>
    </row>
    <row r="172">
      <c r="A172" s="326"/>
      <c r="B172" s="326"/>
      <c r="C172" s="326"/>
      <c r="O172" s="148"/>
      <c r="P172" s="148"/>
    </row>
    <row r="173">
      <c r="A173" s="326"/>
      <c r="B173" s="326"/>
      <c r="C173" s="326"/>
      <c r="O173" s="148"/>
      <c r="P173" s="148"/>
    </row>
    <row r="174">
      <c r="A174" s="326"/>
      <c r="B174" s="326"/>
      <c r="C174" s="326"/>
      <c r="O174" s="148"/>
      <c r="P174" s="148"/>
    </row>
    <row r="175">
      <c r="A175" s="326"/>
      <c r="B175" s="326"/>
      <c r="C175" s="326"/>
      <c r="O175" s="148"/>
      <c r="P175" s="148"/>
    </row>
    <row r="176">
      <c r="A176" s="326"/>
      <c r="B176" s="326"/>
      <c r="C176" s="326"/>
      <c r="O176" s="148"/>
      <c r="P176" s="148"/>
    </row>
    <row r="177">
      <c r="A177" s="326"/>
      <c r="B177" s="326"/>
      <c r="C177" s="326"/>
      <c r="O177" s="148"/>
      <c r="P177" s="148"/>
    </row>
    <row r="178">
      <c r="A178" s="326"/>
      <c r="B178" s="326"/>
      <c r="C178" s="326"/>
      <c r="O178" s="148"/>
      <c r="P178" s="148"/>
    </row>
    <row r="179">
      <c r="A179" s="326"/>
      <c r="B179" s="326"/>
      <c r="C179" s="326"/>
      <c r="O179" s="148"/>
      <c r="P179" s="148"/>
    </row>
    <row r="180">
      <c r="A180" s="326"/>
      <c r="B180" s="326"/>
      <c r="C180" s="326"/>
      <c r="O180" s="148"/>
      <c r="P180" s="148"/>
    </row>
    <row r="181">
      <c r="A181" s="326"/>
      <c r="B181" s="326"/>
      <c r="C181" s="326"/>
      <c r="O181" s="148"/>
      <c r="P181" s="148"/>
    </row>
    <row r="182">
      <c r="A182" s="326"/>
      <c r="B182" s="326"/>
      <c r="C182" s="326"/>
      <c r="O182" s="148"/>
      <c r="P182" s="148"/>
    </row>
    <row r="183">
      <c r="A183" s="326"/>
      <c r="B183" s="326"/>
      <c r="C183" s="326"/>
      <c r="O183" s="148"/>
      <c r="P183" s="148"/>
    </row>
    <row r="184">
      <c r="A184" s="326"/>
      <c r="B184" s="326"/>
      <c r="C184" s="326"/>
      <c r="O184" s="148"/>
      <c r="P184" s="148"/>
    </row>
    <row r="185">
      <c r="A185" s="326"/>
      <c r="B185" s="326"/>
      <c r="C185" s="326"/>
      <c r="O185" s="148"/>
      <c r="P185" s="148"/>
    </row>
    <row r="186">
      <c r="A186" s="326"/>
      <c r="B186" s="326"/>
      <c r="C186" s="326"/>
      <c r="O186" s="148"/>
      <c r="P186" s="148"/>
    </row>
    <row r="187">
      <c r="A187" s="326"/>
      <c r="B187" s="326"/>
      <c r="C187" s="326"/>
      <c r="O187" s="148"/>
      <c r="P187" s="148"/>
    </row>
    <row r="188">
      <c r="A188" s="326"/>
      <c r="B188" s="326"/>
      <c r="C188" s="326"/>
      <c r="O188" s="148"/>
      <c r="P188" s="148"/>
    </row>
    <row r="189">
      <c r="A189" s="326"/>
      <c r="B189" s="326"/>
      <c r="C189" s="326"/>
      <c r="O189" s="148"/>
      <c r="P189" s="148"/>
    </row>
    <row r="190">
      <c r="A190" s="326"/>
      <c r="B190" s="326"/>
      <c r="C190" s="326"/>
      <c r="O190" s="148"/>
      <c r="P190" s="148"/>
    </row>
    <row r="191">
      <c r="A191" s="326"/>
      <c r="B191" s="326"/>
      <c r="C191" s="326"/>
      <c r="O191" s="148"/>
      <c r="P191" s="148"/>
    </row>
    <row r="192">
      <c r="A192" s="326"/>
      <c r="B192" s="326"/>
      <c r="C192" s="326"/>
      <c r="O192" s="148"/>
      <c r="P192" s="148"/>
    </row>
    <row r="193">
      <c r="A193" s="326"/>
      <c r="B193" s="326"/>
      <c r="C193" s="326"/>
      <c r="O193" s="148"/>
      <c r="P193" s="148"/>
    </row>
    <row r="194">
      <c r="A194" s="326"/>
      <c r="B194" s="326"/>
      <c r="C194" s="326"/>
      <c r="O194" s="148"/>
      <c r="P194" s="148"/>
    </row>
    <row r="195">
      <c r="A195" s="326"/>
      <c r="B195" s="326"/>
      <c r="C195" s="326"/>
      <c r="O195" s="148"/>
      <c r="P195" s="148"/>
    </row>
    <row r="196">
      <c r="A196" s="326"/>
      <c r="B196" s="326"/>
      <c r="C196" s="326"/>
      <c r="O196" s="148"/>
      <c r="P196" s="148"/>
    </row>
    <row r="197">
      <c r="A197" s="326"/>
      <c r="B197" s="326"/>
      <c r="C197" s="326"/>
      <c r="O197" s="148"/>
      <c r="P197" s="148"/>
    </row>
    <row r="198">
      <c r="A198" s="326"/>
      <c r="B198" s="326"/>
      <c r="C198" s="326"/>
      <c r="O198" s="148"/>
      <c r="P198" s="148"/>
    </row>
    <row r="199">
      <c r="A199" s="326"/>
      <c r="B199" s="326"/>
      <c r="C199" s="326"/>
      <c r="O199" s="148"/>
      <c r="P199" s="148"/>
    </row>
    <row r="200">
      <c r="A200" s="326"/>
      <c r="B200" s="326"/>
      <c r="C200" s="326"/>
      <c r="O200" s="148"/>
      <c r="P200" s="148"/>
    </row>
    <row r="201">
      <c r="A201" s="326"/>
      <c r="B201" s="326"/>
      <c r="C201" s="326"/>
      <c r="O201" s="148"/>
      <c r="P201" s="148"/>
    </row>
    <row r="202">
      <c r="A202" s="326"/>
      <c r="B202" s="326"/>
      <c r="C202" s="326"/>
      <c r="O202" s="148"/>
      <c r="P202" s="148"/>
    </row>
    <row r="203">
      <c r="A203" s="326"/>
      <c r="B203" s="326"/>
      <c r="C203" s="326"/>
      <c r="O203" s="148"/>
      <c r="P203" s="148"/>
    </row>
    <row r="204">
      <c r="A204" s="326"/>
      <c r="B204" s="326"/>
      <c r="C204" s="326"/>
      <c r="O204" s="148"/>
      <c r="P204" s="148"/>
    </row>
    <row r="205">
      <c r="A205" s="326"/>
      <c r="B205" s="326"/>
      <c r="C205" s="326"/>
      <c r="O205" s="148"/>
      <c r="P205" s="148"/>
    </row>
    <row r="206">
      <c r="A206" s="326"/>
      <c r="B206" s="326"/>
      <c r="C206" s="326"/>
      <c r="O206" s="148"/>
      <c r="P206" s="148"/>
    </row>
    <row r="207">
      <c r="A207" s="326"/>
      <c r="B207" s="326"/>
      <c r="C207" s="326"/>
      <c r="O207" s="148"/>
      <c r="P207" s="148"/>
    </row>
    <row r="208">
      <c r="A208" s="326"/>
      <c r="B208" s="326"/>
      <c r="C208" s="326"/>
      <c r="O208" s="148"/>
      <c r="P208" s="148"/>
    </row>
    <row r="209">
      <c r="A209" s="326"/>
      <c r="B209" s="326"/>
      <c r="C209" s="326"/>
      <c r="O209" s="148"/>
      <c r="P209" s="148"/>
    </row>
    <row r="210">
      <c r="A210" s="326"/>
      <c r="B210" s="326"/>
      <c r="C210" s="326"/>
      <c r="O210" s="148"/>
      <c r="P210" s="148"/>
    </row>
    <row r="211">
      <c r="A211" s="326"/>
      <c r="B211" s="326"/>
      <c r="C211" s="326"/>
      <c r="O211" s="148"/>
      <c r="P211" s="148"/>
    </row>
    <row r="212">
      <c r="A212" s="326"/>
      <c r="B212" s="326"/>
      <c r="C212" s="326"/>
      <c r="O212" s="148"/>
      <c r="P212" s="148"/>
    </row>
    <row r="213">
      <c r="A213" s="326"/>
      <c r="B213" s="326"/>
      <c r="C213" s="326"/>
      <c r="O213" s="148"/>
      <c r="P213" s="148"/>
    </row>
    <row r="214">
      <c r="A214" s="326"/>
      <c r="B214" s="326"/>
      <c r="C214" s="326"/>
      <c r="O214" s="148"/>
      <c r="P214" s="148"/>
    </row>
    <row r="215">
      <c r="A215" s="326"/>
      <c r="B215" s="326"/>
      <c r="C215" s="326"/>
      <c r="O215" s="148"/>
      <c r="P215" s="148"/>
    </row>
    <row r="216">
      <c r="A216" s="326"/>
      <c r="B216" s="326"/>
      <c r="C216" s="326"/>
      <c r="O216" s="148"/>
      <c r="P216" s="148"/>
    </row>
    <row r="217">
      <c r="A217" s="326"/>
      <c r="B217" s="326"/>
      <c r="C217" s="326"/>
      <c r="O217" s="148"/>
      <c r="P217" s="148"/>
    </row>
    <row r="218">
      <c r="A218" s="326"/>
      <c r="B218" s="326"/>
      <c r="C218" s="326"/>
      <c r="O218" s="148"/>
      <c r="P218" s="148"/>
    </row>
    <row r="219">
      <c r="A219" s="326"/>
      <c r="B219" s="326"/>
      <c r="C219" s="326"/>
      <c r="O219" s="148"/>
      <c r="P219" s="148"/>
    </row>
    <row r="220">
      <c r="A220" s="326"/>
      <c r="B220" s="326"/>
      <c r="C220" s="326"/>
      <c r="O220" s="148"/>
      <c r="P220" s="148"/>
    </row>
    <row r="221">
      <c r="A221" s="326"/>
      <c r="B221" s="326"/>
      <c r="C221" s="326"/>
      <c r="O221" s="148"/>
      <c r="P221" s="148"/>
    </row>
    <row r="222">
      <c r="A222" s="326"/>
      <c r="B222" s="326"/>
      <c r="C222" s="326"/>
      <c r="O222" s="148"/>
      <c r="P222" s="148"/>
    </row>
    <row r="223">
      <c r="A223" s="326"/>
      <c r="B223" s="326"/>
      <c r="C223" s="326"/>
      <c r="O223" s="148"/>
      <c r="P223" s="148"/>
    </row>
    <row r="224">
      <c r="A224" s="326"/>
      <c r="B224" s="326"/>
      <c r="C224" s="326"/>
      <c r="O224" s="148"/>
      <c r="P224" s="148"/>
    </row>
    <row r="225">
      <c r="A225" s="326"/>
      <c r="B225" s="326"/>
      <c r="C225" s="326"/>
      <c r="O225" s="148"/>
      <c r="P225" s="148"/>
    </row>
    <row r="226">
      <c r="A226" s="326"/>
      <c r="B226" s="326"/>
      <c r="C226" s="326"/>
      <c r="O226" s="148"/>
      <c r="P226" s="148"/>
    </row>
    <row r="227">
      <c r="A227" s="326"/>
      <c r="B227" s="326"/>
      <c r="C227" s="326"/>
      <c r="O227" s="148"/>
      <c r="P227" s="148"/>
    </row>
    <row r="228">
      <c r="A228" s="326"/>
      <c r="B228" s="326"/>
      <c r="C228" s="326"/>
      <c r="O228" s="148"/>
      <c r="P228" s="148"/>
    </row>
    <row r="229">
      <c r="A229" s="326"/>
      <c r="B229" s="326"/>
      <c r="C229" s="326"/>
      <c r="O229" s="148"/>
      <c r="P229" s="148"/>
    </row>
    <row r="230">
      <c r="A230" s="326"/>
      <c r="B230" s="326"/>
      <c r="C230" s="326"/>
      <c r="O230" s="148"/>
      <c r="P230" s="148"/>
    </row>
    <row r="231">
      <c r="A231" s="326"/>
      <c r="B231" s="326"/>
      <c r="C231" s="326"/>
      <c r="O231" s="148"/>
      <c r="P231" s="148"/>
    </row>
    <row r="232">
      <c r="A232" s="326"/>
      <c r="B232" s="326"/>
      <c r="C232" s="326"/>
      <c r="O232" s="148"/>
      <c r="P232" s="148"/>
    </row>
    <row r="233">
      <c r="A233" s="326"/>
      <c r="B233" s="326"/>
      <c r="C233" s="326"/>
      <c r="O233" s="148"/>
      <c r="P233" s="148"/>
    </row>
    <row r="234">
      <c r="A234" s="326"/>
      <c r="B234" s="326"/>
      <c r="C234" s="326"/>
      <c r="O234" s="148"/>
      <c r="P234" s="148"/>
    </row>
    <row r="235">
      <c r="A235" s="326"/>
      <c r="B235" s="326"/>
      <c r="C235" s="326"/>
      <c r="O235" s="148"/>
      <c r="P235" s="148"/>
    </row>
    <row r="236">
      <c r="A236" s="326"/>
      <c r="B236" s="326"/>
      <c r="C236" s="326"/>
      <c r="O236" s="148"/>
      <c r="P236" s="148"/>
    </row>
    <row r="237">
      <c r="A237" s="326"/>
      <c r="B237" s="326"/>
      <c r="C237" s="326"/>
      <c r="O237" s="148"/>
      <c r="P237" s="148"/>
    </row>
    <row r="238">
      <c r="A238" s="326"/>
      <c r="B238" s="326"/>
      <c r="C238" s="326"/>
      <c r="O238" s="148"/>
      <c r="P238" s="148"/>
    </row>
    <row r="239">
      <c r="A239" s="326"/>
      <c r="B239" s="326"/>
      <c r="C239" s="326"/>
      <c r="O239" s="148"/>
      <c r="P239" s="148"/>
    </row>
    <row r="240">
      <c r="A240" s="326"/>
      <c r="B240" s="326"/>
      <c r="C240" s="326"/>
      <c r="O240" s="148"/>
      <c r="P240" s="148"/>
    </row>
    <row r="241">
      <c r="A241" s="326"/>
      <c r="B241" s="326"/>
      <c r="C241" s="326"/>
      <c r="O241" s="148"/>
      <c r="P241" s="148"/>
    </row>
    <row r="242">
      <c r="A242" s="326"/>
      <c r="B242" s="326"/>
      <c r="C242" s="326"/>
      <c r="O242" s="148"/>
      <c r="P242" s="148"/>
    </row>
    <row r="243">
      <c r="A243" s="326"/>
      <c r="B243" s="326"/>
      <c r="C243" s="326"/>
      <c r="O243" s="148"/>
      <c r="P243" s="148"/>
    </row>
    <row r="244">
      <c r="A244" s="326"/>
      <c r="B244" s="326"/>
      <c r="C244" s="326"/>
      <c r="O244" s="148"/>
      <c r="P244" s="148"/>
    </row>
    <row r="245">
      <c r="A245" s="326"/>
      <c r="B245" s="326"/>
      <c r="C245" s="326"/>
      <c r="O245" s="148"/>
      <c r="P245" s="148"/>
    </row>
    <row r="246">
      <c r="A246" s="326"/>
      <c r="B246" s="326"/>
      <c r="C246" s="326"/>
      <c r="O246" s="148"/>
      <c r="P246" s="148"/>
    </row>
    <row r="247">
      <c r="A247" s="326"/>
      <c r="B247" s="326"/>
      <c r="C247" s="326"/>
      <c r="O247" s="148"/>
      <c r="P247" s="148"/>
    </row>
    <row r="248">
      <c r="A248" s="326"/>
      <c r="B248" s="326"/>
      <c r="C248" s="326"/>
      <c r="O248" s="148"/>
      <c r="P248" s="148"/>
    </row>
    <row r="249">
      <c r="A249" s="326"/>
      <c r="B249" s="326"/>
      <c r="C249" s="326"/>
      <c r="O249" s="148"/>
      <c r="P249" s="148"/>
    </row>
    <row r="250">
      <c r="A250" s="326"/>
      <c r="B250" s="326"/>
      <c r="C250" s="326"/>
      <c r="O250" s="148"/>
      <c r="P250" s="148"/>
    </row>
    <row r="251">
      <c r="A251" s="326"/>
      <c r="B251" s="326"/>
      <c r="C251" s="326"/>
      <c r="O251" s="148"/>
      <c r="P251" s="148"/>
    </row>
    <row r="252">
      <c r="A252" s="326"/>
      <c r="B252" s="326"/>
      <c r="C252" s="326"/>
      <c r="O252" s="148"/>
      <c r="P252" s="148"/>
    </row>
    <row r="253">
      <c r="A253" s="326"/>
      <c r="B253" s="326"/>
      <c r="C253" s="326"/>
      <c r="O253" s="148"/>
      <c r="P253" s="148"/>
    </row>
    <row r="254">
      <c r="A254" s="326"/>
      <c r="B254" s="326"/>
      <c r="C254" s="326"/>
      <c r="O254" s="148"/>
      <c r="P254" s="148"/>
    </row>
    <row r="255">
      <c r="A255" s="326"/>
      <c r="B255" s="326"/>
      <c r="C255" s="326"/>
      <c r="O255" s="148"/>
      <c r="P255" s="148"/>
    </row>
    <row r="256">
      <c r="A256" s="326"/>
      <c r="B256" s="326"/>
      <c r="C256" s="326"/>
      <c r="O256" s="148"/>
      <c r="P256" s="148"/>
    </row>
    <row r="257">
      <c r="A257" s="326"/>
      <c r="B257" s="326"/>
      <c r="C257" s="326"/>
      <c r="O257" s="148"/>
      <c r="P257" s="148"/>
    </row>
    <row r="258">
      <c r="A258" s="326"/>
      <c r="B258" s="326"/>
      <c r="C258" s="326"/>
      <c r="O258" s="148"/>
      <c r="P258" s="148"/>
    </row>
    <row r="259">
      <c r="A259" s="326"/>
      <c r="B259" s="326"/>
      <c r="C259" s="326"/>
      <c r="O259" s="148"/>
      <c r="P259" s="148"/>
    </row>
    <row r="260">
      <c r="A260" s="326"/>
      <c r="B260" s="326"/>
      <c r="C260" s="326"/>
      <c r="O260" s="148"/>
      <c r="P260" s="148"/>
    </row>
    <row r="261">
      <c r="A261" s="326"/>
      <c r="B261" s="326"/>
      <c r="C261" s="326"/>
      <c r="O261" s="148"/>
      <c r="P261" s="148"/>
    </row>
    <row r="262">
      <c r="A262" s="326"/>
      <c r="B262" s="326"/>
      <c r="C262" s="326"/>
      <c r="O262" s="148"/>
      <c r="P262" s="148"/>
    </row>
    <row r="263">
      <c r="A263" s="326"/>
      <c r="B263" s="326"/>
      <c r="C263" s="326"/>
      <c r="O263" s="148"/>
      <c r="P263" s="148"/>
    </row>
    <row r="264">
      <c r="A264" s="326"/>
      <c r="B264" s="326"/>
      <c r="C264" s="326"/>
      <c r="O264" s="148"/>
      <c r="P264" s="148"/>
    </row>
    <row r="265">
      <c r="A265" s="326"/>
      <c r="B265" s="326"/>
      <c r="C265" s="326"/>
      <c r="O265" s="148"/>
      <c r="P265" s="148"/>
    </row>
    <row r="266">
      <c r="A266" s="326"/>
      <c r="B266" s="326"/>
      <c r="C266" s="326"/>
      <c r="O266" s="148"/>
      <c r="P266" s="148"/>
    </row>
    <row r="267">
      <c r="A267" s="326"/>
      <c r="B267" s="326"/>
      <c r="C267" s="326"/>
      <c r="O267" s="148"/>
      <c r="P267" s="148"/>
    </row>
    <row r="268">
      <c r="A268" s="326"/>
      <c r="B268" s="326"/>
      <c r="C268" s="326"/>
      <c r="O268" s="148"/>
      <c r="P268" s="148"/>
    </row>
    <row r="269">
      <c r="A269" s="326"/>
      <c r="B269" s="326"/>
      <c r="C269" s="326"/>
      <c r="O269" s="148"/>
      <c r="P269" s="148"/>
    </row>
    <row r="270">
      <c r="A270" s="326"/>
      <c r="B270" s="326"/>
      <c r="C270" s="326"/>
      <c r="O270" s="148"/>
      <c r="P270" s="148"/>
    </row>
    <row r="271">
      <c r="A271" s="326"/>
      <c r="B271" s="326"/>
      <c r="C271" s="326"/>
      <c r="O271" s="148"/>
      <c r="P271" s="148"/>
    </row>
    <row r="272">
      <c r="A272" s="326"/>
      <c r="B272" s="326"/>
      <c r="C272" s="326"/>
      <c r="O272" s="148"/>
      <c r="P272" s="148"/>
    </row>
    <row r="273">
      <c r="A273" s="326"/>
      <c r="B273" s="326"/>
      <c r="C273" s="326"/>
      <c r="O273" s="148"/>
      <c r="P273" s="148"/>
    </row>
    <row r="274">
      <c r="A274" s="326"/>
      <c r="B274" s="326"/>
      <c r="C274" s="326"/>
      <c r="O274" s="148"/>
      <c r="P274" s="148"/>
    </row>
    <row r="275">
      <c r="A275" s="326"/>
      <c r="B275" s="326"/>
      <c r="C275" s="326"/>
      <c r="O275" s="148"/>
      <c r="P275" s="148"/>
    </row>
    <row r="276">
      <c r="A276" s="326"/>
      <c r="B276" s="326"/>
      <c r="C276" s="326"/>
      <c r="O276" s="148"/>
      <c r="P276" s="148"/>
    </row>
    <row r="277">
      <c r="A277" s="326"/>
      <c r="B277" s="326"/>
      <c r="C277" s="326"/>
      <c r="O277" s="148"/>
      <c r="P277" s="148"/>
    </row>
    <row r="278">
      <c r="A278" s="326"/>
      <c r="B278" s="326"/>
      <c r="C278" s="326"/>
      <c r="O278" s="148"/>
      <c r="P278" s="148"/>
    </row>
    <row r="279">
      <c r="A279" s="326"/>
      <c r="B279" s="326"/>
      <c r="C279" s="326"/>
      <c r="O279" s="148"/>
      <c r="P279" s="148"/>
    </row>
    <row r="280">
      <c r="A280" s="326"/>
      <c r="B280" s="326"/>
      <c r="C280" s="326"/>
      <c r="O280" s="148"/>
      <c r="P280" s="148"/>
    </row>
    <row r="281">
      <c r="A281" s="326"/>
      <c r="B281" s="326"/>
      <c r="C281" s="326"/>
      <c r="O281" s="148"/>
      <c r="P281" s="148"/>
    </row>
    <row r="282">
      <c r="A282" s="326"/>
      <c r="B282" s="326"/>
      <c r="C282" s="326"/>
      <c r="O282" s="148"/>
      <c r="P282" s="148"/>
    </row>
    <row r="283">
      <c r="A283" s="326"/>
      <c r="B283" s="326"/>
      <c r="C283" s="326"/>
      <c r="O283" s="148"/>
      <c r="P283" s="148"/>
    </row>
    <row r="284">
      <c r="A284" s="326"/>
      <c r="B284" s="326"/>
      <c r="C284" s="326"/>
      <c r="O284" s="148"/>
      <c r="P284" s="148"/>
    </row>
    <row r="285">
      <c r="A285" s="326"/>
      <c r="B285" s="326"/>
      <c r="C285" s="326"/>
      <c r="O285" s="148"/>
      <c r="P285" s="148"/>
    </row>
    <row r="286">
      <c r="A286" s="326"/>
      <c r="B286" s="326"/>
      <c r="C286" s="326"/>
      <c r="O286" s="148"/>
      <c r="P286" s="148"/>
    </row>
    <row r="287">
      <c r="A287" s="326"/>
      <c r="B287" s="326"/>
      <c r="C287" s="326"/>
      <c r="O287" s="148"/>
      <c r="P287" s="148"/>
    </row>
    <row r="288">
      <c r="A288" s="326"/>
      <c r="B288" s="326"/>
      <c r="C288" s="326"/>
      <c r="O288" s="148"/>
      <c r="P288" s="148"/>
    </row>
    <row r="289">
      <c r="A289" s="326"/>
      <c r="B289" s="326"/>
      <c r="C289" s="326"/>
      <c r="O289" s="148"/>
      <c r="P289" s="148"/>
    </row>
    <row r="290">
      <c r="A290" s="326"/>
      <c r="B290" s="326"/>
      <c r="C290" s="326"/>
      <c r="O290" s="148"/>
      <c r="P290" s="148"/>
    </row>
    <row r="291">
      <c r="A291" s="326"/>
      <c r="B291" s="326"/>
      <c r="C291" s="326"/>
      <c r="O291" s="148"/>
      <c r="P291" s="148"/>
    </row>
    <row r="292">
      <c r="A292" s="326"/>
      <c r="B292" s="326"/>
      <c r="C292" s="326"/>
      <c r="O292" s="148"/>
      <c r="P292" s="148"/>
    </row>
    <row r="293">
      <c r="A293" s="326"/>
      <c r="B293" s="326"/>
      <c r="C293" s="326"/>
      <c r="O293" s="148"/>
      <c r="P293" s="148"/>
    </row>
    <row r="294">
      <c r="A294" s="326"/>
      <c r="B294" s="326"/>
      <c r="C294" s="326"/>
      <c r="O294" s="148"/>
      <c r="P294" s="148"/>
    </row>
    <row r="295">
      <c r="A295" s="326"/>
      <c r="B295" s="326"/>
      <c r="C295" s="326"/>
      <c r="O295" s="148"/>
      <c r="P295" s="148"/>
    </row>
    <row r="296">
      <c r="A296" s="326"/>
      <c r="B296" s="326"/>
      <c r="C296" s="326"/>
      <c r="O296" s="148"/>
      <c r="P296" s="148"/>
    </row>
    <row r="297">
      <c r="A297" s="326"/>
      <c r="B297" s="326"/>
      <c r="C297" s="326"/>
      <c r="O297" s="148"/>
      <c r="P297" s="148"/>
    </row>
    <row r="298">
      <c r="A298" s="326"/>
      <c r="B298" s="326"/>
      <c r="C298" s="326"/>
      <c r="O298" s="148"/>
      <c r="P298" s="148"/>
    </row>
    <row r="299">
      <c r="A299" s="326"/>
      <c r="B299" s="326"/>
      <c r="C299" s="326"/>
      <c r="O299" s="148"/>
      <c r="P299" s="148"/>
    </row>
    <row r="300">
      <c r="A300" s="326"/>
      <c r="B300" s="326"/>
      <c r="C300" s="326"/>
      <c r="O300" s="148"/>
      <c r="P300" s="148"/>
    </row>
    <row r="301">
      <c r="A301" s="326"/>
      <c r="B301" s="326"/>
      <c r="C301" s="326"/>
      <c r="O301" s="148"/>
      <c r="P301" s="148"/>
    </row>
    <row r="302">
      <c r="A302" s="326"/>
      <c r="B302" s="326"/>
      <c r="C302" s="326"/>
      <c r="O302" s="148"/>
      <c r="P302" s="148"/>
    </row>
    <row r="303">
      <c r="A303" s="326"/>
      <c r="B303" s="326"/>
      <c r="C303" s="326"/>
      <c r="O303" s="148"/>
      <c r="P303" s="148"/>
    </row>
    <row r="304">
      <c r="A304" s="326"/>
      <c r="B304" s="326"/>
      <c r="C304" s="326"/>
      <c r="O304" s="148"/>
      <c r="P304" s="148"/>
    </row>
    <row r="305">
      <c r="A305" s="326"/>
      <c r="B305" s="326"/>
      <c r="C305" s="326"/>
      <c r="O305" s="148"/>
      <c r="P305" s="148"/>
    </row>
    <row r="306">
      <c r="A306" s="326"/>
      <c r="B306" s="326"/>
      <c r="C306" s="326"/>
      <c r="O306" s="148"/>
      <c r="P306" s="148"/>
    </row>
    <row r="307">
      <c r="A307" s="326"/>
      <c r="B307" s="326"/>
      <c r="C307" s="326"/>
      <c r="O307" s="148"/>
      <c r="P307" s="148"/>
    </row>
    <row r="308">
      <c r="A308" s="326"/>
      <c r="B308" s="326"/>
      <c r="C308" s="326"/>
      <c r="O308" s="148"/>
      <c r="P308" s="148"/>
    </row>
    <row r="309">
      <c r="A309" s="326"/>
      <c r="B309" s="326"/>
      <c r="C309" s="326"/>
      <c r="O309" s="148"/>
      <c r="P309" s="148"/>
    </row>
    <row r="310">
      <c r="A310" s="326"/>
      <c r="B310" s="326"/>
      <c r="C310" s="326"/>
      <c r="O310" s="148"/>
      <c r="P310" s="148"/>
    </row>
    <row r="311">
      <c r="A311" s="326"/>
      <c r="B311" s="326"/>
      <c r="C311" s="326"/>
      <c r="O311" s="148"/>
      <c r="P311" s="148"/>
    </row>
    <row r="312">
      <c r="A312" s="326"/>
      <c r="B312" s="326"/>
      <c r="C312" s="326"/>
      <c r="O312" s="148"/>
      <c r="P312" s="148"/>
    </row>
    <row r="313">
      <c r="A313" s="326"/>
      <c r="B313" s="326"/>
      <c r="C313" s="326"/>
      <c r="O313" s="148"/>
      <c r="P313" s="148"/>
    </row>
    <row r="314">
      <c r="A314" s="326"/>
      <c r="B314" s="326"/>
      <c r="C314" s="326"/>
      <c r="O314" s="148"/>
      <c r="P314" s="148"/>
    </row>
    <row r="315">
      <c r="A315" s="326"/>
      <c r="B315" s="326"/>
      <c r="C315" s="326"/>
      <c r="O315" s="148"/>
      <c r="P315" s="148"/>
    </row>
    <row r="316">
      <c r="A316" s="326"/>
      <c r="B316" s="326"/>
      <c r="C316" s="326"/>
      <c r="O316" s="148"/>
      <c r="P316" s="148"/>
    </row>
    <row r="317">
      <c r="A317" s="326"/>
      <c r="B317" s="326"/>
      <c r="C317" s="326"/>
      <c r="O317" s="148"/>
      <c r="P317" s="148"/>
    </row>
    <row r="318">
      <c r="A318" s="326"/>
      <c r="B318" s="326"/>
      <c r="C318" s="326"/>
      <c r="O318" s="148"/>
      <c r="P318" s="148"/>
    </row>
    <row r="319">
      <c r="A319" s="326"/>
      <c r="B319" s="326"/>
      <c r="C319" s="326"/>
      <c r="O319" s="148"/>
      <c r="P319" s="148"/>
    </row>
    <row r="320">
      <c r="A320" s="326"/>
      <c r="B320" s="326"/>
      <c r="C320" s="326"/>
      <c r="O320" s="148"/>
      <c r="P320" s="148"/>
    </row>
    <row r="321">
      <c r="A321" s="326"/>
      <c r="B321" s="326"/>
      <c r="C321" s="326"/>
      <c r="O321" s="148"/>
      <c r="P321" s="148"/>
    </row>
    <row r="322">
      <c r="A322" s="326"/>
      <c r="B322" s="326"/>
      <c r="C322" s="326"/>
      <c r="O322" s="148"/>
      <c r="P322" s="148"/>
    </row>
    <row r="323">
      <c r="A323" s="326"/>
      <c r="B323" s="326"/>
      <c r="C323" s="326"/>
      <c r="O323" s="148"/>
      <c r="P323" s="148"/>
    </row>
    <row r="324">
      <c r="A324" s="326"/>
      <c r="B324" s="326"/>
      <c r="C324" s="326"/>
      <c r="O324" s="148"/>
      <c r="P324" s="148"/>
    </row>
    <row r="325">
      <c r="A325" s="326"/>
      <c r="B325" s="326"/>
      <c r="C325" s="326"/>
      <c r="O325" s="148"/>
      <c r="P325" s="148"/>
    </row>
    <row r="326">
      <c r="A326" s="326"/>
      <c r="B326" s="326"/>
      <c r="C326" s="326"/>
      <c r="O326" s="148"/>
      <c r="P326" s="148"/>
    </row>
    <row r="327">
      <c r="A327" s="326"/>
      <c r="B327" s="326"/>
      <c r="C327" s="326"/>
      <c r="O327" s="148"/>
      <c r="P327" s="148"/>
    </row>
    <row r="328">
      <c r="A328" s="326"/>
      <c r="B328" s="326"/>
      <c r="C328" s="326"/>
      <c r="O328" s="148"/>
      <c r="P328" s="148"/>
    </row>
    <row r="329">
      <c r="A329" s="326"/>
      <c r="B329" s="326"/>
      <c r="C329" s="326"/>
      <c r="O329" s="148"/>
      <c r="P329" s="148"/>
    </row>
    <row r="330">
      <c r="A330" s="326"/>
      <c r="B330" s="326"/>
      <c r="C330" s="326"/>
      <c r="O330" s="148"/>
      <c r="P330" s="148"/>
    </row>
    <row r="331">
      <c r="A331" s="326"/>
      <c r="B331" s="326"/>
      <c r="C331" s="326"/>
      <c r="O331" s="148"/>
      <c r="P331" s="148"/>
    </row>
    <row r="332">
      <c r="A332" s="326"/>
      <c r="B332" s="326"/>
      <c r="C332" s="326"/>
      <c r="O332" s="148"/>
      <c r="P332" s="148"/>
    </row>
    <row r="333">
      <c r="A333" s="326"/>
      <c r="B333" s="326"/>
      <c r="C333" s="326"/>
      <c r="O333" s="148"/>
      <c r="P333" s="148"/>
    </row>
    <row r="334">
      <c r="A334" s="326"/>
      <c r="B334" s="326"/>
      <c r="C334" s="326"/>
      <c r="O334" s="148"/>
      <c r="P334" s="148"/>
    </row>
    <row r="335">
      <c r="A335" s="326"/>
      <c r="B335" s="326"/>
      <c r="C335" s="326"/>
      <c r="O335" s="148"/>
      <c r="P335" s="148"/>
    </row>
    <row r="336">
      <c r="A336" s="326"/>
      <c r="B336" s="326"/>
      <c r="C336" s="326"/>
      <c r="O336" s="148"/>
      <c r="P336" s="148"/>
    </row>
    <row r="337">
      <c r="A337" s="326"/>
      <c r="B337" s="326"/>
      <c r="C337" s="326"/>
      <c r="O337" s="148"/>
      <c r="P337" s="148"/>
    </row>
    <row r="338">
      <c r="A338" s="326"/>
      <c r="B338" s="326"/>
      <c r="C338" s="326"/>
      <c r="O338" s="148"/>
      <c r="P338" s="148"/>
    </row>
    <row r="339">
      <c r="A339" s="326"/>
      <c r="B339" s="326"/>
      <c r="C339" s="326"/>
      <c r="O339" s="148"/>
      <c r="P339" s="148"/>
    </row>
    <row r="340">
      <c r="A340" s="326"/>
      <c r="B340" s="326"/>
      <c r="C340" s="326"/>
      <c r="O340" s="148"/>
      <c r="P340" s="148"/>
    </row>
    <row r="341">
      <c r="A341" s="326"/>
      <c r="B341" s="326"/>
      <c r="C341" s="326"/>
      <c r="O341" s="148"/>
      <c r="P341" s="148"/>
    </row>
    <row r="342">
      <c r="A342" s="326"/>
      <c r="B342" s="326"/>
      <c r="C342" s="326"/>
      <c r="O342" s="148"/>
      <c r="P342" s="148"/>
    </row>
    <row r="343">
      <c r="A343" s="326"/>
      <c r="B343" s="326"/>
      <c r="C343" s="326"/>
      <c r="O343" s="148"/>
      <c r="P343" s="148"/>
    </row>
    <row r="344">
      <c r="A344" s="326"/>
      <c r="B344" s="326"/>
      <c r="C344" s="326"/>
      <c r="O344" s="148"/>
      <c r="P344" s="148"/>
    </row>
    <row r="345">
      <c r="A345" s="326"/>
      <c r="B345" s="326"/>
      <c r="C345" s="326"/>
      <c r="O345" s="148"/>
      <c r="P345" s="148"/>
    </row>
    <row r="346">
      <c r="A346" s="326"/>
      <c r="B346" s="326"/>
      <c r="C346" s="326"/>
      <c r="O346" s="148"/>
      <c r="P346" s="148"/>
    </row>
    <row r="347">
      <c r="A347" s="326"/>
      <c r="B347" s="326"/>
      <c r="C347" s="326"/>
      <c r="O347" s="148"/>
      <c r="P347" s="148"/>
    </row>
    <row r="348">
      <c r="A348" s="326"/>
      <c r="B348" s="326"/>
      <c r="C348" s="326"/>
      <c r="O348" s="148"/>
      <c r="P348" s="148"/>
    </row>
    <row r="349">
      <c r="A349" s="326"/>
      <c r="B349" s="326"/>
      <c r="C349" s="326"/>
      <c r="O349" s="148"/>
      <c r="P349" s="148"/>
    </row>
    <row r="350">
      <c r="A350" s="326"/>
      <c r="B350" s="326"/>
      <c r="C350" s="326"/>
      <c r="O350" s="148"/>
      <c r="P350" s="148"/>
    </row>
    <row r="351">
      <c r="A351" s="326"/>
      <c r="B351" s="326"/>
      <c r="C351" s="326"/>
      <c r="O351" s="148"/>
      <c r="P351" s="148"/>
    </row>
    <row r="352">
      <c r="A352" s="326"/>
      <c r="B352" s="326"/>
      <c r="C352" s="326"/>
      <c r="O352" s="148"/>
      <c r="P352" s="148"/>
    </row>
    <row r="353">
      <c r="A353" s="326"/>
      <c r="B353" s="326"/>
      <c r="C353" s="326"/>
      <c r="O353" s="148"/>
      <c r="P353" s="148"/>
    </row>
    <row r="354">
      <c r="A354" s="326"/>
      <c r="B354" s="326"/>
      <c r="C354" s="326"/>
      <c r="O354" s="148"/>
      <c r="P354" s="148"/>
    </row>
    <row r="355">
      <c r="A355" s="326"/>
      <c r="B355" s="326"/>
      <c r="C355" s="326"/>
      <c r="O355" s="148"/>
      <c r="P355" s="148"/>
    </row>
    <row r="356">
      <c r="A356" s="326"/>
      <c r="B356" s="326"/>
      <c r="C356" s="326"/>
      <c r="O356" s="148"/>
      <c r="P356" s="148"/>
    </row>
    <row r="357">
      <c r="A357" s="326"/>
      <c r="B357" s="326"/>
      <c r="C357" s="326"/>
      <c r="O357" s="148"/>
      <c r="P357" s="148"/>
    </row>
    <row r="358">
      <c r="A358" s="326"/>
      <c r="B358" s="326"/>
      <c r="C358" s="326"/>
      <c r="O358" s="148"/>
      <c r="P358" s="148"/>
    </row>
    <row r="359">
      <c r="A359" s="326"/>
      <c r="B359" s="326"/>
      <c r="C359" s="326"/>
      <c r="O359" s="148"/>
      <c r="P359" s="148"/>
    </row>
    <row r="360">
      <c r="A360" s="326"/>
      <c r="B360" s="326"/>
      <c r="C360" s="326"/>
      <c r="O360" s="148"/>
      <c r="P360" s="148"/>
    </row>
    <row r="361">
      <c r="A361" s="326"/>
      <c r="B361" s="326"/>
      <c r="C361" s="326"/>
      <c r="O361" s="148"/>
      <c r="P361" s="148"/>
    </row>
    <row r="362">
      <c r="A362" s="326"/>
      <c r="B362" s="326"/>
      <c r="C362" s="326"/>
      <c r="O362" s="148"/>
      <c r="P362" s="148"/>
    </row>
    <row r="363">
      <c r="A363" s="326"/>
      <c r="B363" s="326"/>
      <c r="C363" s="326"/>
      <c r="O363" s="148"/>
      <c r="P363" s="148"/>
    </row>
    <row r="364">
      <c r="A364" s="326"/>
      <c r="B364" s="326"/>
      <c r="C364" s="326"/>
      <c r="O364" s="148"/>
      <c r="P364" s="148"/>
    </row>
    <row r="365">
      <c r="A365" s="326"/>
      <c r="B365" s="326"/>
      <c r="C365" s="326"/>
      <c r="O365" s="148"/>
      <c r="P365" s="148"/>
    </row>
    <row r="366">
      <c r="A366" s="326"/>
      <c r="B366" s="326"/>
      <c r="C366" s="326"/>
      <c r="O366" s="148"/>
      <c r="P366" s="148"/>
    </row>
    <row r="367">
      <c r="A367" s="326"/>
      <c r="B367" s="326"/>
      <c r="C367" s="326"/>
      <c r="O367" s="148"/>
      <c r="P367" s="148"/>
    </row>
    <row r="368">
      <c r="A368" s="326"/>
      <c r="B368" s="326"/>
      <c r="C368" s="326"/>
      <c r="O368" s="148"/>
      <c r="P368" s="148"/>
    </row>
    <row r="369">
      <c r="A369" s="326"/>
      <c r="B369" s="326"/>
      <c r="C369" s="326"/>
      <c r="O369" s="148"/>
      <c r="P369" s="148"/>
    </row>
    <row r="370">
      <c r="A370" s="326"/>
      <c r="B370" s="326"/>
      <c r="C370" s="326"/>
      <c r="O370" s="148"/>
      <c r="P370" s="148"/>
    </row>
    <row r="371">
      <c r="A371" s="326"/>
      <c r="B371" s="326"/>
      <c r="C371" s="326"/>
      <c r="O371" s="148"/>
      <c r="P371" s="148"/>
    </row>
    <row r="372">
      <c r="A372" s="326"/>
      <c r="B372" s="326"/>
      <c r="C372" s="326"/>
      <c r="O372" s="148"/>
      <c r="P372" s="148"/>
    </row>
    <row r="373">
      <c r="A373" s="326"/>
      <c r="B373" s="326"/>
      <c r="C373" s="326"/>
      <c r="O373" s="148"/>
      <c r="P373" s="148"/>
    </row>
    <row r="374">
      <c r="A374" s="326"/>
      <c r="B374" s="326"/>
      <c r="C374" s="326"/>
      <c r="O374" s="148"/>
      <c r="P374" s="148"/>
    </row>
    <row r="375">
      <c r="A375" s="326"/>
      <c r="B375" s="326"/>
      <c r="C375" s="326"/>
      <c r="O375" s="148"/>
      <c r="P375" s="148"/>
    </row>
    <row r="376">
      <c r="A376" s="326"/>
      <c r="B376" s="326"/>
      <c r="C376" s="326"/>
      <c r="O376" s="148"/>
      <c r="P376" s="148"/>
    </row>
    <row r="377">
      <c r="A377" s="326"/>
      <c r="B377" s="326"/>
      <c r="C377" s="326"/>
      <c r="O377" s="148"/>
      <c r="P377" s="148"/>
    </row>
    <row r="378">
      <c r="A378" s="326"/>
      <c r="B378" s="326"/>
      <c r="C378" s="326"/>
      <c r="O378" s="148"/>
      <c r="P378" s="148"/>
    </row>
    <row r="379">
      <c r="A379" s="326"/>
      <c r="B379" s="326"/>
      <c r="C379" s="326"/>
      <c r="O379" s="148"/>
      <c r="P379" s="148"/>
    </row>
    <row r="380">
      <c r="A380" s="326"/>
      <c r="B380" s="326"/>
      <c r="C380" s="326"/>
      <c r="O380" s="148"/>
      <c r="P380" s="148"/>
    </row>
    <row r="381">
      <c r="A381" s="326"/>
      <c r="B381" s="326"/>
      <c r="C381" s="326"/>
      <c r="O381" s="148"/>
      <c r="P381" s="148"/>
    </row>
    <row r="382">
      <c r="A382" s="326"/>
      <c r="B382" s="326"/>
      <c r="C382" s="326"/>
      <c r="O382" s="148"/>
      <c r="P382" s="148"/>
    </row>
    <row r="383">
      <c r="A383" s="326"/>
      <c r="B383" s="326"/>
      <c r="C383" s="326"/>
      <c r="O383" s="148"/>
      <c r="P383" s="148"/>
    </row>
    <row r="384">
      <c r="A384" s="326"/>
      <c r="B384" s="326"/>
      <c r="C384" s="326"/>
      <c r="O384" s="148"/>
      <c r="P384" s="148"/>
    </row>
    <row r="385">
      <c r="A385" s="326"/>
      <c r="B385" s="326"/>
      <c r="C385" s="326"/>
      <c r="O385" s="148"/>
      <c r="P385" s="148"/>
    </row>
    <row r="386">
      <c r="A386" s="326"/>
      <c r="B386" s="326"/>
      <c r="C386" s="326"/>
      <c r="O386" s="148"/>
      <c r="P386" s="148"/>
    </row>
    <row r="387">
      <c r="A387" s="326"/>
      <c r="B387" s="326"/>
      <c r="C387" s="326"/>
      <c r="O387" s="148"/>
      <c r="P387" s="148"/>
    </row>
    <row r="388">
      <c r="A388" s="326"/>
      <c r="B388" s="326"/>
      <c r="C388" s="326"/>
      <c r="O388" s="148"/>
      <c r="P388" s="148"/>
    </row>
    <row r="389">
      <c r="A389" s="326"/>
      <c r="B389" s="326"/>
      <c r="C389" s="326"/>
      <c r="O389" s="148"/>
      <c r="P389" s="148"/>
    </row>
    <row r="390">
      <c r="A390" s="326"/>
      <c r="B390" s="326"/>
      <c r="C390" s="326"/>
      <c r="O390" s="148"/>
      <c r="P390" s="148"/>
    </row>
    <row r="391">
      <c r="A391" s="326"/>
      <c r="B391" s="326"/>
      <c r="C391" s="326"/>
      <c r="O391" s="148"/>
      <c r="P391" s="148"/>
    </row>
    <row r="392">
      <c r="A392" s="326"/>
      <c r="B392" s="326"/>
      <c r="C392" s="326"/>
      <c r="O392" s="148"/>
      <c r="P392" s="148"/>
    </row>
    <row r="393">
      <c r="A393" s="326"/>
      <c r="B393" s="326"/>
      <c r="C393" s="326"/>
      <c r="O393" s="148"/>
      <c r="P393" s="148"/>
    </row>
    <row r="394">
      <c r="A394" s="326"/>
      <c r="B394" s="326"/>
      <c r="C394" s="326"/>
      <c r="O394" s="148"/>
      <c r="P394" s="148"/>
    </row>
    <row r="395">
      <c r="A395" s="326"/>
      <c r="B395" s="326"/>
      <c r="C395" s="326"/>
      <c r="O395" s="148"/>
      <c r="P395" s="148"/>
    </row>
    <row r="396">
      <c r="A396" s="326"/>
      <c r="B396" s="326"/>
      <c r="C396" s="326"/>
      <c r="O396" s="148"/>
      <c r="P396" s="148"/>
    </row>
    <row r="397">
      <c r="A397" s="326"/>
      <c r="B397" s="326"/>
      <c r="C397" s="326"/>
      <c r="O397" s="148"/>
      <c r="P397" s="148"/>
    </row>
    <row r="398">
      <c r="A398" s="326"/>
      <c r="B398" s="326"/>
      <c r="C398" s="326"/>
      <c r="O398" s="148"/>
      <c r="P398" s="148"/>
    </row>
    <row r="399">
      <c r="A399" s="326"/>
      <c r="B399" s="326"/>
      <c r="C399" s="326"/>
      <c r="O399" s="148"/>
      <c r="P399" s="148"/>
    </row>
    <row r="400">
      <c r="A400" s="326"/>
      <c r="B400" s="326"/>
      <c r="C400" s="326"/>
      <c r="O400" s="148"/>
      <c r="P400" s="148"/>
    </row>
    <row r="401">
      <c r="A401" s="326"/>
      <c r="B401" s="326"/>
      <c r="C401" s="326"/>
      <c r="O401" s="148"/>
      <c r="P401" s="148"/>
    </row>
    <row r="402">
      <c r="A402" s="326"/>
      <c r="B402" s="326"/>
      <c r="C402" s="326"/>
      <c r="O402" s="148"/>
      <c r="P402" s="148"/>
    </row>
    <row r="403">
      <c r="A403" s="326"/>
      <c r="B403" s="326"/>
      <c r="C403" s="326"/>
      <c r="O403" s="148"/>
      <c r="P403" s="148"/>
    </row>
    <row r="404">
      <c r="A404" s="326"/>
      <c r="B404" s="326"/>
      <c r="C404" s="326"/>
      <c r="O404" s="148"/>
      <c r="P404" s="148"/>
    </row>
    <row r="405">
      <c r="A405" s="326"/>
      <c r="B405" s="326"/>
      <c r="C405" s="326"/>
      <c r="O405" s="148"/>
      <c r="P405" s="148"/>
    </row>
    <row r="406">
      <c r="A406" s="326"/>
      <c r="B406" s="326"/>
      <c r="C406" s="326"/>
      <c r="O406" s="148"/>
      <c r="P406" s="148"/>
    </row>
    <row r="407">
      <c r="A407" s="326"/>
      <c r="B407" s="326"/>
      <c r="C407" s="326"/>
      <c r="O407" s="148"/>
      <c r="P407" s="148"/>
    </row>
    <row r="408">
      <c r="A408" s="326"/>
      <c r="B408" s="326"/>
      <c r="C408" s="326"/>
      <c r="O408" s="148"/>
      <c r="P408" s="148"/>
    </row>
    <row r="409">
      <c r="A409" s="326"/>
      <c r="B409" s="326"/>
      <c r="C409" s="326"/>
      <c r="O409" s="148"/>
      <c r="P409" s="148"/>
    </row>
    <row r="410">
      <c r="A410" s="326"/>
      <c r="B410" s="326"/>
      <c r="C410" s="326"/>
      <c r="O410" s="148"/>
      <c r="P410" s="148"/>
    </row>
    <row r="411">
      <c r="A411" s="326"/>
      <c r="B411" s="326"/>
      <c r="C411" s="326"/>
      <c r="O411" s="148"/>
      <c r="P411" s="148"/>
    </row>
    <row r="412">
      <c r="A412" s="326"/>
      <c r="B412" s="326"/>
      <c r="C412" s="326"/>
      <c r="O412" s="148"/>
      <c r="P412" s="148"/>
    </row>
    <row r="413">
      <c r="A413" s="326"/>
      <c r="B413" s="326"/>
      <c r="C413" s="326"/>
      <c r="O413" s="148"/>
      <c r="P413" s="148"/>
    </row>
    <row r="414">
      <c r="A414" s="326"/>
      <c r="B414" s="326"/>
      <c r="C414" s="326"/>
      <c r="O414" s="148"/>
      <c r="P414" s="148"/>
    </row>
    <row r="415">
      <c r="A415" s="326"/>
      <c r="B415" s="326"/>
      <c r="C415" s="326"/>
      <c r="O415" s="148"/>
      <c r="P415" s="148"/>
    </row>
    <row r="416">
      <c r="A416" s="326"/>
      <c r="B416" s="326"/>
      <c r="C416" s="326"/>
      <c r="O416" s="148"/>
      <c r="P416" s="148"/>
    </row>
    <row r="417">
      <c r="A417" s="326"/>
      <c r="B417" s="326"/>
      <c r="C417" s="326"/>
      <c r="O417" s="148"/>
      <c r="P417" s="148"/>
    </row>
    <row r="418">
      <c r="A418" s="326"/>
      <c r="B418" s="326"/>
      <c r="C418" s="326"/>
      <c r="O418" s="148"/>
      <c r="P418" s="148"/>
    </row>
    <row r="419">
      <c r="A419" s="326"/>
      <c r="B419" s="326"/>
      <c r="C419" s="326"/>
      <c r="O419" s="148"/>
      <c r="P419" s="148"/>
    </row>
    <row r="420">
      <c r="A420" s="326"/>
      <c r="B420" s="326"/>
      <c r="C420" s="326"/>
      <c r="O420" s="148"/>
      <c r="P420" s="148"/>
    </row>
    <row r="421">
      <c r="A421" s="326"/>
      <c r="B421" s="326"/>
      <c r="C421" s="326"/>
      <c r="O421" s="148"/>
      <c r="P421" s="148"/>
    </row>
    <row r="422">
      <c r="A422" s="326"/>
      <c r="B422" s="326"/>
      <c r="C422" s="326"/>
      <c r="O422" s="148"/>
      <c r="P422" s="148"/>
    </row>
    <row r="423">
      <c r="A423" s="326"/>
      <c r="B423" s="326"/>
      <c r="C423" s="326"/>
      <c r="O423" s="148"/>
      <c r="P423" s="148"/>
    </row>
    <row r="424">
      <c r="A424" s="326"/>
      <c r="B424" s="326"/>
      <c r="C424" s="326"/>
      <c r="O424" s="148"/>
      <c r="P424" s="148"/>
    </row>
    <row r="425">
      <c r="A425" s="326"/>
      <c r="B425" s="326"/>
      <c r="C425" s="326"/>
      <c r="O425" s="148"/>
      <c r="P425" s="148"/>
    </row>
    <row r="426">
      <c r="A426" s="326"/>
      <c r="B426" s="326"/>
      <c r="C426" s="326"/>
      <c r="O426" s="148"/>
      <c r="P426" s="148"/>
    </row>
    <row r="427">
      <c r="A427" s="326"/>
      <c r="B427" s="326"/>
      <c r="C427" s="326"/>
      <c r="O427" s="148"/>
      <c r="P427" s="148"/>
    </row>
    <row r="428">
      <c r="A428" s="326"/>
      <c r="B428" s="326"/>
      <c r="C428" s="326"/>
      <c r="O428" s="148"/>
      <c r="P428" s="148"/>
    </row>
    <row r="429">
      <c r="A429" s="326"/>
      <c r="B429" s="326"/>
      <c r="C429" s="326"/>
      <c r="O429" s="148"/>
      <c r="P429" s="148"/>
    </row>
    <row r="430">
      <c r="A430" s="326"/>
      <c r="B430" s="326"/>
      <c r="C430" s="326"/>
      <c r="O430" s="148"/>
      <c r="P430" s="148"/>
    </row>
    <row r="431">
      <c r="A431" s="326"/>
      <c r="B431" s="326"/>
      <c r="C431" s="326"/>
      <c r="O431" s="148"/>
      <c r="P431" s="148"/>
    </row>
    <row r="432">
      <c r="A432" s="326"/>
      <c r="B432" s="326"/>
      <c r="C432" s="326"/>
      <c r="O432" s="148"/>
      <c r="P432" s="148"/>
    </row>
    <row r="433">
      <c r="A433" s="326"/>
      <c r="B433" s="326"/>
      <c r="C433" s="326"/>
      <c r="O433" s="148"/>
      <c r="P433" s="148"/>
    </row>
    <row r="434">
      <c r="A434" s="326"/>
      <c r="B434" s="326"/>
      <c r="C434" s="326"/>
      <c r="O434" s="148"/>
      <c r="P434" s="148"/>
    </row>
    <row r="435">
      <c r="A435" s="326"/>
      <c r="B435" s="326"/>
      <c r="C435" s="326"/>
      <c r="O435" s="148"/>
      <c r="P435" s="148"/>
    </row>
    <row r="436">
      <c r="A436" s="326"/>
      <c r="B436" s="326"/>
      <c r="C436" s="326"/>
      <c r="O436" s="148"/>
      <c r="P436" s="148"/>
    </row>
    <row r="437">
      <c r="A437" s="326"/>
      <c r="B437" s="326"/>
      <c r="C437" s="326"/>
      <c r="O437" s="148"/>
      <c r="P437" s="148"/>
    </row>
    <row r="438">
      <c r="A438" s="326"/>
      <c r="B438" s="326"/>
      <c r="C438" s="326"/>
      <c r="O438" s="148"/>
      <c r="P438" s="148"/>
    </row>
    <row r="439">
      <c r="A439" s="326"/>
      <c r="B439" s="326"/>
      <c r="C439" s="326"/>
      <c r="O439" s="148"/>
      <c r="P439" s="148"/>
    </row>
    <row r="440">
      <c r="A440" s="326"/>
      <c r="B440" s="326"/>
      <c r="C440" s="326"/>
      <c r="O440" s="148"/>
      <c r="P440" s="148"/>
    </row>
    <row r="441">
      <c r="A441" s="326"/>
      <c r="B441" s="326"/>
      <c r="C441" s="326"/>
      <c r="O441" s="148"/>
      <c r="P441" s="148"/>
    </row>
    <row r="442">
      <c r="A442" s="326"/>
      <c r="B442" s="326"/>
      <c r="C442" s="326"/>
      <c r="O442" s="148"/>
      <c r="P442" s="148"/>
    </row>
    <row r="443">
      <c r="A443" s="326"/>
      <c r="B443" s="326"/>
      <c r="C443" s="326"/>
      <c r="O443" s="148"/>
      <c r="P443" s="148"/>
    </row>
    <row r="444">
      <c r="A444" s="326"/>
      <c r="B444" s="326"/>
      <c r="C444" s="326"/>
      <c r="O444" s="148"/>
      <c r="P444" s="148"/>
    </row>
    <row r="445">
      <c r="A445" s="326"/>
      <c r="B445" s="326"/>
      <c r="C445" s="326"/>
      <c r="O445" s="148"/>
      <c r="P445" s="148"/>
    </row>
    <row r="446">
      <c r="A446" s="326"/>
      <c r="B446" s="326"/>
      <c r="C446" s="326"/>
      <c r="O446" s="148"/>
      <c r="P446" s="148"/>
    </row>
    <row r="447">
      <c r="A447" s="326"/>
      <c r="B447" s="326"/>
      <c r="C447" s="326"/>
      <c r="O447" s="148"/>
      <c r="P447" s="148"/>
    </row>
    <row r="448">
      <c r="A448" s="326"/>
      <c r="B448" s="326"/>
      <c r="C448" s="326"/>
      <c r="O448" s="148"/>
      <c r="P448" s="148"/>
    </row>
    <row r="449">
      <c r="A449" s="326"/>
      <c r="B449" s="326"/>
      <c r="C449" s="326"/>
      <c r="O449" s="148"/>
      <c r="P449" s="148"/>
    </row>
    <row r="450">
      <c r="A450" s="326"/>
      <c r="B450" s="326"/>
      <c r="C450" s="326"/>
      <c r="O450" s="148"/>
      <c r="P450" s="148"/>
    </row>
    <row r="451">
      <c r="A451" s="326"/>
      <c r="B451" s="326"/>
      <c r="C451" s="326"/>
      <c r="O451" s="148"/>
      <c r="P451" s="148"/>
    </row>
    <row r="452">
      <c r="A452" s="326"/>
      <c r="B452" s="326"/>
      <c r="C452" s="326"/>
      <c r="O452" s="148"/>
      <c r="P452" s="148"/>
    </row>
    <row r="453">
      <c r="A453" s="326"/>
      <c r="B453" s="326"/>
      <c r="C453" s="326"/>
      <c r="O453" s="148"/>
      <c r="P453" s="148"/>
    </row>
    <row r="454">
      <c r="A454" s="326"/>
      <c r="B454" s="326"/>
      <c r="C454" s="326"/>
      <c r="O454" s="148"/>
      <c r="P454" s="148"/>
    </row>
    <row r="455">
      <c r="A455" s="326"/>
      <c r="B455" s="326"/>
      <c r="C455" s="326"/>
      <c r="O455" s="148"/>
      <c r="P455" s="148"/>
    </row>
    <row r="456">
      <c r="A456" s="326"/>
      <c r="B456" s="326"/>
      <c r="C456" s="326"/>
      <c r="O456" s="148"/>
      <c r="P456" s="148"/>
    </row>
    <row r="457">
      <c r="A457" s="326"/>
      <c r="B457" s="326"/>
      <c r="C457" s="326"/>
      <c r="O457" s="148"/>
      <c r="P457" s="148"/>
    </row>
    <row r="458">
      <c r="A458" s="326"/>
      <c r="B458" s="326"/>
      <c r="C458" s="326"/>
      <c r="O458" s="148"/>
      <c r="P458" s="148"/>
    </row>
    <row r="459">
      <c r="A459" s="326"/>
      <c r="B459" s="326"/>
      <c r="C459" s="326"/>
      <c r="O459" s="148"/>
      <c r="P459" s="148"/>
    </row>
    <row r="460">
      <c r="A460" s="326"/>
      <c r="B460" s="326"/>
      <c r="C460" s="326"/>
      <c r="O460" s="148"/>
      <c r="P460" s="148"/>
    </row>
    <row r="461">
      <c r="A461" s="326"/>
      <c r="B461" s="326"/>
      <c r="C461" s="326"/>
      <c r="O461" s="148"/>
      <c r="P461" s="148"/>
    </row>
    <row r="462">
      <c r="A462" s="326"/>
      <c r="B462" s="326"/>
      <c r="C462" s="326"/>
      <c r="O462" s="148"/>
      <c r="P462" s="148"/>
    </row>
    <row r="463">
      <c r="A463" s="326"/>
      <c r="B463" s="326"/>
      <c r="C463" s="326"/>
      <c r="O463" s="148"/>
      <c r="P463" s="148"/>
    </row>
    <row r="464">
      <c r="A464" s="326"/>
      <c r="B464" s="326"/>
      <c r="C464" s="326"/>
      <c r="O464" s="148"/>
      <c r="P464" s="148"/>
    </row>
    <row r="465">
      <c r="A465" s="326"/>
      <c r="B465" s="326"/>
      <c r="C465" s="326"/>
      <c r="O465" s="148"/>
      <c r="P465" s="148"/>
    </row>
    <row r="466">
      <c r="A466" s="326"/>
      <c r="B466" s="326"/>
      <c r="C466" s="326"/>
      <c r="O466" s="148"/>
      <c r="P466" s="148"/>
    </row>
    <row r="467">
      <c r="A467" s="326"/>
      <c r="B467" s="326"/>
      <c r="C467" s="326"/>
      <c r="O467" s="148"/>
      <c r="P467" s="148"/>
    </row>
    <row r="468">
      <c r="A468" s="326"/>
      <c r="B468" s="326"/>
      <c r="C468" s="326"/>
      <c r="O468" s="148"/>
      <c r="P468" s="148"/>
    </row>
    <row r="469">
      <c r="A469" s="326"/>
      <c r="B469" s="326"/>
      <c r="C469" s="326"/>
      <c r="O469" s="148"/>
      <c r="P469" s="148"/>
    </row>
    <row r="470">
      <c r="A470" s="326"/>
      <c r="B470" s="326"/>
      <c r="C470" s="326"/>
      <c r="O470" s="148"/>
      <c r="P470" s="148"/>
    </row>
    <row r="471">
      <c r="A471" s="326"/>
      <c r="B471" s="326"/>
      <c r="C471" s="326"/>
      <c r="O471" s="148"/>
      <c r="P471" s="148"/>
    </row>
    <row r="472">
      <c r="A472" s="326"/>
      <c r="B472" s="326"/>
      <c r="C472" s="326"/>
      <c r="O472" s="148"/>
      <c r="P472" s="148"/>
    </row>
    <row r="473">
      <c r="A473" s="326"/>
      <c r="B473" s="326"/>
      <c r="C473" s="326"/>
      <c r="O473" s="148"/>
      <c r="P473" s="148"/>
    </row>
    <row r="474">
      <c r="A474" s="326"/>
      <c r="B474" s="326"/>
      <c r="C474" s="326"/>
      <c r="O474" s="148"/>
      <c r="P474" s="148"/>
    </row>
    <row r="475">
      <c r="A475" s="326"/>
      <c r="B475" s="326"/>
      <c r="C475" s="326"/>
      <c r="O475" s="148"/>
      <c r="P475" s="148"/>
    </row>
    <row r="476">
      <c r="A476" s="326"/>
      <c r="B476" s="326"/>
      <c r="C476" s="326"/>
      <c r="O476" s="148"/>
      <c r="P476" s="148"/>
    </row>
    <row r="477">
      <c r="A477" s="326"/>
      <c r="B477" s="326"/>
      <c r="C477" s="326"/>
      <c r="O477" s="148"/>
      <c r="P477" s="148"/>
    </row>
    <row r="478">
      <c r="A478" s="326"/>
      <c r="B478" s="326"/>
      <c r="C478" s="326"/>
      <c r="O478" s="148"/>
      <c r="P478" s="148"/>
    </row>
    <row r="479">
      <c r="A479" s="326"/>
      <c r="B479" s="326"/>
      <c r="C479" s="326"/>
      <c r="O479" s="148"/>
      <c r="P479" s="148"/>
    </row>
    <row r="480">
      <c r="A480" s="326"/>
      <c r="B480" s="326"/>
      <c r="C480" s="326"/>
      <c r="O480" s="148"/>
      <c r="P480" s="148"/>
    </row>
    <row r="481">
      <c r="A481" s="326"/>
      <c r="B481" s="326"/>
      <c r="C481" s="326"/>
      <c r="O481" s="148"/>
      <c r="P481" s="148"/>
    </row>
    <row r="482">
      <c r="A482" s="326"/>
      <c r="B482" s="326"/>
      <c r="C482" s="326"/>
      <c r="O482" s="148"/>
      <c r="P482" s="148"/>
    </row>
    <row r="483">
      <c r="A483" s="326"/>
      <c r="B483" s="326"/>
      <c r="C483" s="326"/>
      <c r="O483" s="148"/>
      <c r="P483" s="148"/>
    </row>
    <row r="484">
      <c r="A484" s="326"/>
      <c r="B484" s="326"/>
      <c r="C484" s="326"/>
      <c r="O484" s="148"/>
      <c r="P484" s="148"/>
    </row>
    <row r="485">
      <c r="A485" s="326"/>
      <c r="B485" s="326"/>
      <c r="C485" s="326"/>
      <c r="O485" s="148"/>
      <c r="P485" s="148"/>
    </row>
    <row r="486">
      <c r="A486" s="326"/>
      <c r="B486" s="326"/>
      <c r="C486" s="326"/>
      <c r="O486" s="148"/>
      <c r="P486" s="148"/>
    </row>
    <row r="487">
      <c r="A487" s="326"/>
      <c r="B487" s="326"/>
      <c r="C487" s="326"/>
      <c r="O487" s="148"/>
      <c r="P487" s="148"/>
    </row>
    <row r="488">
      <c r="A488" s="326"/>
      <c r="B488" s="326"/>
      <c r="C488" s="326"/>
      <c r="O488" s="148"/>
      <c r="P488" s="148"/>
    </row>
    <row r="489">
      <c r="A489" s="326"/>
      <c r="B489" s="326"/>
      <c r="C489" s="326"/>
      <c r="O489" s="148"/>
      <c r="P489" s="148"/>
    </row>
    <row r="490">
      <c r="A490" s="326"/>
      <c r="B490" s="326"/>
      <c r="C490" s="326"/>
      <c r="O490" s="148"/>
      <c r="P490" s="148"/>
    </row>
    <row r="491">
      <c r="A491" s="326"/>
      <c r="B491" s="326"/>
      <c r="C491" s="326"/>
      <c r="O491" s="148"/>
      <c r="P491" s="148"/>
    </row>
    <row r="492">
      <c r="A492" s="326"/>
      <c r="B492" s="326"/>
      <c r="C492" s="326"/>
      <c r="O492" s="148"/>
      <c r="P492" s="148"/>
    </row>
    <row r="493">
      <c r="A493" s="326"/>
      <c r="B493" s="326"/>
      <c r="C493" s="326"/>
      <c r="O493" s="148"/>
      <c r="P493" s="148"/>
    </row>
    <row r="494">
      <c r="A494" s="326"/>
      <c r="B494" s="326"/>
      <c r="C494" s="326"/>
      <c r="O494" s="148"/>
      <c r="P494" s="148"/>
    </row>
    <row r="495">
      <c r="A495" s="326"/>
      <c r="B495" s="326"/>
      <c r="C495" s="326"/>
      <c r="O495" s="148"/>
      <c r="P495" s="148"/>
    </row>
    <row r="496">
      <c r="A496" s="326"/>
      <c r="B496" s="326"/>
      <c r="C496" s="326"/>
      <c r="O496" s="148"/>
      <c r="P496" s="148"/>
    </row>
    <row r="497">
      <c r="A497" s="326"/>
      <c r="B497" s="326"/>
      <c r="C497" s="326"/>
      <c r="O497" s="148"/>
      <c r="P497" s="148"/>
    </row>
    <row r="498">
      <c r="A498" s="326"/>
      <c r="B498" s="326"/>
      <c r="C498" s="326"/>
      <c r="O498" s="148"/>
      <c r="P498" s="148"/>
    </row>
    <row r="499">
      <c r="A499" s="326"/>
      <c r="B499" s="326"/>
      <c r="C499" s="326"/>
      <c r="O499" s="148"/>
      <c r="P499" s="148"/>
    </row>
    <row r="500">
      <c r="A500" s="326"/>
      <c r="B500" s="326"/>
      <c r="C500" s="326"/>
      <c r="O500" s="148"/>
      <c r="P500" s="148"/>
    </row>
    <row r="501">
      <c r="A501" s="326"/>
      <c r="B501" s="326"/>
      <c r="C501" s="326"/>
      <c r="O501" s="148"/>
      <c r="P501" s="148"/>
    </row>
    <row r="502">
      <c r="A502" s="326"/>
      <c r="B502" s="326"/>
      <c r="C502" s="326"/>
      <c r="O502" s="148"/>
      <c r="P502" s="148"/>
    </row>
    <row r="503">
      <c r="A503" s="326"/>
      <c r="B503" s="326"/>
      <c r="C503" s="326"/>
      <c r="O503" s="148"/>
      <c r="P503" s="148"/>
    </row>
    <row r="504">
      <c r="A504" s="326"/>
      <c r="B504" s="326"/>
      <c r="C504" s="326"/>
      <c r="O504" s="148"/>
      <c r="P504" s="148"/>
    </row>
    <row r="505">
      <c r="A505" s="326"/>
      <c r="B505" s="326"/>
      <c r="C505" s="326"/>
      <c r="O505" s="148"/>
      <c r="P505" s="148"/>
    </row>
    <row r="506">
      <c r="A506" s="326"/>
      <c r="B506" s="326"/>
      <c r="C506" s="326"/>
      <c r="O506" s="148"/>
      <c r="P506" s="148"/>
    </row>
    <row r="507">
      <c r="A507" s="326"/>
      <c r="B507" s="326"/>
      <c r="C507" s="326"/>
      <c r="O507" s="148"/>
      <c r="P507" s="148"/>
    </row>
    <row r="508">
      <c r="A508" s="326"/>
      <c r="B508" s="326"/>
      <c r="C508" s="326"/>
      <c r="O508" s="148"/>
      <c r="P508" s="148"/>
    </row>
    <row r="509">
      <c r="A509" s="326"/>
      <c r="B509" s="326"/>
      <c r="C509" s="326"/>
      <c r="O509" s="148"/>
      <c r="P509" s="148"/>
    </row>
    <row r="510">
      <c r="A510" s="326"/>
      <c r="B510" s="326"/>
      <c r="C510" s="326"/>
      <c r="O510" s="148"/>
      <c r="P510" s="148"/>
    </row>
    <row r="511">
      <c r="A511" s="326"/>
      <c r="B511" s="326"/>
      <c r="C511" s="326"/>
      <c r="O511" s="148"/>
      <c r="P511" s="148"/>
    </row>
    <row r="512">
      <c r="A512" s="326"/>
      <c r="B512" s="326"/>
      <c r="C512" s="326"/>
      <c r="O512" s="148"/>
      <c r="P512" s="148"/>
    </row>
    <row r="513">
      <c r="A513" s="326"/>
      <c r="B513" s="326"/>
      <c r="C513" s="326"/>
      <c r="O513" s="148"/>
      <c r="P513" s="148"/>
    </row>
    <row r="514">
      <c r="A514" s="326"/>
      <c r="B514" s="326"/>
      <c r="C514" s="326"/>
      <c r="O514" s="148"/>
      <c r="P514" s="148"/>
    </row>
    <row r="515">
      <c r="A515" s="326"/>
      <c r="B515" s="326"/>
      <c r="C515" s="326"/>
      <c r="O515" s="148"/>
      <c r="P515" s="148"/>
    </row>
    <row r="516">
      <c r="A516" s="326"/>
      <c r="B516" s="326"/>
      <c r="C516" s="326"/>
      <c r="O516" s="148"/>
      <c r="P516" s="148"/>
    </row>
    <row r="517">
      <c r="A517" s="326"/>
      <c r="B517" s="326"/>
      <c r="C517" s="326"/>
      <c r="O517" s="148"/>
      <c r="P517" s="148"/>
    </row>
    <row r="518">
      <c r="A518" s="326"/>
      <c r="B518" s="326"/>
      <c r="C518" s="326"/>
      <c r="O518" s="148"/>
      <c r="P518" s="148"/>
    </row>
    <row r="519">
      <c r="A519" s="326"/>
      <c r="B519" s="326"/>
      <c r="C519" s="326"/>
      <c r="O519" s="148"/>
      <c r="P519" s="148"/>
    </row>
    <row r="520">
      <c r="A520" s="326"/>
      <c r="B520" s="326"/>
      <c r="C520" s="326"/>
      <c r="O520" s="148"/>
      <c r="P520" s="148"/>
    </row>
    <row r="521">
      <c r="A521" s="326"/>
      <c r="B521" s="326"/>
      <c r="C521" s="326"/>
      <c r="O521" s="148"/>
      <c r="P521" s="148"/>
    </row>
    <row r="522">
      <c r="A522" s="326"/>
      <c r="B522" s="326"/>
      <c r="C522" s="326"/>
      <c r="O522" s="148"/>
      <c r="P522" s="148"/>
    </row>
    <row r="523">
      <c r="A523" s="326"/>
      <c r="B523" s="326"/>
      <c r="C523" s="326"/>
      <c r="O523" s="148"/>
      <c r="P523" s="148"/>
    </row>
    <row r="524">
      <c r="A524" s="326"/>
      <c r="B524" s="326"/>
      <c r="C524" s="326"/>
      <c r="O524" s="148"/>
      <c r="P524" s="148"/>
    </row>
    <row r="525">
      <c r="A525" s="326"/>
      <c r="B525" s="326"/>
      <c r="C525" s="326"/>
      <c r="O525" s="148"/>
      <c r="P525" s="148"/>
    </row>
    <row r="526">
      <c r="A526" s="326"/>
      <c r="B526" s="326"/>
      <c r="C526" s="326"/>
      <c r="O526" s="148"/>
      <c r="P526" s="148"/>
    </row>
    <row r="527">
      <c r="A527" s="326"/>
      <c r="B527" s="326"/>
      <c r="C527" s="326"/>
      <c r="O527" s="148"/>
      <c r="P527" s="148"/>
    </row>
    <row r="528">
      <c r="A528" s="326"/>
      <c r="B528" s="326"/>
      <c r="C528" s="326"/>
      <c r="O528" s="148"/>
      <c r="P528" s="148"/>
    </row>
    <row r="529">
      <c r="A529" s="326"/>
      <c r="B529" s="326"/>
      <c r="C529" s="326"/>
      <c r="O529" s="148"/>
      <c r="P529" s="148"/>
    </row>
    <row r="530">
      <c r="A530" s="326"/>
      <c r="B530" s="326"/>
      <c r="C530" s="326"/>
      <c r="O530" s="148"/>
      <c r="P530" s="148"/>
    </row>
    <row r="531">
      <c r="A531" s="326"/>
      <c r="B531" s="326"/>
      <c r="C531" s="326"/>
      <c r="O531" s="148"/>
      <c r="P531" s="148"/>
    </row>
    <row r="532">
      <c r="A532" s="326"/>
      <c r="B532" s="326"/>
      <c r="C532" s="326"/>
      <c r="O532" s="148"/>
      <c r="P532" s="148"/>
    </row>
    <row r="533">
      <c r="A533" s="326"/>
      <c r="B533" s="326"/>
      <c r="C533" s="326"/>
      <c r="O533" s="148"/>
      <c r="P533" s="148"/>
    </row>
    <row r="534">
      <c r="A534" s="326"/>
      <c r="B534" s="326"/>
      <c r="C534" s="326"/>
      <c r="O534" s="148"/>
      <c r="P534" s="148"/>
    </row>
    <row r="535">
      <c r="A535" s="326"/>
      <c r="B535" s="326"/>
      <c r="C535" s="326"/>
      <c r="O535" s="148"/>
      <c r="P535" s="148"/>
    </row>
    <row r="536">
      <c r="A536" s="326"/>
      <c r="B536" s="326"/>
      <c r="C536" s="326"/>
      <c r="O536" s="148"/>
      <c r="P536" s="148"/>
    </row>
    <row r="537">
      <c r="A537" s="326"/>
      <c r="B537" s="326"/>
      <c r="C537" s="326"/>
      <c r="O537" s="148"/>
      <c r="P537" s="148"/>
    </row>
    <row r="538">
      <c r="A538" s="326"/>
      <c r="B538" s="326"/>
      <c r="C538" s="326"/>
      <c r="O538" s="148"/>
      <c r="P538" s="148"/>
    </row>
    <row r="539">
      <c r="A539" s="326"/>
      <c r="B539" s="326"/>
      <c r="C539" s="326"/>
      <c r="O539" s="148"/>
      <c r="P539" s="148"/>
    </row>
    <row r="540">
      <c r="A540" s="326"/>
      <c r="B540" s="326"/>
      <c r="C540" s="326"/>
      <c r="O540" s="148"/>
      <c r="P540" s="148"/>
    </row>
    <row r="541">
      <c r="A541" s="326"/>
      <c r="B541" s="326"/>
      <c r="C541" s="326"/>
      <c r="O541" s="148"/>
      <c r="P541" s="148"/>
    </row>
    <row r="542">
      <c r="A542" s="326"/>
      <c r="B542" s="326"/>
      <c r="C542" s="326"/>
      <c r="O542" s="148"/>
      <c r="P542" s="148"/>
    </row>
    <row r="543">
      <c r="A543" s="326"/>
      <c r="B543" s="326"/>
      <c r="C543" s="326"/>
      <c r="O543" s="148"/>
      <c r="P543" s="148"/>
    </row>
    <row r="544">
      <c r="A544" s="326"/>
      <c r="B544" s="326"/>
      <c r="C544" s="326"/>
      <c r="O544" s="148"/>
      <c r="P544" s="148"/>
    </row>
    <row r="545">
      <c r="A545" s="326"/>
      <c r="B545" s="326"/>
      <c r="C545" s="326"/>
      <c r="O545" s="148"/>
      <c r="P545" s="148"/>
    </row>
    <row r="546">
      <c r="A546" s="326"/>
      <c r="B546" s="326"/>
      <c r="C546" s="326"/>
      <c r="O546" s="148"/>
      <c r="P546" s="148"/>
    </row>
    <row r="547">
      <c r="A547" s="326"/>
      <c r="B547" s="326"/>
      <c r="C547" s="326"/>
      <c r="O547" s="148"/>
      <c r="P547" s="148"/>
    </row>
    <row r="548">
      <c r="A548" s="326"/>
      <c r="B548" s="326"/>
      <c r="C548" s="326"/>
      <c r="O548" s="148"/>
      <c r="P548" s="148"/>
    </row>
    <row r="549">
      <c r="A549" s="326"/>
      <c r="B549" s="326"/>
      <c r="C549" s="326"/>
      <c r="O549" s="148"/>
      <c r="P549" s="148"/>
    </row>
    <row r="550">
      <c r="A550" s="326"/>
      <c r="B550" s="326"/>
      <c r="C550" s="326"/>
      <c r="O550" s="148"/>
      <c r="P550" s="148"/>
    </row>
    <row r="551">
      <c r="A551" s="326"/>
      <c r="B551" s="326"/>
      <c r="C551" s="326"/>
      <c r="O551" s="148"/>
      <c r="P551" s="148"/>
    </row>
    <row r="552">
      <c r="A552" s="326"/>
      <c r="B552" s="326"/>
      <c r="C552" s="326"/>
      <c r="O552" s="148"/>
      <c r="P552" s="148"/>
    </row>
    <row r="553">
      <c r="A553" s="326"/>
      <c r="B553" s="326"/>
      <c r="C553" s="326"/>
      <c r="O553" s="148"/>
      <c r="P553" s="148"/>
    </row>
    <row r="554">
      <c r="A554" s="326"/>
      <c r="B554" s="326"/>
      <c r="C554" s="326"/>
      <c r="O554" s="148"/>
      <c r="P554" s="148"/>
    </row>
    <row r="555">
      <c r="A555" s="326"/>
      <c r="B555" s="326"/>
      <c r="C555" s="326"/>
      <c r="O555" s="148"/>
      <c r="P555" s="148"/>
    </row>
    <row r="556">
      <c r="A556" s="326"/>
      <c r="B556" s="326"/>
      <c r="C556" s="326"/>
      <c r="O556" s="148"/>
      <c r="P556" s="148"/>
    </row>
    <row r="557">
      <c r="A557" s="326"/>
      <c r="B557" s="326"/>
      <c r="C557" s="326"/>
      <c r="O557" s="148"/>
      <c r="P557" s="148"/>
    </row>
    <row r="558">
      <c r="A558" s="326"/>
      <c r="B558" s="326"/>
      <c r="C558" s="326"/>
      <c r="O558" s="148"/>
      <c r="P558" s="148"/>
    </row>
    <row r="559">
      <c r="A559" s="326"/>
      <c r="B559" s="326"/>
      <c r="C559" s="326"/>
      <c r="O559" s="148"/>
      <c r="P559" s="148"/>
    </row>
    <row r="560">
      <c r="A560" s="326"/>
      <c r="B560" s="326"/>
      <c r="C560" s="326"/>
      <c r="O560" s="148"/>
      <c r="P560" s="148"/>
    </row>
    <row r="561">
      <c r="A561" s="326"/>
      <c r="B561" s="326"/>
      <c r="C561" s="326"/>
      <c r="O561" s="148"/>
      <c r="P561" s="148"/>
    </row>
    <row r="562">
      <c r="A562" s="326"/>
      <c r="B562" s="326"/>
      <c r="C562" s="326"/>
      <c r="O562" s="148"/>
      <c r="P562" s="148"/>
    </row>
    <row r="563">
      <c r="A563" s="326"/>
      <c r="B563" s="326"/>
      <c r="C563" s="326"/>
      <c r="O563" s="148"/>
      <c r="P563" s="148"/>
    </row>
    <row r="564">
      <c r="A564" s="326"/>
      <c r="B564" s="326"/>
      <c r="C564" s="326"/>
      <c r="O564" s="148"/>
      <c r="P564" s="148"/>
    </row>
    <row r="565">
      <c r="A565" s="326"/>
      <c r="B565" s="326"/>
      <c r="C565" s="326"/>
      <c r="O565" s="148"/>
      <c r="P565" s="148"/>
    </row>
    <row r="566">
      <c r="A566" s="326"/>
      <c r="B566" s="326"/>
      <c r="C566" s="326"/>
      <c r="O566" s="148"/>
      <c r="P566" s="148"/>
    </row>
    <row r="567">
      <c r="A567" s="326"/>
      <c r="B567" s="326"/>
      <c r="C567" s="326"/>
      <c r="O567" s="148"/>
      <c r="P567" s="148"/>
    </row>
    <row r="568">
      <c r="A568" s="326"/>
      <c r="B568" s="326"/>
      <c r="C568" s="326"/>
      <c r="O568" s="148"/>
      <c r="P568" s="148"/>
    </row>
    <row r="569">
      <c r="A569" s="326"/>
      <c r="B569" s="326"/>
      <c r="C569" s="326"/>
      <c r="O569" s="148"/>
      <c r="P569" s="148"/>
    </row>
    <row r="570">
      <c r="A570" s="326"/>
      <c r="B570" s="326"/>
      <c r="C570" s="326"/>
      <c r="O570" s="148"/>
      <c r="P570" s="148"/>
    </row>
    <row r="571">
      <c r="A571" s="326"/>
      <c r="B571" s="326"/>
      <c r="C571" s="326"/>
      <c r="O571" s="148"/>
      <c r="P571" s="148"/>
    </row>
    <row r="572">
      <c r="A572" s="326"/>
      <c r="B572" s="326"/>
      <c r="C572" s="326"/>
      <c r="O572" s="148"/>
      <c r="P572" s="148"/>
    </row>
    <row r="573">
      <c r="A573" s="326"/>
      <c r="B573" s="326"/>
      <c r="C573" s="326"/>
      <c r="O573" s="148"/>
      <c r="P573" s="148"/>
    </row>
    <row r="574">
      <c r="A574" s="326"/>
      <c r="B574" s="326"/>
      <c r="C574" s="326"/>
      <c r="O574" s="148"/>
      <c r="P574" s="148"/>
    </row>
    <row r="575">
      <c r="A575" s="326"/>
      <c r="B575" s="326"/>
      <c r="C575" s="326"/>
      <c r="O575" s="148"/>
      <c r="P575" s="148"/>
    </row>
    <row r="576">
      <c r="A576" s="326"/>
      <c r="B576" s="326"/>
      <c r="C576" s="326"/>
      <c r="O576" s="148"/>
      <c r="P576" s="148"/>
    </row>
    <row r="577">
      <c r="A577" s="326"/>
      <c r="B577" s="326"/>
      <c r="C577" s="326"/>
      <c r="O577" s="148"/>
      <c r="P577" s="148"/>
    </row>
    <row r="578">
      <c r="A578" s="326"/>
      <c r="B578" s="326"/>
      <c r="C578" s="326"/>
      <c r="O578" s="148"/>
      <c r="P578" s="148"/>
    </row>
    <row r="579">
      <c r="A579" s="326"/>
      <c r="B579" s="326"/>
      <c r="C579" s="326"/>
      <c r="O579" s="148"/>
      <c r="P579" s="148"/>
    </row>
    <row r="580">
      <c r="A580" s="326"/>
      <c r="B580" s="326"/>
      <c r="C580" s="326"/>
      <c r="O580" s="148"/>
      <c r="P580" s="148"/>
    </row>
    <row r="581">
      <c r="A581" s="326"/>
      <c r="B581" s="326"/>
      <c r="C581" s="326"/>
      <c r="O581" s="148"/>
      <c r="P581" s="148"/>
    </row>
    <row r="582">
      <c r="A582" s="326"/>
      <c r="B582" s="326"/>
      <c r="C582" s="326"/>
      <c r="O582" s="148"/>
      <c r="P582" s="148"/>
    </row>
    <row r="583">
      <c r="A583" s="326"/>
      <c r="B583" s="326"/>
      <c r="C583" s="326"/>
      <c r="O583" s="148"/>
      <c r="P583" s="148"/>
    </row>
    <row r="584">
      <c r="A584" s="326"/>
      <c r="B584" s="326"/>
      <c r="C584" s="326"/>
      <c r="O584" s="148"/>
      <c r="P584" s="148"/>
    </row>
    <row r="585">
      <c r="A585" s="326"/>
      <c r="B585" s="326"/>
      <c r="C585" s="326"/>
      <c r="O585" s="148"/>
      <c r="P585" s="148"/>
    </row>
    <row r="586">
      <c r="A586" s="326"/>
      <c r="B586" s="326"/>
      <c r="C586" s="326"/>
      <c r="O586" s="148"/>
      <c r="P586" s="148"/>
    </row>
    <row r="587">
      <c r="A587" s="326"/>
      <c r="B587" s="326"/>
      <c r="C587" s="326"/>
      <c r="O587" s="148"/>
      <c r="P587" s="148"/>
    </row>
    <row r="588">
      <c r="A588" s="326"/>
      <c r="B588" s="326"/>
      <c r="C588" s="326"/>
      <c r="O588" s="148"/>
      <c r="P588" s="148"/>
    </row>
    <row r="589">
      <c r="A589" s="326"/>
      <c r="B589" s="326"/>
      <c r="C589" s="326"/>
      <c r="O589" s="148"/>
      <c r="P589" s="148"/>
    </row>
    <row r="590">
      <c r="A590" s="326"/>
      <c r="B590" s="326"/>
      <c r="C590" s="326"/>
      <c r="O590" s="148"/>
      <c r="P590" s="148"/>
    </row>
    <row r="591">
      <c r="A591" s="326"/>
      <c r="B591" s="326"/>
      <c r="C591" s="326"/>
      <c r="O591" s="148"/>
      <c r="P591" s="148"/>
    </row>
    <row r="592">
      <c r="A592" s="326"/>
      <c r="B592" s="326"/>
      <c r="C592" s="326"/>
      <c r="O592" s="148"/>
      <c r="P592" s="148"/>
    </row>
    <row r="593">
      <c r="A593" s="326"/>
      <c r="B593" s="326"/>
      <c r="C593" s="326"/>
      <c r="O593" s="148"/>
      <c r="P593" s="148"/>
    </row>
    <row r="594">
      <c r="A594" s="326"/>
      <c r="B594" s="326"/>
      <c r="C594" s="326"/>
      <c r="O594" s="148"/>
      <c r="P594" s="148"/>
    </row>
    <row r="595">
      <c r="A595" s="326"/>
      <c r="B595" s="326"/>
      <c r="C595" s="326"/>
      <c r="O595" s="148"/>
      <c r="P595" s="148"/>
    </row>
    <row r="596">
      <c r="A596" s="326"/>
      <c r="B596" s="326"/>
      <c r="C596" s="326"/>
      <c r="O596" s="148"/>
      <c r="P596" s="148"/>
    </row>
    <row r="597">
      <c r="A597" s="326"/>
      <c r="B597" s="326"/>
      <c r="C597" s="326"/>
      <c r="O597" s="148"/>
      <c r="P597" s="148"/>
    </row>
    <row r="598">
      <c r="A598" s="326"/>
      <c r="B598" s="326"/>
      <c r="C598" s="326"/>
      <c r="O598" s="148"/>
      <c r="P598" s="148"/>
    </row>
    <row r="599">
      <c r="A599" s="326"/>
      <c r="B599" s="326"/>
      <c r="C599" s="326"/>
      <c r="O599" s="148"/>
      <c r="P599" s="148"/>
    </row>
    <row r="600">
      <c r="A600" s="326"/>
      <c r="B600" s="326"/>
      <c r="C600" s="326"/>
      <c r="O600" s="148"/>
      <c r="P600" s="148"/>
    </row>
    <row r="601">
      <c r="A601" s="326"/>
      <c r="B601" s="326"/>
      <c r="C601" s="326"/>
      <c r="O601" s="148"/>
      <c r="P601" s="148"/>
    </row>
    <row r="602">
      <c r="A602" s="326"/>
      <c r="B602" s="326"/>
      <c r="C602" s="326"/>
      <c r="O602" s="148"/>
      <c r="P602" s="148"/>
    </row>
    <row r="603">
      <c r="A603" s="326"/>
      <c r="B603" s="326"/>
      <c r="C603" s="326"/>
      <c r="O603" s="148"/>
      <c r="P603" s="148"/>
    </row>
    <row r="604">
      <c r="A604" s="326"/>
      <c r="B604" s="326"/>
      <c r="C604" s="326"/>
      <c r="O604" s="148"/>
      <c r="P604" s="148"/>
    </row>
    <row r="605">
      <c r="A605" s="326"/>
      <c r="B605" s="326"/>
      <c r="C605" s="326"/>
      <c r="O605" s="148"/>
      <c r="P605" s="148"/>
    </row>
    <row r="606">
      <c r="A606" s="326"/>
      <c r="B606" s="326"/>
      <c r="C606" s="326"/>
      <c r="O606" s="148"/>
      <c r="P606" s="148"/>
    </row>
    <row r="607">
      <c r="A607" s="326"/>
      <c r="B607" s="326"/>
      <c r="C607" s="326"/>
      <c r="O607" s="148"/>
      <c r="P607" s="148"/>
    </row>
    <row r="608">
      <c r="A608" s="326"/>
      <c r="B608" s="326"/>
      <c r="C608" s="326"/>
      <c r="O608" s="148"/>
      <c r="P608" s="148"/>
    </row>
    <row r="609">
      <c r="A609" s="326"/>
      <c r="B609" s="326"/>
      <c r="C609" s="326"/>
      <c r="O609" s="148"/>
      <c r="P609" s="148"/>
    </row>
    <row r="610">
      <c r="A610" s="326"/>
      <c r="B610" s="326"/>
      <c r="C610" s="326"/>
      <c r="O610" s="148"/>
      <c r="P610" s="148"/>
    </row>
    <row r="611">
      <c r="A611" s="326"/>
      <c r="B611" s="326"/>
      <c r="C611" s="326"/>
      <c r="O611" s="148"/>
      <c r="P611" s="148"/>
    </row>
    <row r="612">
      <c r="A612" s="326"/>
      <c r="B612" s="326"/>
      <c r="C612" s="326"/>
      <c r="O612" s="148"/>
      <c r="P612" s="148"/>
    </row>
    <row r="613">
      <c r="A613" s="326"/>
      <c r="B613" s="326"/>
      <c r="C613" s="326"/>
      <c r="O613" s="148"/>
      <c r="P613" s="148"/>
    </row>
    <row r="614">
      <c r="A614" s="326"/>
      <c r="B614" s="326"/>
      <c r="C614" s="326"/>
      <c r="O614" s="148"/>
      <c r="P614" s="148"/>
    </row>
    <row r="615">
      <c r="A615" s="326"/>
      <c r="B615" s="326"/>
      <c r="C615" s="326"/>
      <c r="O615" s="148"/>
      <c r="P615" s="148"/>
    </row>
    <row r="616">
      <c r="A616" s="326"/>
      <c r="B616" s="326"/>
      <c r="C616" s="326"/>
      <c r="O616" s="148"/>
      <c r="P616" s="148"/>
    </row>
    <row r="617">
      <c r="A617" s="326"/>
      <c r="B617" s="326"/>
      <c r="C617" s="326"/>
      <c r="O617" s="148"/>
      <c r="P617" s="148"/>
    </row>
    <row r="618">
      <c r="A618" s="326"/>
      <c r="B618" s="326"/>
      <c r="C618" s="326"/>
      <c r="O618" s="148"/>
      <c r="P618" s="148"/>
    </row>
    <row r="619">
      <c r="A619" s="326"/>
      <c r="B619" s="326"/>
      <c r="C619" s="326"/>
      <c r="O619" s="148"/>
      <c r="P619" s="148"/>
    </row>
    <row r="620">
      <c r="A620" s="326"/>
      <c r="B620" s="326"/>
      <c r="C620" s="326"/>
      <c r="O620" s="148"/>
      <c r="P620" s="148"/>
    </row>
    <row r="621">
      <c r="A621" s="326"/>
      <c r="B621" s="326"/>
      <c r="C621" s="326"/>
      <c r="O621" s="148"/>
      <c r="P621" s="148"/>
    </row>
    <row r="622">
      <c r="A622" s="326"/>
      <c r="B622" s="326"/>
      <c r="C622" s="326"/>
      <c r="O622" s="148"/>
      <c r="P622" s="148"/>
    </row>
    <row r="623">
      <c r="A623" s="326"/>
      <c r="B623" s="326"/>
      <c r="C623" s="326"/>
      <c r="O623" s="148"/>
      <c r="P623" s="148"/>
    </row>
    <row r="624">
      <c r="A624" s="326"/>
      <c r="B624" s="326"/>
      <c r="C624" s="326"/>
      <c r="O624" s="148"/>
      <c r="P624" s="148"/>
    </row>
    <row r="625">
      <c r="A625" s="326"/>
      <c r="B625" s="326"/>
      <c r="C625" s="326"/>
      <c r="O625" s="148"/>
      <c r="P625" s="148"/>
    </row>
    <row r="626">
      <c r="A626" s="326"/>
      <c r="B626" s="326"/>
      <c r="C626" s="326"/>
      <c r="O626" s="148"/>
      <c r="P626" s="148"/>
    </row>
    <row r="627">
      <c r="A627" s="326"/>
      <c r="B627" s="326"/>
      <c r="C627" s="326"/>
      <c r="O627" s="148"/>
      <c r="P627" s="148"/>
    </row>
    <row r="628">
      <c r="A628" s="326"/>
      <c r="B628" s="326"/>
      <c r="C628" s="326"/>
      <c r="O628" s="148"/>
      <c r="P628" s="148"/>
    </row>
    <row r="629">
      <c r="A629" s="326"/>
      <c r="B629" s="326"/>
      <c r="C629" s="326"/>
      <c r="O629" s="148"/>
      <c r="P629" s="148"/>
    </row>
    <row r="630">
      <c r="A630" s="326"/>
      <c r="B630" s="326"/>
      <c r="C630" s="326"/>
      <c r="O630" s="148"/>
      <c r="P630" s="148"/>
    </row>
    <row r="631">
      <c r="A631" s="326"/>
      <c r="B631" s="326"/>
      <c r="C631" s="326"/>
      <c r="O631" s="148"/>
      <c r="P631" s="148"/>
    </row>
    <row r="632">
      <c r="A632" s="326"/>
      <c r="B632" s="326"/>
      <c r="C632" s="326"/>
      <c r="O632" s="148"/>
      <c r="P632" s="148"/>
    </row>
    <row r="633">
      <c r="A633" s="326"/>
      <c r="B633" s="326"/>
      <c r="C633" s="326"/>
      <c r="O633" s="148"/>
      <c r="P633" s="148"/>
    </row>
    <row r="634">
      <c r="A634" s="326"/>
      <c r="B634" s="326"/>
      <c r="C634" s="326"/>
      <c r="O634" s="148"/>
      <c r="P634" s="148"/>
    </row>
    <row r="635">
      <c r="A635" s="326"/>
      <c r="B635" s="326"/>
      <c r="C635" s="326"/>
      <c r="O635" s="148"/>
      <c r="P635" s="148"/>
    </row>
    <row r="636">
      <c r="A636" s="326"/>
      <c r="B636" s="326"/>
      <c r="C636" s="326"/>
      <c r="O636" s="148"/>
      <c r="P636" s="148"/>
    </row>
    <row r="637">
      <c r="A637" s="326"/>
      <c r="B637" s="326"/>
      <c r="C637" s="326"/>
      <c r="O637" s="148"/>
      <c r="P637" s="148"/>
    </row>
    <row r="638">
      <c r="A638" s="326"/>
      <c r="B638" s="326"/>
      <c r="C638" s="326"/>
      <c r="O638" s="148"/>
      <c r="P638" s="148"/>
    </row>
    <row r="639">
      <c r="A639" s="326"/>
      <c r="B639" s="326"/>
      <c r="C639" s="326"/>
      <c r="O639" s="148"/>
      <c r="P639" s="148"/>
    </row>
    <row r="640">
      <c r="A640" s="326"/>
      <c r="B640" s="326"/>
      <c r="C640" s="326"/>
      <c r="O640" s="148"/>
      <c r="P640" s="148"/>
    </row>
    <row r="641">
      <c r="A641" s="326"/>
      <c r="B641" s="326"/>
      <c r="C641" s="326"/>
      <c r="O641" s="148"/>
      <c r="P641" s="148"/>
    </row>
    <row r="642">
      <c r="A642" s="326"/>
      <c r="B642" s="326"/>
      <c r="C642" s="326"/>
      <c r="O642" s="148"/>
      <c r="P642" s="148"/>
    </row>
    <row r="643">
      <c r="A643" s="326"/>
      <c r="B643" s="326"/>
      <c r="C643" s="326"/>
      <c r="O643" s="148"/>
      <c r="P643" s="148"/>
    </row>
    <row r="644">
      <c r="A644" s="326"/>
      <c r="B644" s="326"/>
      <c r="C644" s="326"/>
      <c r="O644" s="148"/>
      <c r="P644" s="148"/>
    </row>
    <row r="645">
      <c r="A645" s="326"/>
      <c r="B645" s="326"/>
      <c r="C645" s="326"/>
      <c r="O645" s="148"/>
      <c r="P645" s="148"/>
    </row>
    <row r="646">
      <c r="A646" s="326"/>
      <c r="B646" s="326"/>
      <c r="C646" s="326"/>
      <c r="O646" s="148"/>
      <c r="P646" s="148"/>
    </row>
    <row r="647">
      <c r="A647" s="326"/>
      <c r="B647" s="326"/>
      <c r="C647" s="326"/>
      <c r="O647" s="148"/>
      <c r="P647" s="148"/>
    </row>
    <row r="648">
      <c r="A648" s="326"/>
      <c r="B648" s="326"/>
      <c r="C648" s="326"/>
      <c r="O648" s="148"/>
      <c r="P648" s="148"/>
    </row>
    <row r="649">
      <c r="A649" s="326"/>
      <c r="B649" s="326"/>
      <c r="C649" s="326"/>
      <c r="O649" s="148"/>
      <c r="P649" s="148"/>
    </row>
    <row r="650">
      <c r="A650" s="326"/>
      <c r="B650" s="326"/>
      <c r="C650" s="326"/>
      <c r="O650" s="148"/>
      <c r="P650" s="148"/>
    </row>
    <row r="651">
      <c r="A651" s="326"/>
      <c r="B651" s="326"/>
      <c r="C651" s="326"/>
      <c r="O651" s="148"/>
      <c r="P651" s="148"/>
    </row>
    <row r="652">
      <c r="A652" s="326"/>
      <c r="B652" s="326"/>
      <c r="C652" s="326"/>
      <c r="O652" s="148"/>
      <c r="P652" s="148"/>
    </row>
    <row r="653">
      <c r="A653" s="326"/>
      <c r="B653" s="326"/>
      <c r="C653" s="326"/>
      <c r="O653" s="148"/>
      <c r="P653" s="148"/>
    </row>
    <row r="654">
      <c r="A654" s="326"/>
      <c r="B654" s="326"/>
      <c r="C654" s="326"/>
      <c r="O654" s="148"/>
      <c r="P654" s="148"/>
    </row>
    <row r="655">
      <c r="A655" s="326"/>
      <c r="B655" s="326"/>
      <c r="C655" s="326"/>
      <c r="O655" s="148"/>
      <c r="P655" s="148"/>
    </row>
    <row r="656">
      <c r="A656" s="326"/>
      <c r="B656" s="326"/>
      <c r="C656" s="326"/>
      <c r="O656" s="148"/>
      <c r="P656" s="148"/>
    </row>
    <row r="657">
      <c r="A657" s="326"/>
      <c r="B657" s="326"/>
      <c r="C657" s="326"/>
      <c r="O657" s="148"/>
      <c r="P657" s="148"/>
    </row>
    <row r="658">
      <c r="A658" s="326"/>
      <c r="B658" s="326"/>
      <c r="C658" s="326"/>
      <c r="O658" s="148"/>
      <c r="P658" s="148"/>
    </row>
    <row r="659">
      <c r="A659" s="326"/>
      <c r="B659" s="326"/>
      <c r="C659" s="326"/>
      <c r="O659" s="148"/>
      <c r="P659" s="148"/>
    </row>
    <row r="660">
      <c r="A660" s="326"/>
      <c r="B660" s="326"/>
      <c r="C660" s="326"/>
      <c r="O660" s="148"/>
      <c r="P660" s="148"/>
    </row>
    <row r="661">
      <c r="A661" s="326"/>
      <c r="B661" s="326"/>
      <c r="C661" s="326"/>
      <c r="O661" s="148"/>
      <c r="P661" s="148"/>
    </row>
    <row r="662">
      <c r="A662" s="326"/>
      <c r="B662" s="326"/>
      <c r="C662" s="326"/>
      <c r="O662" s="148"/>
      <c r="P662" s="148"/>
    </row>
    <row r="663">
      <c r="A663" s="326"/>
      <c r="B663" s="326"/>
      <c r="C663" s="326"/>
      <c r="O663" s="148"/>
      <c r="P663" s="148"/>
    </row>
    <row r="664">
      <c r="A664" s="326"/>
      <c r="B664" s="326"/>
      <c r="C664" s="326"/>
      <c r="O664" s="148"/>
      <c r="P664" s="148"/>
    </row>
    <row r="665">
      <c r="A665" s="326"/>
      <c r="B665" s="326"/>
      <c r="C665" s="326"/>
      <c r="O665" s="148"/>
      <c r="P665" s="148"/>
    </row>
    <row r="666">
      <c r="A666" s="326"/>
      <c r="B666" s="326"/>
      <c r="C666" s="326"/>
      <c r="O666" s="148"/>
      <c r="P666" s="148"/>
    </row>
    <row r="667">
      <c r="A667" s="326"/>
      <c r="B667" s="326"/>
      <c r="C667" s="326"/>
      <c r="O667" s="148"/>
      <c r="P667" s="148"/>
    </row>
    <row r="668">
      <c r="A668" s="326"/>
      <c r="B668" s="326"/>
      <c r="C668" s="326"/>
      <c r="O668" s="148"/>
      <c r="P668" s="148"/>
    </row>
    <row r="669">
      <c r="A669" s="326"/>
      <c r="B669" s="326"/>
      <c r="C669" s="326"/>
      <c r="O669" s="148"/>
      <c r="P669" s="148"/>
    </row>
    <row r="670">
      <c r="A670" s="326"/>
      <c r="B670" s="326"/>
      <c r="C670" s="326"/>
      <c r="O670" s="148"/>
      <c r="P670" s="148"/>
    </row>
    <row r="671">
      <c r="A671" s="326"/>
      <c r="B671" s="326"/>
      <c r="C671" s="326"/>
      <c r="O671" s="148"/>
      <c r="P671" s="148"/>
    </row>
    <row r="672">
      <c r="A672" s="326"/>
      <c r="B672" s="326"/>
      <c r="C672" s="326"/>
      <c r="O672" s="148"/>
      <c r="P672" s="148"/>
    </row>
    <row r="673">
      <c r="A673" s="326"/>
      <c r="B673" s="326"/>
      <c r="C673" s="326"/>
      <c r="O673" s="148"/>
      <c r="P673" s="148"/>
    </row>
    <row r="674">
      <c r="A674" s="326"/>
      <c r="B674" s="326"/>
      <c r="C674" s="326"/>
      <c r="O674" s="148"/>
      <c r="P674" s="148"/>
    </row>
    <row r="675">
      <c r="A675" s="326"/>
      <c r="B675" s="326"/>
      <c r="C675" s="326"/>
      <c r="O675" s="148"/>
      <c r="P675" s="148"/>
    </row>
    <row r="676">
      <c r="A676" s="326"/>
      <c r="B676" s="326"/>
      <c r="C676" s="326"/>
      <c r="O676" s="148"/>
      <c r="P676" s="148"/>
    </row>
    <row r="677">
      <c r="A677" s="326"/>
      <c r="B677" s="326"/>
      <c r="C677" s="326"/>
      <c r="O677" s="148"/>
      <c r="P677" s="148"/>
    </row>
    <row r="678">
      <c r="A678" s="326"/>
      <c r="B678" s="326"/>
      <c r="C678" s="326"/>
      <c r="O678" s="148"/>
      <c r="P678" s="148"/>
    </row>
    <row r="679">
      <c r="A679" s="326"/>
      <c r="B679" s="326"/>
      <c r="C679" s="326"/>
      <c r="O679" s="148"/>
      <c r="P679" s="148"/>
    </row>
    <row r="680">
      <c r="A680" s="326"/>
      <c r="B680" s="326"/>
      <c r="C680" s="326"/>
      <c r="O680" s="148"/>
      <c r="P680" s="148"/>
    </row>
    <row r="681">
      <c r="A681" s="326"/>
      <c r="B681" s="326"/>
      <c r="C681" s="326"/>
      <c r="O681" s="148"/>
      <c r="P681" s="148"/>
    </row>
    <row r="682">
      <c r="A682" s="326"/>
      <c r="B682" s="326"/>
      <c r="C682" s="326"/>
      <c r="O682" s="148"/>
      <c r="P682" s="148"/>
    </row>
    <row r="683">
      <c r="A683" s="326"/>
      <c r="B683" s="326"/>
      <c r="C683" s="326"/>
      <c r="O683" s="148"/>
      <c r="P683" s="148"/>
    </row>
    <row r="684">
      <c r="A684" s="326"/>
      <c r="B684" s="326"/>
      <c r="C684" s="326"/>
      <c r="O684" s="148"/>
      <c r="P684" s="148"/>
    </row>
    <row r="685">
      <c r="A685" s="326"/>
      <c r="B685" s="326"/>
      <c r="C685" s="326"/>
      <c r="O685" s="148"/>
      <c r="P685" s="148"/>
    </row>
    <row r="686">
      <c r="A686" s="326"/>
      <c r="B686" s="326"/>
      <c r="C686" s="326"/>
      <c r="O686" s="148"/>
      <c r="P686" s="148"/>
    </row>
    <row r="687">
      <c r="A687" s="326"/>
      <c r="B687" s="326"/>
      <c r="C687" s="326"/>
      <c r="O687" s="148"/>
      <c r="P687" s="148"/>
    </row>
    <row r="688">
      <c r="A688" s="326"/>
      <c r="B688" s="326"/>
      <c r="C688" s="326"/>
      <c r="O688" s="148"/>
      <c r="P688" s="148"/>
    </row>
    <row r="689">
      <c r="A689" s="326"/>
      <c r="B689" s="326"/>
      <c r="C689" s="326"/>
      <c r="O689" s="148"/>
      <c r="P689" s="148"/>
    </row>
    <row r="690">
      <c r="A690" s="326"/>
      <c r="B690" s="326"/>
      <c r="C690" s="326"/>
      <c r="O690" s="148"/>
      <c r="P690" s="148"/>
    </row>
    <row r="691">
      <c r="A691" s="326"/>
      <c r="B691" s="326"/>
      <c r="C691" s="326"/>
      <c r="O691" s="148"/>
      <c r="P691" s="148"/>
    </row>
    <row r="692">
      <c r="A692" s="326"/>
      <c r="B692" s="326"/>
      <c r="C692" s="326"/>
      <c r="O692" s="148"/>
      <c r="P692" s="148"/>
    </row>
    <row r="693">
      <c r="A693" s="326"/>
      <c r="B693" s="326"/>
      <c r="C693" s="326"/>
      <c r="O693" s="148"/>
      <c r="P693" s="148"/>
    </row>
    <row r="694">
      <c r="A694" s="326"/>
      <c r="B694" s="326"/>
      <c r="C694" s="326"/>
      <c r="O694" s="148"/>
      <c r="P694" s="148"/>
    </row>
    <row r="695">
      <c r="A695" s="326"/>
      <c r="B695" s="326"/>
      <c r="C695" s="326"/>
      <c r="O695" s="148"/>
      <c r="P695" s="148"/>
    </row>
    <row r="696">
      <c r="A696" s="326"/>
      <c r="B696" s="326"/>
      <c r="C696" s="326"/>
      <c r="O696" s="148"/>
      <c r="P696" s="148"/>
    </row>
    <row r="697">
      <c r="A697" s="326"/>
      <c r="B697" s="326"/>
      <c r="C697" s="326"/>
      <c r="O697" s="148"/>
      <c r="P697" s="148"/>
    </row>
    <row r="698">
      <c r="A698" s="326"/>
      <c r="B698" s="326"/>
      <c r="C698" s="326"/>
      <c r="O698" s="148"/>
      <c r="P698" s="148"/>
    </row>
    <row r="699">
      <c r="A699" s="326"/>
      <c r="B699" s="326"/>
      <c r="C699" s="326"/>
      <c r="O699" s="148"/>
      <c r="P699" s="148"/>
    </row>
    <row r="700">
      <c r="A700" s="326"/>
      <c r="B700" s="326"/>
      <c r="C700" s="326"/>
      <c r="O700" s="148"/>
      <c r="P700" s="148"/>
    </row>
    <row r="701">
      <c r="A701" s="326"/>
      <c r="B701" s="326"/>
      <c r="C701" s="326"/>
      <c r="O701" s="148"/>
      <c r="P701" s="148"/>
    </row>
    <row r="702">
      <c r="A702" s="326"/>
      <c r="B702" s="326"/>
      <c r="C702" s="326"/>
      <c r="O702" s="148"/>
      <c r="P702" s="148"/>
    </row>
    <row r="703">
      <c r="A703" s="326"/>
      <c r="B703" s="326"/>
      <c r="C703" s="326"/>
      <c r="O703" s="148"/>
      <c r="P703" s="148"/>
    </row>
    <row r="704">
      <c r="A704" s="326"/>
      <c r="B704" s="326"/>
      <c r="C704" s="326"/>
      <c r="O704" s="148"/>
      <c r="P704" s="148"/>
    </row>
    <row r="705">
      <c r="A705" s="326"/>
      <c r="B705" s="326"/>
      <c r="C705" s="326"/>
      <c r="O705" s="148"/>
      <c r="P705" s="148"/>
    </row>
    <row r="706">
      <c r="A706" s="326"/>
      <c r="B706" s="326"/>
      <c r="C706" s="326"/>
      <c r="O706" s="148"/>
      <c r="P706" s="148"/>
    </row>
    <row r="707">
      <c r="A707" s="326"/>
      <c r="B707" s="326"/>
      <c r="C707" s="326"/>
      <c r="O707" s="148"/>
      <c r="P707" s="148"/>
    </row>
    <row r="708">
      <c r="A708" s="326"/>
      <c r="B708" s="326"/>
      <c r="C708" s="326"/>
      <c r="O708" s="148"/>
      <c r="P708" s="148"/>
    </row>
    <row r="709">
      <c r="A709" s="326"/>
      <c r="B709" s="326"/>
      <c r="C709" s="326"/>
      <c r="O709" s="148"/>
      <c r="P709" s="148"/>
    </row>
    <row r="710">
      <c r="A710" s="326"/>
      <c r="B710" s="326"/>
      <c r="C710" s="326"/>
      <c r="O710" s="148"/>
      <c r="P710" s="148"/>
    </row>
    <row r="711">
      <c r="A711" s="326"/>
      <c r="B711" s="326"/>
      <c r="C711" s="326"/>
      <c r="O711" s="148"/>
      <c r="P711" s="148"/>
    </row>
    <row r="712">
      <c r="A712" s="326"/>
      <c r="B712" s="326"/>
      <c r="C712" s="326"/>
      <c r="O712" s="148"/>
      <c r="P712" s="148"/>
    </row>
    <row r="713">
      <c r="A713" s="326"/>
      <c r="B713" s="326"/>
      <c r="C713" s="326"/>
      <c r="O713" s="148"/>
      <c r="P713" s="148"/>
    </row>
    <row r="714">
      <c r="A714" s="326"/>
      <c r="B714" s="326"/>
      <c r="C714" s="326"/>
      <c r="O714" s="148"/>
      <c r="P714" s="148"/>
    </row>
    <row r="715">
      <c r="A715" s="326"/>
      <c r="B715" s="326"/>
      <c r="C715" s="326"/>
      <c r="O715" s="148"/>
      <c r="P715" s="148"/>
    </row>
    <row r="716">
      <c r="A716" s="326"/>
      <c r="B716" s="326"/>
      <c r="C716" s="326"/>
      <c r="O716" s="148"/>
      <c r="P716" s="148"/>
    </row>
    <row r="717">
      <c r="A717" s="326"/>
      <c r="B717" s="326"/>
      <c r="C717" s="326"/>
      <c r="O717" s="148"/>
      <c r="P717" s="148"/>
    </row>
    <row r="718">
      <c r="A718" s="326"/>
      <c r="B718" s="326"/>
      <c r="C718" s="326"/>
      <c r="O718" s="148"/>
      <c r="P718" s="148"/>
    </row>
    <row r="719">
      <c r="A719" s="326"/>
      <c r="B719" s="326"/>
      <c r="C719" s="326"/>
      <c r="O719" s="148"/>
      <c r="P719" s="148"/>
    </row>
    <row r="720">
      <c r="A720" s="326"/>
      <c r="B720" s="326"/>
      <c r="C720" s="326"/>
      <c r="O720" s="148"/>
      <c r="P720" s="148"/>
    </row>
    <row r="721">
      <c r="A721" s="326"/>
      <c r="B721" s="326"/>
      <c r="C721" s="326"/>
      <c r="O721" s="148"/>
      <c r="P721" s="148"/>
    </row>
    <row r="722">
      <c r="A722" s="326"/>
      <c r="B722" s="326"/>
      <c r="C722" s="326"/>
      <c r="O722" s="148"/>
      <c r="P722" s="148"/>
    </row>
    <row r="723">
      <c r="A723" s="326"/>
      <c r="B723" s="326"/>
      <c r="C723" s="326"/>
      <c r="O723" s="148"/>
      <c r="P723" s="148"/>
    </row>
    <row r="724">
      <c r="A724" s="326"/>
      <c r="B724" s="326"/>
      <c r="C724" s="326"/>
      <c r="O724" s="148"/>
      <c r="P724" s="148"/>
    </row>
    <row r="725">
      <c r="A725" s="326"/>
      <c r="B725" s="326"/>
      <c r="C725" s="326"/>
      <c r="O725" s="148"/>
      <c r="P725" s="148"/>
    </row>
    <row r="726">
      <c r="A726" s="326"/>
      <c r="B726" s="326"/>
      <c r="C726" s="326"/>
      <c r="O726" s="148"/>
      <c r="P726" s="148"/>
    </row>
    <row r="727">
      <c r="A727" s="326"/>
      <c r="B727" s="326"/>
      <c r="C727" s="326"/>
      <c r="O727" s="148"/>
      <c r="P727" s="148"/>
    </row>
    <row r="728">
      <c r="A728" s="326"/>
      <c r="B728" s="326"/>
      <c r="C728" s="326"/>
      <c r="O728" s="148"/>
      <c r="P728" s="148"/>
    </row>
    <row r="729">
      <c r="A729" s="326"/>
      <c r="B729" s="326"/>
      <c r="C729" s="326"/>
      <c r="O729" s="148"/>
      <c r="P729" s="148"/>
    </row>
    <row r="730">
      <c r="A730" s="326"/>
      <c r="B730" s="326"/>
      <c r="C730" s="326"/>
      <c r="O730" s="148"/>
      <c r="P730" s="148"/>
    </row>
    <row r="731">
      <c r="A731" s="326"/>
      <c r="B731" s="326"/>
      <c r="C731" s="326"/>
      <c r="O731" s="148"/>
      <c r="P731" s="148"/>
    </row>
    <row r="732">
      <c r="A732" s="326"/>
      <c r="B732" s="326"/>
      <c r="C732" s="326"/>
      <c r="O732" s="148"/>
      <c r="P732" s="148"/>
    </row>
    <row r="733">
      <c r="A733" s="326"/>
      <c r="B733" s="326"/>
      <c r="C733" s="326"/>
      <c r="O733" s="148"/>
      <c r="P733" s="148"/>
    </row>
    <row r="734">
      <c r="A734" s="326"/>
      <c r="B734" s="326"/>
      <c r="C734" s="326"/>
      <c r="O734" s="148"/>
      <c r="P734" s="148"/>
    </row>
    <row r="735">
      <c r="A735" s="326"/>
      <c r="B735" s="326"/>
      <c r="C735" s="326"/>
      <c r="O735" s="148"/>
      <c r="P735" s="148"/>
    </row>
    <row r="736">
      <c r="A736" s="326"/>
      <c r="B736" s="326"/>
      <c r="C736" s="326"/>
      <c r="O736" s="148"/>
      <c r="P736" s="148"/>
    </row>
    <row r="737">
      <c r="A737" s="326"/>
      <c r="B737" s="326"/>
      <c r="C737" s="326"/>
      <c r="O737" s="148"/>
      <c r="P737" s="148"/>
    </row>
    <row r="738">
      <c r="A738" s="326"/>
      <c r="B738" s="326"/>
      <c r="C738" s="326"/>
      <c r="O738" s="148"/>
      <c r="P738" s="148"/>
    </row>
    <row r="739">
      <c r="A739" s="326"/>
      <c r="B739" s="326"/>
      <c r="C739" s="326"/>
      <c r="O739" s="148"/>
      <c r="P739" s="148"/>
    </row>
    <row r="740">
      <c r="A740" s="326"/>
      <c r="B740" s="326"/>
      <c r="C740" s="326"/>
      <c r="O740" s="148"/>
      <c r="P740" s="148"/>
    </row>
    <row r="741">
      <c r="A741" s="326"/>
      <c r="B741" s="326"/>
      <c r="C741" s="326"/>
      <c r="O741" s="148"/>
      <c r="P741" s="148"/>
    </row>
    <row r="742">
      <c r="A742" s="326"/>
      <c r="B742" s="326"/>
      <c r="C742" s="326"/>
      <c r="O742" s="148"/>
      <c r="P742" s="148"/>
    </row>
    <row r="743">
      <c r="A743" s="326"/>
      <c r="B743" s="326"/>
      <c r="C743" s="326"/>
      <c r="O743" s="148"/>
      <c r="P743" s="148"/>
    </row>
    <row r="744">
      <c r="A744" s="326"/>
      <c r="B744" s="326"/>
      <c r="C744" s="326"/>
      <c r="O744" s="148"/>
      <c r="P744" s="148"/>
    </row>
    <row r="745">
      <c r="A745" s="326"/>
      <c r="B745" s="326"/>
      <c r="C745" s="326"/>
      <c r="O745" s="148"/>
      <c r="P745" s="148"/>
    </row>
    <row r="746">
      <c r="A746" s="326"/>
      <c r="B746" s="326"/>
      <c r="C746" s="326"/>
      <c r="O746" s="148"/>
      <c r="P746" s="148"/>
    </row>
    <row r="747">
      <c r="A747" s="326"/>
      <c r="B747" s="326"/>
      <c r="C747" s="326"/>
      <c r="O747" s="148"/>
      <c r="P747" s="148"/>
    </row>
    <row r="748">
      <c r="A748" s="326"/>
      <c r="B748" s="326"/>
      <c r="C748" s="326"/>
      <c r="O748" s="148"/>
      <c r="P748" s="148"/>
    </row>
    <row r="749">
      <c r="A749" s="326"/>
      <c r="B749" s="326"/>
      <c r="C749" s="326"/>
      <c r="O749" s="148"/>
      <c r="P749" s="148"/>
    </row>
    <row r="750">
      <c r="A750" s="326"/>
      <c r="B750" s="326"/>
      <c r="C750" s="326"/>
      <c r="O750" s="148"/>
      <c r="P750" s="148"/>
    </row>
    <row r="751">
      <c r="A751" s="326"/>
      <c r="B751" s="326"/>
      <c r="C751" s="326"/>
      <c r="O751" s="148"/>
      <c r="P751" s="148"/>
    </row>
    <row r="752">
      <c r="A752" s="326"/>
      <c r="B752" s="326"/>
      <c r="C752" s="326"/>
      <c r="O752" s="148"/>
      <c r="P752" s="148"/>
    </row>
    <row r="753">
      <c r="A753" s="326"/>
      <c r="B753" s="326"/>
      <c r="C753" s="326"/>
      <c r="O753" s="148"/>
      <c r="P753" s="148"/>
    </row>
    <row r="754">
      <c r="A754" s="326"/>
      <c r="B754" s="326"/>
      <c r="C754" s="326"/>
      <c r="O754" s="148"/>
      <c r="P754" s="148"/>
    </row>
    <row r="755">
      <c r="A755" s="326"/>
      <c r="B755" s="326"/>
      <c r="C755" s="326"/>
      <c r="O755" s="148"/>
      <c r="P755" s="148"/>
    </row>
    <row r="756">
      <c r="A756" s="326"/>
      <c r="B756" s="326"/>
      <c r="C756" s="326"/>
      <c r="O756" s="148"/>
      <c r="P756" s="148"/>
    </row>
    <row r="757">
      <c r="A757" s="326"/>
      <c r="B757" s="326"/>
      <c r="C757" s="326"/>
      <c r="O757" s="148"/>
      <c r="P757" s="148"/>
    </row>
    <row r="758">
      <c r="A758" s="326"/>
      <c r="B758" s="326"/>
      <c r="C758" s="326"/>
      <c r="O758" s="148"/>
      <c r="P758" s="148"/>
    </row>
    <row r="759">
      <c r="A759" s="326"/>
      <c r="B759" s="326"/>
      <c r="C759" s="326"/>
      <c r="O759" s="148"/>
      <c r="P759" s="148"/>
    </row>
    <row r="760">
      <c r="A760" s="326"/>
      <c r="B760" s="326"/>
      <c r="C760" s="326"/>
      <c r="O760" s="148"/>
      <c r="P760" s="148"/>
    </row>
    <row r="761">
      <c r="A761" s="326"/>
      <c r="B761" s="326"/>
      <c r="C761" s="326"/>
      <c r="O761" s="148"/>
      <c r="P761" s="148"/>
    </row>
    <row r="762">
      <c r="A762" s="326"/>
      <c r="B762" s="326"/>
      <c r="C762" s="326"/>
      <c r="O762" s="148"/>
      <c r="P762" s="148"/>
    </row>
    <row r="763">
      <c r="A763" s="326"/>
      <c r="B763" s="326"/>
      <c r="C763" s="326"/>
      <c r="O763" s="148"/>
      <c r="P763" s="148"/>
    </row>
    <row r="764">
      <c r="A764" s="326"/>
      <c r="B764" s="326"/>
      <c r="C764" s="326"/>
      <c r="O764" s="148"/>
      <c r="P764" s="148"/>
    </row>
    <row r="765">
      <c r="A765" s="326"/>
      <c r="B765" s="326"/>
      <c r="C765" s="326"/>
      <c r="O765" s="148"/>
      <c r="P765" s="148"/>
    </row>
    <row r="766">
      <c r="A766" s="326"/>
      <c r="B766" s="326"/>
      <c r="C766" s="326"/>
      <c r="O766" s="148"/>
      <c r="P766" s="148"/>
    </row>
    <row r="767">
      <c r="A767" s="326"/>
      <c r="B767" s="326"/>
      <c r="C767" s="326"/>
      <c r="O767" s="148"/>
      <c r="P767" s="148"/>
    </row>
    <row r="768">
      <c r="A768" s="326"/>
      <c r="B768" s="326"/>
      <c r="C768" s="326"/>
      <c r="O768" s="148"/>
      <c r="P768" s="148"/>
    </row>
    <row r="769">
      <c r="A769" s="326"/>
      <c r="B769" s="326"/>
      <c r="C769" s="326"/>
      <c r="O769" s="148"/>
      <c r="P769" s="148"/>
    </row>
    <row r="770">
      <c r="A770" s="326"/>
      <c r="B770" s="326"/>
      <c r="C770" s="326"/>
      <c r="O770" s="148"/>
      <c r="P770" s="148"/>
    </row>
    <row r="771">
      <c r="A771" s="326"/>
      <c r="B771" s="326"/>
      <c r="C771" s="326"/>
      <c r="O771" s="148"/>
      <c r="P771" s="148"/>
    </row>
    <row r="772">
      <c r="A772" s="326"/>
      <c r="B772" s="326"/>
      <c r="C772" s="326"/>
      <c r="O772" s="148"/>
      <c r="P772" s="148"/>
    </row>
    <row r="773">
      <c r="A773" s="326"/>
      <c r="B773" s="326"/>
      <c r="C773" s="326"/>
      <c r="O773" s="148"/>
      <c r="P773" s="148"/>
    </row>
    <row r="774">
      <c r="A774" s="326"/>
      <c r="B774" s="326"/>
      <c r="C774" s="326"/>
      <c r="O774" s="148"/>
      <c r="P774" s="148"/>
    </row>
    <row r="775">
      <c r="A775" s="326"/>
      <c r="B775" s="326"/>
      <c r="C775" s="326"/>
      <c r="O775" s="148"/>
      <c r="P775" s="148"/>
    </row>
    <row r="776">
      <c r="A776" s="326"/>
      <c r="B776" s="326"/>
      <c r="C776" s="326"/>
      <c r="O776" s="148"/>
      <c r="P776" s="148"/>
    </row>
    <row r="777">
      <c r="A777" s="326"/>
      <c r="B777" s="326"/>
      <c r="C777" s="326"/>
      <c r="O777" s="148"/>
      <c r="P777" s="148"/>
    </row>
    <row r="778">
      <c r="A778" s="326"/>
      <c r="B778" s="326"/>
      <c r="C778" s="326"/>
      <c r="O778" s="148"/>
      <c r="P778" s="148"/>
    </row>
    <row r="779">
      <c r="A779" s="326"/>
      <c r="B779" s="326"/>
      <c r="C779" s="326"/>
      <c r="O779" s="148"/>
      <c r="P779" s="148"/>
    </row>
    <row r="780">
      <c r="A780" s="326"/>
      <c r="B780" s="326"/>
      <c r="C780" s="326"/>
      <c r="O780" s="148"/>
      <c r="P780" s="148"/>
    </row>
    <row r="781">
      <c r="A781" s="326"/>
      <c r="B781" s="326"/>
      <c r="C781" s="326"/>
      <c r="O781" s="148"/>
      <c r="P781" s="148"/>
    </row>
    <row r="782">
      <c r="A782" s="326"/>
      <c r="B782" s="326"/>
      <c r="C782" s="326"/>
      <c r="O782" s="148"/>
      <c r="P782" s="148"/>
    </row>
    <row r="783">
      <c r="A783" s="326"/>
      <c r="B783" s="326"/>
      <c r="C783" s="326"/>
      <c r="O783" s="148"/>
      <c r="P783" s="148"/>
    </row>
    <row r="784">
      <c r="A784" s="326"/>
      <c r="B784" s="326"/>
      <c r="C784" s="326"/>
      <c r="O784" s="148"/>
      <c r="P784" s="148"/>
    </row>
    <row r="785">
      <c r="A785" s="326"/>
      <c r="B785" s="326"/>
      <c r="C785" s="326"/>
      <c r="O785" s="148"/>
      <c r="P785" s="148"/>
    </row>
    <row r="786">
      <c r="A786" s="326"/>
      <c r="B786" s="326"/>
      <c r="C786" s="326"/>
      <c r="O786" s="148"/>
      <c r="P786" s="148"/>
    </row>
    <row r="787">
      <c r="A787" s="326"/>
      <c r="B787" s="326"/>
      <c r="C787" s="326"/>
      <c r="O787" s="148"/>
      <c r="P787" s="148"/>
    </row>
    <row r="788">
      <c r="A788" s="326"/>
      <c r="B788" s="326"/>
      <c r="C788" s="326"/>
      <c r="O788" s="148"/>
      <c r="P788" s="148"/>
    </row>
    <row r="789">
      <c r="A789" s="326"/>
      <c r="B789" s="326"/>
      <c r="C789" s="326"/>
      <c r="O789" s="148"/>
      <c r="P789" s="148"/>
    </row>
    <row r="790">
      <c r="A790" s="326"/>
      <c r="B790" s="326"/>
      <c r="C790" s="326"/>
      <c r="O790" s="148"/>
      <c r="P790" s="148"/>
    </row>
    <row r="791">
      <c r="A791" s="326"/>
      <c r="B791" s="326"/>
      <c r="C791" s="326"/>
      <c r="O791" s="148"/>
      <c r="P791" s="148"/>
    </row>
    <row r="792">
      <c r="A792" s="326"/>
      <c r="B792" s="326"/>
      <c r="C792" s="326"/>
      <c r="O792" s="148"/>
      <c r="P792" s="148"/>
    </row>
    <row r="793">
      <c r="A793" s="326"/>
      <c r="B793" s="326"/>
      <c r="C793" s="326"/>
      <c r="O793" s="148"/>
      <c r="P793" s="148"/>
    </row>
    <row r="794">
      <c r="A794" s="326"/>
      <c r="B794" s="326"/>
      <c r="C794" s="326"/>
      <c r="O794" s="148"/>
      <c r="P794" s="148"/>
    </row>
    <row r="795">
      <c r="A795" s="326"/>
      <c r="B795" s="326"/>
      <c r="C795" s="326"/>
      <c r="O795" s="148"/>
      <c r="P795" s="148"/>
    </row>
    <row r="796">
      <c r="A796" s="326"/>
      <c r="B796" s="326"/>
      <c r="C796" s="326"/>
      <c r="O796" s="148"/>
      <c r="P796" s="148"/>
    </row>
    <row r="797">
      <c r="A797" s="326"/>
      <c r="B797" s="326"/>
      <c r="C797" s="326"/>
      <c r="O797" s="148"/>
      <c r="P797" s="148"/>
    </row>
    <row r="798">
      <c r="A798" s="326"/>
      <c r="B798" s="326"/>
      <c r="C798" s="326"/>
      <c r="O798" s="148"/>
      <c r="P798" s="148"/>
    </row>
    <row r="799">
      <c r="A799" s="326"/>
      <c r="B799" s="326"/>
      <c r="C799" s="326"/>
      <c r="O799" s="148"/>
      <c r="P799" s="148"/>
    </row>
    <row r="800">
      <c r="A800" s="326"/>
      <c r="B800" s="326"/>
      <c r="C800" s="326"/>
      <c r="O800" s="148"/>
      <c r="P800" s="148"/>
    </row>
    <row r="801">
      <c r="A801" s="326"/>
      <c r="B801" s="326"/>
      <c r="C801" s="326"/>
      <c r="O801" s="148"/>
      <c r="P801" s="148"/>
    </row>
    <row r="802">
      <c r="A802" s="326"/>
      <c r="B802" s="326"/>
      <c r="C802" s="326"/>
      <c r="O802" s="148"/>
      <c r="P802" s="148"/>
    </row>
    <row r="803">
      <c r="A803" s="326"/>
      <c r="B803" s="326"/>
      <c r="C803" s="326"/>
      <c r="O803" s="148"/>
      <c r="P803" s="148"/>
    </row>
    <row r="804">
      <c r="A804" s="326"/>
      <c r="B804" s="326"/>
      <c r="C804" s="326"/>
      <c r="O804" s="148"/>
      <c r="P804" s="148"/>
    </row>
    <row r="805">
      <c r="A805" s="326"/>
      <c r="B805" s="326"/>
      <c r="C805" s="326"/>
      <c r="O805" s="148"/>
      <c r="P805" s="148"/>
    </row>
    <row r="806">
      <c r="A806" s="326"/>
      <c r="B806" s="326"/>
      <c r="C806" s="326"/>
      <c r="O806" s="148"/>
      <c r="P806" s="148"/>
    </row>
    <row r="807">
      <c r="A807" s="326"/>
      <c r="B807" s="326"/>
      <c r="C807" s="326"/>
      <c r="O807" s="148"/>
      <c r="P807" s="148"/>
    </row>
    <row r="808">
      <c r="A808" s="326"/>
      <c r="B808" s="326"/>
      <c r="C808" s="326"/>
      <c r="O808" s="148"/>
      <c r="P808" s="148"/>
    </row>
    <row r="809">
      <c r="A809" s="326"/>
      <c r="B809" s="326"/>
      <c r="C809" s="326"/>
      <c r="O809" s="148"/>
      <c r="P809" s="148"/>
    </row>
    <row r="810">
      <c r="A810" s="326"/>
      <c r="B810" s="326"/>
      <c r="C810" s="326"/>
      <c r="O810" s="148"/>
      <c r="P810" s="148"/>
    </row>
    <row r="811">
      <c r="A811" s="326"/>
      <c r="B811" s="326"/>
      <c r="C811" s="326"/>
      <c r="O811" s="148"/>
      <c r="P811" s="148"/>
    </row>
    <row r="812">
      <c r="A812" s="326"/>
      <c r="B812" s="326"/>
      <c r="C812" s="326"/>
      <c r="O812" s="148"/>
      <c r="P812" s="148"/>
    </row>
    <row r="813">
      <c r="A813" s="326"/>
      <c r="B813" s="326"/>
      <c r="C813" s="326"/>
      <c r="O813" s="148"/>
      <c r="P813" s="148"/>
    </row>
    <row r="814">
      <c r="A814" s="326"/>
      <c r="B814" s="326"/>
      <c r="C814" s="326"/>
      <c r="O814" s="148"/>
      <c r="P814" s="148"/>
    </row>
    <row r="815">
      <c r="A815" s="326"/>
      <c r="B815" s="326"/>
      <c r="C815" s="326"/>
      <c r="O815" s="148"/>
      <c r="P815" s="148"/>
    </row>
    <row r="816">
      <c r="A816" s="326"/>
      <c r="B816" s="326"/>
      <c r="C816" s="326"/>
      <c r="O816" s="148"/>
      <c r="P816" s="148"/>
    </row>
    <row r="817">
      <c r="A817" s="326"/>
      <c r="B817" s="326"/>
      <c r="C817" s="326"/>
      <c r="O817" s="148"/>
      <c r="P817" s="148"/>
    </row>
    <row r="818">
      <c r="A818" s="326"/>
      <c r="B818" s="326"/>
      <c r="C818" s="326"/>
      <c r="O818" s="148"/>
      <c r="P818" s="148"/>
    </row>
    <row r="819">
      <c r="A819" s="326"/>
      <c r="B819" s="326"/>
      <c r="C819" s="326"/>
      <c r="O819" s="148"/>
      <c r="P819" s="148"/>
    </row>
    <row r="820">
      <c r="A820" s="326"/>
      <c r="B820" s="326"/>
      <c r="C820" s="326"/>
      <c r="O820" s="148"/>
      <c r="P820" s="148"/>
    </row>
    <row r="821">
      <c r="A821" s="326"/>
      <c r="B821" s="326"/>
      <c r="C821" s="326"/>
      <c r="O821" s="148"/>
      <c r="P821" s="148"/>
    </row>
    <row r="822">
      <c r="A822" s="326"/>
      <c r="B822" s="326"/>
      <c r="C822" s="326"/>
      <c r="O822" s="148"/>
      <c r="P822" s="148"/>
    </row>
    <row r="823">
      <c r="A823" s="326"/>
      <c r="B823" s="326"/>
      <c r="C823" s="326"/>
      <c r="O823" s="148"/>
      <c r="P823" s="148"/>
    </row>
    <row r="824">
      <c r="A824" s="326"/>
      <c r="B824" s="326"/>
      <c r="C824" s="326"/>
      <c r="O824" s="148"/>
      <c r="P824" s="148"/>
    </row>
    <row r="825">
      <c r="A825" s="326"/>
      <c r="B825" s="326"/>
      <c r="C825" s="326"/>
      <c r="O825" s="148"/>
      <c r="P825" s="148"/>
    </row>
    <row r="826">
      <c r="A826" s="326"/>
      <c r="B826" s="326"/>
      <c r="C826" s="326"/>
      <c r="O826" s="148"/>
      <c r="P826" s="148"/>
    </row>
    <row r="827">
      <c r="A827" s="326"/>
      <c r="B827" s="326"/>
      <c r="C827" s="326"/>
      <c r="O827" s="148"/>
      <c r="P827" s="148"/>
    </row>
    <row r="828">
      <c r="A828" s="326"/>
      <c r="B828" s="326"/>
      <c r="C828" s="326"/>
      <c r="O828" s="148"/>
      <c r="P828" s="148"/>
    </row>
    <row r="829">
      <c r="A829" s="326"/>
      <c r="B829" s="326"/>
      <c r="C829" s="326"/>
      <c r="O829" s="148"/>
      <c r="P829" s="148"/>
    </row>
    <row r="830">
      <c r="A830" s="326"/>
      <c r="B830" s="326"/>
      <c r="C830" s="326"/>
      <c r="O830" s="148"/>
      <c r="P830" s="148"/>
    </row>
    <row r="831">
      <c r="A831" s="326"/>
      <c r="B831" s="326"/>
      <c r="C831" s="326"/>
      <c r="O831" s="148"/>
      <c r="P831" s="148"/>
    </row>
    <row r="832">
      <c r="A832" s="326"/>
      <c r="B832" s="326"/>
      <c r="C832" s="326"/>
      <c r="O832" s="148"/>
      <c r="P832" s="148"/>
    </row>
    <row r="833">
      <c r="A833" s="326"/>
      <c r="B833" s="326"/>
      <c r="C833" s="326"/>
      <c r="O833" s="148"/>
      <c r="P833" s="148"/>
    </row>
    <row r="834">
      <c r="A834" s="326"/>
      <c r="B834" s="326"/>
      <c r="C834" s="326"/>
      <c r="O834" s="148"/>
      <c r="P834" s="148"/>
    </row>
    <row r="835">
      <c r="A835" s="326"/>
      <c r="B835" s="326"/>
      <c r="C835" s="326"/>
      <c r="O835" s="148"/>
      <c r="P835" s="148"/>
    </row>
    <row r="836">
      <c r="A836" s="326"/>
      <c r="B836" s="326"/>
      <c r="C836" s="326"/>
      <c r="O836" s="148"/>
      <c r="P836" s="148"/>
    </row>
    <row r="837">
      <c r="A837" s="326"/>
      <c r="B837" s="326"/>
      <c r="C837" s="326"/>
      <c r="O837" s="148"/>
      <c r="P837" s="148"/>
    </row>
    <row r="838">
      <c r="A838" s="326"/>
      <c r="B838" s="326"/>
      <c r="C838" s="326"/>
      <c r="O838" s="148"/>
      <c r="P838" s="148"/>
    </row>
    <row r="839">
      <c r="A839" s="326"/>
      <c r="B839" s="326"/>
      <c r="C839" s="326"/>
      <c r="O839" s="148"/>
      <c r="P839" s="148"/>
    </row>
    <row r="840">
      <c r="A840" s="326"/>
      <c r="B840" s="326"/>
      <c r="C840" s="326"/>
      <c r="O840" s="148"/>
      <c r="P840" s="148"/>
    </row>
    <row r="841">
      <c r="A841" s="326"/>
      <c r="B841" s="326"/>
      <c r="C841" s="326"/>
      <c r="O841" s="148"/>
      <c r="P841" s="148"/>
    </row>
    <row r="842">
      <c r="A842" s="326"/>
      <c r="B842" s="326"/>
      <c r="C842" s="326"/>
      <c r="O842" s="148"/>
      <c r="P842" s="148"/>
    </row>
    <row r="843">
      <c r="A843" s="326"/>
      <c r="B843" s="326"/>
      <c r="C843" s="326"/>
      <c r="O843" s="148"/>
      <c r="P843" s="148"/>
    </row>
    <row r="844">
      <c r="A844" s="326"/>
      <c r="B844" s="326"/>
      <c r="C844" s="326"/>
      <c r="O844" s="148"/>
      <c r="P844" s="148"/>
    </row>
    <row r="845">
      <c r="A845" s="326"/>
      <c r="B845" s="326"/>
      <c r="C845" s="326"/>
      <c r="O845" s="148"/>
      <c r="P845" s="148"/>
    </row>
    <row r="846">
      <c r="A846" s="326"/>
      <c r="B846" s="326"/>
      <c r="C846" s="326"/>
      <c r="O846" s="148"/>
      <c r="P846" s="148"/>
    </row>
    <row r="847">
      <c r="A847" s="326"/>
      <c r="B847" s="326"/>
      <c r="C847" s="326"/>
      <c r="O847" s="148"/>
      <c r="P847" s="148"/>
    </row>
    <row r="848">
      <c r="A848" s="326"/>
      <c r="B848" s="326"/>
      <c r="C848" s="326"/>
      <c r="O848" s="148"/>
      <c r="P848" s="148"/>
    </row>
    <row r="849">
      <c r="A849" s="326"/>
      <c r="B849" s="326"/>
      <c r="C849" s="326"/>
      <c r="O849" s="148"/>
      <c r="P849" s="148"/>
    </row>
    <row r="850">
      <c r="A850" s="326"/>
      <c r="B850" s="326"/>
      <c r="C850" s="326"/>
      <c r="O850" s="148"/>
      <c r="P850" s="148"/>
    </row>
    <row r="851">
      <c r="A851" s="326"/>
      <c r="B851" s="326"/>
      <c r="C851" s="326"/>
      <c r="O851" s="148"/>
      <c r="P851" s="148"/>
    </row>
    <row r="852">
      <c r="A852" s="326"/>
      <c r="B852" s="326"/>
      <c r="C852" s="326"/>
      <c r="O852" s="148"/>
      <c r="P852" s="148"/>
    </row>
    <row r="853">
      <c r="A853" s="326"/>
      <c r="B853" s="326"/>
      <c r="C853" s="326"/>
      <c r="O853" s="148"/>
      <c r="P853" s="148"/>
    </row>
    <row r="854">
      <c r="A854" s="326"/>
      <c r="B854" s="326"/>
      <c r="C854" s="326"/>
      <c r="O854" s="148"/>
      <c r="P854" s="148"/>
    </row>
    <row r="855">
      <c r="A855" s="326"/>
      <c r="B855" s="326"/>
      <c r="C855" s="326"/>
      <c r="O855" s="148"/>
      <c r="P855" s="148"/>
    </row>
    <row r="856">
      <c r="A856" s="326"/>
      <c r="B856" s="326"/>
      <c r="C856" s="326"/>
      <c r="O856" s="148"/>
      <c r="P856" s="148"/>
    </row>
    <row r="857">
      <c r="A857" s="326"/>
      <c r="B857" s="326"/>
      <c r="C857" s="326"/>
      <c r="O857" s="148"/>
      <c r="P857" s="148"/>
    </row>
    <row r="858">
      <c r="A858" s="326"/>
      <c r="B858" s="326"/>
      <c r="C858" s="326"/>
      <c r="O858" s="148"/>
      <c r="P858" s="148"/>
    </row>
    <row r="859">
      <c r="A859" s="326"/>
      <c r="B859" s="326"/>
      <c r="C859" s="326"/>
      <c r="O859" s="148"/>
      <c r="P859" s="148"/>
    </row>
    <row r="860">
      <c r="A860" s="326"/>
      <c r="B860" s="326"/>
      <c r="C860" s="326"/>
      <c r="O860" s="148"/>
      <c r="P860" s="148"/>
    </row>
    <row r="861">
      <c r="A861" s="326"/>
      <c r="B861" s="326"/>
      <c r="C861" s="326"/>
      <c r="O861" s="148"/>
      <c r="P861" s="148"/>
    </row>
    <row r="862">
      <c r="A862" s="326"/>
      <c r="B862" s="326"/>
      <c r="C862" s="326"/>
      <c r="O862" s="148"/>
      <c r="P862" s="148"/>
    </row>
    <row r="863">
      <c r="A863" s="326"/>
      <c r="B863" s="326"/>
      <c r="C863" s="326"/>
      <c r="O863" s="148"/>
      <c r="P863" s="148"/>
    </row>
    <row r="864">
      <c r="A864" s="326"/>
      <c r="B864" s="326"/>
      <c r="C864" s="326"/>
      <c r="O864" s="148"/>
      <c r="P864" s="148"/>
    </row>
    <row r="865">
      <c r="A865" s="326"/>
      <c r="B865" s="326"/>
      <c r="C865" s="326"/>
      <c r="O865" s="148"/>
      <c r="P865" s="148"/>
    </row>
    <row r="866">
      <c r="A866" s="326"/>
      <c r="B866" s="326"/>
      <c r="C866" s="326"/>
      <c r="O866" s="148"/>
      <c r="P866" s="148"/>
    </row>
    <row r="867">
      <c r="A867" s="326"/>
      <c r="B867" s="326"/>
      <c r="C867" s="326"/>
      <c r="O867" s="148"/>
      <c r="P867" s="148"/>
    </row>
    <row r="868">
      <c r="A868" s="326"/>
      <c r="B868" s="326"/>
      <c r="C868" s="326"/>
      <c r="O868" s="148"/>
      <c r="P868" s="148"/>
    </row>
    <row r="869">
      <c r="A869" s="326"/>
      <c r="B869" s="326"/>
      <c r="C869" s="326"/>
      <c r="O869" s="148"/>
      <c r="P869" s="148"/>
    </row>
    <row r="870">
      <c r="A870" s="326"/>
      <c r="B870" s="326"/>
      <c r="C870" s="326"/>
      <c r="O870" s="148"/>
      <c r="P870" s="148"/>
    </row>
    <row r="871">
      <c r="A871" s="326"/>
      <c r="B871" s="326"/>
      <c r="C871" s="326"/>
      <c r="O871" s="148"/>
      <c r="P871" s="148"/>
    </row>
    <row r="872">
      <c r="A872" s="326"/>
      <c r="B872" s="326"/>
      <c r="C872" s="326"/>
      <c r="O872" s="148"/>
      <c r="P872" s="148"/>
    </row>
    <row r="873">
      <c r="A873" s="326"/>
      <c r="B873" s="326"/>
      <c r="C873" s="326"/>
      <c r="O873" s="148"/>
      <c r="P873" s="148"/>
    </row>
    <row r="874">
      <c r="A874" s="326"/>
      <c r="B874" s="326"/>
      <c r="C874" s="326"/>
      <c r="O874" s="148"/>
      <c r="P874" s="148"/>
    </row>
    <row r="875">
      <c r="A875" s="326"/>
      <c r="B875" s="326"/>
      <c r="C875" s="326"/>
      <c r="O875" s="148"/>
      <c r="P875" s="148"/>
    </row>
    <row r="876">
      <c r="A876" s="326"/>
      <c r="B876" s="326"/>
      <c r="C876" s="326"/>
      <c r="O876" s="148"/>
      <c r="P876" s="148"/>
    </row>
    <row r="877">
      <c r="A877" s="326"/>
      <c r="B877" s="326"/>
      <c r="C877" s="326"/>
      <c r="O877" s="148"/>
      <c r="P877" s="148"/>
    </row>
    <row r="878">
      <c r="A878" s="326"/>
      <c r="B878" s="326"/>
      <c r="C878" s="326"/>
      <c r="O878" s="148"/>
      <c r="P878" s="148"/>
    </row>
    <row r="879">
      <c r="A879" s="326"/>
      <c r="B879" s="326"/>
      <c r="C879" s="326"/>
      <c r="O879" s="148"/>
      <c r="P879" s="148"/>
    </row>
    <row r="880">
      <c r="A880" s="326"/>
      <c r="B880" s="326"/>
      <c r="C880" s="326"/>
      <c r="O880" s="148"/>
      <c r="P880" s="148"/>
    </row>
    <row r="881">
      <c r="A881" s="326"/>
      <c r="B881" s="326"/>
      <c r="C881" s="326"/>
      <c r="O881" s="148"/>
      <c r="P881" s="148"/>
    </row>
    <row r="882">
      <c r="A882" s="326"/>
      <c r="B882" s="326"/>
      <c r="C882" s="326"/>
      <c r="O882" s="148"/>
      <c r="P882" s="148"/>
    </row>
    <row r="883">
      <c r="A883" s="326"/>
      <c r="B883" s="326"/>
      <c r="C883" s="326"/>
      <c r="O883" s="148"/>
      <c r="P883" s="148"/>
    </row>
    <row r="884">
      <c r="A884" s="326"/>
      <c r="B884" s="326"/>
      <c r="C884" s="326"/>
      <c r="O884" s="148"/>
      <c r="P884" s="148"/>
    </row>
    <row r="885">
      <c r="A885" s="326"/>
      <c r="B885" s="326"/>
      <c r="C885" s="326"/>
      <c r="O885" s="148"/>
      <c r="P885" s="148"/>
    </row>
    <row r="886">
      <c r="A886" s="326"/>
      <c r="B886" s="326"/>
      <c r="C886" s="326"/>
      <c r="O886" s="148"/>
      <c r="P886" s="148"/>
    </row>
    <row r="887">
      <c r="A887" s="326"/>
      <c r="B887" s="326"/>
      <c r="C887" s="326"/>
      <c r="O887" s="148"/>
      <c r="P887" s="148"/>
    </row>
    <row r="888">
      <c r="A888" s="326"/>
      <c r="B888" s="326"/>
      <c r="C888" s="326"/>
      <c r="O888" s="148"/>
      <c r="P888" s="148"/>
    </row>
    <row r="889">
      <c r="A889" s="326"/>
      <c r="B889" s="326"/>
      <c r="C889" s="326"/>
      <c r="O889" s="148"/>
      <c r="P889" s="148"/>
    </row>
    <row r="890">
      <c r="A890" s="326"/>
      <c r="B890" s="326"/>
      <c r="C890" s="326"/>
      <c r="O890" s="148"/>
      <c r="P890" s="148"/>
    </row>
    <row r="891">
      <c r="A891" s="326"/>
      <c r="B891" s="326"/>
      <c r="C891" s="326"/>
      <c r="O891" s="148"/>
      <c r="P891" s="148"/>
    </row>
    <row r="892">
      <c r="A892" s="326"/>
      <c r="B892" s="326"/>
      <c r="C892" s="326"/>
      <c r="O892" s="148"/>
      <c r="P892" s="148"/>
    </row>
    <row r="893">
      <c r="A893" s="326"/>
      <c r="B893" s="326"/>
      <c r="C893" s="326"/>
      <c r="O893" s="148"/>
      <c r="P893" s="148"/>
    </row>
    <row r="894">
      <c r="A894" s="326"/>
      <c r="B894" s="326"/>
      <c r="C894" s="326"/>
      <c r="O894" s="148"/>
      <c r="P894" s="148"/>
    </row>
    <row r="895">
      <c r="A895" s="326"/>
      <c r="B895" s="326"/>
      <c r="C895" s="326"/>
      <c r="O895" s="148"/>
      <c r="P895" s="148"/>
    </row>
    <row r="896">
      <c r="A896" s="326"/>
      <c r="B896" s="326"/>
      <c r="C896" s="326"/>
      <c r="O896" s="148"/>
      <c r="P896" s="148"/>
    </row>
    <row r="897">
      <c r="A897" s="326"/>
      <c r="B897" s="326"/>
      <c r="C897" s="326"/>
      <c r="O897" s="148"/>
      <c r="P897" s="148"/>
    </row>
    <row r="898">
      <c r="A898" s="326"/>
      <c r="B898" s="326"/>
      <c r="C898" s="326"/>
      <c r="O898" s="148"/>
      <c r="P898" s="148"/>
    </row>
    <row r="899">
      <c r="A899" s="326"/>
      <c r="B899" s="326"/>
      <c r="C899" s="326"/>
      <c r="O899" s="148"/>
      <c r="P899" s="148"/>
    </row>
    <row r="900">
      <c r="A900" s="326"/>
      <c r="B900" s="326"/>
      <c r="C900" s="326"/>
      <c r="O900" s="148"/>
      <c r="P900" s="148"/>
    </row>
    <row r="901">
      <c r="A901" s="326"/>
      <c r="B901" s="326"/>
      <c r="C901" s="326"/>
      <c r="O901" s="148"/>
      <c r="P901" s="148"/>
    </row>
    <row r="902">
      <c r="A902" s="326"/>
      <c r="B902" s="326"/>
      <c r="C902" s="326"/>
      <c r="O902" s="148"/>
      <c r="P902" s="148"/>
    </row>
    <row r="903">
      <c r="A903" s="326"/>
      <c r="B903" s="326"/>
      <c r="C903" s="326"/>
      <c r="O903" s="148"/>
      <c r="P903" s="148"/>
    </row>
    <row r="904">
      <c r="A904" s="326"/>
      <c r="B904" s="326"/>
      <c r="C904" s="326"/>
      <c r="O904" s="148"/>
      <c r="P904" s="148"/>
    </row>
    <row r="905">
      <c r="A905" s="326"/>
      <c r="B905" s="326"/>
      <c r="C905" s="326"/>
      <c r="O905" s="148"/>
      <c r="P905" s="148"/>
    </row>
    <row r="906">
      <c r="A906" s="326"/>
      <c r="B906" s="326"/>
      <c r="C906" s="326"/>
      <c r="O906" s="148"/>
      <c r="P906" s="148"/>
    </row>
    <row r="907">
      <c r="A907" s="326"/>
      <c r="B907" s="326"/>
      <c r="C907" s="326"/>
      <c r="O907" s="148"/>
      <c r="P907" s="148"/>
    </row>
    <row r="908">
      <c r="A908" s="326"/>
      <c r="B908" s="326"/>
      <c r="C908" s="326"/>
      <c r="O908" s="148"/>
      <c r="P908" s="148"/>
    </row>
    <row r="909">
      <c r="A909" s="326"/>
      <c r="B909" s="326"/>
      <c r="C909" s="326"/>
      <c r="O909" s="148"/>
      <c r="P909" s="148"/>
    </row>
    <row r="910">
      <c r="A910" s="326"/>
      <c r="B910" s="326"/>
      <c r="C910" s="326"/>
      <c r="O910" s="148"/>
      <c r="P910" s="148"/>
    </row>
    <row r="911">
      <c r="A911" s="326"/>
      <c r="B911" s="326"/>
      <c r="C911" s="326"/>
      <c r="O911" s="148"/>
      <c r="P911" s="148"/>
    </row>
    <row r="912">
      <c r="A912" s="326"/>
      <c r="B912" s="326"/>
      <c r="C912" s="326"/>
      <c r="O912" s="148"/>
      <c r="P912" s="148"/>
    </row>
    <row r="913">
      <c r="A913" s="326"/>
      <c r="B913" s="326"/>
      <c r="C913" s="326"/>
      <c r="O913" s="148"/>
      <c r="P913" s="148"/>
    </row>
    <row r="914">
      <c r="A914" s="326"/>
      <c r="B914" s="326"/>
      <c r="C914" s="326"/>
      <c r="O914" s="148"/>
      <c r="P914" s="148"/>
    </row>
    <row r="915">
      <c r="A915" s="326"/>
      <c r="B915" s="326"/>
      <c r="C915" s="326"/>
      <c r="O915" s="148"/>
      <c r="P915" s="148"/>
    </row>
    <row r="916">
      <c r="A916" s="326"/>
      <c r="B916" s="326"/>
      <c r="C916" s="326"/>
      <c r="O916" s="148"/>
      <c r="P916" s="148"/>
    </row>
    <row r="917">
      <c r="A917" s="326"/>
      <c r="B917" s="326"/>
      <c r="C917" s="326"/>
      <c r="O917" s="148"/>
      <c r="P917" s="148"/>
    </row>
    <row r="918">
      <c r="A918" s="326"/>
      <c r="B918" s="326"/>
      <c r="C918" s="326"/>
      <c r="O918" s="148"/>
      <c r="P918" s="148"/>
    </row>
    <row r="919">
      <c r="A919" s="326"/>
      <c r="B919" s="326"/>
      <c r="C919" s="326"/>
      <c r="O919" s="148"/>
      <c r="P919" s="148"/>
    </row>
    <row r="920">
      <c r="A920" s="326"/>
      <c r="B920" s="326"/>
      <c r="C920" s="326"/>
      <c r="O920" s="148"/>
      <c r="P920" s="148"/>
    </row>
    <row r="921">
      <c r="A921" s="326"/>
      <c r="B921" s="326"/>
      <c r="C921" s="326"/>
      <c r="O921" s="148"/>
      <c r="P921" s="148"/>
    </row>
    <row r="922">
      <c r="A922" s="326"/>
      <c r="B922" s="326"/>
      <c r="C922" s="326"/>
      <c r="O922" s="148"/>
      <c r="P922" s="148"/>
    </row>
    <row r="923">
      <c r="A923" s="326"/>
      <c r="B923" s="326"/>
      <c r="C923" s="326"/>
      <c r="O923" s="148"/>
      <c r="P923" s="148"/>
    </row>
    <row r="924">
      <c r="A924" s="326"/>
      <c r="B924" s="326"/>
      <c r="C924" s="326"/>
      <c r="O924" s="148"/>
      <c r="P924" s="148"/>
    </row>
    <row r="925">
      <c r="A925" s="326"/>
      <c r="B925" s="326"/>
      <c r="C925" s="326"/>
      <c r="O925" s="148"/>
      <c r="P925" s="148"/>
    </row>
    <row r="926">
      <c r="A926" s="326"/>
      <c r="B926" s="326"/>
      <c r="C926" s="326"/>
      <c r="O926" s="148"/>
      <c r="P926" s="148"/>
    </row>
    <row r="927">
      <c r="A927" s="326"/>
      <c r="B927" s="326"/>
      <c r="C927" s="326"/>
      <c r="O927" s="148"/>
      <c r="P927" s="148"/>
    </row>
    <row r="928">
      <c r="A928" s="326"/>
      <c r="B928" s="326"/>
      <c r="C928" s="326"/>
      <c r="O928" s="148"/>
      <c r="P928" s="148"/>
    </row>
    <row r="929">
      <c r="A929" s="326"/>
      <c r="B929" s="326"/>
      <c r="C929" s="326"/>
      <c r="O929" s="148"/>
      <c r="P929" s="148"/>
    </row>
    <row r="930">
      <c r="A930" s="326"/>
      <c r="B930" s="326"/>
      <c r="C930" s="326"/>
      <c r="O930" s="148"/>
      <c r="P930" s="148"/>
    </row>
    <row r="931">
      <c r="A931" s="326"/>
      <c r="B931" s="326"/>
      <c r="C931" s="326"/>
      <c r="O931" s="148"/>
      <c r="P931" s="148"/>
    </row>
    <row r="932">
      <c r="A932" s="326"/>
      <c r="B932" s="326"/>
      <c r="C932" s="326"/>
      <c r="O932" s="148"/>
      <c r="P932" s="148"/>
    </row>
    <row r="933">
      <c r="A933" s="326"/>
      <c r="B933" s="326"/>
      <c r="C933" s="326"/>
      <c r="O933" s="148"/>
      <c r="P933" s="148"/>
    </row>
    <row r="934">
      <c r="A934" s="326"/>
      <c r="B934" s="326"/>
      <c r="C934" s="326"/>
      <c r="O934" s="148"/>
      <c r="P934" s="148"/>
    </row>
    <row r="935">
      <c r="A935" s="326"/>
      <c r="B935" s="326"/>
      <c r="C935" s="326"/>
      <c r="O935" s="148"/>
      <c r="P935" s="148"/>
    </row>
    <row r="936">
      <c r="A936" s="326"/>
      <c r="B936" s="326"/>
      <c r="C936" s="326"/>
      <c r="O936" s="148"/>
      <c r="P936" s="148"/>
    </row>
    <row r="937">
      <c r="A937" s="326"/>
      <c r="B937" s="326"/>
      <c r="C937" s="326"/>
      <c r="O937" s="148"/>
      <c r="P937" s="148"/>
    </row>
    <row r="938">
      <c r="A938" s="326"/>
      <c r="B938" s="326"/>
      <c r="C938" s="326"/>
      <c r="O938" s="148"/>
      <c r="P938" s="148"/>
    </row>
    <row r="939">
      <c r="A939" s="326"/>
      <c r="B939" s="326"/>
      <c r="C939" s="326"/>
      <c r="O939" s="148"/>
      <c r="P939" s="148"/>
    </row>
    <row r="940">
      <c r="A940" s="326"/>
      <c r="B940" s="326"/>
      <c r="C940" s="326"/>
      <c r="O940" s="148"/>
      <c r="P940" s="148"/>
    </row>
    <row r="941">
      <c r="A941" s="326"/>
      <c r="B941" s="326"/>
      <c r="C941" s="326"/>
      <c r="O941" s="148"/>
      <c r="P941" s="148"/>
    </row>
    <row r="942">
      <c r="A942" s="326"/>
      <c r="B942" s="326"/>
      <c r="C942" s="326"/>
      <c r="O942" s="148"/>
      <c r="P942" s="148"/>
    </row>
    <row r="943">
      <c r="A943" s="326"/>
      <c r="B943" s="326"/>
      <c r="C943" s="326"/>
      <c r="O943" s="148"/>
      <c r="P943" s="148"/>
    </row>
    <row r="944">
      <c r="A944" s="326"/>
      <c r="B944" s="326"/>
      <c r="C944" s="326"/>
      <c r="O944" s="148"/>
      <c r="P944" s="148"/>
    </row>
    <row r="945">
      <c r="A945" s="326"/>
      <c r="B945" s="326"/>
      <c r="C945" s="326"/>
      <c r="O945" s="148"/>
      <c r="P945" s="148"/>
    </row>
    <row r="946">
      <c r="A946" s="326"/>
      <c r="B946" s="326"/>
      <c r="C946" s="326"/>
      <c r="O946" s="148"/>
      <c r="P946" s="148"/>
    </row>
    <row r="947">
      <c r="A947" s="326"/>
      <c r="B947" s="326"/>
      <c r="C947" s="326"/>
      <c r="O947" s="148"/>
      <c r="P947" s="148"/>
    </row>
    <row r="948">
      <c r="A948" s="326"/>
      <c r="B948" s="326"/>
      <c r="C948" s="326"/>
      <c r="O948" s="148"/>
      <c r="P948" s="148"/>
    </row>
    <row r="949">
      <c r="A949" s="326"/>
      <c r="B949" s="326"/>
      <c r="C949" s="326"/>
      <c r="O949" s="148"/>
      <c r="P949" s="148"/>
    </row>
    <row r="950">
      <c r="A950" s="326"/>
      <c r="B950" s="326"/>
      <c r="C950" s="326"/>
      <c r="O950" s="148"/>
      <c r="P950" s="148"/>
    </row>
    <row r="951">
      <c r="A951" s="326"/>
      <c r="B951" s="326"/>
      <c r="C951" s="326"/>
      <c r="O951" s="148"/>
      <c r="P951" s="148"/>
    </row>
    <row r="952">
      <c r="A952" s="326"/>
      <c r="B952" s="326"/>
      <c r="C952" s="326"/>
      <c r="O952" s="148"/>
      <c r="P952" s="148"/>
    </row>
    <row r="953">
      <c r="A953" s="326"/>
      <c r="B953" s="326"/>
      <c r="C953" s="326"/>
      <c r="O953" s="148"/>
      <c r="P953" s="148"/>
    </row>
    <row r="954">
      <c r="A954" s="326"/>
      <c r="B954" s="326"/>
      <c r="C954" s="326"/>
      <c r="O954" s="148"/>
      <c r="P954" s="148"/>
    </row>
    <row r="955">
      <c r="A955" s="326"/>
      <c r="B955" s="326"/>
      <c r="C955" s="326"/>
      <c r="O955" s="148"/>
      <c r="P955" s="148"/>
    </row>
    <row r="956">
      <c r="A956" s="326"/>
      <c r="B956" s="326"/>
      <c r="C956" s="326"/>
      <c r="O956" s="148"/>
      <c r="P956" s="148"/>
    </row>
    <row r="957">
      <c r="A957" s="326"/>
      <c r="B957" s="326"/>
      <c r="C957" s="326"/>
      <c r="O957" s="148"/>
      <c r="P957" s="148"/>
    </row>
    <row r="958">
      <c r="A958" s="326"/>
      <c r="B958" s="326"/>
      <c r="C958" s="326"/>
      <c r="O958" s="148"/>
      <c r="P958" s="148"/>
    </row>
    <row r="959">
      <c r="A959" s="326"/>
      <c r="B959" s="326"/>
      <c r="C959" s="326"/>
      <c r="O959" s="148"/>
      <c r="P959" s="148"/>
    </row>
    <row r="960">
      <c r="A960" s="326"/>
      <c r="B960" s="326"/>
      <c r="C960" s="326"/>
      <c r="O960" s="148"/>
      <c r="P960" s="148"/>
    </row>
    <row r="961">
      <c r="A961" s="326"/>
      <c r="B961" s="326"/>
      <c r="C961" s="326"/>
      <c r="O961" s="148"/>
      <c r="P961" s="148"/>
    </row>
    <row r="962">
      <c r="A962" s="326"/>
      <c r="B962" s="326"/>
      <c r="C962" s="326"/>
      <c r="O962" s="148"/>
      <c r="P962" s="148"/>
    </row>
    <row r="963">
      <c r="A963" s="326"/>
      <c r="B963" s="326"/>
      <c r="C963" s="326"/>
      <c r="O963" s="148"/>
      <c r="P963" s="148"/>
    </row>
    <row r="964">
      <c r="A964" s="326"/>
      <c r="B964" s="326"/>
      <c r="C964" s="326"/>
      <c r="O964" s="148"/>
      <c r="P964" s="148"/>
    </row>
    <row r="965">
      <c r="A965" s="326"/>
      <c r="B965" s="326"/>
      <c r="C965" s="326"/>
      <c r="O965" s="148"/>
      <c r="P965" s="148"/>
    </row>
    <row r="966">
      <c r="A966" s="326"/>
      <c r="B966" s="326"/>
      <c r="C966" s="326"/>
      <c r="O966" s="148"/>
      <c r="P966" s="148"/>
    </row>
    <row r="967">
      <c r="A967" s="326"/>
      <c r="B967" s="326"/>
      <c r="C967" s="326"/>
      <c r="O967" s="148"/>
      <c r="P967" s="148"/>
    </row>
    <row r="968">
      <c r="A968" s="326"/>
      <c r="B968" s="326"/>
      <c r="C968" s="326"/>
      <c r="O968" s="148"/>
      <c r="P968" s="148"/>
    </row>
    <row r="969">
      <c r="A969" s="326"/>
      <c r="B969" s="326"/>
      <c r="C969" s="326"/>
      <c r="O969" s="148"/>
      <c r="P969" s="148"/>
    </row>
    <row r="970">
      <c r="A970" s="326"/>
      <c r="B970" s="326"/>
      <c r="C970" s="326"/>
      <c r="O970" s="148"/>
      <c r="P970" s="148"/>
    </row>
    <row r="971">
      <c r="A971" s="326"/>
      <c r="B971" s="326"/>
      <c r="C971" s="326"/>
      <c r="O971" s="148"/>
      <c r="P971" s="148"/>
    </row>
    <row r="972">
      <c r="A972" s="326"/>
      <c r="B972" s="326"/>
      <c r="C972" s="326"/>
      <c r="O972" s="148"/>
      <c r="P972" s="148"/>
    </row>
    <row r="973">
      <c r="A973" s="326"/>
      <c r="B973" s="326"/>
      <c r="C973" s="326"/>
      <c r="O973" s="148"/>
      <c r="P973" s="148"/>
    </row>
    <row r="974">
      <c r="A974" s="326"/>
      <c r="B974" s="326"/>
      <c r="C974" s="326"/>
      <c r="O974" s="148"/>
      <c r="P974" s="148"/>
    </row>
    <row r="975">
      <c r="A975" s="326"/>
      <c r="B975" s="326"/>
      <c r="C975" s="326"/>
      <c r="O975" s="148"/>
      <c r="P975" s="148"/>
    </row>
    <row r="976">
      <c r="A976" s="326"/>
      <c r="B976" s="326"/>
      <c r="C976" s="326"/>
      <c r="O976" s="148"/>
      <c r="P976" s="148"/>
    </row>
    <row r="977">
      <c r="A977" s="326"/>
      <c r="B977" s="326"/>
      <c r="C977" s="326"/>
      <c r="O977" s="148"/>
      <c r="P977" s="148"/>
    </row>
    <row r="978">
      <c r="A978" s="326"/>
      <c r="B978" s="326"/>
      <c r="C978" s="326"/>
      <c r="O978" s="148"/>
      <c r="P978" s="148"/>
    </row>
    <row r="979">
      <c r="A979" s="326"/>
      <c r="B979" s="326"/>
      <c r="C979" s="326"/>
      <c r="O979" s="148"/>
      <c r="P979" s="148"/>
    </row>
    <row r="980">
      <c r="A980" s="326"/>
      <c r="B980" s="326"/>
      <c r="C980" s="326"/>
      <c r="O980" s="148"/>
      <c r="P980" s="148"/>
    </row>
    <row r="981">
      <c r="A981" s="326"/>
      <c r="B981" s="326"/>
      <c r="C981" s="326"/>
      <c r="O981" s="148"/>
      <c r="P981" s="148"/>
    </row>
    <row r="982">
      <c r="A982" s="326"/>
      <c r="B982" s="326"/>
      <c r="C982" s="326"/>
      <c r="O982" s="148"/>
      <c r="P982" s="148"/>
    </row>
    <row r="983">
      <c r="A983" s="326"/>
      <c r="B983" s="326"/>
      <c r="C983" s="326"/>
      <c r="O983" s="148"/>
      <c r="P983" s="148"/>
    </row>
    <row r="984">
      <c r="A984" s="326"/>
      <c r="B984" s="326"/>
      <c r="C984" s="326"/>
      <c r="O984" s="148"/>
      <c r="P984" s="148"/>
    </row>
    <row r="985">
      <c r="A985" s="326"/>
      <c r="B985" s="326"/>
      <c r="C985" s="326"/>
      <c r="O985" s="148"/>
      <c r="P985" s="148"/>
    </row>
    <row r="986">
      <c r="A986" s="326"/>
      <c r="B986" s="326"/>
      <c r="C986" s="326"/>
      <c r="O986" s="148"/>
      <c r="P986" s="148"/>
    </row>
    <row r="987">
      <c r="A987" s="326"/>
      <c r="B987" s="326"/>
      <c r="C987" s="326"/>
      <c r="O987" s="148"/>
      <c r="P987" s="148"/>
    </row>
    <row r="988">
      <c r="A988" s="326"/>
      <c r="B988" s="326"/>
      <c r="C988" s="326"/>
      <c r="O988" s="148"/>
      <c r="P988" s="148"/>
    </row>
    <row r="989">
      <c r="A989" s="326"/>
      <c r="B989" s="326"/>
      <c r="C989" s="326"/>
      <c r="O989" s="148"/>
      <c r="P989" s="148"/>
    </row>
    <row r="990">
      <c r="A990" s="326"/>
      <c r="B990" s="326"/>
      <c r="C990" s="326"/>
      <c r="O990" s="148"/>
      <c r="P990" s="148"/>
    </row>
    <row r="991">
      <c r="A991" s="326"/>
      <c r="B991" s="326"/>
      <c r="C991" s="326"/>
      <c r="O991" s="148"/>
      <c r="P991" s="148"/>
    </row>
    <row r="992">
      <c r="A992" s="326"/>
      <c r="B992" s="326"/>
      <c r="C992" s="326"/>
      <c r="O992" s="148"/>
      <c r="P992" s="148"/>
    </row>
    <row r="993">
      <c r="A993" s="326"/>
      <c r="B993" s="326"/>
      <c r="C993" s="326"/>
      <c r="O993" s="148"/>
      <c r="P993" s="148"/>
    </row>
    <row r="994">
      <c r="A994" s="326"/>
      <c r="B994" s="326"/>
      <c r="C994" s="326"/>
      <c r="O994" s="148"/>
      <c r="P994" s="148"/>
    </row>
    <row r="995">
      <c r="A995" s="326"/>
      <c r="B995" s="326"/>
      <c r="C995" s="326"/>
      <c r="O995" s="148"/>
      <c r="P995" s="148"/>
    </row>
    <row r="996">
      <c r="A996" s="326"/>
      <c r="B996" s="326"/>
      <c r="C996" s="326"/>
      <c r="O996" s="148"/>
      <c r="P996" s="148"/>
    </row>
    <row r="997">
      <c r="A997" s="326"/>
      <c r="B997" s="326"/>
      <c r="C997" s="326"/>
      <c r="O997" s="148"/>
      <c r="P997" s="148"/>
    </row>
    <row r="998">
      <c r="A998" s="326"/>
      <c r="B998" s="326"/>
      <c r="C998" s="326"/>
      <c r="O998" s="148"/>
      <c r="P998" s="148"/>
    </row>
    <row r="999">
      <c r="A999" s="326"/>
      <c r="B999" s="326"/>
      <c r="C999" s="326"/>
      <c r="O999" s="148"/>
      <c r="P999" s="148"/>
    </row>
  </sheetData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1.22" defaultRowHeight="15.0"/>
  <cols>
    <col customWidth="1" min="1" max="1" width="14.89"/>
    <col customWidth="1" min="3" max="3" width="12.78"/>
    <col customWidth="1" min="8" max="8" width="18.22"/>
  </cols>
  <sheetData>
    <row r="1">
      <c r="A1" s="456" t="s">
        <v>0</v>
      </c>
      <c r="B1" s="456" t="s">
        <v>914</v>
      </c>
      <c r="C1" s="456" t="s">
        <v>915</v>
      </c>
      <c r="D1" s="456" t="s">
        <v>916</v>
      </c>
      <c r="E1" s="456" t="s">
        <v>917</v>
      </c>
      <c r="F1" s="456"/>
      <c r="G1" s="456"/>
      <c r="H1" s="456" t="s">
        <v>918</v>
      </c>
      <c r="I1" s="456" t="s">
        <v>919</v>
      </c>
      <c r="J1" s="456" t="s">
        <v>920</v>
      </c>
      <c r="K1" s="456" t="s">
        <v>922</v>
      </c>
      <c r="L1" s="456" t="s">
        <v>953</v>
      </c>
      <c r="M1" s="454" t="s">
        <v>954</v>
      </c>
      <c r="N1" s="456" t="s">
        <v>7</v>
      </c>
    </row>
    <row r="2">
      <c r="A2" s="456" t="s">
        <v>927</v>
      </c>
      <c r="B2" s="456">
        <v>1.0</v>
      </c>
      <c r="C2" s="456">
        <v>921.0</v>
      </c>
      <c r="D2" s="456" t="s">
        <v>928</v>
      </c>
      <c r="E2" s="456">
        <v>0.0</v>
      </c>
      <c r="F2" s="456">
        <v>0.0</v>
      </c>
      <c r="G2" s="456">
        <v>0.0</v>
      </c>
      <c r="H2" s="457">
        <v>45553.65752314815</v>
      </c>
      <c r="I2" s="456">
        <v>2.278</v>
      </c>
      <c r="J2" s="456">
        <v>137.21</v>
      </c>
      <c r="K2" s="456">
        <v>1.0</v>
      </c>
      <c r="L2" s="456">
        <v>2.278</v>
      </c>
      <c r="M2" s="456">
        <v>2.278</v>
      </c>
      <c r="N2" s="74" t="s">
        <v>12</v>
      </c>
    </row>
    <row r="3">
      <c r="A3" s="456" t="s">
        <v>929</v>
      </c>
      <c r="B3" s="456">
        <v>2.0</v>
      </c>
      <c r="C3" s="456">
        <v>921.0</v>
      </c>
      <c r="D3" s="456" t="s">
        <v>930</v>
      </c>
      <c r="E3" s="456">
        <v>0.0</v>
      </c>
      <c r="F3" s="456">
        <v>0.0</v>
      </c>
      <c r="G3" s="456">
        <v>0.0</v>
      </c>
      <c r="H3" s="457">
        <v>45553.65844907407</v>
      </c>
      <c r="I3" s="456">
        <v>2.28</v>
      </c>
      <c r="J3" s="456">
        <v>137.33</v>
      </c>
      <c r="K3" s="456">
        <v>1.0</v>
      </c>
      <c r="L3" s="456">
        <v>2.28</v>
      </c>
      <c r="M3" s="456">
        <v>2.28</v>
      </c>
      <c r="N3" s="74" t="s">
        <v>12</v>
      </c>
    </row>
    <row r="4">
      <c r="A4" s="456">
        <v>2.22</v>
      </c>
      <c r="B4" s="456">
        <v>3.0</v>
      </c>
      <c r="C4" s="456">
        <v>921.0</v>
      </c>
      <c r="D4" s="456" t="s">
        <v>931</v>
      </c>
      <c r="E4" s="456">
        <v>0.0</v>
      </c>
      <c r="F4" s="456">
        <v>0.0</v>
      </c>
      <c r="G4" s="456">
        <v>0.0</v>
      </c>
      <c r="H4" s="457">
        <v>45553.659375</v>
      </c>
      <c r="I4" s="456">
        <v>2.279</v>
      </c>
      <c r="J4" s="456">
        <v>137.28</v>
      </c>
      <c r="K4" s="456">
        <v>1.0</v>
      </c>
      <c r="L4" s="456">
        <v>2.279</v>
      </c>
      <c r="M4" s="456">
        <v>2.279</v>
      </c>
      <c r="N4" s="74" t="s">
        <v>12</v>
      </c>
    </row>
    <row r="5">
      <c r="A5" s="456">
        <v>1.66</v>
      </c>
      <c r="B5" s="456">
        <v>4.0</v>
      </c>
      <c r="C5" s="456">
        <v>901.0</v>
      </c>
      <c r="D5" s="456" t="s">
        <v>931</v>
      </c>
      <c r="E5" s="456">
        <v>0.0</v>
      </c>
      <c r="F5" s="456">
        <v>0.0</v>
      </c>
      <c r="G5" s="456">
        <v>0.0</v>
      </c>
      <c r="H5" s="457">
        <v>45553.66030092593</v>
      </c>
      <c r="I5" s="456">
        <v>1.582</v>
      </c>
      <c r="J5" s="456">
        <v>100.54</v>
      </c>
      <c r="K5" s="456">
        <v>1.0</v>
      </c>
      <c r="L5" s="456">
        <v>1.582</v>
      </c>
      <c r="M5" s="456">
        <v>1.582</v>
      </c>
      <c r="N5" s="74" t="s">
        <v>12</v>
      </c>
    </row>
    <row r="6">
      <c r="A6" s="456">
        <v>1.11</v>
      </c>
      <c r="B6" s="456">
        <v>5.0</v>
      </c>
      <c r="C6" s="456">
        <v>902.0</v>
      </c>
      <c r="D6" s="456" t="s">
        <v>931</v>
      </c>
      <c r="E6" s="456">
        <v>0.0</v>
      </c>
      <c r="F6" s="456">
        <v>0.0</v>
      </c>
      <c r="G6" s="456">
        <v>0.0</v>
      </c>
      <c r="H6" s="457">
        <v>45553.66122685185</v>
      </c>
      <c r="I6" s="456">
        <v>1.119</v>
      </c>
      <c r="J6" s="456">
        <v>76.14</v>
      </c>
      <c r="K6" s="456">
        <v>1.0</v>
      </c>
      <c r="L6" s="456">
        <v>1.119</v>
      </c>
      <c r="M6" s="456">
        <v>1.119</v>
      </c>
      <c r="N6" s="74" t="s">
        <v>12</v>
      </c>
    </row>
    <row r="7">
      <c r="A7" s="456">
        <v>0.55</v>
      </c>
      <c r="B7" s="456">
        <v>6.0</v>
      </c>
      <c r="C7" s="456">
        <v>903.0</v>
      </c>
      <c r="D7" s="456" t="s">
        <v>931</v>
      </c>
      <c r="E7" s="456">
        <v>0.0</v>
      </c>
      <c r="F7" s="456">
        <v>0.0</v>
      </c>
      <c r="G7" s="456">
        <v>0.0</v>
      </c>
      <c r="H7" s="457">
        <v>45553.662152777775</v>
      </c>
      <c r="I7" s="456">
        <v>0.518</v>
      </c>
      <c r="J7" s="456">
        <v>44.43</v>
      </c>
      <c r="K7" s="456">
        <v>1.0</v>
      </c>
      <c r="L7" s="456">
        <v>0.518</v>
      </c>
      <c r="M7" s="456">
        <v>0.518</v>
      </c>
      <c r="N7" s="74" t="s">
        <v>12</v>
      </c>
    </row>
    <row r="8">
      <c r="A8" s="456">
        <v>0.22</v>
      </c>
      <c r="B8" s="456">
        <v>7.0</v>
      </c>
      <c r="C8" s="456">
        <v>904.0</v>
      </c>
      <c r="D8" s="456" t="s">
        <v>931</v>
      </c>
      <c r="E8" s="456">
        <v>0.0</v>
      </c>
      <c r="F8" s="456">
        <v>0.0</v>
      </c>
      <c r="G8" s="456">
        <v>0.0</v>
      </c>
      <c r="H8" s="457">
        <v>45553.66307870371</v>
      </c>
      <c r="I8" s="456">
        <v>0.241</v>
      </c>
      <c r="J8" s="456">
        <v>29.84</v>
      </c>
      <c r="K8" s="456">
        <v>1.0</v>
      </c>
      <c r="L8" s="456">
        <v>0.241</v>
      </c>
      <c r="M8" s="456">
        <v>0.241</v>
      </c>
      <c r="N8" s="74" t="s">
        <v>12</v>
      </c>
    </row>
    <row r="9">
      <c r="A9" s="456" t="s">
        <v>75</v>
      </c>
      <c r="B9" s="456">
        <v>8.0</v>
      </c>
      <c r="C9" s="456">
        <v>905.0</v>
      </c>
      <c r="D9" s="456" t="s">
        <v>931</v>
      </c>
      <c r="E9" s="456">
        <v>0.0</v>
      </c>
      <c r="F9" s="456">
        <v>0.0</v>
      </c>
      <c r="G9" s="456">
        <v>0.0</v>
      </c>
      <c r="H9" s="457">
        <v>45553.66400462963</v>
      </c>
      <c r="I9" s="456">
        <v>0.02</v>
      </c>
      <c r="J9" s="456">
        <v>18.21</v>
      </c>
      <c r="K9" s="456">
        <v>1.0</v>
      </c>
      <c r="L9" s="456">
        <v>0.02</v>
      </c>
      <c r="M9" s="456" t="s">
        <v>955</v>
      </c>
      <c r="N9" s="74" t="s">
        <v>12</v>
      </c>
    </row>
    <row r="10">
      <c r="A10" s="456" t="s">
        <v>934</v>
      </c>
      <c r="B10" s="456">
        <v>9.0</v>
      </c>
      <c r="C10" s="456">
        <v>0.0</v>
      </c>
      <c r="D10" s="456" t="s">
        <v>935</v>
      </c>
      <c r="E10" s="456">
        <v>0.0</v>
      </c>
      <c r="F10" s="456">
        <v>0.0</v>
      </c>
      <c r="G10" s="456">
        <v>0.0</v>
      </c>
      <c r="H10" s="457">
        <v>45553.664930555555</v>
      </c>
      <c r="I10" s="456">
        <v>-0.325</v>
      </c>
      <c r="J10" s="456">
        <v>0.0</v>
      </c>
      <c r="K10" s="456">
        <v>1.0</v>
      </c>
      <c r="L10" s="456">
        <v>-0.325</v>
      </c>
      <c r="M10" s="456" t="s">
        <v>955</v>
      </c>
      <c r="N10" s="74" t="s">
        <v>12</v>
      </c>
    </row>
    <row r="11">
      <c r="A11" s="456" t="s">
        <v>936</v>
      </c>
      <c r="B11" s="456">
        <v>10.0</v>
      </c>
      <c r="C11" s="456">
        <v>921.0</v>
      </c>
      <c r="D11" s="456" t="s">
        <v>937</v>
      </c>
      <c r="E11" s="456">
        <v>0.0</v>
      </c>
      <c r="F11" s="456">
        <v>1.0</v>
      </c>
      <c r="G11" s="456">
        <v>1.0</v>
      </c>
      <c r="H11" s="457">
        <v>45553.667708333334</v>
      </c>
      <c r="I11" s="456">
        <v>2.281</v>
      </c>
      <c r="J11" s="456">
        <v>137.35</v>
      </c>
      <c r="K11" s="456">
        <v>1.0</v>
      </c>
      <c r="L11" s="456">
        <v>2.281</v>
      </c>
      <c r="M11" s="456">
        <v>2.281</v>
      </c>
      <c r="N11" s="74" t="s">
        <v>12</v>
      </c>
    </row>
    <row r="12">
      <c r="A12" s="456" t="s">
        <v>938</v>
      </c>
      <c r="B12" s="456">
        <v>11.0</v>
      </c>
      <c r="C12" s="456">
        <v>904.0</v>
      </c>
      <c r="D12" s="456" t="s">
        <v>939</v>
      </c>
      <c r="E12" s="456">
        <v>0.0</v>
      </c>
      <c r="F12" s="456">
        <v>1.0</v>
      </c>
      <c r="G12" s="456">
        <v>2.0</v>
      </c>
      <c r="H12" s="457">
        <v>45553.66863425926</v>
      </c>
      <c r="I12" s="456">
        <v>0.237</v>
      </c>
      <c r="J12" s="456">
        <v>29.63</v>
      </c>
      <c r="K12" s="456">
        <v>1.0</v>
      </c>
      <c r="L12" s="456">
        <v>0.237</v>
      </c>
      <c r="M12" s="456">
        <v>0.237</v>
      </c>
      <c r="N12" s="74" t="s">
        <v>12</v>
      </c>
    </row>
    <row r="13">
      <c r="A13" s="456" t="s">
        <v>938</v>
      </c>
      <c r="B13" s="456">
        <v>12.0</v>
      </c>
      <c r="C13" s="456">
        <v>904.0</v>
      </c>
      <c r="D13" s="456" t="s">
        <v>939</v>
      </c>
      <c r="E13" s="456">
        <v>0.0</v>
      </c>
      <c r="F13" s="456">
        <v>1.0</v>
      </c>
      <c r="G13" s="456">
        <v>3.0</v>
      </c>
      <c r="H13" s="457">
        <v>45553.66956018518</v>
      </c>
      <c r="I13" s="456">
        <v>0.237</v>
      </c>
      <c r="J13" s="456">
        <v>29.63</v>
      </c>
      <c r="K13" s="456">
        <v>1.0</v>
      </c>
      <c r="L13" s="456">
        <v>0.237</v>
      </c>
      <c r="M13" s="456">
        <v>0.237</v>
      </c>
      <c r="N13" s="74" t="s">
        <v>12</v>
      </c>
    </row>
    <row r="14">
      <c r="A14" s="456" t="s">
        <v>75</v>
      </c>
      <c r="B14" s="456">
        <v>13.0</v>
      </c>
      <c r="C14" s="456">
        <v>905.0</v>
      </c>
      <c r="D14" s="456" t="s">
        <v>940</v>
      </c>
      <c r="E14" s="456">
        <v>0.0</v>
      </c>
      <c r="F14" s="456">
        <v>0.0</v>
      </c>
      <c r="G14" s="456">
        <v>1.0</v>
      </c>
      <c r="H14" s="457">
        <v>45553.670486111114</v>
      </c>
      <c r="I14" s="456">
        <v>0.019</v>
      </c>
      <c r="J14" s="456">
        <v>18.12</v>
      </c>
      <c r="K14" s="456">
        <v>1.0</v>
      </c>
      <c r="L14" s="456">
        <v>0.019</v>
      </c>
      <c r="M14" s="456" t="s">
        <v>955</v>
      </c>
      <c r="N14" s="74" t="s">
        <v>12</v>
      </c>
    </row>
    <row r="15">
      <c r="A15" s="456" t="s">
        <v>956</v>
      </c>
      <c r="B15" s="456">
        <v>14.0</v>
      </c>
      <c r="C15" s="456">
        <v>906.0</v>
      </c>
      <c r="D15" s="456" t="s">
        <v>942</v>
      </c>
      <c r="E15" s="456">
        <v>0.0</v>
      </c>
      <c r="F15" s="456">
        <v>0.0</v>
      </c>
      <c r="G15" s="456">
        <v>2.0</v>
      </c>
      <c r="H15" s="457">
        <v>45553.67141203704</v>
      </c>
      <c r="I15" s="456">
        <v>0.969</v>
      </c>
      <c r="J15" s="456">
        <v>68.19</v>
      </c>
      <c r="K15" s="456">
        <v>1.0</v>
      </c>
      <c r="L15" s="456">
        <v>0.969</v>
      </c>
      <c r="M15" s="456">
        <v>0.969</v>
      </c>
      <c r="N15" s="74" t="s">
        <v>12</v>
      </c>
    </row>
    <row r="16">
      <c r="A16" s="456" t="s">
        <v>957</v>
      </c>
      <c r="B16" s="456">
        <v>15.0</v>
      </c>
      <c r="C16" s="456">
        <v>907.0</v>
      </c>
      <c r="D16" s="456" t="s">
        <v>944</v>
      </c>
      <c r="E16" s="456">
        <v>0.0</v>
      </c>
      <c r="F16" s="456">
        <v>0.0</v>
      </c>
      <c r="G16" s="456">
        <v>0.0</v>
      </c>
      <c r="H16" s="457">
        <v>45553.67233796296</v>
      </c>
      <c r="I16" s="456">
        <v>1.816</v>
      </c>
      <c r="J16" s="456">
        <v>112.85</v>
      </c>
      <c r="K16" s="456">
        <v>1.0</v>
      </c>
      <c r="L16" s="456">
        <v>1.816</v>
      </c>
      <c r="M16" s="456">
        <v>1.816</v>
      </c>
      <c r="N16" s="74" t="s">
        <v>12</v>
      </c>
    </row>
    <row r="17">
      <c r="A17" s="456">
        <v>49.0</v>
      </c>
      <c r="B17" s="456">
        <v>16.0</v>
      </c>
      <c r="C17" s="456">
        <v>1.0</v>
      </c>
      <c r="D17" s="456" t="s">
        <v>940</v>
      </c>
      <c r="E17" s="456">
        <v>0.0</v>
      </c>
      <c r="F17" s="456">
        <v>0.0</v>
      </c>
      <c r="G17" s="456">
        <v>0.0</v>
      </c>
      <c r="H17" s="457">
        <v>45553.673263888886</v>
      </c>
      <c r="I17" s="456">
        <v>0.08</v>
      </c>
      <c r="J17" s="456">
        <v>21.38</v>
      </c>
      <c r="K17" s="456">
        <v>1.0</v>
      </c>
      <c r="L17" s="456">
        <v>0.08</v>
      </c>
      <c r="M17" s="456">
        <v>0.08</v>
      </c>
      <c r="N17" s="74" t="s">
        <v>12</v>
      </c>
    </row>
    <row r="18">
      <c r="A18" s="456">
        <v>88.0</v>
      </c>
      <c r="B18" s="456">
        <v>17.0</v>
      </c>
      <c r="C18" s="456">
        <v>2.0</v>
      </c>
      <c r="D18" s="456" t="s">
        <v>940</v>
      </c>
      <c r="E18" s="456">
        <v>0.0</v>
      </c>
      <c r="F18" s="456">
        <v>0.0</v>
      </c>
      <c r="G18" s="456">
        <v>0.0</v>
      </c>
      <c r="H18" s="457">
        <v>45553.67418981482</v>
      </c>
      <c r="I18" s="456">
        <v>0.104</v>
      </c>
      <c r="J18" s="456">
        <v>22.6</v>
      </c>
      <c r="K18" s="456">
        <v>1.0</v>
      </c>
      <c r="L18" s="456">
        <v>0.104</v>
      </c>
      <c r="M18" s="456">
        <v>0.104</v>
      </c>
      <c r="N18" s="74" t="s">
        <v>12</v>
      </c>
    </row>
    <row r="19">
      <c r="A19" s="456">
        <v>140.0</v>
      </c>
      <c r="B19" s="456">
        <v>18.0</v>
      </c>
      <c r="C19" s="456">
        <v>3.0</v>
      </c>
      <c r="D19" s="456" t="s">
        <v>940</v>
      </c>
      <c r="E19" s="456">
        <v>0.0</v>
      </c>
      <c r="F19" s="456">
        <v>0.0</v>
      </c>
      <c r="G19" s="456">
        <v>0.0</v>
      </c>
      <c r="H19" s="457">
        <v>45553.67511574074</v>
      </c>
      <c r="I19" s="456">
        <v>0.128</v>
      </c>
      <c r="J19" s="456">
        <v>23.86</v>
      </c>
      <c r="K19" s="456">
        <v>1.0</v>
      </c>
      <c r="L19" s="456">
        <v>0.128</v>
      </c>
      <c r="M19" s="456">
        <v>0.128</v>
      </c>
      <c r="N19" s="74" t="s">
        <v>12</v>
      </c>
    </row>
    <row r="20">
      <c r="A20" s="456">
        <v>127.0</v>
      </c>
      <c r="B20" s="456">
        <v>19.0</v>
      </c>
      <c r="C20" s="456">
        <v>4.0</v>
      </c>
      <c r="D20" s="456" t="s">
        <v>940</v>
      </c>
      <c r="E20" s="456">
        <v>0.0</v>
      </c>
      <c r="F20" s="456">
        <v>0.0</v>
      </c>
      <c r="G20" s="456">
        <v>0.0</v>
      </c>
      <c r="H20" s="457">
        <v>45553.676041666666</v>
      </c>
      <c r="I20" s="456">
        <v>0.092</v>
      </c>
      <c r="J20" s="456">
        <v>22.01</v>
      </c>
      <c r="K20" s="456">
        <v>1.0</v>
      </c>
      <c r="L20" s="456">
        <v>0.092</v>
      </c>
      <c r="M20" s="456">
        <v>0.092</v>
      </c>
      <c r="N20" s="74" t="s">
        <v>12</v>
      </c>
    </row>
    <row r="21">
      <c r="A21" s="456">
        <v>23.0</v>
      </c>
      <c r="B21" s="456">
        <v>20.0</v>
      </c>
      <c r="C21" s="456">
        <v>5.0</v>
      </c>
      <c r="D21" s="456" t="s">
        <v>940</v>
      </c>
      <c r="E21" s="456">
        <v>0.0</v>
      </c>
      <c r="F21" s="456">
        <v>0.0</v>
      </c>
      <c r="G21" s="456">
        <v>1.0</v>
      </c>
      <c r="H21" s="457">
        <v>45553.67696759259</v>
      </c>
      <c r="I21" s="456">
        <v>0.114</v>
      </c>
      <c r="J21" s="456">
        <v>23.17</v>
      </c>
      <c r="K21" s="456">
        <v>1.0</v>
      </c>
      <c r="L21" s="456">
        <v>0.114</v>
      </c>
      <c r="M21" s="456">
        <v>0.114</v>
      </c>
      <c r="N21" s="74" t="s">
        <v>12</v>
      </c>
    </row>
    <row r="22">
      <c r="A22" s="456">
        <v>62.0</v>
      </c>
      <c r="B22" s="456">
        <v>21.0</v>
      </c>
      <c r="C22" s="456">
        <v>6.0</v>
      </c>
      <c r="D22" s="456" t="s">
        <v>940</v>
      </c>
      <c r="E22" s="456">
        <v>0.0</v>
      </c>
      <c r="F22" s="456">
        <v>0.0</v>
      </c>
      <c r="G22" s="456">
        <v>0.0</v>
      </c>
      <c r="H22" s="457">
        <v>45553.67789351852</v>
      </c>
      <c r="I22" s="456">
        <v>0.078</v>
      </c>
      <c r="J22" s="456">
        <v>21.23</v>
      </c>
      <c r="K22" s="456">
        <v>1.0</v>
      </c>
      <c r="L22" s="456">
        <v>0.078</v>
      </c>
      <c r="M22" s="456">
        <v>0.078</v>
      </c>
      <c r="N22" s="74" t="s">
        <v>12</v>
      </c>
    </row>
    <row r="23">
      <c r="A23" s="456">
        <v>244.0</v>
      </c>
      <c r="B23" s="456">
        <v>22.0</v>
      </c>
      <c r="C23" s="456">
        <v>7.0</v>
      </c>
      <c r="D23" s="456" t="s">
        <v>940</v>
      </c>
      <c r="E23" s="456">
        <v>0.0</v>
      </c>
      <c r="F23" s="456">
        <v>0.0</v>
      </c>
      <c r="G23" s="456">
        <v>0.0</v>
      </c>
      <c r="H23" s="457">
        <v>45553.678819444445</v>
      </c>
      <c r="I23" s="456">
        <v>0.072</v>
      </c>
      <c r="J23" s="456">
        <v>20.92</v>
      </c>
      <c r="K23" s="456">
        <v>1.0</v>
      </c>
      <c r="L23" s="456">
        <v>0.072</v>
      </c>
      <c r="M23" s="456">
        <v>0.072</v>
      </c>
      <c r="N23" s="74" t="s">
        <v>12</v>
      </c>
    </row>
    <row r="24">
      <c r="A24" s="456">
        <v>75.0</v>
      </c>
      <c r="B24" s="456">
        <v>23.0</v>
      </c>
      <c r="C24" s="456">
        <v>8.0</v>
      </c>
      <c r="D24" s="456" t="s">
        <v>940</v>
      </c>
      <c r="E24" s="456">
        <v>0.0</v>
      </c>
      <c r="F24" s="456">
        <v>0.0</v>
      </c>
      <c r="G24" s="456">
        <v>0.0</v>
      </c>
      <c r="H24" s="457">
        <v>45553.67974537037</v>
      </c>
      <c r="I24" s="456">
        <v>0.071</v>
      </c>
      <c r="J24" s="456">
        <v>20.9</v>
      </c>
      <c r="K24" s="456">
        <v>1.0</v>
      </c>
      <c r="L24" s="456">
        <v>0.071</v>
      </c>
      <c r="M24" s="456">
        <v>0.071</v>
      </c>
      <c r="N24" s="74" t="s">
        <v>12</v>
      </c>
    </row>
    <row r="25">
      <c r="A25" s="456">
        <v>101.0</v>
      </c>
      <c r="B25" s="456">
        <v>24.0</v>
      </c>
      <c r="C25" s="456">
        <v>9.0</v>
      </c>
      <c r="D25" s="456" t="s">
        <v>940</v>
      </c>
      <c r="E25" s="456">
        <v>0.0</v>
      </c>
      <c r="F25" s="456">
        <v>0.0</v>
      </c>
      <c r="G25" s="456">
        <v>0.0</v>
      </c>
      <c r="H25" s="457">
        <v>45553.68067129629</v>
      </c>
      <c r="I25" s="456">
        <v>0.179</v>
      </c>
      <c r="J25" s="456">
        <v>26.57</v>
      </c>
      <c r="K25" s="456">
        <v>1.0</v>
      </c>
      <c r="L25" s="456">
        <v>0.179</v>
      </c>
      <c r="M25" s="456">
        <v>0.179</v>
      </c>
      <c r="N25" s="74" t="s">
        <v>12</v>
      </c>
    </row>
    <row r="26">
      <c r="A26" s="456">
        <v>179.0</v>
      </c>
      <c r="B26" s="456">
        <v>25.0</v>
      </c>
      <c r="C26" s="456">
        <v>10.0</v>
      </c>
      <c r="D26" s="456" t="s">
        <v>940</v>
      </c>
      <c r="E26" s="456">
        <v>0.0</v>
      </c>
      <c r="F26" s="456">
        <v>0.0</v>
      </c>
      <c r="G26" s="456">
        <v>1.0</v>
      </c>
      <c r="H26" s="457">
        <v>45553.681597222225</v>
      </c>
      <c r="I26" s="456">
        <v>0.051</v>
      </c>
      <c r="J26" s="456">
        <v>19.83</v>
      </c>
      <c r="K26" s="456">
        <v>1.0</v>
      </c>
      <c r="L26" s="456">
        <v>0.051</v>
      </c>
      <c r="M26" s="456">
        <v>0.051</v>
      </c>
      <c r="N26" s="74" t="s">
        <v>12</v>
      </c>
    </row>
    <row r="27">
      <c r="A27" s="456" t="s">
        <v>958</v>
      </c>
      <c r="B27" s="456">
        <v>26.0</v>
      </c>
      <c r="C27" s="456">
        <v>11.0</v>
      </c>
      <c r="D27" s="456" t="s">
        <v>942</v>
      </c>
      <c r="E27" s="456">
        <v>0.0</v>
      </c>
      <c r="F27" s="456">
        <v>0.0</v>
      </c>
      <c r="G27" s="456">
        <v>2.0</v>
      </c>
      <c r="H27" s="457">
        <v>45553.68252314815</v>
      </c>
      <c r="I27" s="456">
        <v>1.039</v>
      </c>
      <c r="J27" s="456">
        <v>71.88</v>
      </c>
      <c r="K27" s="456">
        <v>1.0</v>
      </c>
      <c r="L27" s="456">
        <v>1.039</v>
      </c>
      <c r="M27" s="456">
        <v>1.039</v>
      </c>
      <c r="N27" s="74" t="s">
        <v>12</v>
      </c>
    </row>
    <row r="28">
      <c r="A28" s="456" t="s">
        <v>957</v>
      </c>
      <c r="B28" s="456">
        <v>27.0</v>
      </c>
      <c r="C28" s="456">
        <v>907.0</v>
      </c>
      <c r="D28" s="456" t="s">
        <v>944</v>
      </c>
      <c r="E28" s="456">
        <v>0.0</v>
      </c>
      <c r="F28" s="456">
        <v>0.0</v>
      </c>
      <c r="G28" s="456">
        <v>0.0</v>
      </c>
      <c r="H28" s="457">
        <v>45553.68344907407</v>
      </c>
      <c r="I28" s="456">
        <v>1.815</v>
      </c>
      <c r="J28" s="456">
        <v>112.82</v>
      </c>
      <c r="K28" s="456">
        <v>1.0</v>
      </c>
      <c r="L28" s="456">
        <v>1.815</v>
      </c>
      <c r="M28" s="456">
        <v>1.815</v>
      </c>
      <c r="N28" s="74" t="s">
        <v>12</v>
      </c>
    </row>
    <row r="29">
      <c r="A29" s="456" t="s">
        <v>934</v>
      </c>
      <c r="B29" s="456">
        <v>28.0</v>
      </c>
      <c r="C29" s="456">
        <v>0.0</v>
      </c>
      <c r="D29" s="456" t="s">
        <v>935</v>
      </c>
      <c r="E29" s="456">
        <v>0.0</v>
      </c>
      <c r="F29" s="456">
        <v>0.0</v>
      </c>
      <c r="G29" s="456">
        <v>0.0</v>
      </c>
      <c r="H29" s="457">
        <v>45553.684375</v>
      </c>
      <c r="I29" s="456">
        <v>-0.325</v>
      </c>
      <c r="J29" s="456">
        <v>0.0</v>
      </c>
      <c r="K29" s="456">
        <v>1.0</v>
      </c>
      <c r="L29" s="456">
        <v>-0.325</v>
      </c>
      <c r="M29" s="456" t="s">
        <v>955</v>
      </c>
      <c r="N29" s="74" t="s">
        <v>12</v>
      </c>
    </row>
    <row r="30">
      <c r="A30" s="456">
        <v>218.0</v>
      </c>
      <c r="B30" s="456">
        <v>29.0</v>
      </c>
      <c r="C30" s="456">
        <v>12.0</v>
      </c>
      <c r="D30" s="456" t="s">
        <v>940</v>
      </c>
      <c r="E30" s="456">
        <v>0.0</v>
      </c>
      <c r="F30" s="456">
        <v>0.0</v>
      </c>
      <c r="G30" s="456">
        <v>0.0</v>
      </c>
      <c r="H30" s="457">
        <v>45553.68715277778</v>
      </c>
      <c r="I30" s="456">
        <v>0.047</v>
      </c>
      <c r="J30" s="456">
        <v>19.63</v>
      </c>
      <c r="K30" s="456">
        <v>1.0</v>
      </c>
      <c r="L30" s="456">
        <v>0.047</v>
      </c>
      <c r="M30" s="456">
        <v>0.047</v>
      </c>
      <c r="N30" s="74" t="s">
        <v>12</v>
      </c>
    </row>
    <row r="31">
      <c r="A31" s="456">
        <v>205.0</v>
      </c>
      <c r="B31" s="456">
        <v>30.0</v>
      </c>
      <c r="C31" s="456">
        <v>13.0</v>
      </c>
      <c r="D31" s="456" t="s">
        <v>940</v>
      </c>
      <c r="E31" s="456">
        <v>0.0</v>
      </c>
      <c r="F31" s="456">
        <v>0.0</v>
      </c>
      <c r="G31" s="456">
        <v>0.0</v>
      </c>
      <c r="H31" s="457">
        <v>45553.6880787037</v>
      </c>
      <c r="I31" s="456">
        <v>0.071</v>
      </c>
      <c r="J31" s="456">
        <v>20.9</v>
      </c>
      <c r="K31" s="456">
        <v>1.0</v>
      </c>
      <c r="L31" s="456">
        <v>0.071</v>
      </c>
      <c r="M31" s="456">
        <v>0.071</v>
      </c>
      <c r="N31" s="74" t="s">
        <v>12</v>
      </c>
    </row>
    <row r="32">
      <c r="A32" s="456">
        <v>166.0</v>
      </c>
      <c r="B32" s="456">
        <v>31.0</v>
      </c>
      <c r="C32" s="456">
        <v>14.0</v>
      </c>
      <c r="D32" s="456" t="s">
        <v>940</v>
      </c>
      <c r="E32" s="456">
        <v>0.0</v>
      </c>
      <c r="F32" s="456">
        <v>0.0</v>
      </c>
      <c r="G32" s="456">
        <v>0.0</v>
      </c>
      <c r="H32" s="457">
        <v>45553.68900462963</v>
      </c>
      <c r="I32" s="456">
        <v>0.102</v>
      </c>
      <c r="J32" s="456">
        <v>22.49</v>
      </c>
      <c r="K32" s="456">
        <v>1.0</v>
      </c>
      <c r="L32" s="456">
        <v>0.102</v>
      </c>
      <c r="M32" s="456">
        <v>0.102</v>
      </c>
      <c r="N32" s="74" t="s">
        <v>12</v>
      </c>
    </row>
    <row r="33">
      <c r="A33" s="456">
        <v>296.0</v>
      </c>
      <c r="B33" s="456">
        <v>32.0</v>
      </c>
      <c r="C33" s="456">
        <v>15.0</v>
      </c>
      <c r="D33" s="456" t="s">
        <v>940</v>
      </c>
      <c r="E33" s="456">
        <v>0.0</v>
      </c>
      <c r="F33" s="456">
        <v>0.0</v>
      </c>
      <c r="G33" s="456">
        <v>0.0</v>
      </c>
      <c r="H33" s="457">
        <v>45553.689930555556</v>
      </c>
      <c r="I33" s="456">
        <v>0.054</v>
      </c>
      <c r="J33" s="456">
        <v>19.99</v>
      </c>
      <c r="K33" s="456">
        <v>1.0</v>
      </c>
      <c r="L33" s="456">
        <v>0.054</v>
      </c>
      <c r="M33" s="456">
        <v>0.054</v>
      </c>
      <c r="N33" s="74" t="s">
        <v>12</v>
      </c>
    </row>
    <row r="34">
      <c r="A34" s="456">
        <v>270.0</v>
      </c>
      <c r="B34" s="456">
        <v>33.0</v>
      </c>
      <c r="C34" s="456">
        <v>16.0</v>
      </c>
      <c r="D34" s="456" t="s">
        <v>940</v>
      </c>
      <c r="E34" s="456">
        <v>0.0</v>
      </c>
      <c r="F34" s="456">
        <v>0.0</v>
      </c>
      <c r="G34" s="456">
        <v>1.0</v>
      </c>
      <c r="H34" s="457">
        <v>45553.69085648148</v>
      </c>
      <c r="I34" s="456">
        <v>0.119</v>
      </c>
      <c r="J34" s="456">
        <v>23.42</v>
      </c>
      <c r="K34" s="456">
        <v>1.0</v>
      </c>
      <c r="L34" s="456">
        <v>0.119</v>
      </c>
      <c r="M34" s="456">
        <v>0.119</v>
      </c>
      <c r="N34" s="74" t="s">
        <v>12</v>
      </c>
    </row>
    <row r="35">
      <c r="A35" s="456">
        <v>322.0</v>
      </c>
      <c r="B35" s="456">
        <v>34.0</v>
      </c>
      <c r="C35" s="456">
        <v>17.0</v>
      </c>
      <c r="D35" s="456" t="s">
        <v>940</v>
      </c>
      <c r="E35" s="456">
        <v>0.0</v>
      </c>
      <c r="F35" s="456">
        <v>0.0</v>
      </c>
      <c r="G35" s="456">
        <v>0.0</v>
      </c>
      <c r="H35" s="457">
        <v>45553.691782407404</v>
      </c>
      <c r="I35" s="456">
        <v>0.087</v>
      </c>
      <c r="J35" s="456">
        <v>21.72</v>
      </c>
      <c r="K35" s="456">
        <v>1.0</v>
      </c>
      <c r="L35" s="456">
        <v>0.087</v>
      </c>
      <c r="M35" s="456">
        <v>0.087</v>
      </c>
      <c r="N35" s="74" t="s">
        <v>12</v>
      </c>
    </row>
    <row r="36">
      <c r="A36" s="456">
        <v>114.0</v>
      </c>
      <c r="B36" s="456">
        <v>35.0</v>
      </c>
      <c r="C36" s="456">
        <v>18.0</v>
      </c>
      <c r="D36" s="456" t="s">
        <v>940</v>
      </c>
      <c r="E36" s="456">
        <v>0.0</v>
      </c>
      <c r="F36" s="456">
        <v>0.0</v>
      </c>
      <c r="G36" s="456">
        <v>0.0</v>
      </c>
      <c r="H36" s="457">
        <v>45553.692708333336</v>
      </c>
      <c r="I36" s="456">
        <v>0.114</v>
      </c>
      <c r="J36" s="456">
        <v>23.16</v>
      </c>
      <c r="K36" s="456">
        <v>1.0</v>
      </c>
      <c r="L36" s="456">
        <v>0.114</v>
      </c>
      <c r="M36" s="456">
        <v>0.114</v>
      </c>
      <c r="N36" s="74" t="s">
        <v>12</v>
      </c>
    </row>
    <row r="37">
      <c r="A37" s="456">
        <v>153.0</v>
      </c>
      <c r="B37" s="456">
        <v>36.0</v>
      </c>
      <c r="C37" s="456">
        <v>19.0</v>
      </c>
      <c r="D37" s="456" t="s">
        <v>940</v>
      </c>
      <c r="E37" s="456">
        <v>0.0</v>
      </c>
      <c r="F37" s="456">
        <v>0.0</v>
      </c>
      <c r="G37" s="456">
        <v>0.0</v>
      </c>
      <c r="H37" s="457">
        <v>45553.69363425926</v>
      </c>
      <c r="I37" s="456">
        <v>0.088</v>
      </c>
      <c r="J37" s="456">
        <v>21.75</v>
      </c>
      <c r="K37" s="456">
        <v>1.0</v>
      </c>
      <c r="L37" s="456">
        <v>0.088</v>
      </c>
      <c r="M37" s="456">
        <v>0.088</v>
      </c>
      <c r="N37" s="74" t="s">
        <v>12</v>
      </c>
    </row>
    <row r="38">
      <c r="A38" s="456">
        <v>283.0</v>
      </c>
      <c r="B38" s="456">
        <v>37.0</v>
      </c>
      <c r="C38" s="456">
        <v>20.0</v>
      </c>
      <c r="D38" s="456" t="s">
        <v>940</v>
      </c>
      <c r="E38" s="456">
        <v>0.0</v>
      </c>
      <c r="F38" s="456">
        <v>0.0</v>
      </c>
      <c r="G38" s="456">
        <v>0.0</v>
      </c>
      <c r="H38" s="457">
        <v>45553.694560185184</v>
      </c>
      <c r="I38" s="456">
        <v>0.155</v>
      </c>
      <c r="J38" s="456">
        <v>25.29</v>
      </c>
      <c r="K38" s="456">
        <v>1.0</v>
      </c>
      <c r="L38" s="456">
        <v>0.155</v>
      </c>
      <c r="M38" s="456">
        <v>0.155</v>
      </c>
      <c r="N38" s="74" t="s">
        <v>12</v>
      </c>
    </row>
    <row r="39">
      <c r="A39" s="456">
        <v>36.0</v>
      </c>
      <c r="B39" s="456">
        <v>38.0</v>
      </c>
      <c r="C39" s="456">
        <v>21.0</v>
      </c>
      <c r="D39" s="456" t="s">
        <v>940</v>
      </c>
      <c r="E39" s="456">
        <v>0.0</v>
      </c>
      <c r="F39" s="456">
        <v>0.0</v>
      </c>
      <c r="G39" s="456">
        <v>0.0</v>
      </c>
      <c r="H39" s="457">
        <v>45553.69548611111</v>
      </c>
      <c r="I39" s="456">
        <v>0.075</v>
      </c>
      <c r="J39" s="456">
        <v>21.11</v>
      </c>
      <c r="K39" s="456">
        <v>1.0</v>
      </c>
      <c r="L39" s="456">
        <v>0.075</v>
      </c>
      <c r="M39" s="456">
        <v>0.075</v>
      </c>
      <c r="N39" s="74" t="s">
        <v>12</v>
      </c>
    </row>
    <row r="40">
      <c r="A40" s="456" t="s">
        <v>959</v>
      </c>
      <c r="B40" s="456">
        <v>39.0</v>
      </c>
      <c r="C40" s="456">
        <v>22.0</v>
      </c>
      <c r="D40" s="456" t="s">
        <v>942</v>
      </c>
      <c r="E40" s="456">
        <v>0.0</v>
      </c>
      <c r="F40" s="456">
        <v>0.0</v>
      </c>
      <c r="G40" s="456">
        <v>1.0</v>
      </c>
      <c r="H40" s="457">
        <v>45553.69641203704</v>
      </c>
      <c r="I40" s="456">
        <v>1.07</v>
      </c>
      <c r="J40" s="456">
        <v>73.51</v>
      </c>
      <c r="K40" s="456">
        <v>1.0</v>
      </c>
      <c r="L40" s="456">
        <v>1.07</v>
      </c>
      <c r="M40" s="456">
        <v>1.07</v>
      </c>
      <c r="N40" s="74" t="s">
        <v>12</v>
      </c>
    </row>
    <row r="41">
      <c r="A41" s="456" t="s">
        <v>957</v>
      </c>
      <c r="B41" s="456">
        <v>40.0</v>
      </c>
      <c r="C41" s="456">
        <v>907.0</v>
      </c>
      <c r="D41" s="456" t="s">
        <v>944</v>
      </c>
      <c r="E41" s="456">
        <v>0.0</v>
      </c>
      <c r="F41" s="456">
        <v>0.0</v>
      </c>
      <c r="G41" s="456">
        <v>0.0</v>
      </c>
      <c r="H41" s="457">
        <v>45553.69733796296</v>
      </c>
      <c r="I41" s="456">
        <v>1.818</v>
      </c>
      <c r="J41" s="456">
        <v>112.94</v>
      </c>
      <c r="K41" s="456">
        <v>1.0</v>
      </c>
      <c r="L41" s="456">
        <v>1.818</v>
      </c>
      <c r="M41" s="456">
        <v>1.818</v>
      </c>
      <c r="N41" s="74" t="s">
        <v>12</v>
      </c>
    </row>
    <row r="42">
      <c r="A42" s="456" t="s">
        <v>934</v>
      </c>
      <c r="B42" s="456">
        <v>41.0</v>
      </c>
      <c r="C42" s="456">
        <v>0.0</v>
      </c>
      <c r="D42" s="456" t="s">
        <v>935</v>
      </c>
      <c r="E42" s="456">
        <v>0.0</v>
      </c>
      <c r="F42" s="456">
        <v>0.0</v>
      </c>
      <c r="G42" s="456">
        <v>0.0</v>
      </c>
      <c r="H42" s="457">
        <v>45553.69826388889</v>
      </c>
      <c r="I42" s="456">
        <v>-0.325</v>
      </c>
      <c r="J42" s="456">
        <v>0.0</v>
      </c>
      <c r="K42" s="456">
        <v>1.0</v>
      </c>
      <c r="L42" s="456">
        <v>-0.325</v>
      </c>
      <c r="M42" s="456" t="s">
        <v>955</v>
      </c>
      <c r="N42" s="74" t="s">
        <v>12</v>
      </c>
    </row>
    <row r="43">
      <c r="A43" s="456">
        <v>335.0</v>
      </c>
      <c r="B43" s="456">
        <v>42.0</v>
      </c>
      <c r="C43" s="456">
        <v>23.0</v>
      </c>
      <c r="D43" s="456" t="s">
        <v>940</v>
      </c>
      <c r="E43" s="456">
        <v>0.0</v>
      </c>
      <c r="F43" s="456">
        <v>0.0</v>
      </c>
      <c r="G43" s="456">
        <v>0.0</v>
      </c>
      <c r="H43" s="457">
        <v>45553.70104166667</v>
      </c>
      <c r="I43" s="456">
        <v>0.052</v>
      </c>
      <c r="J43" s="456">
        <v>19.86</v>
      </c>
      <c r="K43" s="456">
        <v>1.0</v>
      </c>
      <c r="L43" s="456">
        <v>0.052</v>
      </c>
      <c r="M43" s="456">
        <v>0.052</v>
      </c>
      <c r="N43" s="74" t="s">
        <v>12</v>
      </c>
    </row>
    <row r="44">
      <c r="A44" s="456">
        <v>192.0</v>
      </c>
      <c r="B44" s="456">
        <v>43.0</v>
      </c>
      <c r="C44" s="456">
        <v>24.0</v>
      </c>
      <c r="D44" s="456" t="s">
        <v>940</v>
      </c>
      <c r="E44" s="456">
        <v>0.0</v>
      </c>
      <c r="F44" s="456">
        <v>0.0</v>
      </c>
      <c r="G44" s="456">
        <v>0.0</v>
      </c>
      <c r="H44" s="457">
        <v>45553.70196759259</v>
      </c>
      <c r="I44" s="456">
        <v>0.074</v>
      </c>
      <c r="J44" s="456">
        <v>21.05</v>
      </c>
      <c r="K44" s="456">
        <v>1.0</v>
      </c>
      <c r="L44" s="456">
        <v>0.074</v>
      </c>
      <c r="M44" s="456">
        <v>0.074</v>
      </c>
      <c r="N44" s="74" t="s">
        <v>12</v>
      </c>
    </row>
    <row r="45">
      <c r="A45" s="456">
        <v>10.0</v>
      </c>
      <c r="B45" s="456">
        <v>44.0</v>
      </c>
      <c r="C45" s="456">
        <v>25.0</v>
      </c>
      <c r="D45" s="456" t="s">
        <v>940</v>
      </c>
      <c r="E45" s="456">
        <v>0.0</v>
      </c>
      <c r="F45" s="456">
        <v>0.0</v>
      </c>
      <c r="G45" s="456">
        <v>0.0</v>
      </c>
      <c r="H45" s="457">
        <v>45553.702893518515</v>
      </c>
      <c r="I45" s="456">
        <v>0.08</v>
      </c>
      <c r="J45" s="456">
        <v>21.36</v>
      </c>
      <c r="K45" s="456">
        <v>1.0</v>
      </c>
      <c r="L45" s="456">
        <v>0.08</v>
      </c>
      <c r="M45" s="456">
        <v>0.08</v>
      </c>
      <c r="N45" s="74" t="s">
        <v>12</v>
      </c>
    </row>
    <row r="46">
      <c r="A46" s="456" t="s">
        <v>960</v>
      </c>
      <c r="B46" s="456">
        <v>45.0</v>
      </c>
      <c r="C46" s="456">
        <v>26.0</v>
      </c>
      <c r="D46" s="456" t="s">
        <v>942</v>
      </c>
      <c r="E46" s="456">
        <v>0.0</v>
      </c>
      <c r="F46" s="456">
        <v>0.0</v>
      </c>
      <c r="G46" s="456">
        <v>1.0</v>
      </c>
      <c r="H46" s="457">
        <v>45553.70381944445</v>
      </c>
      <c r="I46" s="456">
        <v>1.042</v>
      </c>
      <c r="J46" s="456">
        <v>72.06</v>
      </c>
      <c r="K46" s="456">
        <v>1.0</v>
      </c>
      <c r="L46" s="456">
        <v>1.042</v>
      </c>
      <c r="M46" s="456">
        <v>1.042</v>
      </c>
      <c r="N46" s="74" t="s">
        <v>12</v>
      </c>
    </row>
    <row r="47">
      <c r="A47" s="456" t="s">
        <v>957</v>
      </c>
      <c r="B47" s="456">
        <v>46.0</v>
      </c>
      <c r="C47" s="456">
        <v>907.0</v>
      </c>
      <c r="D47" s="456" t="s">
        <v>944</v>
      </c>
      <c r="E47" s="456">
        <v>0.0</v>
      </c>
      <c r="F47" s="456">
        <v>0.0</v>
      </c>
      <c r="G47" s="456">
        <v>0.0</v>
      </c>
      <c r="H47" s="457">
        <v>45553.70474537037</v>
      </c>
      <c r="I47" s="456">
        <v>1.817</v>
      </c>
      <c r="J47" s="456">
        <v>112.89</v>
      </c>
      <c r="K47" s="456">
        <v>1.0</v>
      </c>
      <c r="L47" s="456">
        <v>1.817</v>
      </c>
      <c r="M47" s="456">
        <v>1.817</v>
      </c>
      <c r="N47" s="74" t="s">
        <v>12</v>
      </c>
    </row>
    <row r="48">
      <c r="A48" s="456" t="s">
        <v>934</v>
      </c>
      <c r="B48" s="456">
        <v>47.0</v>
      </c>
      <c r="C48" s="456">
        <v>0.0</v>
      </c>
      <c r="D48" s="456" t="s">
        <v>935</v>
      </c>
      <c r="E48" s="456">
        <v>0.0</v>
      </c>
      <c r="F48" s="456">
        <v>0.0</v>
      </c>
      <c r="G48" s="456">
        <v>0.0</v>
      </c>
      <c r="H48" s="457">
        <v>45553.705671296295</v>
      </c>
      <c r="I48" s="456">
        <v>-0.325</v>
      </c>
      <c r="J48" s="456">
        <v>0.0</v>
      </c>
      <c r="K48" s="456">
        <v>1.0</v>
      </c>
      <c r="L48" s="456">
        <v>-0.325</v>
      </c>
      <c r="M48" s="456" t="s">
        <v>955</v>
      </c>
      <c r="N48" s="74" t="s">
        <v>12</v>
      </c>
    </row>
    <row r="49">
      <c r="A49" s="456" t="s">
        <v>75</v>
      </c>
      <c r="B49" s="456">
        <v>48.0</v>
      </c>
      <c r="C49" s="456">
        <v>905.0</v>
      </c>
      <c r="D49" s="456" t="s">
        <v>940</v>
      </c>
      <c r="E49" s="456">
        <v>0.0</v>
      </c>
      <c r="F49" s="456">
        <v>0.0</v>
      </c>
      <c r="G49" s="456">
        <v>0.0</v>
      </c>
      <c r="H49" s="457">
        <v>45553.708449074074</v>
      </c>
      <c r="I49" s="456">
        <v>0.023</v>
      </c>
      <c r="J49" s="456">
        <v>18.36</v>
      </c>
      <c r="K49" s="456">
        <v>1.0</v>
      </c>
      <c r="L49" s="456">
        <v>0.023</v>
      </c>
      <c r="M49" s="456" t="s">
        <v>955</v>
      </c>
      <c r="N49" s="74" t="s">
        <v>12</v>
      </c>
    </row>
    <row r="50">
      <c r="A50" s="456" t="s">
        <v>75</v>
      </c>
      <c r="B50" s="456">
        <v>49.0</v>
      </c>
      <c r="C50" s="456">
        <v>905.0</v>
      </c>
      <c r="D50" s="456" t="s">
        <v>940</v>
      </c>
      <c r="E50" s="456">
        <v>0.0</v>
      </c>
      <c r="F50" s="456">
        <v>0.0</v>
      </c>
      <c r="G50" s="456">
        <v>0.0</v>
      </c>
      <c r="H50" s="457">
        <v>45553.709375</v>
      </c>
      <c r="I50" s="456">
        <v>0.021</v>
      </c>
      <c r="J50" s="456">
        <v>18.25</v>
      </c>
      <c r="K50" s="456">
        <v>1.0</v>
      </c>
      <c r="L50" s="456">
        <v>0.021</v>
      </c>
      <c r="M50" s="456" t="s">
        <v>955</v>
      </c>
      <c r="N50" s="74" t="s">
        <v>12</v>
      </c>
    </row>
    <row r="51">
      <c r="A51" s="456" t="s">
        <v>75</v>
      </c>
      <c r="B51" s="456">
        <v>50.0</v>
      </c>
      <c r="C51" s="456">
        <v>905.0</v>
      </c>
      <c r="D51" s="456" t="s">
        <v>940</v>
      </c>
      <c r="E51" s="456">
        <v>0.0</v>
      </c>
      <c r="F51" s="456">
        <v>0.0</v>
      </c>
      <c r="G51" s="456">
        <v>0.0</v>
      </c>
      <c r="H51" s="457">
        <v>45553.71030092592</v>
      </c>
      <c r="I51" s="456">
        <v>0.018</v>
      </c>
      <c r="J51" s="456">
        <v>18.1</v>
      </c>
      <c r="K51" s="456">
        <v>1.0</v>
      </c>
      <c r="L51" s="456">
        <v>0.018</v>
      </c>
      <c r="M51" s="456" t="s">
        <v>955</v>
      </c>
      <c r="N51" s="74" t="s">
        <v>12</v>
      </c>
    </row>
    <row r="52">
      <c r="A52" s="456" t="s">
        <v>75</v>
      </c>
      <c r="B52" s="456">
        <v>51.0</v>
      </c>
      <c r="C52" s="456">
        <v>905.0</v>
      </c>
      <c r="D52" s="456" t="s">
        <v>940</v>
      </c>
      <c r="E52" s="456">
        <v>0.0</v>
      </c>
      <c r="F52" s="456">
        <v>0.0</v>
      </c>
      <c r="G52" s="456">
        <v>0.0</v>
      </c>
      <c r="H52" s="457">
        <v>45553.711226851854</v>
      </c>
      <c r="I52" s="456">
        <v>0.021</v>
      </c>
      <c r="J52" s="456">
        <v>18.22</v>
      </c>
      <c r="K52" s="456">
        <v>1.0</v>
      </c>
      <c r="L52" s="456">
        <v>0.021</v>
      </c>
      <c r="M52" s="456" t="s">
        <v>955</v>
      </c>
      <c r="N52" s="74" t="s">
        <v>12</v>
      </c>
    </row>
    <row r="53">
      <c r="A53" s="456" t="s">
        <v>75</v>
      </c>
      <c r="B53" s="456">
        <v>52.0</v>
      </c>
      <c r="C53" s="456">
        <v>905.0</v>
      </c>
      <c r="D53" s="456" t="s">
        <v>940</v>
      </c>
      <c r="E53" s="456">
        <v>0.0</v>
      </c>
      <c r="F53" s="456">
        <v>0.0</v>
      </c>
      <c r="G53" s="456">
        <v>0.0</v>
      </c>
      <c r="H53" s="457">
        <v>45553.71215277778</v>
      </c>
      <c r="I53" s="456">
        <v>0.018</v>
      </c>
      <c r="J53" s="456">
        <v>18.07</v>
      </c>
      <c r="K53" s="456">
        <v>1.0</v>
      </c>
      <c r="L53" s="456">
        <v>0.018</v>
      </c>
      <c r="M53" s="456" t="s">
        <v>955</v>
      </c>
      <c r="N53" s="74" t="s">
        <v>12</v>
      </c>
    </row>
    <row r="54">
      <c r="A54" s="456" t="s">
        <v>75</v>
      </c>
      <c r="B54" s="456">
        <v>53.0</v>
      </c>
      <c r="C54" s="456">
        <v>905.0</v>
      </c>
      <c r="D54" s="456" t="s">
        <v>940</v>
      </c>
      <c r="E54" s="456">
        <v>0.0</v>
      </c>
      <c r="F54" s="456">
        <v>0.0</v>
      </c>
      <c r="G54" s="456">
        <v>0.0</v>
      </c>
      <c r="H54" s="457">
        <v>45553.7130787037</v>
      </c>
      <c r="I54" s="456">
        <v>0.017</v>
      </c>
      <c r="J54" s="456">
        <v>18.01</v>
      </c>
      <c r="K54" s="456">
        <v>1.0</v>
      </c>
      <c r="L54" s="456">
        <v>0.017</v>
      </c>
      <c r="M54" s="456" t="s">
        <v>955</v>
      </c>
      <c r="N54" s="74" t="s">
        <v>12</v>
      </c>
    </row>
    <row r="55">
      <c r="A55" s="456" t="s">
        <v>75</v>
      </c>
      <c r="B55" s="456">
        <v>54.0</v>
      </c>
      <c r="C55" s="456">
        <v>905.0</v>
      </c>
      <c r="D55" s="456" t="s">
        <v>940</v>
      </c>
      <c r="E55" s="456">
        <v>0.0</v>
      </c>
      <c r="F55" s="456">
        <v>0.0</v>
      </c>
      <c r="G55" s="456">
        <v>0.0</v>
      </c>
      <c r="H55" s="457">
        <v>45553.714004629626</v>
      </c>
      <c r="I55" s="456">
        <v>0.016</v>
      </c>
      <c r="J55" s="456">
        <v>18.0</v>
      </c>
      <c r="K55" s="456">
        <v>1.0</v>
      </c>
      <c r="L55" s="456">
        <v>0.016</v>
      </c>
      <c r="M55" s="456" t="s">
        <v>955</v>
      </c>
      <c r="N55" s="74" t="s">
        <v>12</v>
      </c>
    </row>
    <row r="56">
      <c r="A56" s="456" t="s">
        <v>75</v>
      </c>
      <c r="B56" s="456">
        <v>55.0</v>
      </c>
      <c r="C56" s="456">
        <v>905.0</v>
      </c>
      <c r="D56" s="456" t="s">
        <v>940</v>
      </c>
      <c r="E56" s="456">
        <v>0.0</v>
      </c>
      <c r="F56" s="456">
        <v>0.0</v>
      </c>
      <c r="G56" s="456">
        <v>0.0</v>
      </c>
      <c r="H56" s="457">
        <v>45553.71493055556</v>
      </c>
      <c r="I56" s="456">
        <v>0.018</v>
      </c>
      <c r="J56" s="456">
        <v>18.1</v>
      </c>
      <c r="K56" s="456">
        <v>1.0</v>
      </c>
      <c r="L56" s="456">
        <v>0.018</v>
      </c>
      <c r="M56" s="456" t="s">
        <v>955</v>
      </c>
      <c r="N56" s="74" t="s">
        <v>12</v>
      </c>
    </row>
    <row r="57">
      <c r="A57" s="456" t="s">
        <v>75</v>
      </c>
      <c r="B57" s="456">
        <v>56.0</v>
      </c>
      <c r="C57" s="456">
        <v>905.0</v>
      </c>
      <c r="D57" s="456" t="s">
        <v>940</v>
      </c>
      <c r="E57" s="456">
        <v>0.0</v>
      </c>
      <c r="F57" s="456">
        <v>0.0</v>
      </c>
      <c r="G57" s="456">
        <v>0.0</v>
      </c>
      <c r="H57" s="457">
        <v>45553.71585648148</v>
      </c>
      <c r="I57" s="456">
        <v>0.018</v>
      </c>
      <c r="J57" s="456">
        <v>18.1</v>
      </c>
      <c r="K57" s="456">
        <v>1.0</v>
      </c>
      <c r="L57" s="456">
        <v>0.018</v>
      </c>
      <c r="M57" s="456" t="s">
        <v>955</v>
      </c>
      <c r="N57" s="74" t="s">
        <v>12</v>
      </c>
    </row>
    <row r="58">
      <c r="A58" s="456" t="s">
        <v>75</v>
      </c>
      <c r="B58" s="456">
        <v>57.0</v>
      </c>
      <c r="C58" s="456">
        <v>905.0</v>
      </c>
      <c r="D58" s="456" t="s">
        <v>940</v>
      </c>
      <c r="E58" s="456">
        <v>0.0</v>
      </c>
      <c r="F58" s="456">
        <v>0.0</v>
      </c>
      <c r="G58" s="456">
        <v>0.0</v>
      </c>
      <c r="H58" s="457">
        <v>45553.716782407406</v>
      </c>
      <c r="I58" s="456">
        <v>0.016</v>
      </c>
      <c r="J58" s="456">
        <v>17.97</v>
      </c>
      <c r="K58" s="456">
        <v>1.0</v>
      </c>
      <c r="L58" s="456">
        <v>0.016</v>
      </c>
      <c r="M58" s="456" t="s">
        <v>955</v>
      </c>
      <c r="N58" s="74" t="s">
        <v>12</v>
      </c>
    </row>
    <row r="59">
      <c r="A59" s="456" t="s">
        <v>941</v>
      </c>
      <c r="B59" s="456">
        <v>58.0</v>
      </c>
      <c r="C59" s="456">
        <v>906.0</v>
      </c>
      <c r="D59" s="456" t="s">
        <v>942</v>
      </c>
      <c r="E59" s="456">
        <v>0.0</v>
      </c>
      <c r="F59" s="456">
        <v>0.0</v>
      </c>
      <c r="G59" s="456">
        <v>1.0</v>
      </c>
      <c r="H59" s="457">
        <v>45553.71770833333</v>
      </c>
      <c r="I59" s="456">
        <v>0.963</v>
      </c>
      <c r="J59" s="456">
        <v>67.91</v>
      </c>
      <c r="K59" s="456">
        <v>1.0</v>
      </c>
      <c r="L59" s="456">
        <v>0.963</v>
      </c>
      <c r="M59" s="456">
        <v>0.963</v>
      </c>
      <c r="N59" s="74" t="s">
        <v>12</v>
      </c>
    </row>
    <row r="60">
      <c r="A60" s="456" t="s">
        <v>957</v>
      </c>
      <c r="B60" s="456">
        <v>59.0</v>
      </c>
      <c r="C60" s="456">
        <v>907.0</v>
      </c>
      <c r="D60" s="456" t="s">
        <v>944</v>
      </c>
      <c r="E60" s="456">
        <v>0.0</v>
      </c>
      <c r="F60" s="456">
        <v>0.0</v>
      </c>
      <c r="G60" s="456">
        <v>0.0</v>
      </c>
      <c r="H60" s="457">
        <v>45553.71863425926</v>
      </c>
      <c r="I60" s="456">
        <v>1.813</v>
      </c>
      <c r="J60" s="456">
        <v>112.7</v>
      </c>
      <c r="K60" s="456">
        <v>1.0</v>
      </c>
      <c r="L60" s="456">
        <v>1.813</v>
      </c>
      <c r="M60" s="456">
        <v>1.813</v>
      </c>
      <c r="N60" s="74" t="s">
        <v>12</v>
      </c>
    </row>
    <row r="61">
      <c r="A61" s="456" t="s">
        <v>934</v>
      </c>
      <c r="B61" s="456">
        <v>60.0</v>
      </c>
      <c r="C61" s="456">
        <v>0.0</v>
      </c>
      <c r="D61" s="456" t="s">
        <v>935</v>
      </c>
      <c r="E61" s="456">
        <v>0.0</v>
      </c>
      <c r="F61" s="456">
        <v>0.0</v>
      </c>
      <c r="G61" s="456">
        <v>0.0</v>
      </c>
      <c r="H61" s="457">
        <v>45553.719560185185</v>
      </c>
      <c r="I61" s="456">
        <v>-0.325</v>
      </c>
      <c r="J61" s="456">
        <v>0.0</v>
      </c>
      <c r="K61" s="456">
        <v>1.0</v>
      </c>
      <c r="L61" s="456">
        <v>-0.325</v>
      </c>
      <c r="M61" s="456" t="s">
        <v>955</v>
      </c>
      <c r="N61" s="74" t="s">
        <v>12</v>
      </c>
    </row>
    <row r="62">
      <c r="A62" s="456" t="s">
        <v>929</v>
      </c>
      <c r="B62" s="456">
        <v>61.0</v>
      </c>
      <c r="C62" s="456">
        <v>921.0</v>
      </c>
      <c r="D62" s="456" t="s">
        <v>930</v>
      </c>
      <c r="E62" s="456">
        <v>0.0</v>
      </c>
      <c r="F62" s="456">
        <v>0.0</v>
      </c>
      <c r="G62" s="456">
        <v>0.0</v>
      </c>
      <c r="H62" s="457">
        <v>45553.722337962965</v>
      </c>
      <c r="I62" s="456">
        <v>2.28</v>
      </c>
      <c r="J62" s="456">
        <v>137.33</v>
      </c>
      <c r="K62" s="456">
        <v>1.0</v>
      </c>
      <c r="L62" s="456">
        <v>2.28</v>
      </c>
      <c r="M62" s="456">
        <v>2.28</v>
      </c>
      <c r="N62" s="74" t="s">
        <v>12</v>
      </c>
    </row>
    <row r="63">
      <c r="A63" s="456" t="s">
        <v>951</v>
      </c>
      <c r="B63" s="456">
        <v>62.0</v>
      </c>
      <c r="C63" s="456">
        <v>0.0</v>
      </c>
      <c r="D63" s="456" t="s">
        <v>952</v>
      </c>
      <c r="E63" s="456">
        <v>0.0</v>
      </c>
      <c r="F63" s="456">
        <v>0.0</v>
      </c>
      <c r="G63" s="456">
        <v>0.0</v>
      </c>
      <c r="H63" s="457">
        <v>45553.72326388889</v>
      </c>
      <c r="I63" s="456">
        <v>-0.325</v>
      </c>
      <c r="J63" s="456">
        <v>0.0</v>
      </c>
      <c r="K63" s="456">
        <v>1.0</v>
      </c>
      <c r="L63" s="456">
        <v>-0.325</v>
      </c>
      <c r="M63" s="456" t="s">
        <v>955</v>
      </c>
      <c r="N63" s="74" t="s">
        <v>12</v>
      </c>
    </row>
    <row r="64">
      <c r="A64" s="465" t="s">
        <v>927</v>
      </c>
      <c r="B64" s="465">
        <v>1.0</v>
      </c>
      <c r="C64" s="465">
        <v>921.0</v>
      </c>
      <c r="D64" s="465" t="s">
        <v>928</v>
      </c>
      <c r="E64" s="465">
        <v>0.0</v>
      </c>
      <c r="F64" s="465">
        <v>0.0</v>
      </c>
      <c r="G64" s="465">
        <v>0.0</v>
      </c>
      <c r="H64" s="466">
        <v>45560.53769675926</v>
      </c>
      <c r="I64" s="465">
        <v>2.293</v>
      </c>
      <c r="J64" s="465">
        <v>114.65</v>
      </c>
      <c r="K64" s="465">
        <v>1.0</v>
      </c>
      <c r="L64" s="465">
        <v>2.293</v>
      </c>
      <c r="M64" s="465">
        <v>2.293</v>
      </c>
      <c r="N64" s="467" t="s">
        <v>12</v>
      </c>
    </row>
    <row r="65">
      <c r="A65" s="465" t="s">
        <v>929</v>
      </c>
      <c r="B65" s="465">
        <v>2.0</v>
      </c>
      <c r="C65" s="465">
        <v>921.0</v>
      </c>
      <c r="D65" s="465" t="s">
        <v>930</v>
      </c>
      <c r="E65" s="465">
        <v>0.0</v>
      </c>
      <c r="F65" s="465">
        <v>0.0</v>
      </c>
      <c r="G65" s="465">
        <v>0.0</v>
      </c>
      <c r="H65" s="466">
        <v>45560.538622685184</v>
      </c>
      <c r="I65" s="465">
        <v>2.275</v>
      </c>
      <c r="J65" s="465">
        <v>113.71</v>
      </c>
      <c r="K65" s="465">
        <v>1.0</v>
      </c>
      <c r="L65" s="465">
        <v>2.275</v>
      </c>
      <c r="M65" s="465">
        <v>2.275</v>
      </c>
      <c r="N65" s="467" t="s">
        <v>12</v>
      </c>
    </row>
    <row r="66">
      <c r="A66" s="465">
        <v>2.22</v>
      </c>
      <c r="B66" s="465">
        <v>3.0</v>
      </c>
      <c r="C66" s="465">
        <v>921.0</v>
      </c>
      <c r="D66" s="465" t="s">
        <v>931</v>
      </c>
      <c r="E66" s="465">
        <v>0.0</v>
      </c>
      <c r="F66" s="465">
        <v>0.0</v>
      </c>
      <c r="G66" s="465">
        <v>0.0</v>
      </c>
      <c r="H66" s="466">
        <v>45560.53954861111</v>
      </c>
      <c r="I66" s="465">
        <v>2.276</v>
      </c>
      <c r="J66" s="465">
        <v>113.76</v>
      </c>
      <c r="K66" s="465">
        <v>1.0</v>
      </c>
      <c r="L66" s="465">
        <v>2.276</v>
      </c>
      <c r="M66" s="465">
        <v>2.276</v>
      </c>
      <c r="N66" s="467" t="s">
        <v>12</v>
      </c>
    </row>
    <row r="67">
      <c r="A67" s="465">
        <v>1.66</v>
      </c>
      <c r="B67" s="465">
        <v>4.0</v>
      </c>
      <c r="C67" s="465">
        <v>901.0</v>
      </c>
      <c r="D67" s="465" t="s">
        <v>931</v>
      </c>
      <c r="E67" s="465">
        <v>0.0</v>
      </c>
      <c r="F67" s="465">
        <v>0.0</v>
      </c>
      <c r="G67" s="465">
        <v>0.0</v>
      </c>
      <c r="H67" s="466">
        <v>45560.54047453704</v>
      </c>
      <c r="I67" s="465">
        <v>1.578</v>
      </c>
      <c r="J67" s="465">
        <v>76.98</v>
      </c>
      <c r="K67" s="465">
        <v>1.0</v>
      </c>
      <c r="L67" s="465">
        <v>1.578</v>
      </c>
      <c r="M67" s="465">
        <v>1.578</v>
      </c>
      <c r="N67" s="467" t="s">
        <v>12</v>
      </c>
    </row>
    <row r="68">
      <c r="A68" s="465">
        <v>1.11</v>
      </c>
      <c r="B68" s="465">
        <v>5.0</v>
      </c>
      <c r="C68" s="465">
        <v>902.0</v>
      </c>
      <c r="D68" s="465" t="s">
        <v>931</v>
      </c>
      <c r="E68" s="465">
        <v>0.0</v>
      </c>
      <c r="F68" s="465">
        <v>0.0</v>
      </c>
      <c r="G68" s="465">
        <v>0.0</v>
      </c>
      <c r="H68" s="466">
        <v>45560.541400462964</v>
      </c>
      <c r="I68" s="465">
        <v>1.128</v>
      </c>
      <c r="J68" s="465">
        <v>53.26</v>
      </c>
      <c r="K68" s="465">
        <v>1.0</v>
      </c>
      <c r="L68" s="465">
        <v>1.128</v>
      </c>
      <c r="M68" s="465">
        <v>1.128</v>
      </c>
      <c r="N68" s="467" t="s">
        <v>12</v>
      </c>
    </row>
    <row r="69">
      <c r="A69" s="465">
        <v>0.55</v>
      </c>
      <c r="B69" s="465">
        <v>6.0</v>
      </c>
      <c r="C69" s="465">
        <v>903.0</v>
      </c>
      <c r="D69" s="465" t="s">
        <v>931</v>
      </c>
      <c r="E69" s="465">
        <v>0.0</v>
      </c>
      <c r="F69" s="465">
        <v>0.0</v>
      </c>
      <c r="G69" s="465">
        <v>0.0</v>
      </c>
      <c r="H69" s="466">
        <v>45560.54232638889</v>
      </c>
      <c r="I69" s="465">
        <v>0.523</v>
      </c>
      <c r="J69" s="465">
        <v>21.39</v>
      </c>
      <c r="K69" s="465">
        <v>1.0</v>
      </c>
      <c r="L69" s="465">
        <v>0.523</v>
      </c>
      <c r="M69" s="465">
        <v>0.523</v>
      </c>
      <c r="N69" s="467" t="s">
        <v>12</v>
      </c>
    </row>
    <row r="70">
      <c r="A70" s="465">
        <v>0.22</v>
      </c>
      <c r="B70" s="465">
        <v>7.0</v>
      </c>
      <c r="C70" s="465">
        <v>904.0</v>
      </c>
      <c r="D70" s="465" t="s">
        <v>931</v>
      </c>
      <c r="E70" s="465">
        <v>0.0</v>
      </c>
      <c r="F70" s="465">
        <v>0.0</v>
      </c>
      <c r="G70" s="465">
        <v>0.0</v>
      </c>
      <c r="H70" s="466">
        <v>45560.54325231481</v>
      </c>
      <c r="I70" s="465">
        <v>0.251</v>
      </c>
      <c r="J70" s="465">
        <v>7.11</v>
      </c>
      <c r="K70" s="465">
        <v>1.0</v>
      </c>
      <c r="L70" s="465">
        <v>0.251</v>
      </c>
      <c r="M70" s="465">
        <v>0.251</v>
      </c>
      <c r="N70" s="467" t="s">
        <v>12</v>
      </c>
    </row>
    <row r="71">
      <c r="A71" s="465" t="s">
        <v>75</v>
      </c>
      <c r="B71" s="465">
        <v>8.0</v>
      </c>
      <c r="C71" s="465">
        <v>905.0</v>
      </c>
      <c r="D71" s="465" t="s">
        <v>931</v>
      </c>
      <c r="E71" s="465">
        <v>0.0</v>
      </c>
      <c r="F71" s="465">
        <v>0.0</v>
      </c>
      <c r="G71" s="465">
        <v>0.0</v>
      </c>
      <c r="H71" s="466">
        <v>45560.54417824074</v>
      </c>
      <c r="I71" s="465">
        <v>0.004</v>
      </c>
      <c r="J71" s="465">
        <v>-5.9</v>
      </c>
      <c r="K71" s="465">
        <v>1.0</v>
      </c>
      <c r="L71" s="465">
        <v>0.004</v>
      </c>
      <c r="M71" s="465" t="s">
        <v>961</v>
      </c>
      <c r="N71" s="467" t="s">
        <v>12</v>
      </c>
    </row>
    <row r="72">
      <c r="A72" s="465" t="s">
        <v>934</v>
      </c>
      <c r="B72" s="465">
        <v>9.0</v>
      </c>
      <c r="C72" s="465">
        <v>0.0</v>
      </c>
      <c r="D72" s="465" t="s">
        <v>935</v>
      </c>
      <c r="E72" s="465">
        <v>0.0</v>
      </c>
      <c r="F72" s="465">
        <v>0.0</v>
      </c>
      <c r="G72" s="465">
        <v>0.0</v>
      </c>
      <c r="H72" s="466">
        <v>45560.54510416667</v>
      </c>
      <c r="I72" s="465">
        <v>0.116</v>
      </c>
      <c r="J72" s="465">
        <v>0.0</v>
      </c>
      <c r="K72" s="465">
        <v>1.0</v>
      </c>
      <c r="L72" s="465">
        <v>0.116</v>
      </c>
      <c r="M72" s="465">
        <v>0.116</v>
      </c>
      <c r="N72" s="467" t="s">
        <v>12</v>
      </c>
    </row>
    <row r="73">
      <c r="A73" s="465" t="s">
        <v>936</v>
      </c>
      <c r="B73" s="465">
        <v>10.0</v>
      </c>
      <c r="C73" s="465">
        <v>921.0</v>
      </c>
      <c r="D73" s="465" t="s">
        <v>937</v>
      </c>
      <c r="E73" s="465">
        <v>0.0</v>
      </c>
      <c r="F73" s="465">
        <v>1.0</v>
      </c>
      <c r="G73" s="465">
        <v>1.0</v>
      </c>
      <c r="H73" s="466">
        <v>45560.54788194445</v>
      </c>
      <c r="I73" s="465">
        <v>2.273</v>
      </c>
      <c r="J73" s="465">
        <v>113.58</v>
      </c>
      <c r="K73" s="465">
        <v>1.0</v>
      </c>
      <c r="L73" s="465">
        <v>2.273</v>
      </c>
      <c r="M73" s="465">
        <v>2.273</v>
      </c>
      <c r="N73" s="467" t="s">
        <v>12</v>
      </c>
    </row>
    <row r="74">
      <c r="A74" s="465" t="s">
        <v>938</v>
      </c>
      <c r="B74" s="465">
        <v>11.0</v>
      </c>
      <c r="C74" s="465">
        <v>904.0</v>
      </c>
      <c r="D74" s="465" t="s">
        <v>939</v>
      </c>
      <c r="E74" s="465">
        <v>0.0</v>
      </c>
      <c r="F74" s="465">
        <v>1.0</v>
      </c>
      <c r="G74" s="465">
        <v>2.0</v>
      </c>
      <c r="H74" s="466">
        <v>45560.54880787037</v>
      </c>
      <c r="I74" s="465">
        <v>0.235</v>
      </c>
      <c r="J74" s="465">
        <v>6.27</v>
      </c>
      <c r="K74" s="465">
        <v>1.0</v>
      </c>
      <c r="L74" s="465">
        <v>0.235</v>
      </c>
      <c r="M74" s="465">
        <v>0.235</v>
      </c>
      <c r="N74" s="467" t="s">
        <v>12</v>
      </c>
    </row>
    <row r="75">
      <c r="A75" s="465" t="s">
        <v>938</v>
      </c>
      <c r="B75" s="465">
        <v>12.0</v>
      </c>
      <c r="C75" s="465">
        <v>904.0</v>
      </c>
      <c r="D75" s="465" t="s">
        <v>939</v>
      </c>
      <c r="E75" s="465">
        <v>0.0</v>
      </c>
      <c r="F75" s="465">
        <v>1.0</v>
      </c>
      <c r="G75" s="465">
        <v>3.0</v>
      </c>
      <c r="H75" s="466">
        <v>45560.549733796295</v>
      </c>
      <c r="I75" s="465">
        <v>0.235</v>
      </c>
      <c r="J75" s="465">
        <v>6.27</v>
      </c>
      <c r="K75" s="465">
        <v>1.0</v>
      </c>
      <c r="L75" s="465">
        <v>0.235</v>
      </c>
      <c r="M75" s="465">
        <v>0.235</v>
      </c>
      <c r="N75" s="467" t="s">
        <v>12</v>
      </c>
    </row>
    <row r="76">
      <c r="A76" s="465" t="s">
        <v>75</v>
      </c>
      <c r="B76" s="465">
        <v>13.0</v>
      </c>
      <c r="C76" s="465">
        <v>905.0</v>
      </c>
      <c r="D76" s="465" t="s">
        <v>940</v>
      </c>
      <c r="E76" s="465">
        <v>0.0</v>
      </c>
      <c r="F76" s="465">
        <v>0.0</v>
      </c>
      <c r="G76" s="465">
        <v>1.0</v>
      </c>
      <c r="H76" s="466">
        <v>45560.55065972222</v>
      </c>
      <c r="I76" s="465">
        <v>0.02</v>
      </c>
      <c r="J76" s="465">
        <v>-5.06</v>
      </c>
      <c r="K76" s="465">
        <v>1.0</v>
      </c>
      <c r="L76" s="465">
        <v>0.02</v>
      </c>
      <c r="M76" s="465" t="s">
        <v>961</v>
      </c>
      <c r="N76" s="467" t="s">
        <v>12</v>
      </c>
    </row>
    <row r="77">
      <c r="A77" s="465" t="s">
        <v>956</v>
      </c>
      <c r="B77" s="465">
        <v>14.0</v>
      </c>
      <c r="C77" s="465">
        <v>906.0</v>
      </c>
      <c r="D77" s="465" t="s">
        <v>942</v>
      </c>
      <c r="E77" s="465">
        <v>0.0</v>
      </c>
      <c r="F77" s="465">
        <v>0.0</v>
      </c>
      <c r="G77" s="465">
        <v>2.0</v>
      </c>
      <c r="H77" s="466">
        <v>45560.55158564815</v>
      </c>
      <c r="I77" s="465">
        <v>0.978</v>
      </c>
      <c r="J77" s="465">
        <v>45.38</v>
      </c>
      <c r="K77" s="465">
        <v>1.0</v>
      </c>
      <c r="L77" s="465">
        <v>0.978</v>
      </c>
      <c r="M77" s="465">
        <v>0.978</v>
      </c>
      <c r="N77" s="467" t="s">
        <v>12</v>
      </c>
    </row>
    <row r="78">
      <c r="A78" s="465" t="s">
        <v>962</v>
      </c>
      <c r="B78" s="465">
        <v>15.0</v>
      </c>
      <c r="C78" s="465">
        <v>908.0</v>
      </c>
      <c r="D78" s="465" t="s">
        <v>944</v>
      </c>
      <c r="E78" s="465">
        <v>0.0</v>
      </c>
      <c r="F78" s="465">
        <v>0.0</v>
      </c>
      <c r="G78" s="465">
        <v>0.0</v>
      </c>
      <c r="H78" s="466">
        <v>45560.552511574075</v>
      </c>
      <c r="I78" s="465">
        <v>1.338</v>
      </c>
      <c r="J78" s="465">
        <v>64.34</v>
      </c>
      <c r="K78" s="465">
        <v>1.0</v>
      </c>
      <c r="L78" s="465">
        <v>1.338</v>
      </c>
      <c r="M78" s="465">
        <v>1.338</v>
      </c>
      <c r="N78" s="467" t="s">
        <v>12</v>
      </c>
    </row>
    <row r="79">
      <c r="A79" s="465" t="s">
        <v>934</v>
      </c>
      <c r="B79" s="465">
        <v>16.0</v>
      </c>
      <c r="C79" s="465">
        <v>0.0</v>
      </c>
      <c r="D79" s="465" t="s">
        <v>935</v>
      </c>
      <c r="E79" s="465">
        <v>0.0</v>
      </c>
      <c r="F79" s="465">
        <v>0.0</v>
      </c>
      <c r="G79" s="465">
        <v>0.0</v>
      </c>
      <c r="H79" s="466">
        <v>45560.5534375</v>
      </c>
      <c r="I79" s="465">
        <v>0.116</v>
      </c>
      <c r="J79" s="465">
        <v>0.0</v>
      </c>
      <c r="K79" s="465">
        <v>1.0</v>
      </c>
      <c r="L79" s="465">
        <v>0.116</v>
      </c>
      <c r="M79" s="465">
        <v>0.116</v>
      </c>
      <c r="N79" s="467" t="s">
        <v>12</v>
      </c>
    </row>
    <row r="80">
      <c r="A80" s="465">
        <v>556.0</v>
      </c>
      <c r="B80" s="465">
        <v>17.0</v>
      </c>
      <c r="C80" s="465">
        <v>1.0</v>
      </c>
      <c r="D80" s="465" t="s">
        <v>940</v>
      </c>
      <c r="E80" s="465">
        <v>0.0</v>
      </c>
      <c r="F80" s="465">
        <v>0.0</v>
      </c>
      <c r="G80" s="465">
        <v>0.0</v>
      </c>
      <c r="H80" s="466">
        <v>45560.55621527778</v>
      </c>
      <c r="I80" s="465">
        <v>0.021</v>
      </c>
      <c r="J80" s="465">
        <v>-5.01</v>
      </c>
      <c r="K80" s="465">
        <v>1.0</v>
      </c>
      <c r="L80" s="465">
        <v>0.021</v>
      </c>
      <c r="M80" s="465" t="s">
        <v>961</v>
      </c>
      <c r="N80" s="467" t="s">
        <v>12</v>
      </c>
    </row>
    <row r="81">
      <c r="A81" s="465">
        <v>452.0</v>
      </c>
      <c r="B81" s="465">
        <v>18.0</v>
      </c>
      <c r="C81" s="465">
        <v>2.0</v>
      </c>
      <c r="D81" s="465" t="s">
        <v>940</v>
      </c>
      <c r="E81" s="465">
        <v>0.0</v>
      </c>
      <c r="F81" s="465">
        <v>0.0</v>
      </c>
      <c r="G81" s="465">
        <v>0.0</v>
      </c>
      <c r="H81" s="466">
        <v>45560.5571412037</v>
      </c>
      <c r="I81" s="465">
        <v>0.168</v>
      </c>
      <c r="J81" s="465">
        <v>2.7</v>
      </c>
      <c r="K81" s="465">
        <v>1.0</v>
      </c>
      <c r="L81" s="465">
        <v>0.168</v>
      </c>
      <c r="M81" s="465">
        <v>0.168</v>
      </c>
      <c r="N81" s="467" t="s">
        <v>12</v>
      </c>
    </row>
    <row r="82">
      <c r="A82" s="465">
        <v>426.0</v>
      </c>
      <c r="B82" s="465">
        <v>19.0</v>
      </c>
      <c r="C82" s="465">
        <v>3.0</v>
      </c>
      <c r="D82" s="465" t="s">
        <v>940</v>
      </c>
      <c r="E82" s="465">
        <v>0.0</v>
      </c>
      <c r="F82" s="465">
        <v>0.0</v>
      </c>
      <c r="G82" s="465">
        <v>0.0</v>
      </c>
      <c r="H82" s="466">
        <v>45560.55806712963</v>
      </c>
      <c r="I82" s="465">
        <v>-0.005</v>
      </c>
      <c r="J82" s="465">
        <v>-6.38</v>
      </c>
      <c r="K82" s="465">
        <v>1.0</v>
      </c>
      <c r="L82" s="465">
        <v>-0.005</v>
      </c>
      <c r="M82" s="465" t="s">
        <v>961</v>
      </c>
      <c r="N82" s="467" t="s">
        <v>12</v>
      </c>
    </row>
    <row r="83">
      <c r="A83" s="465">
        <v>504.0</v>
      </c>
      <c r="B83" s="465">
        <v>20.0</v>
      </c>
      <c r="C83" s="465">
        <v>4.0</v>
      </c>
      <c r="D83" s="465" t="s">
        <v>940</v>
      </c>
      <c r="E83" s="465">
        <v>0.0</v>
      </c>
      <c r="F83" s="465">
        <v>0.0</v>
      </c>
      <c r="G83" s="465">
        <v>0.0</v>
      </c>
      <c r="H83" s="466">
        <v>45560.55899305556</v>
      </c>
      <c r="I83" s="465">
        <v>0.02</v>
      </c>
      <c r="J83" s="465">
        <v>-5.1</v>
      </c>
      <c r="K83" s="465">
        <v>1.0</v>
      </c>
      <c r="L83" s="465">
        <v>0.02</v>
      </c>
      <c r="M83" s="465" t="s">
        <v>961</v>
      </c>
      <c r="N83" s="467" t="s">
        <v>12</v>
      </c>
    </row>
    <row r="84">
      <c r="A84" s="465">
        <v>517.0</v>
      </c>
      <c r="B84" s="465">
        <v>21.0</v>
      </c>
      <c r="C84" s="465">
        <v>5.0</v>
      </c>
      <c r="D84" s="465" t="s">
        <v>940</v>
      </c>
      <c r="E84" s="465">
        <v>0.0</v>
      </c>
      <c r="F84" s="465">
        <v>0.0</v>
      </c>
      <c r="G84" s="465">
        <v>1.0</v>
      </c>
      <c r="H84" s="466">
        <v>45560.55991898148</v>
      </c>
      <c r="I84" s="465">
        <v>0.02</v>
      </c>
      <c r="J84" s="465">
        <v>-5.08</v>
      </c>
      <c r="K84" s="465">
        <v>1.0</v>
      </c>
      <c r="L84" s="465">
        <v>0.02</v>
      </c>
      <c r="M84" s="465" t="s">
        <v>961</v>
      </c>
      <c r="N84" s="467" t="s">
        <v>12</v>
      </c>
    </row>
    <row r="85">
      <c r="A85" s="465">
        <v>530.0</v>
      </c>
      <c r="B85" s="465">
        <v>22.0</v>
      </c>
      <c r="C85" s="465">
        <v>6.0</v>
      </c>
      <c r="D85" s="465" t="s">
        <v>940</v>
      </c>
      <c r="E85" s="465">
        <v>0.0</v>
      </c>
      <c r="F85" s="465">
        <v>0.0</v>
      </c>
      <c r="G85" s="465">
        <v>0.0</v>
      </c>
      <c r="H85" s="466">
        <v>45560.560844907406</v>
      </c>
      <c r="I85" s="465">
        <v>-0.007</v>
      </c>
      <c r="J85" s="465">
        <v>-6.51</v>
      </c>
      <c r="K85" s="465">
        <v>1.0</v>
      </c>
      <c r="L85" s="465">
        <v>-0.007</v>
      </c>
      <c r="M85" s="465" t="s">
        <v>961</v>
      </c>
      <c r="N85" s="467" t="s">
        <v>12</v>
      </c>
    </row>
    <row r="86">
      <c r="A86" s="465">
        <v>595.0</v>
      </c>
      <c r="B86" s="465">
        <v>23.0</v>
      </c>
      <c r="C86" s="465">
        <v>7.0</v>
      </c>
      <c r="D86" s="465" t="s">
        <v>940</v>
      </c>
      <c r="E86" s="465">
        <v>0.0</v>
      </c>
      <c r="F86" s="465">
        <v>0.0</v>
      </c>
      <c r="G86" s="465">
        <v>0.0</v>
      </c>
      <c r="H86" s="466">
        <v>45560.56177083333</v>
      </c>
      <c r="I86" s="465">
        <v>0.099</v>
      </c>
      <c r="J86" s="465">
        <v>-0.93</v>
      </c>
      <c r="K86" s="465">
        <v>1.0</v>
      </c>
      <c r="L86" s="465">
        <v>0.099</v>
      </c>
      <c r="M86" s="465">
        <v>0.099</v>
      </c>
      <c r="N86" s="467" t="s">
        <v>12</v>
      </c>
    </row>
    <row r="87">
      <c r="A87" s="465">
        <v>569.0</v>
      </c>
      <c r="B87" s="465">
        <v>24.0</v>
      </c>
      <c r="C87" s="465">
        <v>8.0</v>
      </c>
      <c r="D87" s="465" t="s">
        <v>940</v>
      </c>
      <c r="E87" s="465">
        <v>0.0</v>
      </c>
      <c r="F87" s="465">
        <v>0.0</v>
      </c>
      <c r="G87" s="465">
        <v>0.0</v>
      </c>
      <c r="H87" s="466">
        <v>45560.56269675926</v>
      </c>
      <c r="I87" s="465">
        <v>0.04</v>
      </c>
      <c r="J87" s="465">
        <v>-4.0</v>
      </c>
      <c r="K87" s="465">
        <v>1.0</v>
      </c>
      <c r="L87" s="465">
        <v>0.04</v>
      </c>
      <c r="M87" s="465">
        <v>0.04</v>
      </c>
      <c r="N87" s="467" t="s">
        <v>12</v>
      </c>
    </row>
    <row r="88">
      <c r="A88" s="465">
        <v>400.0</v>
      </c>
      <c r="B88" s="465">
        <v>25.0</v>
      </c>
      <c r="C88" s="465">
        <v>9.0</v>
      </c>
      <c r="D88" s="465" t="s">
        <v>940</v>
      </c>
      <c r="E88" s="465">
        <v>0.0</v>
      </c>
      <c r="F88" s="465">
        <v>0.0</v>
      </c>
      <c r="G88" s="465">
        <v>0.0</v>
      </c>
      <c r="H88" s="466">
        <v>45560.563622685186</v>
      </c>
      <c r="I88" s="465">
        <v>0.027</v>
      </c>
      <c r="J88" s="465">
        <v>-4.72</v>
      </c>
      <c r="K88" s="465">
        <v>1.0</v>
      </c>
      <c r="L88" s="465">
        <v>0.027</v>
      </c>
      <c r="M88" s="465" t="s">
        <v>961</v>
      </c>
      <c r="N88" s="467" t="s">
        <v>12</v>
      </c>
    </row>
    <row r="89">
      <c r="A89" s="465">
        <v>413.0</v>
      </c>
      <c r="B89" s="465">
        <v>26.0</v>
      </c>
      <c r="C89" s="465">
        <v>10.0</v>
      </c>
      <c r="D89" s="465" t="s">
        <v>940</v>
      </c>
      <c r="E89" s="465">
        <v>0.0</v>
      </c>
      <c r="F89" s="465">
        <v>0.0</v>
      </c>
      <c r="G89" s="465">
        <v>0.0</v>
      </c>
      <c r="H89" s="466">
        <v>45560.56454861111</v>
      </c>
      <c r="I89" s="465">
        <v>0.017</v>
      </c>
      <c r="J89" s="465">
        <v>-5.24</v>
      </c>
      <c r="K89" s="465">
        <v>1.0</v>
      </c>
      <c r="L89" s="465">
        <v>0.017</v>
      </c>
      <c r="M89" s="465" t="s">
        <v>961</v>
      </c>
      <c r="N89" s="467" t="s">
        <v>12</v>
      </c>
    </row>
    <row r="90">
      <c r="A90" s="465">
        <v>543.0</v>
      </c>
      <c r="B90" s="465">
        <v>27.0</v>
      </c>
      <c r="C90" s="465">
        <v>11.0</v>
      </c>
      <c r="D90" s="465" t="s">
        <v>940</v>
      </c>
      <c r="E90" s="465">
        <v>0.0</v>
      </c>
      <c r="F90" s="465">
        <v>0.0</v>
      </c>
      <c r="G90" s="465">
        <v>0.0</v>
      </c>
      <c r="H90" s="466">
        <v>45560.565474537034</v>
      </c>
      <c r="I90" s="465">
        <v>0.02</v>
      </c>
      <c r="J90" s="465">
        <v>-5.09</v>
      </c>
      <c r="K90" s="465">
        <v>1.0</v>
      </c>
      <c r="L90" s="465">
        <v>0.02</v>
      </c>
      <c r="M90" s="465" t="s">
        <v>961</v>
      </c>
      <c r="N90" s="467" t="s">
        <v>12</v>
      </c>
    </row>
    <row r="91">
      <c r="A91" s="465">
        <v>387.0</v>
      </c>
      <c r="B91" s="465">
        <v>28.0</v>
      </c>
      <c r="C91" s="465">
        <v>12.0</v>
      </c>
      <c r="D91" s="465" t="s">
        <v>940</v>
      </c>
      <c r="E91" s="465">
        <v>0.0</v>
      </c>
      <c r="F91" s="465">
        <v>0.0</v>
      </c>
      <c r="G91" s="465">
        <v>1.0</v>
      </c>
      <c r="H91" s="466">
        <v>45560.566400462965</v>
      </c>
      <c r="I91" s="465">
        <v>0.003</v>
      </c>
      <c r="J91" s="465">
        <v>-6.0</v>
      </c>
      <c r="K91" s="465">
        <v>1.0</v>
      </c>
      <c r="L91" s="465">
        <v>0.003</v>
      </c>
      <c r="M91" s="465" t="s">
        <v>961</v>
      </c>
      <c r="N91" s="467" t="s">
        <v>12</v>
      </c>
    </row>
    <row r="92">
      <c r="A92" s="465" t="s">
        <v>963</v>
      </c>
      <c r="B92" s="465">
        <v>29.0</v>
      </c>
      <c r="C92" s="465">
        <v>13.0</v>
      </c>
      <c r="D92" s="465" t="s">
        <v>942</v>
      </c>
      <c r="E92" s="465">
        <v>0.0</v>
      </c>
      <c r="F92" s="465">
        <v>0.0</v>
      </c>
      <c r="G92" s="465">
        <v>2.0</v>
      </c>
      <c r="H92" s="466">
        <v>45560.56732638889</v>
      </c>
      <c r="I92" s="465">
        <v>1.094</v>
      </c>
      <c r="J92" s="465">
        <v>51.47</v>
      </c>
      <c r="K92" s="465">
        <v>1.0</v>
      </c>
      <c r="L92" s="465">
        <v>1.094</v>
      </c>
      <c r="M92" s="465">
        <v>1.094</v>
      </c>
      <c r="N92" s="467" t="s">
        <v>12</v>
      </c>
    </row>
    <row r="93">
      <c r="A93" s="465" t="s">
        <v>962</v>
      </c>
      <c r="B93" s="465">
        <v>30.0</v>
      </c>
      <c r="C93" s="465">
        <v>908.0</v>
      </c>
      <c r="D93" s="465" t="s">
        <v>944</v>
      </c>
      <c r="E93" s="465">
        <v>0.0</v>
      </c>
      <c r="F93" s="465">
        <v>0.0</v>
      </c>
      <c r="G93" s="465">
        <v>0.0</v>
      </c>
      <c r="H93" s="466">
        <v>45560.56825231481</v>
      </c>
      <c r="I93" s="465">
        <v>1.347</v>
      </c>
      <c r="J93" s="465">
        <v>64.84</v>
      </c>
      <c r="K93" s="465">
        <v>1.0</v>
      </c>
      <c r="L93" s="465">
        <v>1.347</v>
      </c>
      <c r="M93" s="465">
        <v>1.347</v>
      </c>
      <c r="N93" s="467" t="s">
        <v>12</v>
      </c>
    </row>
    <row r="94">
      <c r="A94" s="465" t="s">
        <v>934</v>
      </c>
      <c r="B94" s="465">
        <v>31.0</v>
      </c>
      <c r="C94" s="465">
        <v>0.0</v>
      </c>
      <c r="D94" s="465" t="s">
        <v>935</v>
      </c>
      <c r="E94" s="465">
        <v>0.0</v>
      </c>
      <c r="F94" s="465">
        <v>0.0</v>
      </c>
      <c r="G94" s="465">
        <v>0.0</v>
      </c>
      <c r="H94" s="466">
        <v>45560.56917824074</v>
      </c>
      <c r="I94" s="465">
        <v>0.116</v>
      </c>
      <c r="J94" s="465">
        <v>0.0</v>
      </c>
      <c r="K94" s="465">
        <v>1.0</v>
      </c>
      <c r="L94" s="465">
        <v>0.116</v>
      </c>
      <c r="M94" s="465">
        <v>0.116</v>
      </c>
      <c r="N94" s="467" t="s">
        <v>12</v>
      </c>
    </row>
    <row r="95">
      <c r="A95" s="465">
        <v>309.0</v>
      </c>
      <c r="B95" s="465">
        <v>32.0</v>
      </c>
      <c r="C95" s="465">
        <v>14.0</v>
      </c>
      <c r="D95" s="465" t="s">
        <v>940</v>
      </c>
      <c r="E95" s="465">
        <v>0.0</v>
      </c>
      <c r="F95" s="465">
        <v>0.0</v>
      </c>
      <c r="G95" s="465">
        <v>0.0</v>
      </c>
      <c r="H95" s="466">
        <v>45560.57195601852</v>
      </c>
      <c r="I95" s="465">
        <v>-0.02</v>
      </c>
      <c r="J95" s="465">
        <v>-7.16</v>
      </c>
      <c r="K95" s="465">
        <v>1.0</v>
      </c>
      <c r="L95" s="465">
        <v>-0.02</v>
      </c>
      <c r="M95" s="465" t="s">
        <v>961</v>
      </c>
      <c r="N95" s="467" t="s">
        <v>12</v>
      </c>
    </row>
    <row r="96">
      <c r="A96" s="465">
        <v>374.0</v>
      </c>
      <c r="B96" s="465">
        <v>33.0</v>
      </c>
      <c r="C96" s="465">
        <v>15.0</v>
      </c>
      <c r="D96" s="465" t="s">
        <v>940</v>
      </c>
      <c r="E96" s="465">
        <v>0.0</v>
      </c>
      <c r="F96" s="465">
        <v>0.0</v>
      </c>
      <c r="G96" s="465">
        <v>0.0</v>
      </c>
      <c r="H96" s="466">
        <v>45560.57288194444</v>
      </c>
      <c r="I96" s="465">
        <v>-0.008</v>
      </c>
      <c r="J96" s="465">
        <v>-6.53</v>
      </c>
      <c r="K96" s="465">
        <v>1.0</v>
      </c>
      <c r="L96" s="465">
        <v>-0.008</v>
      </c>
      <c r="M96" s="465" t="s">
        <v>961</v>
      </c>
      <c r="N96" s="467" t="s">
        <v>12</v>
      </c>
    </row>
    <row r="97">
      <c r="A97" s="465">
        <v>465.0</v>
      </c>
      <c r="B97" s="465">
        <v>34.0</v>
      </c>
      <c r="C97" s="465">
        <v>16.0</v>
      </c>
      <c r="D97" s="465" t="s">
        <v>940</v>
      </c>
      <c r="E97" s="465">
        <v>0.0</v>
      </c>
      <c r="F97" s="465">
        <v>0.0</v>
      </c>
      <c r="G97" s="465">
        <v>0.0</v>
      </c>
      <c r="H97" s="466">
        <v>45560.57380787037</v>
      </c>
      <c r="I97" s="465">
        <v>-0.041</v>
      </c>
      <c r="J97" s="465">
        <v>-8.32</v>
      </c>
      <c r="K97" s="465">
        <v>1.0</v>
      </c>
      <c r="L97" s="465">
        <v>-0.041</v>
      </c>
      <c r="M97" s="465" t="s">
        <v>961</v>
      </c>
      <c r="N97" s="467" t="s">
        <v>12</v>
      </c>
    </row>
    <row r="98">
      <c r="A98" s="465">
        <v>348.0</v>
      </c>
      <c r="B98" s="465">
        <v>35.0</v>
      </c>
      <c r="C98" s="465">
        <v>17.0</v>
      </c>
      <c r="D98" s="465" t="s">
        <v>940</v>
      </c>
      <c r="E98" s="465">
        <v>0.0</v>
      </c>
      <c r="F98" s="465">
        <v>0.0</v>
      </c>
      <c r="G98" s="465">
        <v>0.0</v>
      </c>
      <c r="H98" s="466">
        <v>45560.5747337963</v>
      </c>
      <c r="I98" s="465">
        <v>-0.064</v>
      </c>
      <c r="J98" s="465">
        <v>-9.49</v>
      </c>
      <c r="K98" s="465">
        <v>1.0</v>
      </c>
      <c r="L98" s="465">
        <v>-0.064</v>
      </c>
      <c r="M98" s="465" t="s">
        <v>961</v>
      </c>
      <c r="N98" s="467" t="s">
        <v>12</v>
      </c>
    </row>
    <row r="99">
      <c r="A99" s="465">
        <v>361.0</v>
      </c>
      <c r="B99" s="465">
        <v>36.0</v>
      </c>
      <c r="C99" s="465">
        <v>18.0</v>
      </c>
      <c r="D99" s="465" t="s">
        <v>940</v>
      </c>
      <c r="E99" s="465">
        <v>0.0</v>
      </c>
      <c r="F99" s="465">
        <v>0.0</v>
      </c>
      <c r="G99" s="465">
        <v>1.0</v>
      </c>
      <c r="H99" s="466">
        <v>45560.57565972222</v>
      </c>
      <c r="I99" s="465">
        <v>-0.011</v>
      </c>
      <c r="J99" s="465">
        <v>-6.73</v>
      </c>
      <c r="K99" s="465">
        <v>1.0</v>
      </c>
      <c r="L99" s="465">
        <v>-0.011</v>
      </c>
      <c r="M99" s="465" t="s">
        <v>961</v>
      </c>
      <c r="N99" s="467" t="s">
        <v>12</v>
      </c>
    </row>
    <row r="100">
      <c r="A100" s="465">
        <v>491.0</v>
      </c>
      <c r="B100" s="465">
        <v>37.0</v>
      </c>
      <c r="C100" s="465">
        <v>19.0</v>
      </c>
      <c r="D100" s="465" t="s">
        <v>940</v>
      </c>
      <c r="E100" s="465">
        <v>0.0</v>
      </c>
      <c r="F100" s="465">
        <v>0.0</v>
      </c>
      <c r="G100" s="465">
        <v>0.0</v>
      </c>
      <c r="H100" s="466">
        <v>45560.576585648145</v>
      </c>
      <c r="I100" s="465">
        <v>0.033</v>
      </c>
      <c r="J100" s="465">
        <v>-4.41</v>
      </c>
      <c r="K100" s="465">
        <v>1.0</v>
      </c>
      <c r="L100" s="465">
        <v>0.033</v>
      </c>
      <c r="M100" s="465" t="s">
        <v>961</v>
      </c>
      <c r="N100" s="467" t="s">
        <v>12</v>
      </c>
    </row>
    <row r="101">
      <c r="A101" s="465">
        <v>231.0</v>
      </c>
      <c r="B101" s="465">
        <v>38.0</v>
      </c>
      <c r="C101" s="465">
        <v>20.0</v>
      </c>
      <c r="D101" s="465" t="s">
        <v>940</v>
      </c>
      <c r="E101" s="465">
        <v>0.0</v>
      </c>
      <c r="F101" s="465">
        <v>0.0</v>
      </c>
      <c r="G101" s="465">
        <v>0.0</v>
      </c>
      <c r="H101" s="466">
        <v>45560.577511574076</v>
      </c>
      <c r="I101" s="465">
        <v>-0.001</v>
      </c>
      <c r="J101" s="465">
        <v>-6.16</v>
      </c>
      <c r="K101" s="465">
        <v>1.0</v>
      </c>
      <c r="L101" s="465">
        <v>-0.001</v>
      </c>
      <c r="M101" s="465" t="s">
        <v>961</v>
      </c>
      <c r="N101" s="467" t="s">
        <v>12</v>
      </c>
    </row>
    <row r="102">
      <c r="A102" s="465">
        <v>439.0</v>
      </c>
      <c r="B102" s="465">
        <v>39.0</v>
      </c>
      <c r="C102" s="465">
        <v>21.0</v>
      </c>
      <c r="D102" s="465" t="s">
        <v>940</v>
      </c>
      <c r="E102" s="465">
        <v>0.0</v>
      </c>
      <c r="F102" s="465">
        <v>0.0</v>
      </c>
      <c r="G102" s="465">
        <v>0.0</v>
      </c>
      <c r="H102" s="466">
        <v>45560.5784375</v>
      </c>
      <c r="I102" s="465">
        <v>-0.053</v>
      </c>
      <c r="J102" s="465">
        <v>-8.91</v>
      </c>
      <c r="K102" s="465">
        <v>1.0</v>
      </c>
      <c r="L102" s="465">
        <v>-0.053</v>
      </c>
      <c r="M102" s="465" t="s">
        <v>961</v>
      </c>
      <c r="N102" s="467" t="s">
        <v>12</v>
      </c>
    </row>
    <row r="103">
      <c r="A103" s="465">
        <v>478.0</v>
      </c>
      <c r="B103" s="465">
        <v>40.0</v>
      </c>
      <c r="C103" s="465">
        <v>22.0</v>
      </c>
      <c r="D103" s="465" t="s">
        <v>940</v>
      </c>
      <c r="E103" s="465">
        <v>0.0</v>
      </c>
      <c r="F103" s="465">
        <v>0.0</v>
      </c>
      <c r="G103" s="465">
        <v>0.0</v>
      </c>
      <c r="H103" s="466">
        <v>45560.579363425924</v>
      </c>
      <c r="I103" s="465">
        <v>-0.053</v>
      </c>
      <c r="J103" s="465">
        <v>-8.93</v>
      </c>
      <c r="K103" s="465">
        <v>1.0</v>
      </c>
      <c r="L103" s="465">
        <v>-0.053</v>
      </c>
      <c r="M103" s="465" t="s">
        <v>961</v>
      </c>
      <c r="N103" s="467" t="s">
        <v>12</v>
      </c>
    </row>
    <row r="104">
      <c r="A104" s="465">
        <v>608.0</v>
      </c>
      <c r="B104" s="465">
        <v>41.0</v>
      </c>
      <c r="C104" s="465">
        <v>23.0</v>
      </c>
      <c r="D104" s="465" t="s">
        <v>940</v>
      </c>
      <c r="E104" s="465">
        <v>0.0</v>
      </c>
      <c r="F104" s="465">
        <v>0.0</v>
      </c>
      <c r="G104" s="465">
        <v>0.0</v>
      </c>
      <c r="H104" s="466">
        <v>45560.58028935185</v>
      </c>
      <c r="I104" s="465">
        <v>0.218</v>
      </c>
      <c r="J104" s="465">
        <v>5.35</v>
      </c>
      <c r="K104" s="465">
        <v>1.0</v>
      </c>
      <c r="L104" s="465">
        <v>0.218</v>
      </c>
      <c r="M104" s="465">
        <v>0.218</v>
      </c>
      <c r="N104" s="467" t="s">
        <v>12</v>
      </c>
    </row>
    <row r="105">
      <c r="A105" s="465">
        <v>582.0</v>
      </c>
      <c r="B105" s="465">
        <v>42.0</v>
      </c>
      <c r="C105" s="465">
        <v>24.0</v>
      </c>
      <c r="D105" s="465" t="s">
        <v>940</v>
      </c>
      <c r="E105" s="465">
        <v>0.0</v>
      </c>
      <c r="F105" s="465">
        <v>0.0</v>
      </c>
      <c r="G105" s="465">
        <v>0.0</v>
      </c>
      <c r="H105" s="466">
        <v>45560.58121527778</v>
      </c>
      <c r="I105" s="465">
        <v>-0.046</v>
      </c>
      <c r="J105" s="465">
        <v>-8.58</v>
      </c>
      <c r="K105" s="465">
        <v>1.0</v>
      </c>
      <c r="L105" s="465">
        <v>-0.046</v>
      </c>
      <c r="M105" s="465" t="s">
        <v>961</v>
      </c>
      <c r="N105" s="467" t="s">
        <v>12</v>
      </c>
    </row>
    <row r="106">
      <c r="A106" s="465" t="s">
        <v>964</v>
      </c>
      <c r="B106" s="465">
        <v>43.0</v>
      </c>
      <c r="C106" s="465">
        <v>25.0</v>
      </c>
      <c r="D106" s="465" t="s">
        <v>942</v>
      </c>
      <c r="E106" s="465">
        <v>0.0</v>
      </c>
      <c r="F106" s="465">
        <v>0.0</v>
      </c>
      <c r="G106" s="465">
        <v>1.0</v>
      </c>
      <c r="H106" s="466">
        <v>45560.582141203704</v>
      </c>
      <c r="I106" s="465">
        <v>0.702</v>
      </c>
      <c r="J106" s="465">
        <v>30.83</v>
      </c>
      <c r="K106" s="465">
        <v>1.0</v>
      </c>
      <c r="L106" s="465">
        <v>0.702</v>
      </c>
      <c r="M106" s="465">
        <v>0.702</v>
      </c>
      <c r="N106" s="467" t="s">
        <v>12</v>
      </c>
    </row>
    <row r="107">
      <c r="A107" s="465" t="s">
        <v>962</v>
      </c>
      <c r="B107" s="465">
        <v>44.0</v>
      </c>
      <c r="C107" s="465">
        <v>908.0</v>
      </c>
      <c r="D107" s="465" t="s">
        <v>944</v>
      </c>
      <c r="E107" s="465">
        <v>0.0</v>
      </c>
      <c r="F107" s="465">
        <v>0.0</v>
      </c>
      <c r="G107" s="465">
        <v>0.0</v>
      </c>
      <c r="H107" s="466">
        <v>45560.58306712963</v>
      </c>
      <c r="I107" s="465">
        <v>1.326</v>
      </c>
      <c r="J107" s="465">
        <v>63.73</v>
      </c>
      <c r="K107" s="465">
        <v>1.0</v>
      </c>
      <c r="L107" s="465">
        <v>1.326</v>
      </c>
      <c r="M107" s="465">
        <v>1.326</v>
      </c>
      <c r="N107" s="467" t="s">
        <v>12</v>
      </c>
    </row>
    <row r="108">
      <c r="A108" s="465" t="s">
        <v>934</v>
      </c>
      <c r="B108" s="465">
        <v>45.0</v>
      </c>
      <c r="C108" s="465">
        <v>0.0</v>
      </c>
      <c r="D108" s="465" t="s">
        <v>935</v>
      </c>
      <c r="E108" s="465">
        <v>0.0</v>
      </c>
      <c r="F108" s="465">
        <v>0.0</v>
      </c>
      <c r="G108" s="465">
        <v>0.0</v>
      </c>
      <c r="H108" s="466">
        <v>45560.58399305555</v>
      </c>
      <c r="I108" s="465">
        <v>0.116</v>
      </c>
      <c r="J108" s="465">
        <v>0.0</v>
      </c>
      <c r="K108" s="465">
        <v>1.0</v>
      </c>
      <c r="L108" s="465">
        <v>0.116</v>
      </c>
      <c r="M108" s="465">
        <v>0.116</v>
      </c>
      <c r="N108" s="467" t="s">
        <v>12</v>
      </c>
    </row>
    <row r="109">
      <c r="A109" s="465" t="s">
        <v>75</v>
      </c>
      <c r="B109" s="465">
        <v>46.0</v>
      </c>
      <c r="C109" s="465">
        <v>905.0</v>
      </c>
      <c r="D109" s="465" t="s">
        <v>940</v>
      </c>
      <c r="E109" s="465">
        <v>0.0</v>
      </c>
      <c r="F109" s="465">
        <v>0.0</v>
      </c>
      <c r="G109" s="465">
        <v>0.0</v>
      </c>
      <c r="H109" s="466">
        <v>45560.58677083333</v>
      </c>
      <c r="I109" s="465">
        <v>0.02</v>
      </c>
      <c r="J109" s="465">
        <v>-5.1</v>
      </c>
      <c r="K109" s="465">
        <v>1.0</v>
      </c>
      <c r="L109" s="465">
        <v>0.02</v>
      </c>
      <c r="M109" s="465" t="s">
        <v>961</v>
      </c>
      <c r="N109" s="467" t="s">
        <v>12</v>
      </c>
    </row>
    <row r="110">
      <c r="A110" s="465" t="s">
        <v>75</v>
      </c>
      <c r="B110" s="465">
        <v>47.0</v>
      </c>
      <c r="C110" s="465">
        <v>905.0</v>
      </c>
      <c r="D110" s="465" t="s">
        <v>940</v>
      </c>
      <c r="E110" s="465">
        <v>0.0</v>
      </c>
      <c r="F110" s="465">
        <v>0.0</v>
      </c>
      <c r="G110" s="465">
        <v>0.0</v>
      </c>
      <c r="H110" s="466">
        <v>45560.587696759256</v>
      </c>
      <c r="I110" s="465">
        <v>0.027</v>
      </c>
      <c r="J110" s="465">
        <v>-4.72</v>
      </c>
      <c r="K110" s="465">
        <v>1.0</v>
      </c>
      <c r="L110" s="465">
        <v>0.027</v>
      </c>
      <c r="M110" s="465" t="s">
        <v>961</v>
      </c>
      <c r="N110" s="467" t="s">
        <v>12</v>
      </c>
    </row>
    <row r="111">
      <c r="A111" s="465" t="s">
        <v>75</v>
      </c>
      <c r="B111" s="465">
        <v>48.0</v>
      </c>
      <c r="C111" s="465">
        <v>905.0</v>
      </c>
      <c r="D111" s="465" t="s">
        <v>940</v>
      </c>
      <c r="E111" s="465">
        <v>0.0</v>
      </c>
      <c r="F111" s="465">
        <v>0.0</v>
      </c>
      <c r="G111" s="465">
        <v>0.0</v>
      </c>
      <c r="H111" s="466">
        <v>45560.58862268519</v>
      </c>
      <c r="I111" s="465">
        <v>0.022</v>
      </c>
      <c r="J111" s="465">
        <v>-5.0</v>
      </c>
      <c r="K111" s="465">
        <v>1.0</v>
      </c>
      <c r="L111" s="465">
        <v>0.022</v>
      </c>
      <c r="M111" s="465" t="s">
        <v>961</v>
      </c>
      <c r="N111" s="467" t="s">
        <v>12</v>
      </c>
    </row>
    <row r="112">
      <c r="A112" s="465" t="s">
        <v>75</v>
      </c>
      <c r="B112" s="465">
        <v>49.0</v>
      </c>
      <c r="C112" s="465">
        <v>905.0</v>
      </c>
      <c r="D112" s="465" t="s">
        <v>940</v>
      </c>
      <c r="E112" s="465">
        <v>0.0</v>
      </c>
      <c r="F112" s="465">
        <v>0.0</v>
      </c>
      <c r="G112" s="465">
        <v>0.0</v>
      </c>
      <c r="H112" s="466">
        <v>45560.58954861111</v>
      </c>
      <c r="I112" s="465">
        <v>0.022</v>
      </c>
      <c r="J112" s="465">
        <v>-4.96</v>
      </c>
      <c r="K112" s="465">
        <v>1.0</v>
      </c>
      <c r="L112" s="465">
        <v>0.022</v>
      </c>
      <c r="M112" s="465" t="s">
        <v>961</v>
      </c>
      <c r="N112" s="467" t="s">
        <v>12</v>
      </c>
    </row>
    <row r="113">
      <c r="A113" s="465" t="s">
        <v>75</v>
      </c>
      <c r="B113" s="465">
        <v>50.0</v>
      </c>
      <c r="C113" s="465">
        <v>905.0</v>
      </c>
      <c r="D113" s="465" t="s">
        <v>940</v>
      </c>
      <c r="E113" s="465">
        <v>0.0</v>
      </c>
      <c r="F113" s="465">
        <v>0.0</v>
      </c>
      <c r="G113" s="465">
        <v>0.0</v>
      </c>
      <c r="H113" s="466">
        <v>45560.590474537035</v>
      </c>
      <c r="I113" s="465">
        <v>0.025</v>
      </c>
      <c r="J113" s="465">
        <v>-4.81</v>
      </c>
      <c r="K113" s="465">
        <v>1.0</v>
      </c>
      <c r="L113" s="465">
        <v>0.025</v>
      </c>
      <c r="M113" s="465" t="s">
        <v>961</v>
      </c>
      <c r="N113" s="467" t="s">
        <v>12</v>
      </c>
    </row>
    <row r="114">
      <c r="A114" s="465" t="s">
        <v>75</v>
      </c>
      <c r="B114" s="465">
        <v>51.0</v>
      </c>
      <c r="C114" s="465">
        <v>905.0</v>
      </c>
      <c r="D114" s="465" t="s">
        <v>940</v>
      </c>
      <c r="E114" s="465">
        <v>0.0</v>
      </c>
      <c r="F114" s="465">
        <v>0.0</v>
      </c>
      <c r="G114" s="465">
        <v>0.0</v>
      </c>
      <c r="H114" s="466">
        <v>45560.59140046296</v>
      </c>
      <c r="I114" s="465">
        <v>0.021</v>
      </c>
      <c r="J114" s="465">
        <v>-5.0</v>
      </c>
      <c r="K114" s="465">
        <v>1.0</v>
      </c>
      <c r="L114" s="465">
        <v>0.021</v>
      </c>
      <c r="M114" s="465" t="s">
        <v>961</v>
      </c>
      <c r="N114" s="467" t="s">
        <v>12</v>
      </c>
    </row>
    <row r="115">
      <c r="A115" s="465" t="s">
        <v>75</v>
      </c>
      <c r="B115" s="465">
        <v>52.0</v>
      </c>
      <c r="C115" s="465">
        <v>905.0</v>
      </c>
      <c r="D115" s="465" t="s">
        <v>940</v>
      </c>
      <c r="E115" s="465">
        <v>0.0</v>
      </c>
      <c r="F115" s="465">
        <v>0.0</v>
      </c>
      <c r="G115" s="465">
        <v>0.0</v>
      </c>
      <c r="H115" s="466">
        <v>45560.59232638889</v>
      </c>
      <c r="I115" s="465">
        <v>0.021</v>
      </c>
      <c r="J115" s="465">
        <v>-5.04</v>
      </c>
      <c r="K115" s="465">
        <v>1.0</v>
      </c>
      <c r="L115" s="465">
        <v>0.021</v>
      </c>
      <c r="M115" s="465" t="s">
        <v>961</v>
      </c>
      <c r="N115" s="467" t="s">
        <v>12</v>
      </c>
    </row>
    <row r="116">
      <c r="A116" s="465" t="s">
        <v>75</v>
      </c>
      <c r="B116" s="465">
        <v>53.0</v>
      </c>
      <c r="C116" s="465">
        <v>905.0</v>
      </c>
      <c r="D116" s="465" t="s">
        <v>940</v>
      </c>
      <c r="E116" s="465">
        <v>0.0</v>
      </c>
      <c r="F116" s="465">
        <v>0.0</v>
      </c>
      <c r="G116" s="465">
        <v>0.0</v>
      </c>
      <c r="H116" s="466">
        <v>45560.593252314815</v>
      </c>
      <c r="I116" s="465">
        <v>0.014</v>
      </c>
      <c r="J116" s="465">
        <v>-5.38</v>
      </c>
      <c r="K116" s="465">
        <v>1.0</v>
      </c>
      <c r="L116" s="465">
        <v>0.014</v>
      </c>
      <c r="M116" s="465" t="s">
        <v>961</v>
      </c>
      <c r="N116" s="467" t="s">
        <v>12</v>
      </c>
    </row>
    <row r="117">
      <c r="A117" s="465" t="s">
        <v>75</v>
      </c>
      <c r="B117" s="465">
        <v>54.0</v>
      </c>
      <c r="C117" s="465">
        <v>905.0</v>
      </c>
      <c r="D117" s="465" t="s">
        <v>940</v>
      </c>
      <c r="E117" s="465">
        <v>0.0</v>
      </c>
      <c r="F117" s="465">
        <v>0.0</v>
      </c>
      <c r="G117" s="465">
        <v>0.0</v>
      </c>
      <c r="H117" s="466">
        <v>45560.59417824074</v>
      </c>
      <c r="I117" s="465">
        <v>0.018</v>
      </c>
      <c r="J117" s="465">
        <v>-5.16</v>
      </c>
      <c r="K117" s="465">
        <v>1.0</v>
      </c>
      <c r="L117" s="465">
        <v>0.018</v>
      </c>
      <c r="M117" s="465" t="s">
        <v>961</v>
      </c>
      <c r="N117" s="467" t="s">
        <v>12</v>
      </c>
    </row>
    <row r="118">
      <c r="A118" s="465" t="s">
        <v>75</v>
      </c>
      <c r="B118" s="465">
        <v>55.0</v>
      </c>
      <c r="C118" s="465">
        <v>905.0</v>
      </c>
      <c r="D118" s="465" t="s">
        <v>940</v>
      </c>
      <c r="E118" s="465">
        <v>0.0</v>
      </c>
      <c r="F118" s="465">
        <v>0.0</v>
      </c>
      <c r="G118" s="465">
        <v>0.0</v>
      </c>
      <c r="H118" s="466">
        <v>45560.59510416666</v>
      </c>
      <c r="I118" s="465">
        <v>0.035</v>
      </c>
      <c r="J118" s="465">
        <v>-4.3</v>
      </c>
      <c r="K118" s="465">
        <v>1.0</v>
      </c>
      <c r="L118" s="465">
        <v>0.035</v>
      </c>
      <c r="M118" s="465" t="s">
        <v>961</v>
      </c>
      <c r="N118" s="467" t="s">
        <v>12</v>
      </c>
    </row>
    <row r="119">
      <c r="A119" s="465" t="s">
        <v>941</v>
      </c>
      <c r="B119" s="465">
        <v>56.0</v>
      </c>
      <c r="C119" s="465">
        <v>906.0</v>
      </c>
      <c r="D119" s="465" t="s">
        <v>942</v>
      </c>
      <c r="E119" s="465">
        <v>0.0</v>
      </c>
      <c r="F119" s="465">
        <v>0.0</v>
      </c>
      <c r="G119" s="465">
        <v>1.0</v>
      </c>
      <c r="H119" s="466">
        <v>45560.596030092594</v>
      </c>
      <c r="I119" s="465">
        <v>0.942</v>
      </c>
      <c r="J119" s="465">
        <v>43.46</v>
      </c>
      <c r="K119" s="465">
        <v>1.0</v>
      </c>
      <c r="L119" s="465">
        <v>0.942</v>
      </c>
      <c r="M119" s="465">
        <v>0.942</v>
      </c>
      <c r="N119" s="467" t="s">
        <v>12</v>
      </c>
    </row>
    <row r="120">
      <c r="A120" s="465" t="s">
        <v>962</v>
      </c>
      <c r="B120" s="465">
        <v>57.0</v>
      </c>
      <c r="C120" s="465">
        <v>908.0</v>
      </c>
      <c r="D120" s="465" t="s">
        <v>944</v>
      </c>
      <c r="E120" s="465">
        <v>0.0</v>
      </c>
      <c r="F120" s="465">
        <v>0.0</v>
      </c>
      <c r="G120" s="465">
        <v>0.0</v>
      </c>
      <c r="H120" s="466">
        <v>45560.59695601852</v>
      </c>
      <c r="I120" s="465">
        <v>1.269</v>
      </c>
      <c r="J120" s="465">
        <v>60.69</v>
      </c>
      <c r="K120" s="465">
        <v>1.0</v>
      </c>
      <c r="L120" s="465">
        <v>1.269</v>
      </c>
      <c r="M120" s="465">
        <v>1.269</v>
      </c>
      <c r="N120" s="467" t="s">
        <v>12</v>
      </c>
    </row>
    <row r="121">
      <c r="A121" s="465" t="s">
        <v>934</v>
      </c>
      <c r="B121" s="465">
        <v>58.0</v>
      </c>
      <c r="C121" s="465">
        <v>0.0</v>
      </c>
      <c r="D121" s="465" t="s">
        <v>935</v>
      </c>
      <c r="E121" s="465">
        <v>0.0</v>
      </c>
      <c r="F121" s="465">
        <v>0.0</v>
      </c>
      <c r="G121" s="465">
        <v>0.0</v>
      </c>
      <c r="H121" s="466">
        <v>45560.59788194444</v>
      </c>
      <c r="I121" s="465">
        <v>0.116</v>
      </c>
      <c r="J121" s="465">
        <v>0.0</v>
      </c>
      <c r="K121" s="465">
        <v>1.0</v>
      </c>
      <c r="L121" s="465">
        <v>0.116</v>
      </c>
      <c r="M121" s="465">
        <v>0.116</v>
      </c>
      <c r="N121" s="467" t="s">
        <v>12</v>
      </c>
    </row>
    <row r="122">
      <c r="A122" s="465" t="s">
        <v>929</v>
      </c>
      <c r="B122" s="465">
        <v>59.0</v>
      </c>
      <c r="C122" s="465">
        <v>921.0</v>
      </c>
      <c r="D122" s="465" t="s">
        <v>930</v>
      </c>
      <c r="E122" s="465">
        <v>0.0</v>
      </c>
      <c r="F122" s="465">
        <v>0.0</v>
      </c>
      <c r="G122" s="465">
        <v>0.0</v>
      </c>
      <c r="H122" s="466">
        <v>45560.60065972222</v>
      </c>
      <c r="I122" s="465">
        <v>2.264</v>
      </c>
      <c r="J122" s="465">
        <v>113.14</v>
      </c>
      <c r="K122" s="465">
        <v>1.0</v>
      </c>
      <c r="L122" s="465">
        <v>2.264</v>
      </c>
      <c r="M122" s="465">
        <v>2.264</v>
      </c>
      <c r="N122" s="467" t="s">
        <v>12</v>
      </c>
    </row>
    <row r="123">
      <c r="A123" s="465" t="s">
        <v>951</v>
      </c>
      <c r="B123" s="465">
        <v>60.0</v>
      </c>
      <c r="C123" s="465">
        <v>0.0</v>
      </c>
      <c r="D123" s="465" t="s">
        <v>952</v>
      </c>
      <c r="E123" s="465">
        <v>0.0</v>
      </c>
      <c r="F123" s="465">
        <v>0.0</v>
      </c>
      <c r="G123" s="465">
        <v>0.0</v>
      </c>
      <c r="H123" s="466">
        <v>45560.601585648146</v>
      </c>
      <c r="I123" s="465">
        <v>0.116</v>
      </c>
      <c r="J123" s="465">
        <v>0.0</v>
      </c>
      <c r="K123" s="465">
        <v>1.0</v>
      </c>
      <c r="L123" s="465">
        <v>0.116</v>
      </c>
      <c r="M123" s="465">
        <v>0.116</v>
      </c>
      <c r="N123" s="467" t="s">
        <v>12</v>
      </c>
    </row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2023-02-22T17:24:44Z</dcterms:created>
  <dc:creator>Microsoft Office User</dc:creator>
</cp:coreProperties>
</file>